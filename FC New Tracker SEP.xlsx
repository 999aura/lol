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298904DD-7507-48A2-BFB5-436A1317A750}" xr6:coauthVersionLast="36" xr6:coauthVersionMax="36" xr10:uidLastSave="{00000000-0000-0000-0000-000000000000}"/>
  <bookViews>
    <workbookView xWindow="0" yWindow="0" windowWidth="28800" windowHeight="11085" activeTab="1" xr2:uid="{00000000-000D-0000-FFFF-FFFF00000000}"/>
  </bookViews>
  <sheets>
    <sheet name="MTD" sheetId="2" r:id="rId1"/>
    <sheet name="DASHBOARD" sheetId="54" r:id="rId2"/>
    <sheet name="Tgt Division" sheetId="7" r:id="rId3"/>
    <sheet name="AOP Target" sheetId="16" r:id="rId4"/>
  </sheets>
  <externalReferences>
    <externalReference r:id="rId5"/>
  </externalReferences>
  <definedNames>
    <definedName name="_xlnm._FilterDatabase" localSheetId="0" hidden="1">MTD!$A$3:$AE$469</definedName>
    <definedName name="_xlnm._FilterDatabase" localSheetId="2" hidden="1">'Tgt Division'!$B$2:$N$15</definedName>
  </definedNames>
  <calcPr calcId="191029"/>
  <pivotCaches>
    <pivotCache cacheId="2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2" i="2" l="1"/>
  <c r="E90" i="2" l="1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L11" i="54" l="1"/>
  <c r="I12" i="54" l="1"/>
  <c r="P304" i="2" l="1"/>
  <c r="Q304" i="2"/>
  <c r="R304" i="2"/>
  <c r="P305" i="2"/>
  <c r="Q305" i="2"/>
  <c r="R305" i="2"/>
  <c r="P306" i="2"/>
  <c r="Q306" i="2"/>
  <c r="R306" i="2"/>
  <c r="P307" i="2"/>
  <c r="Q307" i="2"/>
  <c r="R307" i="2"/>
  <c r="P308" i="2"/>
  <c r="Q308" i="2"/>
  <c r="R308" i="2"/>
  <c r="P309" i="2"/>
  <c r="Q309" i="2"/>
  <c r="R309" i="2"/>
  <c r="P310" i="2"/>
  <c r="Q310" i="2"/>
  <c r="R310" i="2"/>
  <c r="P311" i="2"/>
  <c r="Q311" i="2"/>
  <c r="R311" i="2"/>
  <c r="P312" i="2"/>
  <c r="Q312" i="2"/>
  <c r="R312" i="2"/>
  <c r="P313" i="2"/>
  <c r="Q313" i="2"/>
  <c r="R313" i="2"/>
  <c r="P314" i="2"/>
  <c r="Q314" i="2"/>
  <c r="R314" i="2"/>
  <c r="P315" i="2"/>
  <c r="Q315" i="2"/>
  <c r="R315" i="2"/>
  <c r="P316" i="2"/>
  <c r="Q316" i="2"/>
  <c r="R316" i="2"/>
  <c r="P317" i="2"/>
  <c r="Q317" i="2"/>
  <c r="R317" i="2"/>
  <c r="P318" i="2"/>
  <c r="Q318" i="2"/>
  <c r="R318" i="2"/>
  <c r="K16" i="54" l="1"/>
  <c r="K15" i="54"/>
  <c r="K14" i="54"/>
  <c r="K13" i="54"/>
  <c r="K12" i="54"/>
  <c r="K11" i="54"/>
  <c r="K10" i="54"/>
  <c r="K9" i="54"/>
  <c r="K8" i="54"/>
  <c r="K7" i="54"/>
  <c r="K6" i="54"/>
  <c r="K5" i="54"/>
  <c r="K4" i="54"/>
  <c r="J16" i="54"/>
  <c r="J15" i="54"/>
  <c r="J14" i="54"/>
  <c r="J13" i="54"/>
  <c r="J12" i="54"/>
  <c r="J11" i="54"/>
  <c r="J10" i="54"/>
  <c r="J9" i="54"/>
  <c r="J8" i="54"/>
  <c r="J7" i="54"/>
  <c r="J6" i="54"/>
  <c r="J5" i="54"/>
  <c r="J4" i="54"/>
  <c r="I16" i="54"/>
  <c r="I15" i="54"/>
  <c r="I14" i="54"/>
  <c r="I13" i="54"/>
  <c r="I11" i="54"/>
  <c r="I10" i="54"/>
  <c r="I9" i="54"/>
  <c r="I8" i="54"/>
  <c r="I7" i="54"/>
  <c r="I6" i="54"/>
  <c r="I5" i="54"/>
  <c r="I4" i="54"/>
  <c r="P259" i="2" l="1"/>
  <c r="Q259" i="2"/>
  <c r="R259" i="2"/>
  <c r="X259" i="2"/>
  <c r="M16" i="54" l="1"/>
  <c r="L16" i="54"/>
  <c r="M15" i="54"/>
  <c r="L15" i="54"/>
  <c r="M14" i="54"/>
  <c r="L14" i="54"/>
  <c r="M13" i="54"/>
  <c r="L13" i="54"/>
  <c r="M12" i="54"/>
  <c r="L12" i="54"/>
  <c r="M11" i="54"/>
  <c r="M10" i="54"/>
  <c r="L10" i="54"/>
  <c r="M9" i="54"/>
  <c r="L9" i="54"/>
  <c r="M8" i="54"/>
  <c r="L8" i="54"/>
  <c r="M7" i="54"/>
  <c r="L7" i="54"/>
  <c r="M6" i="54"/>
  <c r="L6" i="54"/>
  <c r="M5" i="54"/>
  <c r="L5" i="54"/>
  <c r="M4" i="54"/>
  <c r="L4" i="54"/>
  <c r="C27" i="2" l="1"/>
  <c r="R18" i="7" l="1"/>
  <c r="Q18" i="7"/>
  <c r="P18" i="7"/>
  <c r="R17" i="7"/>
  <c r="Q17" i="7"/>
  <c r="P17" i="7"/>
  <c r="R16" i="7"/>
  <c r="Q16" i="7"/>
  <c r="P16" i="7"/>
  <c r="R15" i="7"/>
  <c r="Q15" i="7"/>
  <c r="P15" i="7"/>
  <c r="R14" i="7"/>
  <c r="Q14" i="7"/>
  <c r="P14" i="7"/>
  <c r="R13" i="7"/>
  <c r="Q13" i="7"/>
  <c r="P13" i="7"/>
  <c r="R12" i="7"/>
  <c r="Q12" i="7"/>
  <c r="P12" i="7"/>
  <c r="R11" i="7"/>
  <c r="Q11" i="7"/>
  <c r="P11" i="7"/>
  <c r="R10" i="7"/>
  <c r="Q10" i="7"/>
  <c r="P10" i="7"/>
  <c r="R9" i="7"/>
  <c r="Q9" i="7"/>
  <c r="P9" i="7"/>
  <c r="R8" i="7"/>
  <c r="S8" i="7" s="1"/>
  <c r="Q8" i="7"/>
  <c r="P8" i="7"/>
  <c r="R7" i="7"/>
  <c r="Q7" i="7"/>
  <c r="P7" i="7"/>
  <c r="R6" i="7"/>
  <c r="Q6" i="7"/>
  <c r="P6" i="7"/>
  <c r="R5" i="7"/>
  <c r="Q5" i="7"/>
  <c r="P5" i="7"/>
  <c r="R4" i="7"/>
  <c r="Q4" i="7"/>
  <c r="P4" i="7"/>
  <c r="R3" i="7"/>
  <c r="Q3" i="7"/>
  <c r="P3" i="7"/>
  <c r="D2" i="7"/>
  <c r="S13" i="7" l="1"/>
  <c r="T15" i="7"/>
  <c r="S3" i="7"/>
  <c r="S17" i="7"/>
  <c r="U8" i="7"/>
  <c r="U13" i="7"/>
  <c r="T18" i="7"/>
  <c r="S5" i="7"/>
  <c r="T7" i="7"/>
  <c r="S10" i="7"/>
  <c r="U12" i="7"/>
  <c r="S16" i="7"/>
  <c r="U11" i="7"/>
  <c r="S12" i="7"/>
  <c r="U16" i="7"/>
  <c r="S4" i="7"/>
  <c r="U6" i="7"/>
  <c r="U5" i="7"/>
  <c r="S9" i="7"/>
  <c r="S11" i="7"/>
  <c r="U15" i="7"/>
  <c r="U7" i="7"/>
  <c r="T10" i="7"/>
  <c r="U10" i="7"/>
  <c r="T11" i="7"/>
  <c r="U17" i="7"/>
  <c r="E17" i="7"/>
  <c r="F17" i="7" s="1"/>
  <c r="E13" i="7"/>
  <c r="F13" i="7" s="1"/>
  <c r="E9" i="7"/>
  <c r="F9" i="7" s="1"/>
  <c r="E7" i="7"/>
  <c r="F7" i="7" s="1"/>
  <c r="E3" i="7"/>
  <c r="F3" i="7" s="1"/>
  <c r="E16" i="7"/>
  <c r="F16" i="7" s="1"/>
  <c r="E15" i="7"/>
  <c r="F15" i="7" s="1"/>
  <c r="E12" i="7"/>
  <c r="F12" i="7" s="1"/>
  <c r="E4" i="7"/>
  <c r="F4" i="7" s="1"/>
  <c r="E11" i="7"/>
  <c r="F11" i="7" s="1"/>
  <c r="E18" i="7"/>
  <c r="F18" i="7" s="1"/>
  <c r="E5" i="7"/>
  <c r="F5" i="7" s="1"/>
  <c r="E6" i="7"/>
  <c r="F6" i="7" s="1"/>
  <c r="Q19" i="7"/>
  <c r="S6" i="7"/>
  <c r="S14" i="7"/>
  <c r="U14" i="7"/>
  <c r="T6" i="7"/>
  <c r="E8" i="7"/>
  <c r="F8" i="7" s="1"/>
  <c r="T8" i="7"/>
  <c r="E10" i="7"/>
  <c r="F10" i="7" s="1"/>
  <c r="R19" i="7"/>
  <c r="S19" i="7" s="1"/>
  <c r="T5" i="7"/>
  <c r="E14" i="7"/>
  <c r="F14" i="7" s="1"/>
  <c r="U18" i="7"/>
  <c r="S18" i="7"/>
  <c r="P19" i="7"/>
  <c r="U3" i="7"/>
  <c r="T3" i="7"/>
  <c r="S7" i="7"/>
  <c r="T12" i="7"/>
  <c r="S15" i="7"/>
  <c r="T16" i="7"/>
  <c r="U4" i="7"/>
  <c r="T4" i="7"/>
  <c r="U9" i="7"/>
  <c r="T9" i="7"/>
  <c r="T14" i="7"/>
  <c r="T13" i="7"/>
  <c r="T17" i="7"/>
  <c r="H14" i="7" l="1"/>
  <c r="G14" i="7"/>
  <c r="J14" i="7" s="1"/>
  <c r="H5" i="7"/>
  <c r="G5" i="7"/>
  <c r="J5" i="7" s="1"/>
  <c r="G7" i="7"/>
  <c r="H7" i="7"/>
  <c r="K7" i="7" s="1"/>
  <c r="U19" i="7"/>
  <c r="T19" i="7"/>
  <c r="H8" i="7"/>
  <c r="K8" i="7" s="1"/>
  <c r="G8" i="7"/>
  <c r="H18" i="7"/>
  <c r="K18" i="7" s="1"/>
  <c r="G18" i="7"/>
  <c r="G15" i="7"/>
  <c r="J15" i="7"/>
  <c r="H15" i="7"/>
  <c r="G9" i="7"/>
  <c r="H9" i="7"/>
  <c r="K9" i="7" s="1"/>
  <c r="G11" i="7"/>
  <c r="J11" i="7" s="1"/>
  <c r="H11" i="7"/>
  <c r="H16" i="7"/>
  <c r="G16" i="7"/>
  <c r="J16" i="7" s="1"/>
  <c r="H13" i="7"/>
  <c r="K13" i="7"/>
  <c r="G13" i="7"/>
  <c r="J13" i="7" s="1"/>
  <c r="H12" i="7"/>
  <c r="G12" i="7"/>
  <c r="J12" i="7" s="1"/>
  <c r="H10" i="7"/>
  <c r="K10" i="7" s="1"/>
  <c r="G10" i="7"/>
  <c r="J10" i="7" s="1"/>
  <c r="H6" i="7"/>
  <c r="K6" i="7" s="1"/>
  <c r="G6" i="7"/>
  <c r="J6" i="7" s="1"/>
  <c r="H4" i="7"/>
  <c r="K4" i="7" s="1"/>
  <c r="G4" i="7"/>
  <c r="J4" i="7" s="1"/>
  <c r="G3" i="7"/>
  <c r="J3" i="7" s="1"/>
  <c r="F19" i="7"/>
  <c r="H3" i="7"/>
  <c r="K3" i="7" s="1"/>
  <c r="H17" i="7"/>
  <c r="K17" i="7" s="1"/>
  <c r="G17" i="7"/>
  <c r="J17" i="7" s="1"/>
  <c r="I5" i="7" l="1"/>
  <c r="I11" i="7"/>
  <c r="I15" i="7"/>
  <c r="I12" i="7"/>
  <c r="I17" i="7"/>
  <c r="I16" i="7"/>
  <c r="I14" i="7"/>
  <c r="M9" i="7"/>
  <c r="O9" i="7"/>
  <c r="N9" i="7"/>
  <c r="L9" i="7"/>
  <c r="L18" i="7"/>
  <c r="O18" i="7"/>
  <c r="N18" i="7"/>
  <c r="M18" i="7"/>
  <c r="N8" i="7"/>
  <c r="M8" i="7"/>
  <c r="L8" i="7"/>
  <c r="O8" i="7"/>
  <c r="O7" i="7"/>
  <c r="L7" i="7"/>
  <c r="L6" i="7"/>
  <c r="O6" i="7"/>
  <c r="L10" i="7"/>
  <c r="N10" i="7"/>
  <c r="M10" i="7"/>
  <c r="O10" i="7"/>
  <c r="K12" i="7"/>
  <c r="K16" i="7"/>
  <c r="O11" i="7"/>
  <c r="L11" i="7"/>
  <c r="N11" i="7"/>
  <c r="M11" i="7"/>
  <c r="J9" i="7"/>
  <c r="O15" i="7"/>
  <c r="N15" i="7"/>
  <c r="M15" i="7"/>
  <c r="L15" i="7"/>
  <c r="I8" i="7"/>
  <c r="I7" i="7"/>
  <c r="M17" i="7"/>
  <c r="L17" i="7"/>
  <c r="N17" i="7"/>
  <c r="O17" i="7"/>
  <c r="H19" i="7"/>
  <c r="I3" i="7"/>
  <c r="M3" i="7"/>
  <c r="G19" i="7"/>
  <c r="J19" i="7" s="1"/>
  <c r="L3" i="7"/>
  <c r="N3" i="7"/>
  <c r="O3" i="7"/>
  <c r="I4" i="7"/>
  <c r="I6" i="7"/>
  <c r="I10" i="7"/>
  <c r="I13" i="7"/>
  <c r="K11" i="7"/>
  <c r="K15" i="7"/>
  <c r="I18" i="7"/>
  <c r="J8" i="7"/>
  <c r="J7" i="7"/>
  <c r="K5" i="7"/>
  <c r="L14" i="7"/>
  <c r="O14" i="7"/>
  <c r="N14" i="7"/>
  <c r="M14" i="7"/>
  <c r="L4" i="7"/>
  <c r="O4" i="7"/>
  <c r="M4" i="7"/>
  <c r="N12" i="7"/>
  <c r="M12" i="7"/>
  <c r="O12" i="7"/>
  <c r="L12" i="7"/>
  <c r="M13" i="7"/>
  <c r="L13" i="7"/>
  <c r="N13" i="7"/>
  <c r="O13" i="7"/>
  <c r="N16" i="7"/>
  <c r="M16" i="7"/>
  <c r="O16" i="7"/>
  <c r="L16" i="7"/>
  <c r="I9" i="7"/>
  <c r="J18" i="7"/>
  <c r="L5" i="7"/>
  <c r="O5" i="7"/>
  <c r="M5" i="7"/>
  <c r="K14" i="7"/>
  <c r="I19" i="7" l="1"/>
  <c r="M19" i="7"/>
  <c r="L19" i="7"/>
  <c r="O19" i="7"/>
  <c r="N19" i="7"/>
  <c r="K19" i="7"/>
  <c r="P169" i="2" l="1"/>
  <c r="Q169" i="2"/>
  <c r="R169" i="2"/>
  <c r="AE19" i="2" l="1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33" i="2"/>
  <c r="A19" i="2" l="1"/>
  <c r="A34" i="2" s="1"/>
  <c r="A49" i="2" s="1"/>
  <c r="A64" i="2" s="1"/>
  <c r="A79" i="2" s="1"/>
  <c r="A94" i="2" s="1"/>
  <c r="A109" i="2" s="1"/>
  <c r="A124" i="2" s="1"/>
  <c r="A139" i="2" s="1"/>
  <c r="A154" i="2" s="1"/>
  <c r="A169" i="2" s="1"/>
  <c r="A184" i="2" s="1"/>
  <c r="A199" i="2" s="1"/>
  <c r="A214" i="2" s="1"/>
  <c r="A229" i="2" s="1"/>
  <c r="A244" i="2" s="1"/>
  <c r="A259" i="2" s="1"/>
  <c r="A274" i="2" s="1"/>
  <c r="A289" i="2" s="1"/>
  <c r="A304" i="2" s="1"/>
  <c r="A319" i="2" s="1"/>
  <c r="A334" i="2" s="1"/>
  <c r="A349" i="2" s="1"/>
  <c r="A364" i="2" s="1"/>
  <c r="A379" i="2" s="1"/>
  <c r="A394" i="2" s="1"/>
  <c r="A409" i="2" s="1"/>
  <c r="A424" i="2" s="1"/>
  <c r="A439" i="2" s="1"/>
  <c r="A454" i="2" s="1"/>
  <c r="A20" i="2"/>
  <c r="A35" i="2" s="1"/>
  <c r="A50" i="2" s="1"/>
  <c r="A65" i="2" s="1"/>
  <c r="A80" i="2" s="1"/>
  <c r="A95" i="2" s="1"/>
  <c r="A110" i="2" s="1"/>
  <c r="A125" i="2" s="1"/>
  <c r="A140" i="2" s="1"/>
  <c r="A155" i="2" s="1"/>
  <c r="A170" i="2" s="1"/>
  <c r="A185" i="2" s="1"/>
  <c r="A200" i="2" s="1"/>
  <c r="A215" i="2" s="1"/>
  <c r="A230" i="2" s="1"/>
  <c r="A245" i="2" s="1"/>
  <c r="A260" i="2" s="1"/>
  <c r="A275" i="2" s="1"/>
  <c r="A290" i="2" s="1"/>
  <c r="A305" i="2" s="1"/>
  <c r="A320" i="2" s="1"/>
  <c r="A335" i="2" s="1"/>
  <c r="A350" i="2" s="1"/>
  <c r="A365" i="2" s="1"/>
  <c r="A380" i="2" s="1"/>
  <c r="A395" i="2" s="1"/>
  <c r="A410" i="2" s="1"/>
  <c r="A425" i="2" s="1"/>
  <c r="A440" i="2" s="1"/>
  <c r="A455" i="2" s="1"/>
  <c r="A21" i="2"/>
  <c r="A36" i="2" s="1"/>
  <c r="A51" i="2" s="1"/>
  <c r="A66" i="2" s="1"/>
  <c r="A81" i="2" s="1"/>
  <c r="A96" i="2" s="1"/>
  <c r="A111" i="2" s="1"/>
  <c r="A126" i="2" s="1"/>
  <c r="A141" i="2" s="1"/>
  <c r="A156" i="2" s="1"/>
  <c r="A171" i="2" s="1"/>
  <c r="A186" i="2" s="1"/>
  <c r="A201" i="2" s="1"/>
  <c r="A216" i="2" s="1"/>
  <c r="A231" i="2" s="1"/>
  <c r="A246" i="2" s="1"/>
  <c r="A261" i="2" s="1"/>
  <c r="A276" i="2" s="1"/>
  <c r="A291" i="2" s="1"/>
  <c r="A306" i="2" s="1"/>
  <c r="A321" i="2" s="1"/>
  <c r="A336" i="2" s="1"/>
  <c r="A351" i="2" s="1"/>
  <c r="A366" i="2" s="1"/>
  <c r="A381" i="2" s="1"/>
  <c r="A396" i="2" s="1"/>
  <c r="A411" i="2" s="1"/>
  <c r="A426" i="2" s="1"/>
  <c r="A441" i="2" s="1"/>
  <c r="A456" i="2" s="1"/>
  <c r="A22" i="2"/>
  <c r="A37" i="2" s="1"/>
  <c r="A52" i="2" s="1"/>
  <c r="A67" i="2" s="1"/>
  <c r="A82" i="2" s="1"/>
  <c r="A97" i="2" s="1"/>
  <c r="A112" i="2" s="1"/>
  <c r="A127" i="2" s="1"/>
  <c r="A142" i="2" s="1"/>
  <c r="A157" i="2" s="1"/>
  <c r="A172" i="2" s="1"/>
  <c r="A187" i="2" s="1"/>
  <c r="A202" i="2" s="1"/>
  <c r="A217" i="2" s="1"/>
  <c r="A232" i="2" s="1"/>
  <c r="A247" i="2" s="1"/>
  <c r="A262" i="2" s="1"/>
  <c r="A277" i="2" s="1"/>
  <c r="A292" i="2" s="1"/>
  <c r="A307" i="2" s="1"/>
  <c r="A322" i="2" s="1"/>
  <c r="A337" i="2" s="1"/>
  <c r="A352" i="2" s="1"/>
  <c r="A367" i="2" s="1"/>
  <c r="A382" i="2" s="1"/>
  <c r="A397" i="2" s="1"/>
  <c r="A412" i="2" s="1"/>
  <c r="A427" i="2" s="1"/>
  <c r="A442" i="2" s="1"/>
  <c r="A457" i="2" s="1"/>
  <c r="A23" i="2"/>
  <c r="A38" i="2" s="1"/>
  <c r="A53" i="2" s="1"/>
  <c r="A68" i="2" s="1"/>
  <c r="A83" i="2" s="1"/>
  <c r="A98" i="2" s="1"/>
  <c r="A113" i="2" s="1"/>
  <c r="A128" i="2" s="1"/>
  <c r="A143" i="2" s="1"/>
  <c r="A158" i="2" s="1"/>
  <c r="A173" i="2" s="1"/>
  <c r="A188" i="2" s="1"/>
  <c r="A203" i="2" s="1"/>
  <c r="A218" i="2" s="1"/>
  <c r="A233" i="2" s="1"/>
  <c r="A248" i="2" s="1"/>
  <c r="A263" i="2" s="1"/>
  <c r="A278" i="2" s="1"/>
  <c r="A293" i="2" s="1"/>
  <c r="A308" i="2" s="1"/>
  <c r="A323" i="2" s="1"/>
  <c r="A338" i="2" s="1"/>
  <c r="A353" i="2" s="1"/>
  <c r="A368" i="2" s="1"/>
  <c r="A383" i="2" s="1"/>
  <c r="A398" i="2" s="1"/>
  <c r="A413" i="2" s="1"/>
  <c r="A428" i="2" s="1"/>
  <c r="A443" i="2" s="1"/>
  <c r="A458" i="2" s="1"/>
  <c r="A24" i="2"/>
  <c r="A39" i="2" s="1"/>
  <c r="A54" i="2" s="1"/>
  <c r="A69" i="2" s="1"/>
  <c r="A84" i="2" s="1"/>
  <c r="A99" i="2" s="1"/>
  <c r="A114" i="2" s="1"/>
  <c r="A129" i="2" s="1"/>
  <c r="A144" i="2" s="1"/>
  <c r="A159" i="2" s="1"/>
  <c r="A174" i="2" s="1"/>
  <c r="A189" i="2" s="1"/>
  <c r="A204" i="2" s="1"/>
  <c r="A219" i="2" s="1"/>
  <c r="A234" i="2" s="1"/>
  <c r="A249" i="2" s="1"/>
  <c r="A264" i="2" s="1"/>
  <c r="A279" i="2" s="1"/>
  <c r="A294" i="2" s="1"/>
  <c r="A309" i="2" s="1"/>
  <c r="A324" i="2" s="1"/>
  <c r="A339" i="2" s="1"/>
  <c r="A354" i="2" s="1"/>
  <c r="A369" i="2" s="1"/>
  <c r="A384" i="2" s="1"/>
  <c r="A399" i="2" s="1"/>
  <c r="A414" i="2" s="1"/>
  <c r="A429" i="2" s="1"/>
  <c r="A444" i="2" s="1"/>
  <c r="A459" i="2" s="1"/>
  <c r="A25" i="2"/>
  <c r="A40" i="2" s="1"/>
  <c r="A55" i="2" s="1"/>
  <c r="A70" i="2" s="1"/>
  <c r="A85" i="2" s="1"/>
  <c r="A100" i="2" s="1"/>
  <c r="A115" i="2" s="1"/>
  <c r="A130" i="2" s="1"/>
  <c r="A145" i="2" s="1"/>
  <c r="A160" i="2" s="1"/>
  <c r="A175" i="2" s="1"/>
  <c r="A190" i="2" s="1"/>
  <c r="A205" i="2" s="1"/>
  <c r="A220" i="2" s="1"/>
  <c r="A235" i="2" s="1"/>
  <c r="A250" i="2" s="1"/>
  <c r="A265" i="2" s="1"/>
  <c r="A280" i="2" s="1"/>
  <c r="A295" i="2" s="1"/>
  <c r="A310" i="2" s="1"/>
  <c r="A325" i="2" s="1"/>
  <c r="A340" i="2" s="1"/>
  <c r="A355" i="2" s="1"/>
  <c r="A370" i="2" s="1"/>
  <c r="A385" i="2" s="1"/>
  <c r="A400" i="2" s="1"/>
  <c r="A415" i="2" s="1"/>
  <c r="A430" i="2" s="1"/>
  <c r="A445" i="2" s="1"/>
  <c r="A460" i="2" s="1"/>
  <c r="A26" i="2"/>
  <c r="A41" i="2" s="1"/>
  <c r="A56" i="2" s="1"/>
  <c r="A71" i="2" s="1"/>
  <c r="A86" i="2" s="1"/>
  <c r="A101" i="2" s="1"/>
  <c r="A116" i="2" s="1"/>
  <c r="A131" i="2" s="1"/>
  <c r="A146" i="2" s="1"/>
  <c r="A161" i="2" s="1"/>
  <c r="A176" i="2" s="1"/>
  <c r="A191" i="2" s="1"/>
  <c r="A206" i="2" s="1"/>
  <c r="A221" i="2" s="1"/>
  <c r="A236" i="2" s="1"/>
  <c r="A251" i="2" s="1"/>
  <c r="A266" i="2" s="1"/>
  <c r="A281" i="2" s="1"/>
  <c r="A296" i="2" s="1"/>
  <c r="A311" i="2" s="1"/>
  <c r="A326" i="2" s="1"/>
  <c r="A341" i="2" s="1"/>
  <c r="A356" i="2" s="1"/>
  <c r="A371" i="2" s="1"/>
  <c r="A386" i="2" s="1"/>
  <c r="A401" i="2" s="1"/>
  <c r="A416" i="2" s="1"/>
  <c r="A431" i="2" s="1"/>
  <c r="A446" i="2" s="1"/>
  <c r="A461" i="2" s="1"/>
  <c r="A27" i="2"/>
  <c r="A42" i="2" s="1"/>
  <c r="A57" i="2" s="1"/>
  <c r="A72" i="2" s="1"/>
  <c r="A87" i="2" s="1"/>
  <c r="A102" i="2" s="1"/>
  <c r="A117" i="2" s="1"/>
  <c r="A132" i="2" s="1"/>
  <c r="A147" i="2" s="1"/>
  <c r="A162" i="2" s="1"/>
  <c r="A177" i="2" s="1"/>
  <c r="A192" i="2" s="1"/>
  <c r="A207" i="2" s="1"/>
  <c r="A222" i="2" s="1"/>
  <c r="A237" i="2" s="1"/>
  <c r="A252" i="2" s="1"/>
  <c r="A267" i="2" s="1"/>
  <c r="A282" i="2" s="1"/>
  <c r="A297" i="2" s="1"/>
  <c r="A312" i="2" s="1"/>
  <c r="A327" i="2" s="1"/>
  <c r="A342" i="2" s="1"/>
  <c r="A357" i="2" s="1"/>
  <c r="A372" i="2" s="1"/>
  <c r="A387" i="2" s="1"/>
  <c r="A402" i="2" s="1"/>
  <c r="A417" i="2" s="1"/>
  <c r="A432" i="2" s="1"/>
  <c r="A447" i="2" s="1"/>
  <c r="A462" i="2" s="1"/>
  <c r="A28" i="2"/>
  <c r="A43" i="2" s="1"/>
  <c r="A58" i="2" s="1"/>
  <c r="A73" i="2" s="1"/>
  <c r="A88" i="2" s="1"/>
  <c r="A103" i="2" s="1"/>
  <c r="A118" i="2" s="1"/>
  <c r="A133" i="2" s="1"/>
  <c r="A148" i="2" s="1"/>
  <c r="A163" i="2" s="1"/>
  <c r="A178" i="2" s="1"/>
  <c r="A193" i="2" s="1"/>
  <c r="A208" i="2" s="1"/>
  <c r="A223" i="2" s="1"/>
  <c r="A238" i="2" s="1"/>
  <c r="A253" i="2" s="1"/>
  <c r="A268" i="2" s="1"/>
  <c r="A283" i="2" s="1"/>
  <c r="A298" i="2" s="1"/>
  <c r="A313" i="2" s="1"/>
  <c r="A328" i="2" s="1"/>
  <c r="A343" i="2" s="1"/>
  <c r="A358" i="2" s="1"/>
  <c r="A373" i="2" s="1"/>
  <c r="A388" i="2" s="1"/>
  <c r="A403" i="2" s="1"/>
  <c r="A418" i="2" s="1"/>
  <c r="A433" i="2" s="1"/>
  <c r="A448" i="2" s="1"/>
  <c r="A463" i="2" s="1"/>
  <c r="A29" i="2"/>
  <c r="A44" i="2" s="1"/>
  <c r="A59" i="2" s="1"/>
  <c r="A74" i="2" s="1"/>
  <c r="A89" i="2" s="1"/>
  <c r="A104" i="2" s="1"/>
  <c r="A119" i="2" s="1"/>
  <c r="A134" i="2" s="1"/>
  <c r="A149" i="2" s="1"/>
  <c r="A164" i="2" s="1"/>
  <c r="A179" i="2" s="1"/>
  <c r="A194" i="2" s="1"/>
  <c r="A209" i="2" s="1"/>
  <c r="A224" i="2" s="1"/>
  <c r="A239" i="2" s="1"/>
  <c r="A254" i="2" s="1"/>
  <c r="A269" i="2" s="1"/>
  <c r="A284" i="2" s="1"/>
  <c r="A299" i="2" s="1"/>
  <c r="A314" i="2" s="1"/>
  <c r="A329" i="2" s="1"/>
  <c r="A344" i="2" s="1"/>
  <c r="A359" i="2" s="1"/>
  <c r="A374" i="2" s="1"/>
  <c r="A389" i="2" s="1"/>
  <c r="A404" i="2" s="1"/>
  <c r="A419" i="2" s="1"/>
  <c r="A434" i="2" s="1"/>
  <c r="A449" i="2" s="1"/>
  <c r="A464" i="2" s="1"/>
  <c r="A30" i="2"/>
  <c r="A45" i="2" s="1"/>
  <c r="A60" i="2" s="1"/>
  <c r="A75" i="2" s="1"/>
  <c r="A90" i="2" s="1"/>
  <c r="A105" i="2" s="1"/>
  <c r="A120" i="2" s="1"/>
  <c r="A135" i="2" s="1"/>
  <c r="A150" i="2" s="1"/>
  <c r="A165" i="2" s="1"/>
  <c r="A180" i="2" s="1"/>
  <c r="A195" i="2" s="1"/>
  <c r="A210" i="2" s="1"/>
  <c r="A225" i="2" s="1"/>
  <c r="A240" i="2" s="1"/>
  <c r="A255" i="2" s="1"/>
  <c r="A270" i="2" s="1"/>
  <c r="A285" i="2" s="1"/>
  <c r="A300" i="2" s="1"/>
  <c r="A315" i="2" s="1"/>
  <c r="A330" i="2" s="1"/>
  <c r="A345" i="2" s="1"/>
  <c r="A360" i="2" s="1"/>
  <c r="A375" i="2" s="1"/>
  <c r="A390" i="2" s="1"/>
  <c r="A405" i="2" s="1"/>
  <c r="A420" i="2" s="1"/>
  <c r="A435" i="2" s="1"/>
  <c r="A450" i="2" s="1"/>
  <c r="A465" i="2" s="1"/>
  <c r="A31" i="2"/>
  <c r="A46" i="2" s="1"/>
  <c r="A61" i="2" s="1"/>
  <c r="A76" i="2" s="1"/>
  <c r="A91" i="2" s="1"/>
  <c r="A106" i="2" s="1"/>
  <c r="A121" i="2" s="1"/>
  <c r="A136" i="2" s="1"/>
  <c r="A151" i="2" s="1"/>
  <c r="A166" i="2" s="1"/>
  <c r="A181" i="2" s="1"/>
  <c r="A196" i="2" s="1"/>
  <c r="A211" i="2" s="1"/>
  <c r="A226" i="2" s="1"/>
  <c r="A241" i="2" s="1"/>
  <c r="A256" i="2" s="1"/>
  <c r="A271" i="2" s="1"/>
  <c r="A286" i="2" s="1"/>
  <c r="A301" i="2" s="1"/>
  <c r="A316" i="2" s="1"/>
  <c r="A331" i="2" s="1"/>
  <c r="A346" i="2" s="1"/>
  <c r="A361" i="2" s="1"/>
  <c r="A376" i="2" s="1"/>
  <c r="A391" i="2" s="1"/>
  <c r="A406" i="2" s="1"/>
  <c r="A421" i="2" s="1"/>
  <c r="A436" i="2" s="1"/>
  <c r="A451" i="2" s="1"/>
  <c r="A466" i="2" s="1"/>
  <c r="A32" i="2"/>
  <c r="A47" i="2" s="1"/>
  <c r="A62" i="2" s="1"/>
  <c r="A77" i="2" s="1"/>
  <c r="A92" i="2" s="1"/>
  <c r="A107" i="2" s="1"/>
  <c r="A122" i="2" s="1"/>
  <c r="A137" i="2" s="1"/>
  <c r="A152" i="2" s="1"/>
  <c r="A167" i="2" s="1"/>
  <c r="A182" i="2" s="1"/>
  <c r="A197" i="2" s="1"/>
  <c r="A212" i="2" s="1"/>
  <c r="A227" i="2" s="1"/>
  <c r="A242" i="2" s="1"/>
  <c r="A257" i="2" s="1"/>
  <c r="A272" i="2" s="1"/>
  <c r="A287" i="2" s="1"/>
  <c r="A302" i="2" s="1"/>
  <c r="A317" i="2" s="1"/>
  <c r="A332" i="2" s="1"/>
  <c r="A347" i="2" s="1"/>
  <c r="A362" i="2" s="1"/>
  <c r="A377" i="2" s="1"/>
  <c r="A392" i="2" s="1"/>
  <c r="A407" i="2" s="1"/>
  <c r="A422" i="2" s="1"/>
  <c r="A437" i="2" s="1"/>
  <c r="A452" i="2" s="1"/>
  <c r="A467" i="2" s="1"/>
  <c r="A33" i="2"/>
  <c r="A48" i="2" s="1"/>
  <c r="A63" i="2" s="1"/>
  <c r="A78" i="2" s="1"/>
  <c r="A93" i="2" s="1"/>
  <c r="A108" i="2" s="1"/>
  <c r="A123" i="2" s="1"/>
  <c r="A138" i="2" s="1"/>
  <c r="A153" i="2" s="1"/>
  <c r="A168" i="2" s="1"/>
  <c r="A183" i="2" s="1"/>
  <c r="A198" i="2" s="1"/>
  <c r="A213" i="2" s="1"/>
  <c r="A228" i="2" s="1"/>
  <c r="A243" i="2" s="1"/>
  <c r="A258" i="2" s="1"/>
  <c r="A273" i="2" s="1"/>
  <c r="A288" i="2" s="1"/>
  <c r="A303" i="2" s="1"/>
  <c r="A318" i="2" s="1"/>
  <c r="A333" i="2" s="1"/>
  <c r="A348" i="2" s="1"/>
  <c r="A363" i="2" s="1"/>
  <c r="A378" i="2" s="1"/>
  <c r="A393" i="2" s="1"/>
  <c r="A408" i="2" s="1"/>
  <c r="A423" i="2" s="1"/>
  <c r="A438" i="2" s="1"/>
  <c r="A453" i="2" s="1"/>
  <c r="A468" i="2" s="1"/>
  <c r="C468" i="2" l="1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R468" i="2"/>
  <c r="Q468" i="2"/>
  <c r="P468" i="2"/>
  <c r="E468" i="2"/>
  <c r="D468" i="2"/>
  <c r="V468" i="2" s="1"/>
  <c r="R467" i="2"/>
  <c r="Q467" i="2"/>
  <c r="P467" i="2"/>
  <c r="E467" i="2"/>
  <c r="W467" i="2" s="1"/>
  <c r="D467" i="2"/>
  <c r="V467" i="2" s="1"/>
  <c r="R466" i="2"/>
  <c r="Q466" i="2"/>
  <c r="P466" i="2"/>
  <c r="E466" i="2"/>
  <c r="W466" i="2" s="1"/>
  <c r="D466" i="2"/>
  <c r="V466" i="2" s="1"/>
  <c r="R465" i="2"/>
  <c r="Q465" i="2"/>
  <c r="P465" i="2"/>
  <c r="E465" i="2"/>
  <c r="W465" i="2" s="1"/>
  <c r="D465" i="2"/>
  <c r="V465" i="2" s="1"/>
  <c r="R464" i="2"/>
  <c r="Q464" i="2"/>
  <c r="P464" i="2"/>
  <c r="E464" i="2"/>
  <c r="D464" i="2"/>
  <c r="V464" i="2" s="1"/>
  <c r="R463" i="2"/>
  <c r="Q463" i="2"/>
  <c r="P463" i="2"/>
  <c r="E463" i="2"/>
  <c r="W463" i="2" s="1"/>
  <c r="D463" i="2"/>
  <c r="V463" i="2" s="1"/>
  <c r="R462" i="2"/>
  <c r="Q462" i="2"/>
  <c r="P462" i="2"/>
  <c r="E462" i="2"/>
  <c r="W462" i="2" s="1"/>
  <c r="D462" i="2"/>
  <c r="V462" i="2" s="1"/>
  <c r="R461" i="2"/>
  <c r="Q461" i="2"/>
  <c r="P461" i="2"/>
  <c r="E461" i="2"/>
  <c r="W461" i="2" s="1"/>
  <c r="D461" i="2"/>
  <c r="V461" i="2" s="1"/>
  <c r="R460" i="2"/>
  <c r="Q460" i="2"/>
  <c r="P460" i="2"/>
  <c r="E460" i="2"/>
  <c r="D460" i="2"/>
  <c r="V460" i="2" s="1"/>
  <c r="R459" i="2"/>
  <c r="Q459" i="2"/>
  <c r="P459" i="2"/>
  <c r="E459" i="2"/>
  <c r="W459" i="2" s="1"/>
  <c r="D459" i="2"/>
  <c r="V459" i="2" s="1"/>
  <c r="R458" i="2"/>
  <c r="Q458" i="2"/>
  <c r="P458" i="2"/>
  <c r="E458" i="2"/>
  <c r="W458" i="2" s="1"/>
  <c r="D458" i="2"/>
  <c r="V458" i="2" s="1"/>
  <c r="R457" i="2"/>
  <c r="Q457" i="2"/>
  <c r="P457" i="2"/>
  <c r="E457" i="2"/>
  <c r="W457" i="2" s="1"/>
  <c r="D457" i="2"/>
  <c r="R456" i="2"/>
  <c r="Q456" i="2"/>
  <c r="P456" i="2"/>
  <c r="E456" i="2"/>
  <c r="W456" i="2" s="1"/>
  <c r="D456" i="2"/>
  <c r="V456" i="2" s="1"/>
  <c r="R455" i="2"/>
  <c r="Q455" i="2"/>
  <c r="P455" i="2"/>
  <c r="E455" i="2"/>
  <c r="W455" i="2" s="1"/>
  <c r="D455" i="2"/>
  <c r="V455" i="2" s="1"/>
  <c r="R454" i="2"/>
  <c r="Q454" i="2"/>
  <c r="P454" i="2"/>
  <c r="E454" i="2"/>
  <c r="W454" i="2" s="1"/>
  <c r="D454" i="2"/>
  <c r="V454" i="2" s="1"/>
  <c r="R453" i="2"/>
  <c r="Q453" i="2"/>
  <c r="P453" i="2"/>
  <c r="E453" i="2"/>
  <c r="W453" i="2" s="1"/>
  <c r="D453" i="2"/>
  <c r="V453" i="2" s="1"/>
  <c r="R452" i="2"/>
  <c r="Q452" i="2"/>
  <c r="P452" i="2"/>
  <c r="E452" i="2"/>
  <c r="D452" i="2"/>
  <c r="V452" i="2" s="1"/>
  <c r="R451" i="2"/>
  <c r="Q451" i="2"/>
  <c r="P451" i="2"/>
  <c r="E451" i="2"/>
  <c r="D451" i="2"/>
  <c r="R450" i="2"/>
  <c r="Q450" i="2"/>
  <c r="P450" i="2"/>
  <c r="E450" i="2"/>
  <c r="W450" i="2" s="1"/>
  <c r="D450" i="2"/>
  <c r="R449" i="2"/>
  <c r="Q449" i="2"/>
  <c r="P449" i="2"/>
  <c r="E449" i="2"/>
  <c r="W449" i="2" s="1"/>
  <c r="D449" i="2"/>
  <c r="R448" i="2"/>
  <c r="Q448" i="2"/>
  <c r="P448" i="2"/>
  <c r="E448" i="2"/>
  <c r="W448" i="2" s="1"/>
  <c r="D448" i="2"/>
  <c r="R447" i="2"/>
  <c r="Q447" i="2"/>
  <c r="P447" i="2"/>
  <c r="E447" i="2"/>
  <c r="D447" i="2"/>
  <c r="K447" i="2" s="1"/>
  <c r="AC447" i="2" s="1"/>
  <c r="R446" i="2"/>
  <c r="Q446" i="2"/>
  <c r="P446" i="2"/>
  <c r="E446" i="2"/>
  <c r="W446" i="2" s="1"/>
  <c r="D446" i="2"/>
  <c r="R445" i="2"/>
  <c r="Q445" i="2"/>
  <c r="P445" i="2"/>
  <c r="E445" i="2"/>
  <c r="W445" i="2" s="1"/>
  <c r="D445" i="2"/>
  <c r="H445" i="2" s="1"/>
  <c r="R444" i="2"/>
  <c r="Q444" i="2"/>
  <c r="P444" i="2"/>
  <c r="E444" i="2"/>
  <c r="W444" i="2" s="1"/>
  <c r="D444" i="2"/>
  <c r="R443" i="2"/>
  <c r="Q443" i="2"/>
  <c r="P443" i="2"/>
  <c r="E443" i="2"/>
  <c r="D443" i="2"/>
  <c r="L443" i="2" s="1"/>
  <c r="AD443" i="2" s="1"/>
  <c r="R442" i="2"/>
  <c r="Q442" i="2"/>
  <c r="P442" i="2"/>
  <c r="E442" i="2"/>
  <c r="W442" i="2" s="1"/>
  <c r="D442" i="2"/>
  <c r="R441" i="2"/>
  <c r="Q441" i="2"/>
  <c r="P441" i="2"/>
  <c r="E441" i="2"/>
  <c r="W441" i="2" s="1"/>
  <c r="D441" i="2"/>
  <c r="R440" i="2"/>
  <c r="Q440" i="2"/>
  <c r="P440" i="2"/>
  <c r="E440" i="2"/>
  <c r="W440" i="2" s="1"/>
  <c r="D440" i="2"/>
  <c r="R439" i="2"/>
  <c r="Q439" i="2"/>
  <c r="P439" i="2"/>
  <c r="E439" i="2"/>
  <c r="D439" i="2"/>
  <c r="I455" i="2" l="1"/>
  <c r="AA455" i="2" s="1"/>
  <c r="I446" i="2"/>
  <c r="AA446" i="2" s="1"/>
  <c r="Z445" i="2"/>
  <c r="J444" i="2"/>
  <c r="AB444" i="2" s="1"/>
  <c r="V444" i="2"/>
  <c r="J446" i="2"/>
  <c r="AB446" i="2" s="1"/>
  <c r="V446" i="2"/>
  <c r="J448" i="2"/>
  <c r="AB448" i="2" s="1"/>
  <c r="V448" i="2"/>
  <c r="J439" i="2"/>
  <c r="AB439" i="2" s="1"/>
  <c r="V439" i="2"/>
  <c r="J443" i="2"/>
  <c r="AB443" i="2" s="1"/>
  <c r="V443" i="2"/>
  <c r="J449" i="2"/>
  <c r="AB449" i="2" s="1"/>
  <c r="V449" i="2"/>
  <c r="J442" i="2"/>
  <c r="AB442" i="2" s="1"/>
  <c r="V442" i="2"/>
  <c r="J451" i="2"/>
  <c r="AB451" i="2" s="1"/>
  <c r="V451" i="2"/>
  <c r="J440" i="2"/>
  <c r="AB440" i="2" s="1"/>
  <c r="V440" i="2"/>
  <c r="H444" i="2"/>
  <c r="Z444" i="2" s="1"/>
  <c r="J445" i="2"/>
  <c r="AB445" i="2" s="1"/>
  <c r="V445" i="2"/>
  <c r="J447" i="2"/>
  <c r="AB447" i="2" s="1"/>
  <c r="V447" i="2"/>
  <c r="J441" i="2"/>
  <c r="AB441" i="2" s="1"/>
  <c r="V441" i="2"/>
  <c r="K443" i="2"/>
  <c r="AC443" i="2" s="1"/>
  <c r="H449" i="2"/>
  <c r="Z449" i="2" s="1"/>
  <c r="J450" i="2"/>
  <c r="AB450" i="2" s="1"/>
  <c r="V450" i="2"/>
  <c r="G457" i="2"/>
  <c r="Y457" i="2" s="1"/>
  <c r="V457" i="2"/>
  <c r="I452" i="2"/>
  <c r="AA452" i="2" s="1"/>
  <c r="W452" i="2"/>
  <c r="I459" i="2"/>
  <c r="AA459" i="2" s="1"/>
  <c r="I447" i="2"/>
  <c r="AA447" i="2" s="1"/>
  <c r="W447" i="2"/>
  <c r="I445" i="2"/>
  <c r="AA445" i="2" s="1"/>
  <c r="I460" i="2"/>
  <c r="AA460" i="2" s="1"/>
  <c r="W460" i="2"/>
  <c r="I464" i="2"/>
  <c r="AA464" i="2" s="1"/>
  <c r="W464" i="2"/>
  <c r="I467" i="2"/>
  <c r="AA467" i="2" s="1"/>
  <c r="I439" i="2"/>
  <c r="AA439" i="2" s="1"/>
  <c r="W439" i="2"/>
  <c r="I443" i="2"/>
  <c r="AA443" i="2" s="1"/>
  <c r="W443" i="2"/>
  <c r="I451" i="2"/>
  <c r="AA451" i="2" s="1"/>
  <c r="W451" i="2"/>
  <c r="I468" i="2"/>
  <c r="AA468" i="2" s="1"/>
  <c r="W468" i="2"/>
  <c r="L451" i="2"/>
  <c r="AD451" i="2" s="1"/>
  <c r="I456" i="2"/>
  <c r="AA456" i="2" s="1"/>
  <c r="I457" i="2"/>
  <c r="AA457" i="2" s="1"/>
  <c r="G458" i="2"/>
  <c r="Y458" i="2" s="1"/>
  <c r="L447" i="2"/>
  <c r="AD447" i="2" s="1"/>
  <c r="H448" i="2"/>
  <c r="Z448" i="2" s="1"/>
  <c r="I449" i="2"/>
  <c r="AA449" i="2" s="1"/>
  <c r="I450" i="2"/>
  <c r="AA450" i="2" s="1"/>
  <c r="K451" i="2"/>
  <c r="AC451" i="2" s="1"/>
  <c r="I458" i="2"/>
  <c r="AA458" i="2" s="1"/>
  <c r="G462" i="2"/>
  <c r="Y462" i="2" s="1"/>
  <c r="I463" i="2"/>
  <c r="AA463" i="2" s="1"/>
  <c r="K439" i="2"/>
  <c r="AC439" i="2" s="1"/>
  <c r="H441" i="2"/>
  <c r="Z441" i="2" s="1"/>
  <c r="I462" i="2"/>
  <c r="AA462" i="2" s="1"/>
  <c r="G466" i="2"/>
  <c r="Y466" i="2" s="1"/>
  <c r="L439" i="2"/>
  <c r="AD439" i="2" s="1"/>
  <c r="H440" i="2"/>
  <c r="Z440" i="2" s="1"/>
  <c r="I441" i="2"/>
  <c r="AA441" i="2" s="1"/>
  <c r="I442" i="2"/>
  <c r="AA442" i="2" s="1"/>
  <c r="I466" i="2"/>
  <c r="AA466" i="2" s="1"/>
  <c r="K468" i="2"/>
  <c r="AC468" i="2" s="1"/>
  <c r="G439" i="2"/>
  <c r="Y439" i="2" s="1"/>
  <c r="G443" i="2"/>
  <c r="Y443" i="2" s="1"/>
  <c r="G451" i="2"/>
  <c r="Y451" i="2" s="1"/>
  <c r="G461" i="2"/>
  <c r="Y461" i="2" s="1"/>
  <c r="G453" i="2"/>
  <c r="Y453" i="2" s="1"/>
  <c r="K459" i="2"/>
  <c r="AC459" i="2" s="1"/>
  <c r="K467" i="2"/>
  <c r="AC467" i="2" s="1"/>
  <c r="H439" i="2"/>
  <c r="Z439" i="2" s="1"/>
  <c r="I440" i="2"/>
  <c r="AA440" i="2" s="1"/>
  <c r="K441" i="2"/>
  <c r="AC441" i="2" s="1"/>
  <c r="H443" i="2"/>
  <c r="Z443" i="2" s="1"/>
  <c r="I444" i="2"/>
  <c r="AA444" i="2" s="1"/>
  <c r="K445" i="2"/>
  <c r="AC445" i="2" s="1"/>
  <c r="H447" i="2"/>
  <c r="Z447" i="2" s="1"/>
  <c r="I448" i="2"/>
  <c r="AA448" i="2" s="1"/>
  <c r="K449" i="2"/>
  <c r="AC449" i="2" s="1"/>
  <c r="H451" i="2"/>
  <c r="Z451" i="2" s="1"/>
  <c r="I453" i="2"/>
  <c r="AA453" i="2" s="1"/>
  <c r="G454" i="2"/>
  <c r="Y454" i="2" s="1"/>
  <c r="K458" i="2"/>
  <c r="AC458" i="2" s="1"/>
  <c r="G460" i="2"/>
  <c r="Y460" i="2" s="1"/>
  <c r="I461" i="2"/>
  <c r="AA461" i="2" s="1"/>
  <c r="K462" i="2"/>
  <c r="AC462" i="2" s="1"/>
  <c r="G464" i="2"/>
  <c r="Y464" i="2" s="1"/>
  <c r="I465" i="2"/>
  <c r="AA465" i="2" s="1"/>
  <c r="K466" i="2"/>
  <c r="AC466" i="2" s="1"/>
  <c r="G468" i="2"/>
  <c r="Y468" i="2" s="1"/>
  <c r="K460" i="2"/>
  <c r="AC460" i="2" s="1"/>
  <c r="K464" i="2"/>
  <c r="AC464" i="2" s="1"/>
  <c r="G447" i="2"/>
  <c r="Y447" i="2" s="1"/>
  <c r="K463" i="2"/>
  <c r="AC463" i="2" s="1"/>
  <c r="G465" i="2"/>
  <c r="Y465" i="2" s="1"/>
  <c r="G441" i="2"/>
  <c r="Y441" i="2" s="1"/>
  <c r="L441" i="2"/>
  <c r="AD441" i="2" s="1"/>
  <c r="H442" i="2"/>
  <c r="Z442" i="2" s="1"/>
  <c r="G445" i="2"/>
  <c r="Y445" i="2" s="1"/>
  <c r="L445" i="2"/>
  <c r="AD445" i="2" s="1"/>
  <c r="H446" i="2"/>
  <c r="Z446" i="2" s="1"/>
  <c r="G449" i="2"/>
  <c r="Y449" i="2" s="1"/>
  <c r="L449" i="2"/>
  <c r="AD449" i="2" s="1"/>
  <c r="H450" i="2"/>
  <c r="Z450" i="2" s="1"/>
  <c r="I454" i="2"/>
  <c r="AA454" i="2" s="1"/>
  <c r="G459" i="2"/>
  <c r="Y459" i="2" s="1"/>
  <c r="K461" i="2"/>
  <c r="AC461" i="2" s="1"/>
  <c r="G463" i="2"/>
  <c r="Y463" i="2" s="1"/>
  <c r="K465" i="2"/>
  <c r="AC465" i="2" s="1"/>
  <c r="G467" i="2"/>
  <c r="Y467" i="2" s="1"/>
  <c r="L455" i="2"/>
  <c r="AD455" i="2" s="1"/>
  <c r="H455" i="2"/>
  <c r="Z455" i="2" s="1"/>
  <c r="J455" i="2"/>
  <c r="AB455" i="2" s="1"/>
  <c r="L452" i="2"/>
  <c r="AD452" i="2" s="1"/>
  <c r="H452" i="2"/>
  <c r="Z452" i="2" s="1"/>
  <c r="J452" i="2"/>
  <c r="AB452" i="2" s="1"/>
  <c r="L456" i="2"/>
  <c r="AD456" i="2" s="1"/>
  <c r="H456" i="2"/>
  <c r="Z456" i="2" s="1"/>
  <c r="J456" i="2"/>
  <c r="AB456" i="2" s="1"/>
  <c r="K456" i="2"/>
  <c r="AC456" i="2" s="1"/>
  <c r="K440" i="2"/>
  <c r="AC440" i="2" s="1"/>
  <c r="K442" i="2"/>
  <c r="AC442" i="2" s="1"/>
  <c r="K444" i="2"/>
  <c r="AC444" i="2" s="1"/>
  <c r="K446" i="2"/>
  <c r="AC446" i="2" s="1"/>
  <c r="K448" i="2"/>
  <c r="AC448" i="2" s="1"/>
  <c r="K450" i="2"/>
  <c r="AC450" i="2" s="1"/>
  <c r="L453" i="2"/>
  <c r="AD453" i="2" s="1"/>
  <c r="H453" i="2"/>
  <c r="Z453" i="2" s="1"/>
  <c r="J453" i="2"/>
  <c r="AB453" i="2" s="1"/>
  <c r="K453" i="2"/>
  <c r="AC453" i="2" s="1"/>
  <c r="G455" i="2"/>
  <c r="Y455" i="2" s="1"/>
  <c r="L457" i="2"/>
  <c r="AD457" i="2" s="1"/>
  <c r="H457" i="2"/>
  <c r="Z457" i="2" s="1"/>
  <c r="J457" i="2"/>
  <c r="AB457" i="2" s="1"/>
  <c r="K457" i="2"/>
  <c r="AC457" i="2" s="1"/>
  <c r="G440" i="2"/>
  <c r="Y440" i="2" s="1"/>
  <c r="L440" i="2"/>
  <c r="AD440" i="2" s="1"/>
  <c r="G442" i="2"/>
  <c r="Y442" i="2" s="1"/>
  <c r="L442" i="2"/>
  <c r="AD442" i="2" s="1"/>
  <c r="G444" i="2"/>
  <c r="Y444" i="2" s="1"/>
  <c r="L444" i="2"/>
  <c r="AD444" i="2" s="1"/>
  <c r="G446" i="2"/>
  <c r="Y446" i="2" s="1"/>
  <c r="L446" i="2"/>
  <c r="AD446" i="2" s="1"/>
  <c r="G448" i="2"/>
  <c r="Y448" i="2" s="1"/>
  <c r="L448" i="2"/>
  <c r="AD448" i="2" s="1"/>
  <c r="G450" i="2"/>
  <c r="Y450" i="2" s="1"/>
  <c r="L450" i="2"/>
  <c r="AD450" i="2" s="1"/>
  <c r="G452" i="2"/>
  <c r="Y452" i="2" s="1"/>
  <c r="L454" i="2"/>
  <c r="AD454" i="2" s="1"/>
  <c r="H454" i="2"/>
  <c r="Z454" i="2" s="1"/>
  <c r="J454" i="2"/>
  <c r="AB454" i="2" s="1"/>
  <c r="K454" i="2"/>
  <c r="AC454" i="2" s="1"/>
  <c r="G456" i="2"/>
  <c r="Y456" i="2" s="1"/>
  <c r="K455" i="2"/>
  <c r="AC455" i="2" s="1"/>
  <c r="K452" i="2"/>
  <c r="AC452" i="2" s="1"/>
  <c r="J458" i="2"/>
  <c r="AB458" i="2" s="1"/>
  <c r="J459" i="2"/>
  <c r="AB459" i="2" s="1"/>
  <c r="J460" i="2"/>
  <c r="AB460" i="2" s="1"/>
  <c r="J461" i="2"/>
  <c r="AB461" i="2" s="1"/>
  <c r="J462" i="2"/>
  <c r="AB462" i="2" s="1"/>
  <c r="J463" i="2"/>
  <c r="AB463" i="2" s="1"/>
  <c r="J464" i="2"/>
  <c r="AB464" i="2" s="1"/>
  <c r="J465" i="2"/>
  <c r="AB465" i="2" s="1"/>
  <c r="J466" i="2"/>
  <c r="AB466" i="2" s="1"/>
  <c r="J467" i="2"/>
  <c r="AB467" i="2" s="1"/>
  <c r="J468" i="2"/>
  <c r="AB468" i="2" s="1"/>
  <c r="H458" i="2"/>
  <c r="Z458" i="2" s="1"/>
  <c r="L458" i="2"/>
  <c r="AD458" i="2" s="1"/>
  <c r="H459" i="2"/>
  <c r="Z459" i="2" s="1"/>
  <c r="L459" i="2"/>
  <c r="AD459" i="2" s="1"/>
  <c r="H460" i="2"/>
  <c r="Z460" i="2" s="1"/>
  <c r="L460" i="2"/>
  <c r="AD460" i="2" s="1"/>
  <c r="H461" i="2"/>
  <c r="Z461" i="2" s="1"/>
  <c r="L461" i="2"/>
  <c r="AD461" i="2" s="1"/>
  <c r="H462" i="2"/>
  <c r="Z462" i="2" s="1"/>
  <c r="L462" i="2"/>
  <c r="AD462" i="2" s="1"/>
  <c r="H463" i="2"/>
  <c r="Z463" i="2" s="1"/>
  <c r="L463" i="2"/>
  <c r="AD463" i="2" s="1"/>
  <c r="H464" i="2"/>
  <c r="Z464" i="2" s="1"/>
  <c r="L464" i="2"/>
  <c r="AD464" i="2" s="1"/>
  <c r="H465" i="2"/>
  <c r="Z465" i="2" s="1"/>
  <c r="L465" i="2"/>
  <c r="AD465" i="2" s="1"/>
  <c r="H466" i="2"/>
  <c r="Z466" i="2" s="1"/>
  <c r="L466" i="2"/>
  <c r="AD466" i="2" s="1"/>
  <c r="H467" i="2"/>
  <c r="Z467" i="2" s="1"/>
  <c r="L467" i="2"/>
  <c r="AD467" i="2" s="1"/>
  <c r="H468" i="2"/>
  <c r="Z468" i="2" s="1"/>
  <c r="L468" i="2"/>
  <c r="AD468" i="2" s="1"/>
  <c r="X30" i="2" l="1"/>
  <c r="R30" i="2"/>
  <c r="Q30" i="2"/>
  <c r="P30" i="2"/>
  <c r="E30" i="2"/>
  <c r="W30" i="2" s="1"/>
  <c r="D30" i="2"/>
  <c r="J30" i="2" s="1"/>
  <c r="AB30" i="2" s="1"/>
  <c r="R15" i="2"/>
  <c r="Q15" i="2"/>
  <c r="P15" i="2"/>
  <c r="C30" i="2"/>
  <c r="I30" i="2" l="1"/>
  <c r="AA30" i="2" s="1"/>
  <c r="G30" i="2"/>
  <c r="Y30" i="2" s="1"/>
  <c r="L30" i="2"/>
  <c r="AD30" i="2" s="1"/>
  <c r="V30" i="2"/>
  <c r="H30" i="2"/>
  <c r="Z30" i="2" s="1"/>
  <c r="K30" i="2"/>
  <c r="AC30" i="2" s="1"/>
  <c r="R425" i="2" l="1"/>
  <c r="Q425" i="2"/>
  <c r="P425" i="2"/>
  <c r="R411" i="2"/>
  <c r="Q411" i="2"/>
  <c r="P411" i="2"/>
  <c r="R397" i="2"/>
  <c r="Q397" i="2"/>
  <c r="P397" i="2"/>
  <c r="R383" i="2"/>
  <c r="Q383" i="2"/>
  <c r="P383" i="2"/>
  <c r="R369" i="2"/>
  <c r="Q369" i="2"/>
  <c r="P369" i="2"/>
  <c r="R355" i="2"/>
  <c r="Q355" i="2"/>
  <c r="P355" i="2"/>
  <c r="R341" i="2"/>
  <c r="Q341" i="2"/>
  <c r="P341" i="2"/>
  <c r="R327" i="2"/>
  <c r="Q327" i="2"/>
  <c r="P327" i="2"/>
  <c r="R299" i="2"/>
  <c r="Q299" i="2"/>
  <c r="P299" i="2"/>
  <c r="R285" i="2"/>
  <c r="Q285" i="2"/>
  <c r="P285" i="2"/>
  <c r="R271" i="2"/>
  <c r="Q271" i="2"/>
  <c r="P271" i="2"/>
  <c r="R257" i="2"/>
  <c r="Q257" i="2"/>
  <c r="P257" i="2"/>
  <c r="R243" i="2"/>
  <c r="Q243" i="2"/>
  <c r="P243" i="2"/>
  <c r="R229" i="2"/>
  <c r="Q229" i="2"/>
  <c r="P229" i="2"/>
  <c r="R215" i="2"/>
  <c r="Q215" i="2"/>
  <c r="P215" i="2"/>
  <c r="R201" i="2"/>
  <c r="Q201" i="2"/>
  <c r="P201" i="2"/>
  <c r="R187" i="2"/>
  <c r="Q187" i="2"/>
  <c r="P187" i="2"/>
  <c r="R173" i="2"/>
  <c r="Q173" i="2"/>
  <c r="P173" i="2"/>
  <c r="R159" i="2"/>
  <c r="Q159" i="2"/>
  <c r="P159" i="2"/>
  <c r="R145" i="2"/>
  <c r="Q145" i="2"/>
  <c r="P145" i="2"/>
  <c r="R131" i="2"/>
  <c r="Q131" i="2"/>
  <c r="P131" i="2"/>
  <c r="R117" i="2"/>
  <c r="Q117" i="2"/>
  <c r="P117" i="2"/>
  <c r="R103" i="2"/>
  <c r="Q103" i="2"/>
  <c r="P103" i="2"/>
  <c r="R89" i="2"/>
  <c r="Q89" i="2"/>
  <c r="P89" i="2"/>
  <c r="R75" i="2"/>
  <c r="Q75" i="2"/>
  <c r="P75" i="2"/>
  <c r="R61" i="2"/>
  <c r="Q61" i="2"/>
  <c r="P61" i="2"/>
  <c r="R47" i="2"/>
  <c r="Q47" i="2"/>
  <c r="P47" i="2"/>
  <c r="R33" i="2"/>
  <c r="Q33" i="2"/>
  <c r="P33" i="2"/>
  <c r="R18" i="2"/>
  <c r="Q18" i="2"/>
  <c r="P18" i="2"/>
  <c r="E438" i="2"/>
  <c r="W438" i="2" s="1"/>
  <c r="D438" i="2"/>
  <c r="V438" i="2" s="1"/>
  <c r="E437" i="2"/>
  <c r="W437" i="2" s="1"/>
  <c r="D437" i="2"/>
  <c r="V437" i="2" s="1"/>
  <c r="E436" i="2"/>
  <c r="W436" i="2" s="1"/>
  <c r="D436" i="2"/>
  <c r="V436" i="2" s="1"/>
  <c r="E435" i="2"/>
  <c r="W435" i="2" s="1"/>
  <c r="D435" i="2"/>
  <c r="V435" i="2" s="1"/>
  <c r="E434" i="2"/>
  <c r="W434" i="2" s="1"/>
  <c r="D434" i="2"/>
  <c r="V434" i="2" s="1"/>
  <c r="E433" i="2"/>
  <c r="W433" i="2" s="1"/>
  <c r="D433" i="2"/>
  <c r="V433" i="2" s="1"/>
  <c r="E432" i="2"/>
  <c r="W432" i="2" s="1"/>
  <c r="D432" i="2"/>
  <c r="V432" i="2" s="1"/>
  <c r="E431" i="2"/>
  <c r="W431" i="2" s="1"/>
  <c r="D431" i="2"/>
  <c r="V431" i="2" s="1"/>
  <c r="E430" i="2"/>
  <c r="W430" i="2" s="1"/>
  <c r="D430" i="2"/>
  <c r="V430" i="2" s="1"/>
  <c r="E429" i="2"/>
  <c r="W429" i="2" s="1"/>
  <c r="D429" i="2"/>
  <c r="V429" i="2" s="1"/>
  <c r="E428" i="2"/>
  <c r="W428" i="2" s="1"/>
  <c r="D428" i="2"/>
  <c r="V428" i="2" s="1"/>
  <c r="E427" i="2"/>
  <c r="W427" i="2" s="1"/>
  <c r="D427" i="2"/>
  <c r="V427" i="2" s="1"/>
  <c r="E426" i="2"/>
  <c r="W426" i="2" s="1"/>
  <c r="D426" i="2"/>
  <c r="V426" i="2" s="1"/>
  <c r="E411" i="2"/>
  <c r="D411" i="2"/>
  <c r="E410" i="2"/>
  <c r="W410" i="2" s="1"/>
  <c r="D410" i="2"/>
  <c r="V410" i="2" s="1"/>
  <c r="E409" i="2"/>
  <c r="W409" i="2" s="1"/>
  <c r="D409" i="2"/>
  <c r="V409" i="2" s="1"/>
  <c r="E408" i="2"/>
  <c r="W408" i="2" s="1"/>
  <c r="D408" i="2"/>
  <c r="V408" i="2" s="1"/>
  <c r="E407" i="2"/>
  <c r="W407" i="2" s="1"/>
  <c r="D407" i="2"/>
  <c r="V407" i="2" s="1"/>
  <c r="E406" i="2"/>
  <c r="W406" i="2" s="1"/>
  <c r="D406" i="2"/>
  <c r="V406" i="2" s="1"/>
  <c r="E405" i="2"/>
  <c r="W405" i="2" s="1"/>
  <c r="D405" i="2"/>
  <c r="V405" i="2" s="1"/>
  <c r="E404" i="2"/>
  <c r="W404" i="2" s="1"/>
  <c r="D404" i="2"/>
  <c r="V404" i="2" s="1"/>
  <c r="E403" i="2"/>
  <c r="W403" i="2" s="1"/>
  <c r="D403" i="2"/>
  <c r="V403" i="2" s="1"/>
  <c r="E402" i="2"/>
  <c r="W402" i="2" s="1"/>
  <c r="D402" i="2"/>
  <c r="V402" i="2" s="1"/>
  <c r="E401" i="2"/>
  <c r="W401" i="2" s="1"/>
  <c r="D401" i="2"/>
  <c r="V401" i="2" s="1"/>
  <c r="E400" i="2"/>
  <c r="W400" i="2" s="1"/>
  <c r="D400" i="2"/>
  <c r="V400" i="2" s="1"/>
  <c r="E399" i="2"/>
  <c r="W399" i="2" s="1"/>
  <c r="D399" i="2"/>
  <c r="V399" i="2" s="1"/>
  <c r="E398" i="2"/>
  <c r="W398" i="2" s="1"/>
  <c r="D398" i="2"/>
  <c r="V398" i="2" s="1"/>
  <c r="E397" i="2"/>
  <c r="W397" i="2" s="1"/>
  <c r="D397" i="2"/>
  <c r="E396" i="2"/>
  <c r="W396" i="2" s="1"/>
  <c r="D396" i="2"/>
  <c r="V396" i="2" s="1"/>
  <c r="E395" i="2"/>
  <c r="W395" i="2" s="1"/>
  <c r="D395" i="2"/>
  <c r="V395" i="2" s="1"/>
  <c r="E394" i="2"/>
  <c r="W394" i="2" s="1"/>
  <c r="D394" i="2"/>
  <c r="V394" i="2" s="1"/>
  <c r="E393" i="2"/>
  <c r="W393" i="2" s="1"/>
  <c r="D393" i="2"/>
  <c r="V393" i="2" s="1"/>
  <c r="E392" i="2"/>
  <c r="W392" i="2" s="1"/>
  <c r="D392" i="2"/>
  <c r="V392" i="2" s="1"/>
  <c r="E391" i="2"/>
  <c r="W391" i="2" s="1"/>
  <c r="D391" i="2"/>
  <c r="V391" i="2" s="1"/>
  <c r="E390" i="2"/>
  <c r="W390" i="2" s="1"/>
  <c r="D390" i="2"/>
  <c r="V390" i="2" s="1"/>
  <c r="E389" i="2"/>
  <c r="W389" i="2" s="1"/>
  <c r="D389" i="2"/>
  <c r="V389" i="2" s="1"/>
  <c r="E388" i="2"/>
  <c r="W388" i="2" s="1"/>
  <c r="D388" i="2"/>
  <c r="V388" i="2" s="1"/>
  <c r="E387" i="2"/>
  <c r="W387" i="2" s="1"/>
  <c r="D387" i="2"/>
  <c r="V387" i="2" s="1"/>
  <c r="E386" i="2"/>
  <c r="W386" i="2" s="1"/>
  <c r="D386" i="2"/>
  <c r="V386" i="2" s="1"/>
  <c r="E385" i="2"/>
  <c r="W385" i="2" s="1"/>
  <c r="D385" i="2"/>
  <c r="V385" i="2" s="1"/>
  <c r="E384" i="2"/>
  <c r="W384" i="2" s="1"/>
  <c r="D384" i="2"/>
  <c r="V384" i="2" s="1"/>
  <c r="E383" i="2"/>
  <c r="D383" i="2"/>
  <c r="E382" i="2"/>
  <c r="W382" i="2" s="1"/>
  <c r="D382" i="2"/>
  <c r="V382" i="2" s="1"/>
  <c r="E381" i="2"/>
  <c r="W381" i="2" s="1"/>
  <c r="D381" i="2"/>
  <c r="V381" i="2" s="1"/>
  <c r="E380" i="2"/>
  <c r="W380" i="2" s="1"/>
  <c r="D380" i="2"/>
  <c r="V380" i="2" s="1"/>
  <c r="E379" i="2"/>
  <c r="W379" i="2" s="1"/>
  <c r="D379" i="2"/>
  <c r="V379" i="2" s="1"/>
  <c r="E363" i="2"/>
  <c r="W363" i="2" s="1"/>
  <c r="D363" i="2"/>
  <c r="V363" i="2" s="1"/>
  <c r="E362" i="2"/>
  <c r="W362" i="2" s="1"/>
  <c r="D362" i="2"/>
  <c r="V362" i="2" s="1"/>
  <c r="E361" i="2"/>
  <c r="W361" i="2" s="1"/>
  <c r="D361" i="2"/>
  <c r="V361" i="2" s="1"/>
  <c r="E360" i="2"/>
  <c r="W360" i="2" s="1"/>
  <c r="D360" i="2"/>
  <c r="V360" i="2" s="1"/>
  <c r="E359" i="2"/>
  <c r="W359" i="2" s="1"/>
  <c r="D359" i="2"/>
  <c r="V359" i="2" s="1"/>
  <c r="E358" i="2"/>
  <c r="W358" i="2" s="1"/>
  <c r="D358" i="2"/>
  <c r="V358" i="2" s="1"/>
  <c r="E357" i="2"/>
  <c r="W357" i="2" s="1"/>
  <c r="D357" i="2"/>
  <c r="V357" i="2" s="1"/>
  <c r="E356" i="2"/>
  <c r="W356" i="2" s="1"/>
  <c r="D356" i="2"/>
  <c r="V356" i="2" s="1"/>
  <c r="E355" i="2"/>
  <c r="D355" i="2"/>
  <c r="E354" i="2"/>
  <c r="W354" i="2" s="1"/>
  <c r="D354" i="2"/>
  <c r="V354" i="2" s="1"/>
  <c r="E353" i="2"/>
  <c r="W353" i="2" s="1"/>
  <c r="D353" i="2"/>
  <c r="V353" i="2" s="1"/>
  <c r="E352" i="2"/>
  <c r="W352" i="2" s="1"/>
  <c r="D352" i="2"/>
  <c r="V352" i="2" s="1"/>
  <c r="E351" i="2"/>
  <c r="W351" i="2" s="1"/>
  <c r="D351" i="2"/>
  <c r="V351" i="2" s="1"/>
  <c r="E350" i="2"/>
  <c r="W350" i="2" s="1"/>
  <c r="D350" i="2"/>
  <c r="V350" i="2" s="1"/>
  <c r="E349" i="2"/>
  <c r="W349" i="2" s="1"/>
  <c r="D349" i="2"/>
  <c r="V349" i="2" s="1"/>
  <c r="E348" i="2"/>
  <c r="W348" i="2" s="1"/>
  <c r="D348" i="2"/>
  <c r="V348" i="2" s="1"/>
  <c r="E347" i="2"/>
  <c r="W347" i="2" s="1"/>
  <c r="D347" i="2"/>
  <c r="V347" i="2" s="1"/>
  <c r="E346" i="2"/>
  <c r="W346" i="2" s="1"/>
  <c r="D346" i="2"/>
  <c r="V346" i="2" s="1"/>
  <c r="E345" i="2"/>
  <c r="W345" i="2" s="1"/>
  <c r="D345" i="2"/>
  <c r="V345" i="2" s="1"/>
  <c r="E344" i="2"/>
  <c r="W344" i="2" s="1"/>
  <c r="D344" i="2"/>
  <c r="V344" i="2" s="1"/>
  <c r="E343" i="2"/>
  <c r="W343" i="2" s="1"/>
  <c r="D343" i="2"/>
  <c r="V343" i="2" s="1"/>
  <c r="E342" i="2"/>
  <c r="W342" i="2" s="1"/>
  <c r="D342" i="2"/>
  <c r="V342" i="2" s="1"/>
  <c r="E341" i="2"/>
  <c r="W341" i="2" s="1"/>
  <c r="D341" i="2"/>
  <c r="E340" i="2"/>
  <c r="W340" i="2" s="1"/>
  <c r="D340" i="2"/>
  <c r="V340" i="2" s="1"/>
  <c r="E339" i="2"/>
  <c r="W339" i="2" s="1"/>
  <c r="D339" i="2"/>
  <c r="V339" i="2" s="1"/>
  <c r="E338" i="2"/>
  <c r="W338" i="2" s="1"/>
  <c r="D338" i="2"/>
  <c r="V338" i="2" s="1"/>
  <c r="E337" i="2"/>
  <c r="W337" i="2" s="1"/>
  <c r="D337" i="2"/>
  <c r="V337" i="2" s="1"/>
  <c r="E336" i="2"/>
  <c r="W336" i="2" s="1"/>
  <c r="D336" i="2"/>
  <c r="V336" i="2" s="1"/>
  <c r="E335" i="2"/>
  <c r="W335" i="2" s="1"/>
  <c r="D335" i="2"/>
  <c r="V335" i="2" s="1"/>
  <c r="E334" i="2"/>
  <c r="W334" i="2" s="1"/>
  <c r="D334" i="2"/>
  <c r="V334" i="2" s="1"/>
  <c r="E333" i="2"/>
  <c r="W333" i="2" s="1"/>
  <c r="D333" i="2"/>
  <c r="V333" i="2" s="1"/>
  <c r="E332" i="2"/>
  <c r="W332" i="2" s="1"/>
  <c r="D332" i="2"/>
  <c r="V332" i="2" s="1"/>
  <c r="E331" i="2"/>
  <c r="W331" i="2" s="1"/>
  <c r="D331" i="2"/>
  <c r="V331" i="2" s="1"/>
  <c r="E330" i="2"/>
  <c r="W330" i="2" s="1"/>
  <c r="D330" i="2"/>
  <c r="V330" i="2" s="1"/>
  <c r="E329" i="2"/>
  <c r="W329" i="2" s="1"/>
  <c r="D329" i="2"/>
  <c r="V329" i="2" s="1"/>
  <c r="E328" i="2"/>
  <c r="W328" i="2" s="1"/>
  <c r="D328" i="2"/>
  <c r="V328" i="2" s="1"/>
  <c r="E327" i="2"/>
  <c r="D327" i="2"/>
  <c r="E326" i="2"/>
  <c r="W326" i="2" s="1"/>
  <c r="D326" i="2"/>
  <c r="V326" i="2" s="1"/>
  <c r="E325" i="2"/>
  <c r="W325" i="2" s="1"/>
  <c r="D325" i="2"/>
  <c r="V325" i="2" s="1"/>
  <c r="E324" i="2"/>
  <c r="W324" i="2" s="1"/>
  <c r="D324" i="2"/>
  <c r="V324" i="2" s="1"/>
  <c r="E323" i="2"/>
  <c r="W323" i="2" s="1"/>
  <c r="D323" i="2"/>
  <c r="V323" i="2" s="1"/>
  <c r="E322" i="2"/>
  <c r="W322" i="2" s="1"/>
  <c r="D322" i="2"/>
  <c r="V322" i="2" s="1"/>
  <c r="E321" i="2"/>
  <c r="W321" i="2" s="1"/>
  <c r="D321" i="2"/>
  <c r="V321" i="2" s="1"/>
  <c r="E320" i="2"/>
  <c r="W320" i="2" s="1"/>
  <c r="D320" i="2"/>
  <c r="V320" i="2" s="1"/>
  <c r="E319" i="2"/>
  <c r="W319" i="2" s="1"/>
  <c r="D319" i="2"/>
  <c r="V319" i="2" s="1"/>
  <c r="E303" i="2"/>
  <c r="W303" i="2" s="1"/>
  <c r="D303" i="2"/>
  <c r="V303" i="2" s="1"/>
  <c r="E302" i="2"/>
  <c r="W302" i="2" s="1"/>
  <c r="D302" i="2"/>
  <c r="V302" i="2" s="1"/>
  <c r="E301" i="2"/>
  <c r="W301" i="2" s="1"/>
  <c r="D301" i="2"/>
  <c r="V301" i="2" s="1"/>
  <c r="E300" i="2"/>
  <c r="W300" i="2" s="1"/>
  <c r="D300" i="2"/>
  <c r="V300" i="2" s="1"/>
  <c r="E299" i="2"/>
  <c r="D299" i="2"/>
  <c r="E298" i="2"/>
  <c r="W298" i="2" s="1"/>
  <c r="D298" i="2"/>
  <c r="V298" i="2" s="1"/>
  <c r="E297" i="2"/>
  <c r="W297" i="2" s="1"/>
  <c r="D297" i="2"/>
  <c r="V297" i="2" s="1"/>
  <c r="E296" i="2"/>
  <c r="W296" i="2" s="1"/>
  <c r="D296" i="2"/>
  <c r="V296" i="2" s="1"/>
  <c r="E295" i="2"/>
  <c r="W295" i="2" s="1"/>
  <c r="D295" i="2"/>
  <c r="V295" i="2" s="1"/>
  <c r="E294" i="2"/>
  <c r="W294" i="2" s="1"/>
  <c r="D294" i="2"/>
  <c r="V294" i="2" s="1"/>
  <c r="E293" i="2"/>
  <c r="W293" i="2" s="1"/>
  <c r="D293" i="2"/>
  <c r="V293" i="2" s="1"/>
  <c r="E292" i="2"/>
  <c r="W292" i="2" s="1"/>
  <c r="D292" i="2"/>
  <c r="V292" i="2" s="1"/>
  <c r="E291" i="2"/>
  <c r="W291" i="2" s="1"/>
  <c r="D291" i="2"/>
  <c r="V291" i="2" s="1"/>
  <c r="E290" i="2"/>
  <c r="W290" i="2" s="1"/>
  <c r="D290" i="2"/>
  <c r="V290" i="2" s="1"/>
  <c r="E289" i="2"/>
  <c r="W289" i="2" s="1"/>
  <c r="D289" i="2"/>
  <c r="V289" i="2" s="1"/>
  <c r="E258" i="2"/>
  <c r="W258" i="2" s="1"/>
  <c r="D258" i="2"/>
  <c r="V258" i="2" s="1"/>
  <c r="E257" i="2"/>
  <c r="W257" i="2" s="1"/>
  <c r="D257" i="2"/>
  <c r="E256" i="2"/>
  <c r="W256" i="2" s="1"/>
  <c r="D256" i="2"/>
  <c r="V256" i="2" s="1"/>
  <c r="E255" i="2"/>
  <c r="W255" i="2" s="1"/>
  <c r="D255" i="2"/>
  <c r="V255" i="2" s="1"/>
  <c r="E254" i="2"/>
  <c r="W254" i="2" s="1"/>
  <c r="D254" i="2"/>
  <c r="V254" i="2" s="1"/>
  <c r="E253" i="2"/>
  <c r="W253" i="2" s="1"/>
  <c r="D253" i="2"/>
  <c r="V253" i="2" s="1"/>
  <c r="E252" i="2"/>
  <c r="W252" i="2" s="1"/>
  <c r="D252" i="2"/>
  <c r="V252" i="2" s="1"/>
  <c r="E251" i="2"/>
  <c r="W251" i="2" s="1"/>
  <c r="D251" i="2"/>
  <c r="V251" i="2" s="1"/>
  <c r="E250" i="2"/>
  <c r="W250" i="2" s="1"/>
  <c r="D250" i="2"/>
  <c r="V250" i="2" s="1"/>
  <c r="E249" i="2"/>
  <c r="W249" i="2" s="1"/>
  <c r="D249" i="2"/>
  <c r="V249" i="2" s="1"/>
  <c r="E248" i="2"/>
  <c r="W248" i="2" s="1"/>
  <c r="D248" i="2"/>
  <c r="V248" i="2" s="1"/>
  <c r="E247" i="2"/>
  <c r="W247" i="2" s="1"/>
  <c r="D247" i="2"/>
  <c r="V247" i="2" s="1"/>
  <c r="E246" i="2"/>
  <c r="W246" i="2" s="1"/>
  <c r="D246" i="2"/>
  <c r="V246" i="2" s="1"/>
  <c r="E245" i="2"/>
  <c r="W245" i="2" s="1"/>
  <c r="D245" i="2"/>
  <c r="V245" i="2" s="1"/>
  <c r="E244" i="2"/>
  <c r="W244" i="2" s="1"/>
  <c r="D244" i="2"/>
  <c r="V244" i="2" s="1"/>
  <c r="E228" i="2"/>
  <c r="W228" i="2" s="1"/>
  <c r="D228" i="2"/>
  <c r="V228" i="2" s="1"/>
  <c r="E227" i="2"/>
  <c r="W227" i="2" s="1"/>
  <c r="D227" i="2"/>
  <c r="V227" i="2" s="1"/>
  <c r="E226" i="2"/>
  <c r="W226" i="2" s="1"/>
  <c r="D226" i="2"/>
  <c r="V226" i="2" s="1"/>
  <c r="E225" i="2"/>
  <c r="W225" i="2" s="1"/>
  <c r="D225" i="2"/>
  <c r="V225" i="2" s="1"/>
  <c r="E224" i="2"/>
  <c r="W224" i="2" s="1"/>
  <c r="D224" i="2"/>
  <c r="V224" i="2" s="1"/>
  <c r="E223" i="2"/>
  <c r="W223" i="2" s="1"/>
  <c r="D223" i="2"/>
  <c r="V223" i="2" s="1"/>
  <c r="E222" i="2"/>
  <c r="W222" i="2" s="1"/>
  <c r="D222" i="2"/>
  <c r="V222" i="2" s="1"/>
  <c r="E221" i="2"/>
  <c r="W221" i="2" s="1"/>
  <c r="D221" i="2"/>
  <c r="V221" i="2" s="1"/>
  <c r="E220" i="2"/>
  <c r="W220" i="2" s="1"/>
  <c r="D220" i="2"/>
  <c r="V220" i="2" s="1"/>
  <c r="E219" i="2"/>
  <c r="W219" i="2" s="1"/>
  <c r="D219" i="2"/>
  <c r="V219" i="2" s="1"/>
  <c r="E218" i="2"/>
  <c r="W218" i="2" s="1"/>
  <c r="D218" i="2"/>
  <c r="V218" i="2" s="1"/>
  <c r="E217" i="2"/>
  <c r="W217" i="2" s="1"/>
  <c r="D217" i="2"/>
  <c r="V217" i="2" s="1"/>
  <c r="E216" i="2"/>
  <c r="W216" i="2" s="1"/>
  <c r="D216" i="2"/>
  <c r="V216" i="2" s="1"/>
  <c r="E215" i="2"/>
  <c r="D215" i="2"/>
  <c r="E214" i="2"/>
  <c r="W214" i="2" s="1"/>
  <c r="D214" i="2"/>
  <c r="V214" i="2" s="1"/>
  <c r="E168" i="2"/>
  <c r="W168" i="2" s="1"/>
  <c r="D168" i="2"/>
  <c r="V168" i="2" s="1"/>
  <c r="E167" i="2"/>
  <c r="W167" i="2" s="1"/>
  <c r="D167" i="2"/>
  <c r="V167" i="2" s="1"/>
  <c r="E166" i="2"/>
  <c r="W166" i="2" s="1"/>
  <c r="D166" i="2"/>
  <c r="V166" i="2" s="1"/>
  <c r="E165" i="2"/>
  <c r="W165" i="2" s="1"/>
  <c r="D165" i="2"/>
  <c r="V165" i="2" s="1"/>
  <c r="E164" i="2"/>
  <c r="W164" i="2" s="1"/>
  <c r="D164" i="2"/>
  <c r="V164" i="2" s="1"/>
  <c r="E163" i="2"/>
  <c r="W163" i="2" s="1"/>
  <c r="D163" i="2"/>
  <c r="V163" i="2" s="1"/>
  <c r="E162" i="2"/>
  <c r="W162" i="2" s="1"/>
  <c r="D162" i="2"/>
  <c r="V162" i="2" s="1"/>
  <c r="E161" i="2"/>
  <c r="W161" i="2" s="1"/>
  <c r="D161" i="2"/>
  <c r="V161" i="2" s="1"/>
  <c r="E160" i="2"/>
  <c r="W160" i="2" s="1"/>
  <c r="D160" i="2"/>
  <c r="V160" i="2" s="1"/>
  <c r="E159" i="2"/>
  <c r="D159" i="2"/>
  <c r="E158" i="2"/>
  <c r="W158" i="2" s="1"/>
  <c r="D158" i="2"/>
  <c r="V158" i="2" s="1"/>
  <c r="E157" i="2"/>
  <c r="W157" i="2" s="1"/>
  <c r="D157" i="2"/>
  <c r="V157" i="2" s="1"/>
  <c r="E156" i="2"/>
  <c r="W156" i="2" s="1"/>
  <c r="D156" i="2"/>
  <c r="V156" i="2" s="1"/>
  <c r="E155" i="2"/>
  <c r="W155" i="2" s="1"/>
  <c r="D155" i="2"/>
  <c r="V155" i="2" s="1"/>
  <c r="E154" i="2"/>
  <c r="W154" i="2" s="1"/>
  <c r="D154" i="2"/>
  <c r="V154" i="2" s="1"/>
  <c r="E153" i="2"/>
  <c r="W153" i="2" s="1"/>
  <c r="D153" i="2"/>
  <c r="V153" i="2" s="1"/>
  <c r="E152" i="2"/>
  <c r="W152" i="2" s="1"/>
  <c r="D152" i="2"/>
  <c r="V152" i="2" s="1"/>
  <c r="E151" i="2"/>
  <c r="W151" i="2" s="1"/>
  <c r="D151" i="2"/>
  <c r="V151" i="2" s="1"/>
  <c r="E150" i="2"/>
  <c r="W150" i="2" s="1"/>
  <c r="D150" i="2"/>
  <c r="V150" i="2" s="1"/>
  <c r="E149" i="2"/>
  <c r="W149" i="2" s="1"/>
  <c r="D149" i="2"/>
  <c r="V149" i="2" s="1"/>
  <c r="E148" i="2"/>
  <c r="W148" i="2" s="1"/>
  <c r="D148" i="2"/>
  <c r="V148" i="2" s="1"/>
  <c r="E147" i="2"/>
  <c r="W147" i="2" s="1"/>
  <c r="D147" i="2"/>
  <c r="V147" i="2" s="1"/>
  <c r="E146" i="2"/>
  <c r="W146" i="2" s="1"/>
  <c r="D146" i="2"/>
  <c r="V146" i="2" s="1"/>
  <c r="E145" i="2"/>
  <c r="W145" i="2" s="1"/>
  <c r="D145" i="2"/>
  <c r="E144" i="2"/>
  <c r="W144" i="2" s="1"/>
  <c r="D144" i="2"/>
  <c r="V144" i="2" s="1"/>
  <c r="E143" i="2"/>
  <c r="W143" i="2" s="1"/>
  <c r="D143" i="2"/>
  <c r="V143" i="2" s="1"/>
  <c r="E142" i="2"/>
  <c r="W142" i="2" s="1"/>
  <c r="D142" i="2"/>
  <c r="V142" i="2" s="1"/>
  <c r="E141" i="2"/>
  <c r="W141" i="2" s="1"/>
  <c r="D141" i="2"/>
  <c r="V141" i="2" s="1"/>
  <c r="E140" i="2"/>
  <c r="W140" i="2" s="1"/>
  <c r="D140" i="2"/>
  <c r="V140" i="2" s="1"/>
  <c r="E139" i="2"/>
  <c r="W139" i="2" s="1"/>
  <c r="D139" i="2"/>
  <c r="V139" i="2" s="1"/>
  <c r="E138" i="2"/>
  <c r="W138" i="2" s="1"/>
  <c r="D138" i="2"/>
  <c r="V138" i="2" s="1"/>
  <c r="E137" i="2"/>
  <c r="W137" i="2" s="1"/>
  <c r="D137" i="2"/>
  <c r="V137" i="2" s="1"/>
  <c r="E136" i="2"/>
  <c r="W136" i="2" s="1"/>
  <c r="D136" i="2"/>
  <c r="V136" i="2" s="1"/>
  <c r="E135" i="2"/>
  <c r="W135" i="2" s="1"/>
  <c r="D135" i="2"/>
  <c r="V135" i="2" s="1"/>
  <c r="E134" i="2"/>
  <c r="W134" i="2" s="1"/>
  <c r="D134" i="2"/>
  <c r="V134" i="2" s="1"/>
  <c r="E133" i="2"/>
  <c r="W133" i="2" s="1"/>
  <c r="D133" i="2"/>
  <c r="V133" i="2" s="1"/>
  <c r="E132" i="2"/>
  <c r="W132" i="2" s="1"/>
  <c r="D132" i="2"/>
  <c r="V132" i="2" s="1"/>
  <c r="E131" i="2"/>
  <c r="D131" i="2"/>
  <c r="E130" i="2"/>
  <c r="W130" i="2" s="1"/>
  <c r="D130" i="2"/>
  <c r="V130" i="2" s="1"/>
  <c r="E129" i="2"/>
  <c r="W129" i="2" s="1"/>
  <c r="D129" i="2"/>
  <c r="V129" i="2" s="1"/>
  <c r="E128" i="2"/>
  <c r="W128" i="2" s="1"/>
  <c r="D128" i="2"/>
  <c r="V128" i="2" s="1"/>
  <c r="E127" i="2"/>
  <c r="W127" i="2" s="1"/>
  <c r="D127" i="2"/>
  <c r="V127" i="2" s="1"/>
  <c r="E126" i="2"/>
  <c r="W126" i="2" s="1"/>
  <c r="D126" i="2"/>
  <c r="V126" i="2" s="1"/>
  <c r="E125" i="2"/>
  <c r="W125" i="2" s="1"/>
  <c r="D125" i="2"/>
  <c r="V125" i="2" s="1"/>
  <c r="E124" i="2"/>
  <c r="W124" i="2" s="1"/>
  <c r="D124" i="2"/>
  <c r="V124" i="2" s="1"/>
  <c r="W123" i="2"/>
  <c r="D123" i="2"/>
  <c r="V123" i="2" s="1"/>
  <c r="W122" i="2"/>
  <c r="D122" i="2"/>
  <c r="V122" i="2" s="1"/>
  <c r="W121" i="2"/>
  <c r="D121" i="2"/>
  <c r="V121" i="2" s="1"/>
  <c r="W108" i="2"/>
  <c r="D108" i="2"/>
  <c r="V108" i="2" s="1"/>
  <c r="W107" i="2"/>
  <c r="D107" i="2"/>
  <c r="V107" i="2" s="1"/>
  <c r="W106" i="2"/>
  <c r="D106" i="2"/>
  <c r="V106" i="2" s="1"/>
  <c r="W105" i="2"/>
  <c r="D105" i="2"/>
  <c r="V105" i="2" s="1"/>
  <c r="W104" i="2"/>
  <c r="D104" i="2"/>
  <c r="V104" i="2" s="1"/>
  <c r="W103" i="2"/>
  <c r="D103" i="2"/>
  <c r="V103" i="2" s="1"/>
  <c r="W102" i="2"/>
  <c r="D102" i="2"/>
  <c r="V102" i="2" s="1"/>
  <c r="W101" i="2"/>
  <c r="D101" i="2"/>
  <c r="V101" i="2" s="1"/>
  <c r="W100" i="2"/>
  <c r="D100" i="2"/>
  <c r="V100" i="2" s="1"/>
  <c r="W99" i="2"/>
  <c r="D99" i="2"/>
  <c r="V99" i="2" s="1"/>
  <c r="W98" i="2"/>
  <c r="D98" i="2"/>
  <c r="V98" i="2" s="1"/>
  <c r="W97" i="2"/>
  <c r="D97" i="2"/>
  <c r="V97" i="2" s="1"/>
  <c r="W96" i="2"/>
  <c r="D96" i="2"/>
  <c r="V96" i="2" s="1"/>
  <c r="W95" i="2"/>
  <c r="D95" i="2"/>
  <c r="V95" i="2" s="1"/>
  <c r="W94" i="2"/>
  <c r="D94" i="2"/>
  <c r="V94" i="2" s="1"/>
  <c r="E63" i="2"/>
  <c r="W63" i="2" s="1"/>
  <c r="D63" i="2"/>
  <c r="V63" i="2" s="1"/>
  <c r="E62" i="2"/>
  <c r="W62" i="2" s="1"/>
  <c r="D62" i="2"/>
  <c r="V62" i="2" s="1"/>
  <c r="E33" i="2"/>
  <c r="W33" i="2" s="1"/>
  <c r="D33" i="2"/>
  <c r="E32" i="2"/>
  <c r="D32" i="2"/>
  <c r="E31" i="2"/>
  <c r="D31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C33" i="2"/>
  <c r="L215" i="2" l="1"/>
  <c r="AD215" i="2" s="1"/>
  <c r="V215" i="2"/>
  <c r="I215" i="2"/>
  <c r="AA215" i="2" s="1"/>
  <c r="W215" i="2"/>
  <c r="J257" i="2"/>
  <c r="AB257" i="2" s="1"/>
  <c r="V257" i="2"/>
  <c r="L299" i="2"/>
  <c r="AD299" i="2" s="1"/>
  <c r="V299" i="2"/>
  <c r="I299" i="2"/>
  <c r="AA299" i="2" s="1"/>
  <c r="W299" i="2"/>
  <c r="L327" i="2"/>
  <c r="AD327" i="2" s="1"/>
  <c r="V327" i="2"/>
  <c r="I327" i="2"/>
  <c r="AA327" i="2" s="1"/>
  <c r="W327" i="2"/>
  <c r="J341" i="2"/>
  <c r="AB341" i="2" s="1"/>
  <c r="V341" i="2"/>
  <c r="L355" i="2"/>
  <c r="AD355" i="2" s="1"/>
  <c r="V355" i="2"/>
  <c r="I355" i="2"/>
  <c r="AA355" i="2" s="1"/>
  <c r="W355" i="2"/>
  <c r="L383" i="2"/>
  <c r="AD383" i="2" s="1"/>
  <c r="V383" i="2"/>
  <c r="I383" i="2"/>
  <c r="AA383" i="2" s="1"/>
  <c r="W383" i="2"/>
  <c r="J397" i="2"/>
  <c r="AB397" i="2" s="1"/>
  <c r="V397" i="2"/>
  <c r="L411" i="2"/>
  <c r="AD411" i="2" s="1"/>
  <c r="V411" i="2"/>
  <c r="I411" i="2"/>
  <c r="AA411" i="2" s="1"/>
  <c r="W411" i="2"/>
  <c r="I159" i="2"/>
  <c r="AA159" i="2" s="1"/>
  <c r="W159" i="2"/>
  <c r="L159" i="2"/>
  <c r="AD159" i="2" s="1"/>
  <c r="V159" i="2"/>
  <c r="L131" i="2"/>
  <c r="AD131" i="2" s="1"/>
  <c r="V131" i="2"/>
  <c r="I131" i="2"/>
  <c r="AA131" i="2" s="1"/>
  <c r="W131" i="2"/>
  <c r="K145" i="2"/>
  <c r="AC145" i="2" s="1"/>
  <c r="V145" i="2"/>
  <c r="K33" i="2"/>
  <c r="AC33" i="2" s="1"/>
  <c r="V33" i="2"/>
  <c r="I103" i="2"/>
  <c r="AA103" i="2" s="1"/>
  <c r="L103" i="2"/>
  <c r="AD103" i="2" s="1"/>
  <c r="G33" i="2"/>
  <c r="Y33" i="2" s="1"/>
  <c r="G145" i="2"/>
  <c r="Y145" i="2" s="1"/>
  <c r="G341" i="2"/>
  <c r="Y341" i="2" s="1"/>
  <c r="G397" i="2"/>
  <c r="Y397" i="2" s="1"/>
  <c r="H33" i="2"/>
  <c r="Z33" i="2" s="1"/>
  <c r="J103" i="2"/>
  <c r="AB103" i="2" s="1"/>
  <c r="H145" i="2"/>
  <c r="Z145" i="2" s="1"/>
  <c r="J159" i="2"/>
  <c r="AB159" i="2" s="1"/>
  <c r="J215" i="2"/>
  <c r="AB215" i="2" s="1"/>
  <c r="K327" i="2"/>
  <c r="AC327" i="2" s="1"/>
  <c r="J355" i="2"/>
  <c r="AB355" i="2" s="1"/>
  <c r="H397" i="2"/>
  <c r="Z397" i="2" s="1"/>
  <c r="G411" i="2"/>
  <c r="Y411" i="2" s="1"/>
  <c r="I33" i="2"/>
  <c r="AA33" i="2" s="1"/>
  <c r="K103" i="2"/>
  <c r="AC103" i="2" s="1"/>
  <c r="G131" i="2"/>
  <c r="Y131" i="2" s="1"/>
  <c r="I145" i="2"/>
  <c r="AA145" i="2" s="1"/>
  <c r="K159" i="2"/>
  <c r="AC159" i="2" s="1"/>
  <c r="K215" i="2"/>
  <c r="AC215" i="2" s="1"/>
  <c r="H341" i="2"/>
  <c r="Z341" i="2" s="1"/>
  <c r="K355" i="2"/>
  <c r="AC355" i="2" s="1"/>
  <c r="G383" i="2"/>
  <c r="Y383" i="2" s="1"/>
  <c r="I397" i="2"/>
  <c r="AA397" i="2" s="1"/>
  <c r="J411" i="2"/>
  <c r="AB411" i="2" s="1"/>
  <c r="L33" i="2"/>
  <c r="AD33" i="2" s="1"/>
  <c r="J131" i="2"/>
  <c r="AB131" i="2" s="1"/>
  <c r="L145" i="2"/>
  <c r="AD145" i="2" s="1"/>
  <c r="K341" i="2"/>
  <c r="AC341" i="2" s="1"/>
  <c r="J383" i="2"/>
  <c r="AB383" i="2" s="1"/>
  <c r="K397" i="2"/>
  <c r="AC397" i="2" s="1"/>
  <c r="K411" i="2"/>
  <c r="AC411" i="2" s="1"/>
  <c r="G103" i="2"/>
  <c r="Y103" i="2" s="1"/>
  <c r="K131" i="2"/>
  <c r="AC131" i="2" s="1"/>
  <c r="G159" i="2"/>
  <c r="Y159" i="2" s="1"/>
  <c r="G215" i="2"/>
  <c r="Y215" i="2" s="1"/>
  <c r="J327" i="2"/>
  <c r="AB327" i="2" s="1"/>
  <c r="L341" i="2"/>
  <c r="AD341" i="2" s="1"/>
  <c r="K383" i="2"/>
  <c r="AC383" i="2" s="1"/>
  <c r="L397" i="2"/>
  <c r="AD397" i="2" s="1"/>
  <c r="G355" i="2"/>
  <c r="Y355" i="2" s="1"/>
  <c r="G327" i="2"/>
  <c r="Y327" i="2" s="1"/>
  <c r="I341" i="2"/>
  <c r="AA341" i="2" s="1"/>
  <c r="J299" i="2"/>
  <c r="AB299" i="2" s="1"/>
  <c r="K299" i="2"/>
  <c r="AC299" i="2" s="1"/>
  <c r="G299" i="2"/>
  <c r="Y299" i="2" s="1"/>
  <c r="I257" i="2"/>
  <c r="AA257" i="2" s="1"/>
  <c r="L257" i="2"/>
  <c r="AD257" i="2" s="1"/>
  <c r="G257" i="2"/>
  <c r="Y257" i="2" s="1"/>
  <c r="H257" i="2"/>
  <c r="Z257" i="2" s="1"/>
  <c r="K257" i="2"/>
  <c r="AC257" i="2" s="1"/>
  <c r="J33" i="2"/>
  <c r="AB33" i="2" s="1"/>
  <c r="H103" i="2"/>
  <c r="Z103" i="2" s="1"/>
  <c r="H131" i="2"/>
  <c r="Z131" i="2" s="1"/>
  <c r="J145" i="2"/>
  <c r="AB145" i="2" s="1"/>
  <c r="H159" i="2"/>
  <c r="Z159" i="2" s="1"/>
  <c r="H215" i="2"/>
  <c r="Z215" i="2" s="1"/>
  <c r="H299" i="2"/>
  <c r="Z299" i="2" s="1"/>
  <c r="H327" i="2"/>
  <c r="Z327" i="2" s="1"/>
  <c r="H355" i="2"/>
  <c r="Z355" i="2" s="1"/>
  <c r="H383" i="2"/>
  <c r="Z383" i="2" s="1"/>
  <c r="H411" i="2"/>
  <c r="Z411" i="2" s="1"/>
  <c r="B33" i="16" l="1"/>
  <c r="U469" i="2" l="1"/>
  <c r="T469" i="2"/>
  <c r="S469" i="2"/>
  <c r="O469" i="2"/>
  <c r="N469" i="2"/>
  <c r="M469" i="2"/>
  <c r="Q11" i="2" l="1"/>
  <c r="C32" i="2"/>
  <c r="C31" i="2"/>
  <c r="C29" i="2"/>
  <c r="C28" i="2"/>
  <c r="C26" i="2"/>
  <c r="C25" i="2"/>
  <c r="C24" i="2"/>
  <c r="C23" i="2"/>
  <c r="C22" i="2"/>
  <c r="C21" i="2"/>
  <c r="C20" i="2"/>
  <c r="C19" i="2"/>
  <c r="X32" i="2"/>
  <c r="X31" i="2"/>
  <c r="X29" i="2"/>
  <c r="X28" i="2"/>
  <c r="X27" i="2"/>
  <c r="X26" i="2"/>
  <c r="X25" i="2"/>
  <c r="X24" i="2"/>
  <c r="X23" i="2"/>
  <c r="X22" i="2"/>
  <c r="X21" i="2"/>
  <c r="X20" i="2"/>
  <c r="X19" i="2"/>
  <c r="Q5" i="2"/>
  <c r="R5" i="2"/>
  <c r="Q6" i="2"/>
  <c r="R6" i="2"/>
  <c r="R7" i="2"/>
  <c r="Q8" i="2"/>
  <c r="R8" i="2"/>
  <c r="Q9" i="2"/>
  <c r="R9" i="2"/>
  <c r="Q10" i="2"/>
  <c r="R10" i="2"/>
  <c r="R11" i="2"/>
  <c r="Q12" i="2"/>
  <c r="R12" i="2"/>
  <c r="Q13" i="2"/>
  <c r="R13" i="2"/>
  <c r="Q14" i="2"/>
  <c r="R14" i="2"/>
  <c r="Q16" i="2"/>
  <c r="R16" i="2"/>
  <c r="Q17" i="2"/>
  <c r="R17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1" i="2"/>
  <c r="R31" i="2"/>
  <c r="Q32" i="2"/>
  <c r="R32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70" i="2"/>
  <c r="R170" i="2"/>
  <c r="Q171" i="2"/>
  <c r="R171" i="2"/>
  <c r="Q172" i="2"/>
  <c r="R172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8" i="2"/>
  <c r="R258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300" i="2"/>
  <c r="R300" i="2"/>
  <c r="Q301" i="2"/>
  <c r="R301" i="2"/>
  <c r="Q302" i="2"/>
  <c r="R302" i="2"/>
  <c r="Q303" i="2"/>
  <c r="R303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424" i="2"/>
  <c r="R424" i="2"/>
  <c r="Q426" i="2"/>
  <c r="R426" i="2"/>
  <c r="Q427" i="2"/>
  <c r="R427" i="2"/>
  <c r="Q428" i="2"/>
  <c r="R428" i="2"/>
  <c r="Q429" i="2"/>
  <c r="R429" i="2"/>
  <c r="Q430" i="2"/>
  <c r="R430" i="2"/>
  <c r="Q431" i="2"/>
  <c r="R431" i="2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R4" i="2"/>
  <c r="Q4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6" i="2"/>
  <c r="P325" i="2"/>
  <c r="P324" i="2"/>
  <c r="P323" i="2"/>
  <c r="P322" i="2"/>
  <c r="P321" i="2"/>
  <c r="P320" i="2"/>
  <c r="P319" i="2"/>
  <c r="P303" i="2"/>
  <c r="P302" i="2"/>
  <c r="P301" i="2"/>
  <c r="P300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0" i="2"/>
  <c r="P269" i="2"/>
  <c r="P268" i="2"/>
  <c r="P267" i="2"/>
  <c r="P266" i="2"/>
  <c r="P265" i="2"/>
  <c r="P264" i="2"/>
  <c r="P263" i="2"/>
  <c r="P262" i="2"/>
  <c r="P261" i="2"/>
  <c r="P260" i="2"/>
  <c r="P258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2" i="2"/>
  <c r="P171" i="2"/>
  <c r="P170" i="2"/>
  <c r="P168" i="2"/>
  <c r="P167" i="2"/>
  <c r="P166" i="2"/>
  <c r="P165" i="2"/>
  <c r="P164" i="2"/>
  <c r="P163" i="2"/>
  <c r="P162" i="2"/>
  <c r="P161" i="2"/>
  <c r="P160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2" i="2"/>
  <c r="P31" i="2"/>
  <c r="P29" i="2"/>
  <c r="P28" i="2"/>
  <c r="P27" i="2"/>
  <c r="P26" i="2"/>
  <c r="P25" i="2"/>
  <c r="P24" i="2"/>
  <c r="P23" i="2"/>
  <c r="P22" i="2"/>
  <c r="P21" i="2"/>
  <c r="P20" i="2"/>
  <c r="P19" i="2"/>
  <c r="P17" i="2"/>
  <c r="P16" i="2"/>
  <c r="P14" i="2"/>
  <c r="P13" i="2"/>
  <c r="P12" i="2"/>
  <c r="P10" i="2"/>
  <c r="P9" i="2"/>
  <c r="P8" i="2"/>
  <c r="P6" i="2"/>
  <c r="P5" i="2"/>
  <c r="H431" i="2"/>
  <c r="I429" i="2"/>
  <c r="H429" i="2"/>
  <c r="H405" i="2"/>
  <c r="I396" i="2"/>
  <c r="H396" i="2"/>
  <c r="H394" i="2"/>
  <c r="I392" i="2"/>
  <c r="I391" i="2"/>
  <c r="I390" i="2"/>
  <c r="H388" i="2"/>
  <c r="H379" i="2"/>
  <c r="H362" i="2"/>
  <c r="I349" i="2"/>
  <c r="H345" i="2"/>
  <c r="K338" i="2"/>
  <c r="AC338" i="2" s="1"/>
  <c r="L332" i="2"/>
  <c r="AD332" i="2" s="1"/>
  <c r="I325" i="2"/>
  <c r="I293" i="2"/>
  <c r="I291" i="2"/>
  <c r="I253" i="2"/>
  <c r="I252" i="2"/>
  <c r="I244" i="2"/>
  <c r="I221" i="2"/>
  <c r="I167" i="2"/>
  <c r="I165" i="2"/>
  <c r="I163" i="2"/>
  <c r="I161" i="2"/>
  <c r="I158" i="2"/>
  <c r="I156" i="2"/>
  <c r="H155" i="2"/>
  <c r="I154" i="2"/>
  <c r="J154" i="2"/>
  <c r="AB154" i="2" s="1"/>
  <c r="L153" i="2"/>
  <c r="AD153" i="2" s="1"/>
  <c r="I152" i="2"/>
  <c r="K152" i="2"/>
  <c r="AC152" i="2" s="1"/>
  <c r="H151" i="2"/>
  <c r="I150" i="2"/>
  <c r="H150" i="2"/>
  <c r="K149" i="2"/>
  <c r="AC149" i="2" s="1"/>
  <c r="I148" i="2"/>
  <c r="J148" i="2"/>
  <c r="AB148" i="2" s="1"/>
  <c r="L147" i="2"/>
  <c r="AD147" i="2" s="1"/>
  <c r="I146" i="2"/>
  <c r="H146" i="2"/>
  <c r="H144" i="2"/>
  <c r="I143" i="2"/>
  <c r="K143" i="2"/>
  <c r="AC143" i="2" s="1"/>
  <c r="J142" i="2"/>
  <c r="AB142" i="2" s="1"/>
  <c r="I141" i="2"/>
  <c r="L141" i="2"/>
  <c r="AD141" i="2" s="1"/>
  <c r="H140" i="2"/>
  <c r="I139" i="2"/>
  <c r="K139" i="2"/>
  <c r="AC139" i="2" s="1"/>
  <c r="H138" i="2"/>
  <c r="I137" i="2"/>
  <c r="L137" i="2"/>
  <c r="AD137" i="2" s="1"/>
  <c r="K136" i="2"/>
  <c r="AC136" i="2" s="1"/>
  <c r="I135" i="2"/>
  <c r="K135" i="2"/>
  <c r="AC135" i="2" s="1"/>
  <c r="H134" i="2"/>
  <c r="I133" i="2"/>
  <c r="H133" i="2"/>
  <c r="J132" i="2"/>
  <c r="AB132" i="2" s="1"/>
  <c r="I130" i="2"/>
  <c r="K130" i="2"/>
  <c r="AC130" i="2" s="1"/>
  <c r="K129" i="2"/>
  <c r="AC129" i="2" s="1"/>
  <c r="I128" i="2"/>
  <c r="H128" i="2"/>
  <c r="H127" i="2"/>
  <c r="I126" i="2"/>
  <c r="J126" i="2"/>
  <c r="AB126" i="2" s="1"/>
  <c r="K125" i="2"/>
  <c r="AC125" i="2" s="1"/>
  <c r="I124" i="2"/>
  <c r="L124" i="2"/>
  <c r="AD124" i="2" s="1"/>
  <c r="H123" i="2"/>
  <c r="I122" i="2"/>
  <c r="J122" i="2"/>
  <c r="AB122" i="2" s="1"/>
  <c r="H121" i="2"/>
  <c r="J108" i="2"/>
  <c r="AB108" i="2" s="1"/>
  <c r="I107" i="2"/>
  <c r="K107" i="2"/>
  <c r="AC107" i="2" s="1"/>
  <c r="H106" i="2"/>
  <c r="I105" i="2"/>
  <c r="K105" i="2"/>
  <c r="AC105" i="2" s="1"/>
  <c r="H104" i="2"/>
  <c r="Z104" i="2" s="1"/>
  <c r="I102" i="2"/>
  <c r="K102" i="2"/>
  <c r="AC102" i="2" s="1"/>
  <c r="I100" i="2"/>
  <c r="L100" i="2"/>
  <c r="AD100" i="2" s="1"/>
  <c r="K99" i="2"/>
  <c r="AC99" i="2" s="1"/>
  <c r="I98" i="2"/>
  <c r="H98" i="2"/>
  <c r="K97" i="2"/>
  <c r="AC97" i="2" s="1"/>
  <c r="I96" i="2"/>
  <c r="K96" i="2"/>
  <c r="AC96" i="2" s="1"/>
  <c r="L95" i="2"/>
  <c r="AD95" i="2" s="1"/>
  <c r="I94" i="2"/>
  <c r="H94" i="2"/>
  <c r="K63" i="2"/>
  <c r="AC63" i="2" s="1"/>
  <c r="I62" i="2"/>
  <c r="K62" i="2"/>
  <c r="AC62" i="2" s="1"/>
  <c r="I32" i="2"/>
  <c r="K32" i="2"/>
  <c r="AC32" i="2" s="1"/>
  <c r="I31" i="2"/>
  <c r="L31" i="2"/>
  <c r="AD31" i="2" s="1"/>
  <c r="I29" i="2"/>
  <c r="H29" i="2"/>
  <c r="I28" i="2"/>
  <c r="H28" i="2"/>
  <c r="I27" i="2"/>
  <c r="H27" i="2"/>
  <c r="I26" i="2"/>
  <c r="K26" i="2"/>
  <c r="AC26" i="2" s="1"/>
  <c r="I25" i="2"/>
  <c r="H25" i="2"/>
  <c r="I24" i="2"/>
  <c r="H24" i="2"/>
  <c r="I23" i="2"/>
  <c r="H23" i="2"/>
  <c r="I22" i="2"/>
  <c r="K22" i="2"/>
  <c r="AC22" i="2" s="1"/>
  <c r="I21" i="2"/>
  <c r="H21" i="2"/>
  <c r="I20" i="2"/>
  <c r="H20" i="2"/>
  <c r="I19" i="2"/>
  <c r="H19" i="2"/>
  <c r="AA94" i="2" l="1"/>
  <c r="AA107" i="2"/>
  <c r="AA100" i="2"/>
  <c r="Z98" i="2"/>
  <c r="Z133" i="2"/>
  <c r="AA253" i="2"/>
  <c r="AA221" i="2"/>
  <c r="AA252" i="2"/>
  <c r="AA244" i="2"/>
  <c r="AA293" i="2"/>
  <c r="AA291" i="2"/>
  <c r="AA325" i="2"/>
  <c r="Z345" i="2"/>
  <c r="AA349" i="2"/>
  <c r="Z362" i="2"/>
  <c r="AA392" i="2"/>
  <c r="AA390" i="2"/>
  <c r="Z388" i="2"/>
  <c r="Z379" i="2"/>
  <c r="AA391" i="2"/>
  <c r="AA396" i="2"/>
  <c r="Z405" i="2"/>
  <c r="Z396" i="2"/>
  <c r="Z394" i="2"/>
  <c r="AA429" i="2"/>
  <c r="Z431" i="2"/>
  <c r="Z429" i="2"/>
  <c r="Z155" i="2"/>
  <c r="Z151" i="2"/>
  <c r="Z140" i="2"/>
  <c r="Z138" i="2"/>
  <c r="Z134" i="2"/>
  <c r="Z123" i="2"/>
  <c r="Z121" i="2"/>
  <c r="AA152" i="2"/>
  <c r="AA146" i="2"/>
  <c r="AA143" i="2"/>
  <c r="AA137" i="2"/>
  <c r="AA135" i="2"/>
  <c r="AA128" i="2"/>
  <c r="AA126" i="2"/>
  <c r="AA167" i="2"/>
  <c r="AA165" i="2"/>
  <c r="AA163" i="2"/>
  <c r="AA161" i="2"/>
  <c r="AA158" i="2"/>
  <c r="AA156" i="2"/>
  <c r="AA154" i="2"/>
  <c r="Z127" i="2"/>
  <c r="AA133" i="2"/>
  <c r="AA130" i="2"/>
  <c r="AA124" i="2"/>
  <c r="Z128" i="2"/>
  <c r="AA150" i="2"/>
  <c r="AA139" i="2"/>
  <c r="Z150" i="2"/>
  <c r="Z146" i="2"/>
  <c r="Z144" i="2"/>
  <c r="AA148" i="2"/>
  <c r="AA141" i="2"/>
  <c r="AA122" i="2"/>
  <c r="AA98" i="2"/>
  <c r="AA105" i="2"/>
  <c r="Z94" i="2"/>
  <c r="AA96" i="2"/>
  <c r="AA102" i="2"/>
  <c r="Z106" i="2"/>
  <c r="AA62" i="2"/>
  <c r="AA19" i="2"/>
  <c r="AA21" i="2"/>
  <c r="AA23" i="2"/>
  <c r="AA25" i="2"/>
  <c r="AA27" i="2"/>
  <c r="AA32" i="2"/>
  <c r="AA20" i="2"/>
  <c r="AA24" i="2"/>
  <c r="AA26" i="2"/>
  <c r="AA28" i="2"/>
  <c r="J31" i="2"/>
  <c r="AB31" i="2" s="1"/>
  <c r="K28" i="2"/>
  <c r="AC28" i="2" s="1"/>
  <c r="J130" i="2"/>
  <c r="AB130" i="2" s="1"/>
  <c r="V29" i="2"/>
  <c r="V32" i="2"/>
  <c r="J99" i="2"/>
  <c r="AB99" i="2" s="1"/>
  <c r="L26" i="2"/>
  <c r="AD26" i="2" s="1"/>
  <c r="L96" i="2"/>
  <c r="AD96" i="2" s="1"/>
  <c r="L128" i="2"/>
  <c r="AD128" i="2" s="1"/>
  <c r="J138" i="2"/>
  <c r="AB138" i="2" s="1"/>
  <c r="J98" i="2"/>
  <c r="AB98" i="2" s="1"/>
  <c r="J29" i="2"/>
  <c r="AB29" i="2" s="1"/>
  <c r="K24" i="2"/>
  <c r="AC24" i="2" s="1"/>
  <c r="V28" i="2"/>
  <c r="L32" i="2"/>
  <c r="AD32" i="2" s="1"/>
  <c r="L99" i="2"/>
  <c r="AD99" i="2" s="1"/>
  <c r="L134" i="2"/>
  <c r="AD134" i="2" s="1"/>
  <c r="J135" i="2"/>
  <c r="AB135" i="2" s="1"/>
  <c r="J101" i="2"/>
  <c r="AB101" i="2" s="1"/>
  <c r="J96" i="2"/>
  <c r="AB96" i="2" s="1"/>
  <c r="K142" i="2"/>
  <c r="AC142" i="2" s="1"/>
  <c r="K101" i="2"/>
  <c r="AC101" i="2" s="1"/>
  <c r="K31" i="2"/>
  <c r="AC31" i="2" s="1"/>
  <c r="K20" i="2"/>
  <c r="AC20" i="2" s="1"/>
  <c r="G219" i="2"/>
  <c r="Y219" i="2" s="1"/>
  <c r="Z29" i="2"/>
  <c r="V26" i="2"/>
  <c r="L101" i="2"/>
  <c r="AD101" i="2" s="1"/>
  <c r="L135" i="2"/>
  <c r="AD135" i="2" s="1"/>
  <c r="J134" i="2"/>
  <c r="AB134" i="2" s="1"/>
  <c r="J100" i="2"/>
  <c r="AB100" i="2" s="1"/>
  <c r="J95" i="2"/>
  <c r="AB95" i="2" s="1"/>
  <c r="K134" i="2"/>
  <c r="AC134" i="2" s="1"/>
  <c r="K29" i="2"/>
  <c r="AC29" i="2" s="1"/>
  <c r="J144" i="2"/>
  <c r="AB144" i="2" s="1"/>
  <c r="L144" i="2"/>
  <c r="AD144" i="2" s="1"/>
  <c r="K144" i="2"/>
  <c r="AC144" i="2" s="1"/>
  <c r="L142" i="2"/>
  <c r="AD142" i="2" s="1"/>
  <c r="L143" i="2"/>
  <c r="AD143" i="2" s="1"/>
  <c r="J143" i="2"/>
  <c r="AB143" i="2" s="1"/>
  <c r="L146" i="2"/>
  <c r="AD146" i="2" s="1"/>
  <c r="J147" i="2"/>
  <c r="AB147" i="2" s="1"/>
  <c r="K147" i="2"/>
  <c r="AC147" i="2" s="1"/>
  <c r="J153" i="2"/>
  <c r="AB153" i="2" s="1"/>
  <c r="J146" i="2"/>
  <c r="AB146" i="2" s="1"/>
  <c r="K146" i="2"/>
  <c r="AC146" i="2" s="1"/>
  <c r="L149" i="2"/>
  <c r="AD149" i="2" s="1"/>
  <c r="J151" i="2"/>
  <c r="AB151" i="2" s="1"/>
  <c r="K153" i="2"/>
  <c r="AC153" i="2" s="1"/>
  <c r="J149" i="2"/>
  <c r="AB149" i="2" s="1"/>
  <c r="K156" i="2"/>
  <c r="AC156" i="2" s="1"/>
  <c r="J156" i="2"/>
  <c r="AB156" i="2" s="1"/>
  <c r="L156" i="2"/>
  <c r="AD156" i="2" s="1"/>
  <c r="K158" i="2"/>
  <c r="AC158" i="2" s="1"/>
  <c r="J158" i="2"/>
  <c r="AB158" i="2" s="1"/>
  <c r="L158" i="2"/>
  <c r="AD158" i="2" s="1"/>
  <c r="K161" i="2"/>
  <c r="AC161" i="2" s="1"/>
  <c r="J161" i="2"/>
  <c r="AB161" i="2" s="1"/>
  <c r="L161" i="2"/>
  <c r="AD161" i="2" s="1"/>
  <c r="H163" i="2"/>
  <c r="Z163" i="2" s="1"/>
  <c r="K163" i="2"/>
  <c r="AC163" i="2" s="1"/>
  <c r="J163" i="2"/>
  <c r="AB163" i="2" s="1"/>
  <c r="L163" i="2"/>
  <c r="AD163" i="2" s="1"/>
  <c r="K165" i="2"/>
  <c r="AC165" i="2" s="1"/>
  <c r="J165" i="2"/>
  <c r="AB165" i="2" s="1"/>
  <c r="L165" i="2"/>
  <c r="AD165" i="2" s="1"/>
  <c r="H167" i="2"/>
  <c r="Z167" i="2" s="1"/>
  <c r="K167" i="2"/>
  <c r="AC167" i="2" s="1"/>
  <c r="J167" i="2"/>
  <c r="AB167" i="2" s="1"/>
  <c r="L167" i="2"/>
  <c r="AD167" i="2" s="1"/>
  <c r="K217" i="2"/>
  <c r="AC217" i="2" s="1"/>
  <c r="J217" i="2"/>
  <c r="AB217" i="2" s="1"/>
  <c r="L217" i="2"/>
  <c r="AD217" i="2" s="1"/>
  <c r="H219" i="2"/>
  <c r="Z219" i="2" s="1"/>
  <c r="K219" i="2"/>
  <c r="AC219" i="2" s="1"/>
  <c r="J219" i="2"/>
  <c r="AB219" i="2" s="1"/>
  <c r="L219" i="2"/>
  <c r="AD219" i="2" s="1"/>
  <c r="K221" i="2"/>
  <c r="AC221" i="2" s="1"/>
  <c r="J221" i="2"/>
  <c r="AB221" i="2" s="1"/>
  <c r="L221" i="2"/>
  <c r="AD221" i="2" s="1"/>
  <c r="K223" i="2"/>
  <c r="AC223" i="2" s="1"/>
  <c r="J223" i="2"/>
  <c r="AB223" i="2" s="1"/>
  <c r="L223" i="2"/>
  <c r="AD223" i="2" s="1"/>
  <c r="K225" i="2"/>
  <c r="AC225" i="2" s="1"/>
  <c r="J225" i="2"/>
  <c r="AB225" i="2" s="1"/>
  <c r="L225" i="2"/>
  <c r="AD225" i="2" s="1"/>
  <c r="K227" i="2"/>
  <c r="AC227" i="2" s="1"/>
  <c r="J227" i="2"/>
  <c r="AB227" i="2" s="1"/>
  <c r="L227" i="2"/>
  <c r="AD227" i="2" s="1"/>
  <c r="H245" i="2"/>
  <c r="Z245" i="2" s="1"/>
  <c r="K245" i="2"/>
  <c r="AC245" i="2" s="1"/>
  <c r="J245" i="2"/>
  <c r="AB245" i="2" s="1"/>
  <c r="L245" i="2"/>
  <c r="AD245" i="2" s="1"/>
  <c r="K247" i="2"/>
  <c r="AC247" i="2" s="1"/>
  <c r="J247" i="2"/>
  <c r="AB247" i="2" s="1"/>
  <c r="L247" i="2"/>
  <c r="AD247" i="2" s="1"/>
  <c r="K249" i="2"/>
  <c r="AC249" i="2" s="1"/>
  <c r="J249" i="2"/>
  <c r="AB249" i="2" s="1"/>
  <c r="L249" i="2"/>
  <c r="AD249" i="2" s="1"/>
  <c r="K251" i="2"/>
  <c r="AC251" i="2" s="1"/>
  <c r="L251" i="2"/>
  <c r="AD251" i="2" s="1"/>
  <c r="J251" i="2"/>
  <c r="AB251" i="2" s="1"/>
  <c r="H253" i="2"/>
  <c r="Z253" i="2" s="1"/>
  <c r="K253" i="2"/>
  <c r="AC253" i="2" s="1"/>
  <c r="J253" i="2"/>
  <c r="AB253" i="2" s="1"/>
  <c r="L253" i="2"/>
  <c r="AD253" i="2" s="1"/>
  <c r="K255" i="2"/>
  <c r="AC255" i="2" s="1"/>
  <c r="J255" i="2"/>
  <c r="AB255" i="2" s="1"/>
  <c r="L255" i="2"/>
  <c r="AD255" i="2" s="1"/>
  <c r="K258" i="2"/>
  <c r="AC258" i="2" s="1"/>
  <c r="J258" i="2"/>
  <c r="AB258" i="2" s="1"/>
  <c r="L258" i="2"/>
  <c r="AD258" i="2" s="1"/>
  <c r="K290" i="2"/>
  <c r="AC290" i="2" s="1"/>
  <c r="J290" i="2"/>
  <c r="AB290" i="2" s="1"/>
  <c r="L290" i="2"/>
  <c r="AD290" i="2" s="1"/>
  <c r="K292" i="2"/>
  <c r="AC292" i="2" s="1"/>
  <c r="J292" i="2"/>
  <c r="AB292" i="2" s="1"/>
  <c r="L292" i="2"/>
  <c r="AD292" i="2" s="1"/>
  <c r="K294" i="2"/>
  <c r="AC294" i="2" s="1"/>
  <c r="L294" i="2"/>
  <c r="AD294" i="2" s="1"/>
  <c r="K296" i="2"/>
  <c r="AC296" i="2" s="1"/>
  <c r="J296" i="2"/>
  <c r="AB296" i="2" s="1"/>
  <c r="L296" i="2"/>
  <c r="AD296" i="2" s="1"/>
  <c r="K298" i="2"/>
  <c r="AC298" i="2" s="1"/>
  <c r="J298" i="2"/>
  <c r="AB298" i="2" s="1"/>
  <c r="L298" i="2"/>
  <c r="AD298" i="2" s="1"/>
  <c r="K320" i="2"/>
  <c r="AC320" i="2" s="1"/>
  <c r="L320" i="2"/>
  <c r="AD320" i="2" s="1"/>
  <c r="J320" i="2"/>
  <c r="AB320" i="2" s="1"/>
  <c r="H322" i="2"/>
  <c r="Z322" i="2" s="1"/>
  <c r="K322" i="2"/>
  <c r="AC322" i="2" s="1"/>
  <c r="J322" i="2"/>
  <c r="AB322" i="2" s="1"/>
  <c r="L322" i="2"/>
  <c r="AD322" i="2" s="1"/>
  <c r="K324" i="2"/>
  <c r="AC324" i="2" s="1"/>
  <c r="J324" i="2"/>
  <c r="AB324" i="2" s="1"/>
  <c r="L324" i="2"/>
  <c r="AD324" i="2" s="1"/>
  <c r="K326" i="2"/>
  <c r="AC326" i="2" s="1"/>
  <c r="J326" i="2"/>
  <c r="AB326" i="2" s="1"/>
  <c r="L326" i="2"/>
  <c r="AD326" i="2" s="1"/>
  <c r="K329" i="2"/>
  <c r="AC329" i="2" s="1"/>
  <c r="L329" i="2"/>
  <c r="AD329" i="2" s="1"/>
  <c r="J329" i="2"/>
  <c r="AB329" i="2" s="1"/>
  <c r="K331" i="2"/>
  <c r="AC331" i="2" s="1"/>
  <c r="J331" i="2"/>
  <c r="AB331" i="2" s="1"/>
  <c r="L331" i="2"/>
  <c r="AD331" i="2" s="1"/>
  <c r="K333" i="2"/>
  <c r="AC333" i="2" s="1"/>
  <c r="J333" i="2"/>
  <c r="AB333" i="2" s="1"/>
  <c r="L333" i="2"/>
  <c r="AD333" i="2" s="1"/>
  <c r="K335" i="2"/>
  <c r="AC335" i="2" s="1"/>
  <c r="J335" i="2"/>
  <c r="AB335" i="2" s="1"/>
  <c r="L335" i="2"/>
  <c r="AD335" i="2" s="1"/>
  <c r="K337" i="2"/>
  <c r="AC337" i="2" s="1"/>
  <c r="L337" i="2"/>
  <c r="AD337" i="2" s="1"/>
  <c r="J337" i="2"/>
  <c r="AB337" i="2" s="1"/>
  <c r="H339" i="2"/>
  <c r="Z339" i="2" s="1"/>
  <c r="K339" i="2"/>
  <c r="AC339" i="2" s="1"/>
  <c r="J339" i="2"/>
  <c r="AB339" i="2" s="1"/>
  <c r="L339" i="2"/>
  <c r="AD339" i="2" s="1"/>
  <c r="K342" i="2"/>
  <c r="AC342" i="2" s="1"/>
  <c r="J342" i="2"/>
  <c r="AB342" i="2" s="1"/>
  <c r="L342" i="2"/>
  <c r="AD342" i="2" s="1"/>
  <c r="K344" i="2"/>
  <c r="AC344" i="2" s="1"/>
  <c r="J344" i="2"/>
  <c r="AB344" i="2" s="1"/>
  <c r="L344" i="2"/>
  <c r="AD344" i="2" s="1"/>
  <c r="K346" i="2"/>
  <c r="AC346" i="2" s="1"/>
  <c r="L346" i="2"/>
  <c r="AD346" i="2" s="1"/>
  <c r="J346" i="2"/>
  <c r="AB346" i="2" s="1"/>
  <c r="H348" i="2"/>
  <c r="Z348" i="2" s="1"/>
  <c r="K348" i="2"/>
  <c r="AC348" i="2" s="1"/>
  <c r="J348" i="2"/>
  <c r="AB348" i="2" s="1"/>
  <c r="L348" i="2"/>
  <c r="AD348" i="2" s="1"/>
  <c r="K350" i="2"/>
  <c r="AC350" i="2" s="1"/>
  <c r="J350" i="2"/>
  <c r="AB350" i="2" s="1"/>
  <c r="L350" i="2"/>
  <c r="AD350" i="2" s="1"/>
  <c r="K352" i="2"/>
  <c r="AC352" i="2" s="1"/>
  <c r="J352" i="2"/>
  <c r="AB352" i="2" s="1"/>
  <c r="L352" i="2"/>
  <c r="AD352" i="2" s="1"/>
  <c r="K354" i="2"/>
  <c r="AC354" i="2" s="1"/>
  <c r="L354" i="2"/>
  <c r="AD354" i="2" s="1"/>
  <c r="J354" i="2"/>
  <c r="AB354" i="2" s="1"/>
  <c r="H357" i="2"/>
  <c r="Z357" i="2" s="1"/>
  <c r="K357" i="2"/>
  <c r="AC357" i="2" s="1"/>
  <c r="J357" i="2"/>
  <c r="AB357" i="2" s="1"/>
  <c r="L357" i="2"/>
  <c r="AD357" i="2" s="1"/>
  <c r="K359" i="2"/>
  <c r="AC359" i="2" s="1"/>
  <c r="J359" i="2"/>
  <c r="AB359" i="2" s="1"/>
  <c r="L359" i="2"/>
  <c r="AD359" i="2" s="1"/>
  <c r="K361" i="2"/>
  <c r="AC361" i="2" s="1"/>
  <c r="J361" i="2"/>
  <c r="AB361" i="2" s="1"/>
  <c r="L361" i="2"/>
  <c r="AD361" i="2" s="1"/>
  <c r="K363" i="2"/>
  <c r="AC363" i="2" s="1"/>
  <c r="L363" i="2"/>
  <c r="AD363" i="2" s="1"/>
  <c r="J363" i="2"/>
  <c r="AB363" i="2" s="1"/>
  <c r="K380" i="2"/>
  <c r="AC380" i="2" s="1"/>
  <c r="L380" i="2"/>
  <c r="AD380" i="2" s="1"/>
  <c r="J380" i="2"/>
  <c r="AB380" i="2" s="1"/>
  <c r="H382" i="2"/>
  <c r="Z382" i="2" s="1"/>
  <c r="K382" i="2"/>
  <c r="AC382" i="2" s="1"/>
  <c r="J382" i="2"/>
  <c r="AB382" i="2" s="1"/>
  <c r="L382" i="2"/>
  <c r="AD382" i="2" s="1"/>
  <c r="K385" i="2"/>
  <c r="AC385" i="2" s="1"/>
  <c r="L385" i="2"/>
  <c r="AD385" i="2" s="1"/>
  <c r="J385" i="2"/>
  <c r="AB385" i="2" s="1"/>
  <c r="K387" i="2"/>
  <c r="AC387" i="2" s="1"/>
  <c r="J387" i="2"/>
  <c r="AB387" i="2" s="1"/>
  <c r="L387" i="2"/>
  <c r="AD387" i="2" s="1"/>
  <c r="K389" i="2"/>
  <c r="AC389" i="2" s="1"/>
  <c r="L389" i="2"/>
  <c r="AD389" i="2" s="1"/>
  <c r="J389" i="2"/>
  <c r="AB389" i="2" s="1"/>
  <c r="H391" i="2"/>
  <c r="Z391" i="2" s="1"/>
  <c r="K391" i="2"/>
  <c r="AC391" i="2" s="1"/>
  <c r="J391" i="2"/>
  <c r="AB391" i="2" s="1"/>
  <c r="L391" i="2"/>
  <c r="AD391" i="2" s="1"/>
  <c r="K393" i="2"/>
  <c r="AC393" i="2" s="1"/>
  <c r="L393" i="2"/>
  <c r="AD393" i="2" s="1"/>
  <c r="J393" i="2"/>
  <c r="AB393" i="2" s="1"/>
  <c r="K395" i="2"/>
  <c r="AC395" i="2" s="1"/>
  <c r="J395" i="2"/>
  <c r="AB395" i="2" s="1"/>
  <c r="L395" i="2"/>
  <c r="AD395" i="2" s="1"/>
  <c r="K398" i="2"/>
  <c r="AC398" i="2" s="1"/>
  <c r="L398" i="2"/>
  <c r="AD398" i="2" s="1"/>
  <c r="J398" i="2"/>
  <c r="AB398" i="2" s="1"/>
  <c r="H400" i="2"/>
  <c r="Z400" i="2" s="1"/>
  <c r="K400" i="2"/>
  <c r="AC400" i="2" s="1"/>
  <c r="J400" i="2"/>
  <c r="AB400" i="2" s="1"/>
  <c r="L400" i="2"/>
  <c r="AD400" i="2" s="1"/>
  <c r="K402" i="2"/>
  <c r="AC402" i="2" s="1"/>
  <c r="L402" i="2"/>
  <c r="AD402" i="2" s="1"/>
  <c r="J402" i="2"/>
  <c r="AB402" i="2" s="1"/>
  <c r="K404" i="2"/>
  <c r="AC404" i="2" s="1"/>
  <c r="J404" i="2"/>
  <c r="AB404" i="2" s="1"/>
  <c r="L404" i="2"/>
  <c r="AD404" i="2" s="1"/>
  <c r="K406" i="2"/>
  <c r="AC406" i="2" s="1"/>
  <c r="L406" i="2"/>
  <c r="AD406" i="2" s="1"/>
  <c r="J406" i="2"/>
  <c r="AB406" i="2" s="1"/>
  <c r="H408" i="2"/>
  <c r="Z408" i="2" s="1"/>
  <c r="K408" i="2"/>
  <c r="AC408" i="2" s="1"/>
  <c r="J408" i="2"/>
  <c r="AB408" i="2" s="1"/>
  <c r="L408" i="2"/>
  <c r="AD408" i="2" s="1"/>
  <c r="K410" i="2"/>
  <c r="AC410" i="2" s="1"/>
  <c r="L410" i="2"/>
  <c r="AD410" i="2" s="1"/>
  <c r="J410" i="2"/>
  <c r="AB410" i="2" s="1"/>
  <c r="H426" i="2"/>
  <c r="Z426" i="2" s="1"/>
  <c r="K426" i="2"/>
  <c r="AC426" i="2" s="1"/>
  <c r="J426" i="2"/>
  <c r="AB426" i="2" s="1"/>
  <c r="L426" i="2"/>
  <c r="AD426" i="2" s="1"/>
  <c r="K428" i="2"/>
  <c r="AC428" i="2" s="1"/>
  <c r="L428" i="2"/>
  <c r="AD428" i="2" s="1"/>
  <c r="J428" i="2"/>
  <c r="AB428" i="2" s="1"/>
  <c r="K430" i="2"/>
  <c r="AC430" i="2" s="1"/>
  <c r="J430" i="2"/>
  <c r="AB430" i="2" s="1"/>
  <c r="L430" i="2"/>
  <c r="AD430" i="2" s="1"/>
  <c r="K432" i="2"/>
  <c r="AC432" i="2" s="1"/>
  <c r="L432" i="2"/>
  <c r="AD432" i="2" s="1"/>
  <c r="H434" i="2"/>
  <c r="Z434" i="2" s="1"/>
  <c r="K434" i="2"/>
  <c r="AC434" i="2" s="1"/>
  <c r="J434" i="2"/>
  <c r="AB434" i="2" s="1"/>
  <c r="L434" i="2"/>
  <c r="AD434" i="2" s="1"/>
  <c r="K436" i="2"/>
  <c r="AC436" i="2" s="1"/>
  <c r="L436" i="2"/>
  <c r="AD436" i="2" s="1"/>
  <c r="J436" i="2"/>
  <c r="AB436" i="2" s="1"/>
  <c r="K438" i="2"/>
  <c r="AC438" i="2" s="1"/>
  <c r="J438" i="2"/>
  <c r="AB438" i="2" s="1"/>
  <c r="L438" i="2"/>
  <c r="AD438" i="2" s="1"/>
  <c r="I296" i="2"/>
  <c r="AA296" i="2" s="1"/>
  <c r="I292" i="2"/>
  <c r="AA292" i="2" s="1"/>
  <c r="J432" i="2"/>
  <c r="AB432" i="2" s="1"/>
  <c r="H157" i="2"/>
  <c r="Z157" i="2" s="1"/>
  <c r="J157" i="2"/>
  <c r="AB157" i="2" s="1"/>
  <c r="K157" i="2"/>
  <c r="AC157" i="2" s="1"/>
  <c r="L157" i="2"/>
  <c r="AD157" i="2" s="1"/>
  <c r="K160" i="2"/>
  <c r="AC160" i="2" s="1"/>
  <c r="J160" i="2"/>
  <c r="AB160" i="2" s="1"/>
  <c r="L160" i="2"/>
  <c r="AD160" i="2" s="1"/>
  <c r="H162" i="2"/>
  <c r="Z162" i="2" s="1"/>
  <c r="J162" i="2"/>
  <c r="AB162" i="2" s="1"/>
  <c r="L162" i="2"/>
  <c r="AD162" i="2" s="1"/>
  <c r="K162" i="2"/>
  <c r="AC162" i="2" s="1"/>
  <c r="K164" i="2"/>
  <c r="AC164" i="2" s="1"/>
  <c r="J164" i="2"/>
  <c r="AB164" i="2" s="1"/>
  <c r="L164" i="2"/>
  <c r="AD164" i="2" s="1"/>
  <c r="J166" i="2"/>
  <c r="AB166" i="2" s="1"/>
  <c r="L166" i="2"/>
  <c r="AD166" i="2" s="1"/>
  <c r="K166" i="2"/>
  <c r="AC166" i="2" s="1"/>
  <c r="K168" i="2"/>
  <c r="AC168" i="2" s="1"/>
  <c r="J168" i="2"/>
  <c r="AB168" i="2" s="1"/>
  <c r="L168" i="2"/>
  <c r="AD168" i="2" s="1"/>
  <c r="K216" i="2"/>
  <c r="AC216" i="2" s="1"/>
  <c r="J216" i="2"/>
  <c r="AB216" i="2" s="1"/>
  <c r="L216" i="2"/>
  <c r="AD216" i="2" s="1"/>
  <c r="K218" i="2"/>
  <c r="AC218" i="2" s="1"/>
  <c r="L218" i="2"/>
  <c r="AD218" i="2" s="1"/>
  <c r="J218" i="2"/>
  <c r="AB218" i="2" s="1"/>
  <c r="H220" i="2"/>
  <c r="Z220" i="2" s="1"/>
  <c r="K220" i="2"/>
  <c r="AC220" i="2" s="1"/>
  <c r="J220" i="2"/>
  <c r="AB220" i="2" s="1"/>
  <c r="L220" i="2"/>
  <c r="AD220" i="2" s="1"/>
  <c r="K222" i="2"/>
  <c r="AC222" i="2" s="1"/>
  <c r="L222" i="2"/>
  <c r="AD222" i="2" s="1"/>
  <c r="J222" i="2"/>
  <c r="AB222" i="2" s="1"/>
  <c r="K224" i="2"/>
  <c r="AC224" i="2" s="1"/>
  <c r="J224" i="2"/>
  <c r="AB224" i="2" s="1"/>
  <c r="L224" i="2"/>
  <c r="AD224" i="2" s="1"/>
  <c r="J226" i="2"/>
  <c r="AB226" i="2" s="1"/>
  <c r="K226" i="2"/>
  <c r="AC226" i="2" s="1"/>
  <c r="L226" i="2"/>
  <c r="AD226" i="2" s="1"/>
  <c r="H228" i="2"/>
  <c r="Z228" i="2" s="1"/>
  <c r="K228" i="2"/>
  <c r="AC228" i="2" s="1"/>
  <c r="J228" i="2"/>
  <c r="AB228" i="2" s="1"/>
  <c r="L228" i="2"/>
  <c r="AD228" i="2" s="1"/>
  <c r="J244" i="2"/>
  <c r="AB244" i="2" s="1"/>
  <c r="K244" i="2"/>
  <c r="AC244" i="2" s="1"/>
  <c r="L244" i="2"/>
  <c r="AD244" i="2" s="1"/>
  <c r="H246" i="2"/>
  <c r="Z246" i="2" s="1"/>
  <c r="K246" i="2"/>
  <c r="AC246" i="2" s="1"/>
  <c r="J246" i="2"/>
  <c r="AB246" i="2" s="1"/>
  <c r="L246" i="2"/>
  <c r="AD246" i="2" s="1"/>
  <c r="J248" i="2"/>
  <c r="AB248" i="2" s="1"/>
  <c r="K248" i="2"/>
  <c r="AC248" i="2" s="1"/>
  <c r="L248" i="2"/>
  <c r="AD248" i="2" s="1"/>
  <c r="K250" i="2"/>
  <c r="AC250" i="2" s="1"/>
  <c r="J250" i="2"/>
  <c r="AB250" i="2" s="1"/>
  <c r="L250" i="2"/>
  <c r="AD250" i="2" s="1"/>
  <c r="J252" i="2"/>
  <c r="AB252" i="2" s="1"/>
  <c r="K252" i="2"/>
  <c r="AC252" i="2" s="1"/>
  <c r="L252" i="2"/>
  <c r="AD252" i="2" s="1"/>
  <c r="H254" i="2"/>
  <c r="Z254" i="2" s="1"/>
  <c r="K254" i="2"/>
  <c r="AC254" i="2" s="1"/>
  <c r="J254" i="2"/>
  <c r="AB254" i="2" s="1"/>
  <c r="L254" i="2"/>
  <c r="AD254" i="2" s="1"/>
  <c r="K256" i="2"/>
  <c r="AC256" i="2" s="1"/>
  <c r="J256" i="2"/>
  <c r="AB256" i="2" s="1"/>
  <c r="L256" i="2"/>
  <c r="AD256" i="2" s="1"/>
  <c r="H289" i="2"/>
  <c r="Z289" i="2" s="1"/>
  <c r="K289" i="2"/>
  <c r="AC289" i="2" s="1"/>
  <c r="J289" i="2"/>
  <c r="AB289" i="2" s="1"/>
  <c r="L289" i="2"/>
  <c r="AD289" i="2" s="1"/>
  <c r="K291" i="2"/>
  <c r="AC291" i="2" s="1"/>
  <c r="J291" i="2"/>
  <c r="AB291" i="2" s="1"/>
  <c r="L291" i="2"/>
  <c r="AD291" i="2" s="1"/>
  <c r="K293" i="2"/>
  <c r="AC293" i="2" s="1"/>
  <c r="J293" i="2"/>
  <c r="AB293" i="2" s="1"/>
  <c r="L293" i="2"/>
  <c r="AD293" i="2" s="1"/>
  <c r="J295" i="2"/>
  <c r="AB295" i="2" s="1"/>
  <c r="K295" i="2"/>
  <c r="AC295" i="2" s="1"/>
  <c r="L295" i="2"/>
  <c r="AD295" i="2" s="1"/>
  <c r="H297" i="2"/>
  <c r="Z297" i="2" s="1"/>
  <c r="K297" i="2"/>
  <c r="AC297" i="2" s="1"/>
  <c r="J297" i="2"/>
  <c r="AB297" i="2" s="1"/>
  <c r="L297" i="2"/>
  <c r="AD297" i="2" s="1"/>
  <c r="K319" i="2"/>
  <c r="AC319" i="2" s="1"/>
  <c r="J319" i="2"/>
  <c r="AB319" i="2" s="1"/>
  <c r="L319" i="2"/>
  <c r="AD319" i="2" s="1"/>
  <c r="J321" i="2"/>
  <c r="AB321" i="2" s="1"/>
  <c r="K321" i="2"/>
  <c r="AC321" i="2" s="1"/>
  <c r="L321" i="2"/>
  <c r="AD321" i="2" s="1"/>
  <c r="H323" i="2"/>
  <c r="Z323" i="2" s="1"/>
  <c r="K323" i="2"/>
  <c r="AC323" i="2" s="1"/>
  <c r="J323" i="2"/>
  <c r="AB323" i="2" s="1"/>
  <c r="L323" i="2"/>
  <c r="AD323" i="2" s="1"/>
  <c r="K325" i="2"/>
  <c r="AC325" i="2" s="1"/>
  <c r="J325" i="2"/>
  <c r="AB325" i="2" s="1"/>
  <c r="L325" i="2"/>
  <c r="AD325" i="2" s="1"/>
  <c r="K328" i="2"/>
  <c r="AC328" i="2" s="1"/>
  <c r="J328" i="2"/>
  <c r="AB328" i="2" s="1"/>
  <c r="L328" i="2"/>
  <c r="AD328" i="2" s="1"/>
  <c r="J330" i="2"/>
  <c r="AB330" i="2" s="1"/>
  <c r="K330" i="2"/>
  <c r="AC330" i="2" s="1"/>
  <c r="L330" i="2"/>
  <c r="AD330" i="2" s="1"/>
  <c r="H332" i="2"/>
  <c r="Z332" i="2" s="1"/>
  <c r="K332" i="2"/>
  <c r="AC332" i="2" s="1"/>
  <c r="J332" i="2"/>
  <c r="AB332" i="2" s="1"/>
  <c r="J334" i="2"/>
  <c r="AB334" i="2" s="1"/>
  <c r="L334" i="2"/>
  <c r="AD334" i="2" s="1"/>
  <c r="K334" i="2"/>
  <c r="AC334" i="2" s="1"/>
  <c r="K336" i="2"/>
  <c r="AC336" i="2" s="1"/>
  <c r="J336" i="2"/>
  <c r="AB336" i="2" s="1"/>
  <c r="L336" i="2"/>
  <c r="AD336" i="2" s="1"/>
  <c r="J338" i="2"/>
  <c r="AB338" i="2" s="1"/>
  <c r="L338" i="2"/>
  <c r="AD338" i="2" s="1"/>
  <c r="H340" i="2"/>
  <c r="Z340" i="2" s="1"/>
  <c r="K340" i="2"/>
  <c r="AC340" i="2" s="1"/>
  <c r="J340" i="2"/>
  <c r="AB340" i="2" s="1"/>
  <c r="L340" i="2"/>
  <c r="AD340" i="2" s="1"/>
  <c r="K343" i="2"/>
  <c r="AC343" i="2" s="1"/>
  <c r="J343" i="2"/>
  <c r="AB343" i="2" s="1"/>
  <c r="L343" i="2"/>
  <c r="AD343" i="2" s="1"/>
  <c r="K345" i="2"/>
  <c r="AC345" i="2" s="1"/>
  <c r="J345" i="2"/>
  <c r="AB345" i="2" s="1"/>
  <c r="L345" i="2"/>
  <c r="AD345" i="2" s="1"/>
  <c r="J347" i="2"/>
  <c r="AB347" i="2" s="1"/>
  <c r="K347" i="2"/>
  <c r="AC347" i="2" s="1"/>
  <c r="L347" i="2"/>
  <c r="AD347" i="2" s="1"/>
  <c r="H349" i="2"/>
  <c r="Z349" i="2" s="1"/>
  <c r="K349" i="2"/>
  <c r="AC349" i="2" s="1"/>
  <c r="L349" i="2"/>
  <c r="AD349" i="2" s="1"/>
  <c r="J349" i="2"/>
  <c r="AB349" i="2" s="1"/>
  <c r="J351" i="2"/>
  <c r="AB351" i="2" s="1"/>
  <c r="K351" i="2"/>
  <c r="AC351" i="2" s="1"/>
  <c r="L351" i="2"/>
  <c r="AD351" i="2" s="1"/>
  <c r="K353" i="2"/>
  <c r="AC353" i="2" s="1"/>
  <c r="L353" i="2"/>
  <c r="AD353" i="2" s="1"/>
  <c r="J353" i="2"/>
  <c r="AB353" i="2" s="1"/>
  <c r="J356" i="2"/>
  <c r="AB356" i="2" s="1"/>
  <c r="K356" i="2"/>
  <c r="AC356" i="2" s="1"/>
  <c r="L356" i="2"/>
  <c r="AD356" i="2" s="1"/>
  <c r="H358" i="2"/>
  <c r="Z358" i="2" s="1"/>
  <c r="K358" i="2"/>
  <c r="AC358" i="2" s="1"/>
  <c r="L358" i="2"/>
  <c r="AD358" i="2" s="1"/>
  <c r="J358" i="2"/>
  <c r="AB358" i="2" s="1"/>
  <c r="K360" i="2"/>
  <c r="AC360" i="2" s="1"/>
  <c r="J360" i="2"/>
  <c r="AB360" i="2" s="1"/>
  <c r="L360" i="2"/>
  <c r="AD360" i="2" s="1"/>
  <c r="K362" i="2"/>
  <c r="AC362" i="2" s="1"/>
  <c r="L362" i="2"/>
  <c r="AD362" i="2" s="1"/>
  <c r="J362" i="2"/>
  <c r="AB362" i="2" s="1"/>
  <c r="K379" i="2"/>
  <c r="AC379" i="2" s="1"/>
  <c r="L379" i="2"/>
  <c r="AD379" i="2" s="1"/>
  <c r="J379" i="2"/>
  <c r="AB379" i="2" s="1"/>
  <c r="J381" i="2"/>
  <c r="AB381" i="2" s="1"/>
  <c r="K381" i="2"/>
  <c r="AC381" i="2" s="1"/>
  <c r="L381" i="2"/>
  <c r="AD381" i="2" s="1"/>
  <c r="H384" i="2"/>
  <c r="Z384" i="2" s="1"/>
  <c r="K384" i="2"/>
  <c r="AC384" i="2" s="1"/>
  <c r="L384" i="2"/>
  <c r="AD384" i="2" s="1"/>
  <c r="J384" i="2"/>
  <c r="AB384" i="2" s="1"/>
  <c r="J386" i="2"/>
  <c r="AB386" i="2" s="1"/>
  <c r="K386" i="2"/>
  <c r="AC386" i="2" s="1"/>
  <c r="L386" i="2"/>
  <c r="AD386" i="2" s="1"/>
  <c r="K388" i="2"/>
  <c r="AC388" i="2" s="1"/>
  <c r="L388" i="2"/>
  <c r="AD388" i="2" s="1"/>
  <c r="J388" i="2"/>
  <c r="AB388" i="2" s="1"/>
  <c r="J390" i="2"/>
  <c r="AB390" i="2" s="1"/>
  <c r="K390" i="2"/>
  <c r="AC390" i="2" s="1"/>
  <c r="L390" i="2"/>
  <c r="AD390" i="2" s="1"/>
  <c r="H392" i="2"/>
  <c r="Z392" i="2" s="1"/>
  <c r="K392" i="2"/>
  <c r="AC392" i="2" s="1"/>
  <c r="L392" i="2"/>
  <c r="AD392" i="2" s="1"/>
  <c r="J392" i="2"/>
  <c r="AB392" i="2" s="1"/>
  <c r="K394" i="2"/>
  <c r="AC394" i="2" s="1"/>
  <c r="J394" i="2"/>
  <c r="AB394" i="2" s="1"/>
  <c r="L394" i="2"/>
  <c r="AD394" i="2" s="1"/>
  <c r="K396" i="2"/>
  <c r="AC396" i="2" s="1"/>
  <c r="L396" i="2"/>
  <c r="AD396" i="2" s="1"/>
  <c r="J396" i="2"/>
  <c r="AB396" i="2" s="1"/>
  <c r="J399" i="2"/>
  <c r="AB399" i="2" s="1"/>
  <c r="K399" i="2"/>
  <c r="AC399" i="2" s="1"/>
  <c r="L399" i="2"/>
  <c r="AD399" i="2" s="1"/>
  <c r="H401" i="2"/>
  <c r="Z401" i="2" s="1"/>
  <c r="K401" i="2"/>
  <c r="AC401" i="2" s="1"/>
  <c r="L401" i="2"/>
  <c r="AD401" i="2" s="1"/>
  <c r="J401" i="2"/>
  <c r="AB401" i="2" s="1"/>
  <c r="J403" i="2"/>
  <c r="AB403" i="2" s="1"/>
  <c r="K403" i="2"/>
  <c r="AC403" i="2" s="1"/>
  <c r="L403" i="2"/>
  <c r="AD403" i="2" s="1"/>
  <c r="K405" i="2"/>
  <c r="AC405" i="2" s="1"/>
  <c r="L405" i="2"/>
  <c r="AD405" i="2" s="1"/>
  <c r="J405" i="2"/>
  <c r="AB405" i="2" s="1"/>
  <c r="J407" i="2"/>
  <c r="AB407" i="2" s="1"/>
  <c r="L407" i="2"/>
  <c r="AD407" i="2" s="1"/>
  <c r="K407" i="2"/>
  <c r="AC407" i="2" s="1"/>
  <c r="H409" i="2"/>
  <c r="Z409" i="2" s="1"/>
  <c r="K409" i="2"/>
  <c r="AC409" i="2" s="1"/>
  <c r="L409" i="2"/>
  <c r="AD409" i="2" s="1"/>
  <c r="J409" i="2"/>
  <c r="AB409" i="2" s="1"/>
  <c r="H427" i="2"/>
  <c r="Z427" i="2" s="1"/>
  <c r="K427" i="2"/>
  <c r="AC427" i="2" s="1"/>
  <c r="L427" i="2"/>
  <c r="AD427" i="2" s="1"/>
  <c r="J427" i="2"/>
  <c r="AB427" i="2" s="1"/>
  <c r="K429" i="2"/>
  <c r="AC429" i="2" s="1"/>
  <c r="J429" i="2"/>
  <c r="AB429" i="2" s="1"/>
  <c r="L429" i="2"/>
  <c r="AD429" i="2" s="1"/>
  <c r="K431" i="2"/>
  <c r="AC431" i="2" s="1"/>
  <c r="L431" i="2"/>
  <c r="AD431" i="2" s="1"/>
  <c r="J431" i="2"/>
  <c r="AB431" i="2" s="1"/>
  <c r="J433" i="2"/>
  <c r="AB433" i="2" s="1"/>
  <c r="K433" i="2"/>
  <c r="AC433" i="2" s="1"/>
  <c r="L433" i="2"/>
  <c r="AD433" i="2" s="1"/>
  <c r="H435" i="2"/>
  <c r="Z435" i="2" s="1"/>
  <c r="K435" i="2"/>
  <c r="AC435" i="2" s="1"/>
  <c r="L435" i="2"/>
  <c r="AD435" i="2" s="1"/>
  <c r="J435" i="2"/>
  <c r="AB435" i="2" s="1"/>
  <c r="J437" i="2"/>
  <c r="AB437" i="2" s="1"/>
  <c r="K437" i="2"/>
  <c r="AC437" i="2" s="1"/>
  <c r="L437" i="2"/>
  <c r="AD437" i="2" s="1"/>
  <c r="H437" i="2"/>
  <c r="Z437" i="2" s="1"/>
  <c r="H403" i="2"/>
  <c r="Z403" i="2" s="1"/>
  <c r="H386" i="2"/>
  <c r="Z386" i="2" s="1"/>
  <c r="I339" i="2"/>
  <c r="AA339" i="2" s="1"/>
  <c r="H247" i="2"/>
  <c r="Z247" i="2" s="1"/>
  <c r="J294" i="2"/>
  <c r="AB294" i="2" s="1"/>
  <c r="L138" i="2"/>
  <c r="AD138" i="2" s="1"/>
  <c r="K138" i="2"/>
  <c r="AC138" i="2" s="1"/>
  <c r="J137" i="2"/>
  <c r="AB137" i="2" s="1"/>
  <c r="K137" i="2"/>
  <c r="AC137" i="2" s="1"/>
  <c r="L136" i="2"/>
  <c r="AD136" i="2" s="1"/>
  <c r="L140" i="2"/>
  <c r="AD140" i="2" s="1"/>
  <c r="J140" i="2"/>
  <c r="AB140" i="2" s="1"/>
  <c r="J136" i="2"/>
  <c r="AB136" i="2" s="1"/>
  <c r="K140" i="2"/>
  <c r="AC140" i="2" s="1"/>
  <c r="L139" i="2"/>
  <c r="AD139" i="2" s="1"/>
  <c r="J141" i="2"/>
  <c r="AB141" i="2" s="1"/>
  <c r="K141" i="2"/>
  <c r="AC141" i="2" s="1"/>
  <c r="J139" i="2"/>
  <c r="AB139" i="2" s="1"/>
  <c r="L133" i="2"/>
  <c r="AD133" i="2" s="1"/>
  <c r="K133" i="2"/>
  <c r="AC133" i="2" s="1"/>
  <c r="J133" i="2"/>
  <c r="AB133" i="2" s="1"/>
  <c r="K132" i="2"/>
  <c r="AC132" i="2" s="1"/>
  <c r="L132" i="2"/>
  <c r="AD132" i="2" s="1"/>
  <c r="L125" i="2"/>
  <c r="AD125" i="2" s="1"/>
  <c r="J125" i="2"/>
  <c r="AB125" i="2" s="1"/>
  <c r="L130" i="2"/>
  <c r="AD130" i="2" s="1"/>
  <c r="L129" i="2"/>
  <c r="AD129" i="2" s="1"/>
  <c r="J129" i="2"/>
  <c r="AB129" i="2" s="1"/>
  <c r="J128" i="2"/>
  <c r="AB128" i="2" s="1"/>
  <c r="K128" i="2"/>
  <c r="AC128" i="2" s="1"/>
  <c r="L121" i="2"/>
  <c r="AD121" i="2" s="1"/>
  <c r="J121" i="2"/>
  <c r="AB121" i="2" s="1"/>
  <c r="K121" i="2"/>
  <c r="AC121" i="2" s="1"/>
  <c r="L122" i="2"/>
  <c r="AD122" i="2" s="1"/>
  <c r="L126" i="2"/>
  <c r="AD126" i="2" s="1"/>
  <c r="J124" i="2"/>
  <c r="AB124" i="2" s="1"/>
  <c r="K127" i="2"/>
  <c r="AC127" i="2" s="1"/>
  <c r="K123" i="2"/>
  <c r="AC123" i="2" s="1"/>
  <c r="K124" i="2"/>
  <c r="AC124" i="2" s="1"/>
  <c r="L123" i="2"/>
  <c r="AD123" i="2" s="1"/>
  <c r="L127" i="2"/>
  <c r="AD127" i="2" s="1"/>
  <c r="J127" i="2"/>
  <c r="AB127" i="2" s="1"/>
  <c r="J123" i="2"/>
  <c r="AB123" i="2" s="1"/>
  <c r="K126" i="2"/>
  <c r="AC126" i="2" s="1"/>
  <c r="K122" i="2"/>
  <c r="AC122" i="2" s="1"/>
  <c r="J107" i="2"/>
  <c r="AB107" i="2" s="1"/>
  <c r="L107" i="2"/>
  <c r="AD107" i="2" s="1"/>
  <c r="K108" i="2"/>
  <c r="AC108" i="2" s="1"/>
  <c r="L108" i="2"/>
  <c r="AD108" i="2" s="1"/>
  <c r="L106" i="2"/>
  <c r="AD106" i="2" s="1"/>
  <c r="J106" i="2"/>
  <c r="AB106" i="2" s="1"/>
  <c r="K106" i="2"/>
  <c r="AC106" i="2" s="1"/>
  <c r="L105" i="2"/>
  <c r="AD105" i="2" s="1"/>
  <c r="J105" i="2"/>
  <c r="AB105" i="2" s="1"/>
  <c r="L104" i="2"/>
  <c r="AD104" i="2" s="1"/>
  <c r="J104" i="2"/>
  <c r="AB104" i="2" s="1"/>
  <c r="K104" i="2"/>
  <c r="AC104" i="2" s="1"/>
  <c r="J102" i="2"/>
  <c r="AB102" i="2" s="1"/>
  <c r="L102" i="2"/>
  <c r="AD102" i="2" s="1"/>
  <c r="K100" i="2"/>
  <c r="AC100" i="2" s="1"/>
  <c r="K95" i="2"/>
  <c r="AC95" i="2" s="1"/>
  <c r="L98" i="2"/>
  <c r="AD98" i="2" s="1"/>
  <c r="K98" i="2"/>
  <c r="AC98" i="2" s="1"/>
  <c r="L97" i="2"/>
  <c r="AD97" i="2" s="1"/>
  <c r="J97" i="2"/>
  <c r="AB97" i="2" s="1"/>
  <c r="J94" i="2"/>
  <c r="AB94" i="2" s="1"/>
  <c r="K94" i="2"/>
  <c r="AC94" i="2" s="1"/>
  <c r="L94" i="2"/>
  <c r="AD94" i="2" s="1"/>
  <c r="J155" i="2"/>
  <c r="AB155" i="2" s="1"/>
  <c r="L155" i="2"/>
  <c r="AD155" i="2" s="1"/>
  <c r="K155" i="2"/>
  <c r="AC155" i="2" s="1"/>
  <c r="L154" i="2"/>
  <c r="AD154" i="2" s="1"/>
  <c r="K154" i="2"/>
  <c r="AC154" i="2" s="1"/>
  <c r="L151" i="2"/>
  <c r="AD151" i="2" s="1"/>
  <c r="K151" i="2"/>
  <c r="AC151" i="2" s="1"/>
  <c r="L152" i="2"/>
  <c r="AD152" i="2" s="1"/>
  <c r="J152" i="2"/>
  <c r="AB152" i="2" s="1"/>
  <c r="L150" i="2"/>
  <c r="AD150" i="2" s="1"/>
  <c r="J150" i="2"/>
  <c r="AB150" i="2" s="1"/>
  <c r="K150" i="2"/>
  <c r="AC150" i="2" s="1"/>
  <c r="L148" i="2"/>
  <c r="AD148" i="2" s="1"/>
  <c r="K148" i="2"/>
  <c r="AC148" i="2" s="1"/>
  <c r="J63" i="2"/>
  <c r="AB63" i="2" s="1"/>
  <c r="L63" i="2"/>
  <c r="AD63" i="2" s="1"/>
  <c r="J62" i="2"/>
  <c r="AB62" i="2" s="1"/>
  <c r="L62" i="2"/>
  <c r="AD62" i="2" s="1"/>
  <c r="J32" i="2"/>
  <c r="AB32" i="2" s="1"/>
  <c r="AA31" i="2"/>
  <c r="V31" i="2"/>
  <c r="L29" i="2"/>
  <c r="AD29" i="2" s="1"/>
  <c r="L22" i="2"/>
  <c r="AD22" i="2" s="1"/>
  <c r="J23" i="2"/>
  <c r="AB23" i="2" s="1"/>
  <c r="Z27" i="2"/>
  <c r="Z25" i="2"/>
  <c r="Z23" i="2"/>
  <c r="Z21" i="2"/>
  <c r="V20" i="2"/>
  <c r="V23" i="2"/>
  <c r="L23" i="2"/>
  <c r="AD23" i="2" s="1"/>
  <c r="L27" i="2"/>
  <c r="AD27" i="2" s="1"/>
  <c r="J26" i="2"/>
  <c r="AB26" i="2" s="1"/>
  <c r="J22" i="2"/>
  <c r="AB22" i="2" s="1"/>
  <c r="K27" i="2"/>
  <c r="AC27" i="2" s="1"/>
  <c r="K23" i="2"/>
  <c r="AC23" i="2" s="1"/>
  <c r="AA22" i="2"/>
  <c r="V21" i="2"/>
  <c r="V22" i="2"/>
  <c r="V24" i="2"/>
  <c r="L20" i="2"/>
  <c r="AD20" i="2" s="1"/>
  <c r="L24" i="2"/>
  <c r="AD24" i="2" s="1"/>
  <c r="L28" i="2"/>
  <c r="AD28" i="2" s="1"/>
  <c r="J25" i="2"/>
  <c r="AB25" i="2" s="1"/>
  <c r="J21" i="2"/>
  <c r="AB21" i="2" s="1"/>
  <c r="J27" i="2"/>
  <c r="AB27" i="2" s="1"/>
  <c r="Z28" i="2"/>
  <c r="Z24" i="2"/>
  <c r="Z20" i="2"/>
  <c r="V25" i="2"/>
  <c r="V27" i="2"/>
  <c r="L21" i="2"/>
  <c r="AD21" i="2" s="1"/>
  <c r="L25" i="2"/>
  <c r="AD25" i="2" s="1"/>
  <c r="J28" i="2"/>
  <c r="AB28" i="2" s="1"/>
  <c r="J24" i="2"/>
  <c r="AB24" i="2" s="1"/>
  <c r="J20" i="2"/>
  <c r="AB20" i="2" s="1"/>
  <c r="K25" i="2"/>
  <c r="AC25" i="2" s="1"/>
  <c r="K21" i="2"/>
  <c r="AC21" i="2" s="1"/>
  <c r="J19" i="2"/>
  <c r="AB19" i="2" s="1"/>
  <c r="L19" i="2"/>
  <c r="AD19" i="2" s="1"/>
  <c r="V19" i="2"/>
  <c r="K19" i="2"/>
  <c r="AC19" i="2" s="1"/>
  <c r="Z19" i="2"/>
  <c r="AA29" i="2"/>
  <c r="P11" i="2"/>
  <c r="Q7" i="2"/>
  <c r="P469" i="2"/>
  <c r="P7" i="2"/>
  <c r="R469" i="2"/>
  <c r="Q469" i="2"/>
  <c r="I393" i="2"/>
  <c r="AA393" i="2" s="1"/>
  <c r="I360" i="2"/>
  <c r="AA360" i="2" s="1"/>
  <c r="I245" i="2"/>
  <c r="AA245" i="2" s="1"/>
  <c r="W22" i="2"/>
  <c r="W31" i="2"/>
  <c r="G357" i="2"/>
  <c r="Y357" i="2" s="1"/>
  <c r="I434" i="2"/>
  <c r="AA434" i="2" s="1"/>
  <c r="I400" i="2"/>
  <c r="AA400" i="2" s="1"/>
  <c r="I348" i="2"/>
  <c r="AA348" i="2" s="1"/>
  <c r="I225" i="2"/>
  <c r="AA225" i="2" s="1"/>
  <c r="I405" i="2"/>
  <c r="AA405" i="2" s="1"/>
  <c r="I386" i="2"/>
  <c r="AA386" i="2" s="1"/>
  <c r="W26" i="2"/>
  <c r="I63" i="2"/>
  <c r="AA63" i="2" s="1"/>
  <c r="I97" i="2"/>
  <c r="AA97" i="2" s="1"/>
  <c r="I101" i="2"/>
  <c r="AA101" i="2" s="1"/>
  <c r="I108" i="2"/>
  <c r="AA108" i="2" s="1"/>
  <c r="I121" i="2"/>
  <c r="AA121" i="2" s="1"/>
  <c r="I125" i="2"/>
  <c r="AA125" i="2" s="1"/>
  <c r="I129" i="2"/>
  <c r="AA129" i="2" s="1"/>
  <c r="I134" i="2"/>
  <c r="AA134" i="2" s="1"/>
  <c r="I140" i="2"/>
  <c r="AA140" i="2" s="1"/>
  <c r="I147" i="2"/>
  <c r="AA147" i="2" s="1"/>
  <c r="I151" i="2"/>
  <c r="AA151" i="2" s="1"/>
  <c r="I155" i="2"/>
  <c r="AA155" i="2" s="1"/>
  <c r="I157" i="2"/>
  <c r="AA157" i="2" s="1"/>
  <c r="I162" i="2"/>
  <c r="AA162" i="2" s="1"/>
  <c r="I168" i="2"/>
  <c r="AA168" i="2" s="1"/>
  <c r="I218" i="2"/>
  <c r="AA218" i="2" s="1"/>
  <c r="I222" i="2"/>
  <c r="AA222" i="2" s="1"/>
  <c r="I224" i="2"/>
  <c r="AA224" i="2" s="1"/>
  <c r="I228" i="2"/>
  <c r="AA228" i="2" s="1"/>
  <c r="I246" i="2"/>
  <c r="AA246" i="2" s="1"/>
  <c r="I248" i="2"/>
  <c r="AA248" i="2" s="1"/>
  <c r="I250" i="2"/>
  <c r="AA250" i="2" s="1"/>
  <c r="I254" i="2"/>
  <c r="AA254" i="2" s="1"/>
  <c r="I256" i="2"/>
  <c r="AA256" i="2" s="1"/>
  <c r="I289" i="2"/>
  <c r="AA289" i="2" s="1"/>
  <c r="I295" i="2"/>
  <c r="AA295" i="2" s="1"/>
  <c r="I297" i="2"/>
  <c r="AA297" i="2" s="1"/>
  <c r="I319" i="2"/>
  <c r="AA319" i="2" s="1"/>
  <c r="I321" i="2"/>
  <c r="AA321" i="2" s="1"/>
  <c r="I323" i="2"/>
  <c r="AA323" i="2" s="1"/>
  <c r="I328" i="2"/>
  <c r="AA328" i="2" s="1"/>
  <c r="I330" i="2"/>
  <c r="AA330" i="2" s="1"/>
  <c r="I332" i="2"/>
  <c r="AA332" i="2" s="1"/>
  <c r="I334" i="2"/>
  <c r="AA334" i="2" s="1"/>
  <c r="I336" i="2"/>
  <c r="AA336" i="2" s="1"/>
  <c r="I338" i="2"/>
  <c r="AA338" i="2" s="1"/>
  <c r="I340" i="2"/>
  <c r="AA340" i="2" s="1"/>
  <c r="I343" i="2"/>
  <c r="AA343" i="2" s="1"/>
  <c r="I345" i="2"/>
  <c r="AA345" i="2" s="1"/>
  <c r="I347" i="2"/>
  <c r="AA347" i="2" s="1"/>
  <c r="I351" i="2"/>
  <c r="AA351" i="2" s="1"/>
  <c r="I353" i="2"/>
  <c r="AA353" i="2" s="1"/>
  <c r="I356" i="2"/>
  <c r="AA356" i="2" s="1"/>
  <c r="I358" i="2"/>
  <c r="AA358" i="2" s="1"/>
  <c r="I362" i="2"/>
  <c r="AA362" i="2" s="1"/>
  <c r="I379" i="2"/>
  <c r="AA379" i="2" s="1"/>
  <c r="I381" i="2"/>
  <c r="AA381" i="2" s="1"/>
  <c r="I384" i="2"/>
  <c r="AA384" i="2" s="1"/>
  <c r="I388" i="2"/>
  <c r="AA388" i="2" s="1"/>
  <c r="I394" i="2"/>
  <c r="AA394" i="2" s="1"/>
  <c r="I399" i="2"/>
  <c r="AA399" i="2" s="1"/>
  <c r="I401" i="2"/>
  <c r="AA401" i="2" s="1"/>
  <c r="I403" i="2"/>
  <c r="AA403" i="2" s="1"/>
  <c r="I407" i="2"/>
  <c r="AA407" i="2" s="1"/>
  <c r="G409" i="2"/>
  <c r="Y409" i="2" s="1"/>
  <c r="G427" i="2"/>
  <c r="Y427" i="2" s="1"/>
  <c r="I431" i="2"/>
  <c r="AA431" i="2" s="1"/>
  <c r="I437" i="2"/>
  <c r="AA437" i="2" s="1"/>
  <c r="G150" i="2"/>
  <c r="Y150" i="2" s="1"/>
  <c r="G391" i="2"/>
  <c r="Y391" i="2" s="1"/>
  <c r="I433" i="2"/>
  <c r="AA433" i="2" s="1"/>
  <c r="I428" i="2"/>
  <c r="AA428" i="2" s="1"/>
  <c r="I389" i="2"/>
  <c r="AA389" i="2" s="1"/>
  <c r="I363" i="2"/>
  <c r="AA363" i="2" s="1"/>
  <c r="I357" i="2"/>
  <c r="AA357" i="2" s="1"/>
  <c r="I346" i="2"/>
  <c r="AA346" i="2" s="1"/>
  <c r="I335" i="2"/>
  <c r="AA335" i="2" s="1"/>
  <c r="I294" i="2"/>
  <c r="AA294" i="2" s="1"/>
  <c r="I223" i="2"/>
  <c r="AA223" i="2" s="1"/>
  <c r="W19" i="2"/>
  <c r="W23" i="2"/>
  <c r="W27" i="2"/>
  <c r="W32" i="2"/>
  <c r="I95" i="2"/>
  <c r="AA95" i="2" s="1"/>
  <c r="I99" i="2"/>
  <c r="AA99" i="2" s="1"/>
  <c r="I104" i="2"/>
  <c r="AA104" i="2" s="1"/>
  <c r="I106" i="2"/>
  <c r="AA106" i="2" s="1"/>
  <c r="I123" i="2"/>
  <c r="AA123" i="2" s="1"/>
  <c r="I127" i="2"/>
  <c r="AA127" i="2" s="1"/>
  <c r="I132" i="2"/>
  <c r="AA132" i="2" s="1"/>
  <c r="I136" i="2"/>
  <c r="AA136" i="2" s="1"/>
  <c r="I138" i="2"/>
  <c r="AA138" i="2" s="1"/>
  <c r="I142" i="2"/>
  <c r="AA142" i="2" s="1"/>
  <c r="I144" i="2"/>
  <c r="AA144" i="2" s="1"/>
  <c r="I149" i="2"/>
  <c r="AA149" i="2" s="1"/>
  <c r="I153" i="2"/>
  <c r="AA153" i="2" s="1"/>
  <c r="I160" i="2"/>
  <c r="AA160" i="2" s="1"/>
  <c r="I164" i="2"/>
  <c r="AA164" i="2" s="1"/>
  <c r="I166" i="2"/>
  <c r="AA166" i="2" s="1"/>
  <c r="I216" i="2"/>
  <c r="AA216" i="2" s="1"/>
  <c r="I220" i="2"/>
  <c r="AA220" i="2" s="1"/>
  <c r="I226" i="2"/>
  <c r="AA226" i="2" s="1"/>
  <c r="G227" i="2"/>
  <c r="Y227" i="2" s="1"/>
  <c r="G247" i="2"/>
  <c r="Y247" i="2" s="1"/>
  <c r="G296" i="2"/>
  <c r="Y296" i="2" s="1"/>
  <c r="G298" i="2"/>
  <c r="Y298" i="2" s="1"/>
  <c r="G331" i="2"/>
  <c r="Y331" i="2" s="1"/>
  <c r="G333" i="2"/>
  <c r="Y333" i="2" s="1"/>
  <c r="G322" i="2"/>
  <c r="Y322" i="2" s="1"/>
  <c r="I438" i="2"/>
  <c r="AA438" i="2" s="1"/>
  <c r="I410" i="2"/>
  <c r="AA410" i="2" s="1"/>
  <c r="I404" i="2"/>
  <c r="AA404" i="2" s="1"/>
  <c r="I395" i="2"/>
  <c r="AA395" i="2" s="1"/>
  <c r="I382" i="2"/>
  <c r="AA382" i="2" s="1"/>
  <c r="I354" i="2"/>
  <c r="AA354" i="2" s="1"/>
  <c r="I326" i="2"/>
  <c r="AA326" i="2" s="1"/>
  <c r="I290" i="2"/>
  <c r="AA290" i="2" s="1"/>
  <c r="I255" i="2"/>
  <c r="AA255" i="2" s="1"/>
  <c r="I217" i="2"/>
  <c r="AA217" i="2" s="1"/>
  <c r="W20" i="2"/>
  <c r="W24" i="2"/>
  <c r="W28" i="2"/>
  <c r="I219" i="2"/>
  <c r="AA219" i="2" s="1"/>
  <c r="I227" i="2"/>
  <c r="AA227" i="2" s="1"/>
  <c r="I247" i="2"/>
  <c r="AA247" i="2" s="1"/>
  <c r="I249" i="2"/>
  <c r="AA249" i="2" s="1"/>
  <c r="I251" i="2"/>
  <c r="AA251" i="2" s="1"/>
  <c r="I258" i="2"/>
  <c r="AA258" i="2" s="1"/>
  <c r="I320" i="2"/>
  <c r="AA320" i="2" s="1"/>
  <c r="I324" i="2"/>
  <c r="AA324" i="2" s="1"/>
  <c r="I329" i="2"/>
  <c r="AA329" i="2" s="1"/>
  <c r="I331" i="2"/>
  <c r="AA331" i="2" s="1"/>
  <c r="I333" i="2"/>
  <c r="AA333" i="2" s="1"/>
  <c r="I337" i="2"/>
  <c r="AA337" i="2" s="1"/>
  <c r="I342" i="2"/>
  <c r="AA342" i="2" s="1"/>
  <c r="I352" i="2"/>
  <c r="AA352" i="2" s="1"/>
  <c r="I359" i="2"/>
  <c r="AA359" i="2" s="1"/>
  <c r="I380" i="2"/>
  <c r="AA380" i="2" s="1"/>
  <c r="I385" i="2"/>
  <c r="AA385" i="2" s="1"/>
  <c r="I398" i="2"/>
  <c r="AA398" i="2" s="1"/>
  <c r="I402" i="2"/>
  <c r="AA402" i="2" s="1"/>
  <c r="I408" i="2"/>
  <c r="AA408" i="2" s="1"/>
  <c r="I426" i="2"/>
  <c r="AA426" i="2" s="1"/>
  <c r="I432" i="2"/>
  <c r="AA432" i="2" s="1"/>
  <c r="I436" i="2"/>
  <c r="AA436" i="2" s="1"/>
  <c r="G253" i="2"/>
  <c r="Y253" i="2" s="1"/>
  <c r="G339" i="2"/>
  <c r="Y339" i="2" s="1"/>
  <c r="G426" i="2"/>
  <c r="Y426" i="2" s="1"/>
  <c r="I430" i="2"/>
  <c r="AA430" i="2" s="1"/>
  <c r="I406" i="2"/>
  <c r="AA406" i="2" s="1"/>
  <c r="I387" i="2"/>
  <c r="AA387" i="2" s="1"/>
  <c r="I361" i="2"/>
  <c r="AA361" i="2" s="1"/>
  <c r="I350" i="2"/>
  <c r="AA350" i="2" s="1"/>
  <c r="I344" i="2"/>
  <c r="AA344" i="2" s="1"/>
  <c r="I322" i="2"/>
  <c r="AA322" i="2" s="1"/>
  <c r="I298" i="2"/>
  <c r="AA298" i="2" s="1"/>
  <c r="W21" i="2"/>
  <c r="W25" i="2"/>
  <c r="W29" i="2"/>
  <c r="G99" i="2"/>
  <c r="Y99" i="2" s="1"/>
  <c r="G101" i="2"/>
  <c r="Y101" i="2" s="1"/>
  <c r="G108" i="2"/>
  <c r="Y108" i="2" s="1"/>
  <c r="G149" i="2"/>
  <c r="Y149" i="2" s="1"/>
  <c r="G168" i="2"/>
  <c r="Y168" i="2" s="1"/>
  <c r="G336" i="2"/>
  <c r="Y336" i="2" s="1"/>
  <c r="G28" i="2"/>
  <c r="Y28" i="2" s="1"/>
  <c r="I427" i="2"/>
  <c r="AA427" i="2" s="1"/>
  <c r="I435" i="2"/>
  <c r="AA435" i="2" s="1"/>
  <c r="G435" i="2"/>
  <c r="Y435" i="2" s="1"/>
  <c r="G392" i="2"/>
  <c r="Y392" i="2" s="1"/>
  <c r="I409" i="2"/>
  <c r="AA409" i="2" s="1"/>
  <c r="G401" i="2"/>
  <c r="Y401" i="2" s="1"/>
  <c r="G408" i="2"/>
  <c r="Y408" i="2" s="1"/>
  <c r="G343" i="2"/>
  <c r="Y343" i="2" s="1"/>
  <c r="G345" i="2"/>
  <c r="Y345" i="2" s="1"/>
  <c r="G351" i="2"/>
  <c r="Y351" i="2" s="1"/>
  <c r="G353" i="2"/>
  <c r="Y353" i="2" s="1"/>
  <c r="G360" i="2"/>
  <c r="Y360" i="2" s="1"/>
  <c r="G362" i="2"/>
  <c r="Y362" i="2" s="1"/>
  <c r="G379" i="2"/>
  <c r="Y379" i="2" s="1"/>
  <c r="G386" i="2"/>
  <c r="Y386" i="2" s="1"/>
  <c r="G388" i="2"/>
  <c r="Y388" i="2" s="1"/>
  <c r="G390" i="2"/>
  <c r="Y390" i="2" s="1"/>
  <c r="G394" i="2"/>
  <c r="Y394" i="2" s="1"/>
  <c r="G396" i="2"/>
  <c r="Y396" i="2" s="1"/>
  <c r="G399" i="2"/>
  <c r="Y399" i="2" s="1"/>
  <c r="G403" i="2"/>
  <c r="Y403" i="2" s="1"/>
  <c r="G405" i="2"/>
  <c r="Y405" i="2" s="1"/>
  <c r="G407" i="2"/>
  <c r="Y407" i="2" s="1"/>
  <c r="G429" i="2"/>
  <c r="Y429" i="2" s="1"/>
  <c r="G431" i="2"/>
  <c r="Y431" i="2" s="1"/>
  <c r="G433" i="2"/>
  <c r="Y433" i="2" s="1"/>
  <c r="G437" i="2"/>
  <c r="Y437" i="2" s="1"/>
  <c r="H32" i="2"/>
  <c r="Z32" i="2" s="1"/>
  <c r="G32" i="2"/>
  <c r="Y32" i="2" s="1"/>
  <c r="H63" i="2"/>
  <c r="Z63" i="2" s="1"/>
  <c r="G63" i="2"/>
  <c r="Y63" i="2" s="1"/>
  <c r="H97" i="2"/>
  <c r="Z97" i="2" s="1"/>
  <c r="G97" i="2"/>
  <c r="Y97" i="2" s="1"/>
  <c r="G104" i="2"/>
  <c r="Y104" i="2" s="1"/>
  <c r="G127" i="2"/>
  <c r="Y127" i="2" s="1"/>
  <c r="H168" i="2"/>
  <c r="Z168" i="2" s="1"/>
  <c r="H26" i="2"/>
  <c r="Z26" i="2" s="1"/>
  <c r="G26" i="2"/>
  <c r="Y26" i="2" s="1"/>
  <c r="H102" i="2"/>
  <c r="Z102" i="2" s="1"/>
  <c r="G102" i="2"/>
  <c r="Y102" i="2" s="1"/>
  <c r="H107" i="2"/>
  <c r="Z107" i="2" s="1"/>
  <c r="G107" i="2"/>
  <c r="Y107" i="2" s="1"/>
  <c r="H122" i="2"/>
  <c r="Z122" i="2" s="1"/>
  <c r="G122" i="2"/>
  <c r="Y122" i="2" s="1"/>
  <c r="H130" i="2"/>
  <c r="Z130" i="2" s="1"/>
  <c r="G130" i="2"/>
  <c r="Y130" i="2" s="1"/>
  <c r="H137" i="2"/>
  <c r="Z137" i="2" s="1"/>
  <c r="G137" i="2"/>
  <c r="Y137" i="2" s="1"/>
  <c r="H141" i="2"/>
  <c r="Z141" i="2" s="1"/>
  <c r="G141" i="2"/>
  <c r="Y141" i="2" s="1"/>
  <c r="H143" i="2"/>
  <c r="Z143" i="2" s="1"/>
  <c r="G143" i="2"/>
  <c r="Y143" i="2" s="1"/>
  <c r="H154" i="2"/>
  <c r="Z154" i="2" s="1"/>
  <c r="G154" i="2"/>
  <c r="Y154" i="2" s="1"/>
  <c r="H158" i="2"/>
  <c r="Z158" i="2" s="1"/>
  <c r="G158" i="2"/>
  <c r="Y158" i="2" s="1"/>
  <c r="H165" i="2"/>
  <c r="Z165" i="2" s="1"/>
  <c r="G165" i="2"/>
  <c r="Y165" i="2" s="1"/>
  <c r="H223" i="2"/>
  <c r="Z223" i="2" s="1"/>
  <c r="G223" i="2"/>
  <c r="Y223" i="2" s="1"/>
  <c r="H225" i="2"/>
  <c r="Z225" i="2" s="1"/>
  <c r="G225" i="2"/>
  <c r="Y225" i="2" s="1"/>
  <c r="H249" i="2"/>
  <c r="Z249" i="2" s="1"/>
  <c r="G249" i="2"/>
  <c r="Y249" i="2" s="1"/>
  <c r="G255" i="2"/>
  <c r="Y255" i="2" s="1"/>
  <c r="H255" i="2"/>
  <c r="Z255" i="2" s="1"/>
  <c r="H258" i="2"/>
  <c r="Z258" i="2" s="1"/>
  <c r="G258" i="2"/>
  <c r="Y258" i="2" s="1"/>
  <c r="G290" i="2"/>
  <c r="Y290" i="2" s="1"/>
  <c r="H290" i="2"/>
  <c r="Z290" i="2" s="1"/>
  <c r="H292" i="2"/>
  <c r="Z292" i="2" s="1"/>
  <c r="G292" i="2"/>
  <c r="Y292" i="2" s="1"/>
  <c r="H294" i="2"/>
  <c r="Z294" i="2" s="1"/>
  <c r="G294" i="2"/>
  <c r="Y294" i="2" s="1"/>
  <c r="H320" i="2"/>
  <c r="Z320" i="2" s="1"/>
  <c r="G320" i="2"/>
  <c r="Y320" i="2" s="1"/>
  <c r="G324" i="2"/>
  <c r="Y324" i="2" s="1"/>
  <c r="H324" i="2"/>
  <c r="Z324" i="2" s="1"/>
  <c r="H326" i="2"/>
  <c r="Z326" i="2" s="1"/>
  <c r="G326" i="2"/>
  <c r="Y326" i="2" s="1"/>
  <c r="H329" i="2"/>
  <c r="Z329" i="2" s="1"/>
  <c r="G329" i="2"/>
  <c r="Y329" i="2" s="1"/>
  <c r="H335" i="2"/>
  <c r="Z335" i="2" s="1"/>
  <c r="G335" i="2"/>
  <c r="Y335" i="2" s="1"/>
  <c r="H337" i="2"/>
  <c r="Z337" i="2" s="1"/>
  <c r="G337" i="2"/>
  <c r="Y337" i="2" s="1"/>
  <c r="H342" i="2"/>
  <c r="Z342" i="2" s="1"/>
  <c r="G342" i="2"/>
  <c r="Y342" i="2" s="1"/>
  <c r="H344" i="2"/>
  <c r="Z344" i="2" s="1"/>
  <c r="G344" i="2"/>
  <c r="Y344" i="2" s="1"/>
  <c r="H346" i="2"/>
  <c r="Z346" i="2" s="1"/>
  <c r="G346" i="2"/>
  <c r="Y346" i="2" s="1"/>
  <c r="H350" i="2"/>
  <c r="Z350" i="2" s="1"/>
  <c r="G350" i="2"/>
  <c r="Y350" i="2" s="1"/>
  <c r="H352" i="2"/>
  <c r="Z352" i="2" s="1"/>
  <c r="G352" i="2"/>
  <c r="Y352" i="2" s="1"/>
  <c r="H354" i="2"/>
  <c r="Z354" i="2" s="1"/>
  <c r="G354" i="2"/>
  <c r="Y354" i="2" s="1"/>
  <c r="H359" i="2"/>
  <c r="Z359" i="2" s="1"/>
  <c r="G359" i="2"/>
  <c r="Y359" i="2" s="1"/>
  <c r="H361" i="2"/>
  <c r="Z361" i="2" s="1"/>
  <c r="G361" i="2"/>
  <c r="Y361" i="2" s="1"/>
  <c r="H363" i="2"/>
  <c r="Z363" i="2" s="1"/>
  <c r="G363" i="2"/>
  <c r="Y363" i="2" s="1"/>
  <c r="H380" i="2"/>
  <c r="Z380" i="2" s="1"/>
  <c r="G380" i="2"/>
  <c r="Y380" i="2" s="1"/>
  <c r="H385" i="2"/>
  <c r="Z385" i="2" s="1"/>
  <c r="G385" i="2"/>
  <c r="Y385" i="2" s="1"/>
  <c r="H387" i="2"/>
  <c r="Z387" i="2" s="1"/>
  <c r="G387" i="2"/>
  <c r="Y387" i="2" s="1"/>
  <c r="H389" i="2"/>
  <c r="Z389" i="2" s="1"/>
  <c r="G389" i="2"/>
  <c r="Y389" i="2" s="1"/>
  <c r="H393" i="2"/>
  <c r="Z393" i="2" s="1"/>
  <c r="G393" i="2"/>
  <c r="Y393" i="2" s="1"/>
  <c r="H395" i="2"/>
  <c r="Z395" i="2" s="1"/>
  <c r="G395" i="2"/>
  <c r="Y395" i="2" s="1"/>
  <c r="H398" i="2"/>
  <c r="Z398" i="2" s="1"/>
  <c r="G398" i="2"/>
  <c r="Y398" i="2" s="1"/>
  <c r="H402" i="2"/>
  <c r="Z402" i="2" s="1"/>
  <c r="G402" i="2"/>
  <c r="Y402" i="2" s="1"/>
  <c r="H404" i="2"/>
  <c r="Z404" i="2" s="1"/>
  <c r="G404" i="2"/>
  <c r="Y404" i="2" s="1"/>
  <c r="H406" i="2"/>
  <c r="Z406" i="2" s="1"/>
  <c r="G406" i="2"/>
  <c r="Y406" i="2" s="1"/>
  <c r="H410" i="2"/>
  <c r="Z410" i="2" s="1"/>
  <c r="G410" i="2"/>
  <c r="Y410" i="2" s="1"/>
  <c r="H428" i="2"/>
  <c r="Z428" i="2" s="1"/>
  <c r="G428" i="2"/>
  <c r="Y428" i="2" s="1"/>
  <c r="H430" i="2"/>
  <c r="Z430" i="2" s="1"/>
  <c r="G430" i="2"/>
  <c r="Y430" i="2" s="1"/>
  <c r="H432" i="2"/>
  <c r="Z432" i="2" s="1"/>
  <c r="G432" i="2"/>
  <c r="Y432" i="2" s="1"/>
  <c r="H436" i="2"/>
  <c r="Z436" i="2" s="1"/>
  <c r="G436" i="2"/>
  <c r="Y436" i="2" s="1"/>
  <c r="H438" i="2"/>
  <c r="Z438" i="2" s="1"/>
  <c r="G438" i="2"/>
  <c r="Y438" i="2" s="1"/>
  <c r="G19" i="2"/>
  <c r="Y19" i="2" s="1"/>
  <c r="G24" i="2"/>
  <c r="Y24" i="2" s="1"/>
  <c r="G29" i="2"/>
  <c r="Y29" i="2" s="1"/>
  <c r="G94" i="2"/>
  <c r="Y94" i="2" s="1"/>
  <c r="G106" i="2"/>
  <c r="Y106" i="2" s="1"/>
  <c r="G128" i="2"/>
  <c r="Y128" i="2" s="1"/>
  <c r="G140" i="2"/>
  <c r="Y140" i="2" s="1"/>
  <c r="G151" i="2"/>
  <c r="Y151" i="2" s="1"/>
  <c r="G163" i="2"/>
  <c r="Y163" i="2" s="1"/>
  <c r="G220" i="2"/>
  <c r="Y220" i="2" s="1"/>
  <c r="G254" i="2"/>
  <c r="Y254" i="2" s="1"/>
  <c r="G289" i="2"/>
  <c r="Y289" i="2" s="1"/>
  <c r="G323" i="2"/>
  <c r="Y323" i="2" s="1"/>
  <c r="G340" i="2"/>
  <c r="Y340" i="2" s="1"/>
  <c r="G358" i="2"/>
  <c r="Y358" i="2" s="1"/>
  <c r="H351" i="2"/>
  <c r="Z351" i="2" s="1"/>
  <c r="H331" i="2"/>
  <c r="Z331" i="2" s="1"/>
  <c r="H296" i="2"/>
  <c r="Z296" i="2" s="1"/>
  <c r="H227" i="2"/>
  <c r="Z227" i="2" s="1"/>
  <c r="H95" i="2"/>
  <c r="Z95" i="2" s="1"/>
  <c r="G95" i="2"/>
  <c r="Y95" i="2" s="1"/>
  <c r="G23" i="2"/>
  <c r="Y23" i="2" s="1"/>
  <c r="G138" i="2"/>
  <c r="Y138" i="2" s="1"/>
  <c r="G162" i="2"/>
  <c r="Y162" i="2" s="1"/>
  <c r="H22" i="2"/>
  <c r="Z22" i="2" s="1"/>
  <c r="G22" i="2"/>
  <c r="Y22" i="2" s="1"/>
  <c r="H31" i="2"/>
  <c r="Z31" i="2" s="1"/>
  <c r="G31" i="2"/>
  <c r="Y31" i="2" s="1"/>
  <c r="H62" i="2"/>
  <c r="Z62" i="2" s="1"/>
  <c r="G62" i="2"/>
  <c r="Y62" i="2" s="1"/>
  <c r="H96" i="2"/>
  <c r="Z96" i="2" s="1"/>
  <c r="G96" i="2"/>
  <c r="Y96" i="2" s="1"/>
  <c r="H100" i="2"/>
  <c r="Z100" i="2" s="1"/>
  <c r="G100" i="2"/>
  <c r="Y100" i="2" s="1"/>
  <c r="H105" i="2"/>
  <c r="Z105" i="2" s="1"/>
  <c r="G105" i="2"/>
  <c r="Y105" i="2" s="1"/>
  <c r="H124" i="2"/>
  <c r="Z124" i="2" s="1"/>
  <c r="G124" i="2"/>
  <c r="Y124" i="2" s="1"/>
  <c r="H126" i="2"/>
  <c r="Z126" i="2" s="1"/>
  <c r="G126" i="2"/>
  <c r="Y126" i="2" s="1"/>
  <c r="H135" i="2"/>
  <c r="Z135" i="2" s="1"/>
  <c r="G135" i="2"/>
  <c r="Y135" i="2" s="1"/>
  <c r="H139" i="2"/>
  <c r="Z139" i="2" s="1"/>
  <c r="G139" i="2"/>
  <c r="Y139" i="2" s="1"/>
  <c r="H148" i="2"/>
  <c r="Z148" i="2" s="1"/>
  <c r="G148" i="2"/>
  <c r="Y148" i="2" s="1"/>
  <c r="H152" i="2"/>
  <c r="Z152" i="2" s="1"/>
  <c r="G152" i="2"/>
  <c r="Y152" i="2" s="1"/>
  <c r="H156" i="2"/>
  <c r="Z156" i="2" s="1"/>
  <c r="G156" i="2"/>
  <c r="Y156" i="2" s="1"/>
  <c r="H161" i="2"/>
  <c r="Z161" i="2" s="1"/>
  <c r="G161" i="2"/>
  <c r="Y161" i="2" s="1"/>
  <c r="H217" i="2"/>
  <c r="Z217" i="2" s="1"/>
  <c r="G217" i="2"/>
  <c r="Y217" i="2" s="1"/>
  <c r="G221" i="2"/>
  <c r="Y221" i="2" s="1"/>
  <c r="H221" i="2"/>
  <c r="Z221" i="2" s="1"/>
  <c r="H251" i="2"/>
  <c r="Z251" i="2" s="1"/>
  <c r="G251" i="2"/>
  <c r="Y251" i="2" s="1"/>
  <c r="G20" i="2"/>
  <c r="Y20" i="2" s="1"/>
  <c r="G25" i="2"/>
  <c r="Y25" i="2" s="1"/>
  <c r="G98" i="2"/>
  <c r="Y98" i="2" s="1"/>
  <c r="G121" i="2"/>
  <c r="Y121" i="2" s="1"/>
  <c r="G133" i="2"/>
  <c r="Y133" i="2" s="1"/>
  <c r="G144" i="2"/>
  <c r="Y144" i="2" s="1"/>
  <c r="G155" i="2"/>
  <c r="Y155" i="2" s="1"/>
  <c r="G167" i="2"/>
  <c r="Y167" i="2" s="1"/>
  <c r="G245" i="2"/>
  <c r="Y245" i="2" s="1"/>
  <c r="G348" i="2"/>
  <c r="Y348" i="2" s="1"/>
  <c r="G382" i="2"/>
  <c r="Y382" i="2" s="1"/>
  <c r="G400" i="2"/>
  <c r="Y400" i="2" s="1"/>
  <c r="G434" i="2"/>
  <c r="Y434" i="2" s="1"/>
  <c r="H353" i="2"/>
  <c r="Z353" i="2" s="1"/>
  <c r="H336" i="2"/>
  <c r="Z336" i="2" s="1"/>
  <c r="H333" i="2"/>
  <c r="Z333" i="2" s="1"/>
  <c r="H298" i="2"/>
  <c r="Z298" i="2" s="1"/>
  <c r="H99" i="2"/>
  <c r="Z99" i="2" s="1"/>
  <c r="H125" i="2"/>
  <c r="Z125" i="2" s="1"/>
  <c r="G125" i="2"/>
  <c r="Y125" i="2" s="1"/>
  <c r="H129" i="2"/>
  <c r="Z129" i="2" s="1"/>
  <c r="G129" i="2"/>
  <c r="Y129" i="2" s="1"/>
  <c r="H132" i="2"/>
  <c r="Z132" i="2" s="1"/>
  <c r="G132" i="2"/>
  <c r="Y132" i="2" s="1"/>
  <c r="H136" i="2"/>
  <c r="Z136" i="2" s="1"/>
  <c r="G136" i="2"/>
  <c r="Y136" i="2" s="1"/>
  <c r="H142" i="2"/>
  <c r="Z142" i="2" s="1"/>
  <c r="G142" i="2"/>
  <c r="Y142" i="2" s="1"/>
  <c r="H147" i="2"/>
  <c r="Z147" i="2" s="1"/>
  <c r="G147" i="2"/>
  <c r="Y147" i="2" s="1"/>
  <c r="H153" i="2"/>
  <c r="Z153" i="2" s="1"/>
  <c r="G153" i="2"/>
  <c r="Y153" i="2" s="1"/>
  <c r="H160" i="2"/>
  <c r="Z160" i="2" s="1"/>
  <c r="G160" i="2"/>
  <c r="Y160" i="2" s="1"/>
  <c r="H164" i="2"/>
  <c r="Z164" i="2" s="1"/>
  <c r="G164" i="2"/>
  <c r="Y164" i="2" s="1"/>
  <c r="H166" i="2"/>
  <c r="Z166" i="2" s="1"/>
  <c r="G166" i="2"/>
  <c r="Y166" i="2" s="1"/>
  <c r="H216" i="2"/>
  <c r="Z216" i="2" s="1"/>
  <c r="G216" i="2"/>
  <c r="Y216" i="2" s="1"/>
  <c r="H218" i="2"/>
  <c r="Z218" i="2" s="1"/>
  <c r="G218" i="2"/>
  <c r="Y218" i="2" s="1"/>
  <c r="H222" i="2"/>
  <c r="Z222" i="2" s="1"/>
  <c r="G222" i="2"/>
  <c r="Y222" i="2" s="1"/>
  <c r="H224" i="2"/>
  <c r="Z224" i="2" s="1"/>
  <c r="G224" i="2"/>
  <c r="Y224" i="2" s="1"/>
  <c r="H226" i="2"/>
  <c r="Z226" i="2" s="1"/>
  <c r="G226" i="2"/>
  <c r="Y226" i="2" s="1"/>
  <c r="H244" i="2"/>
  <c r="Z244" i="2" s="1"/>
  <c r="G244" i="2"/>
  <c r="Y244" i="2" s="1"/>
  <c r="H248" i="2"/>
  <c r="Z248" i="2" s="1"/>
  <c r="G248" i="2"/>
  <c r="Y248" i="2" s="1"/>
  <c r="H250" i="2"/>
  <c r="Z250" i="2" s="1"/>
  <c r="G250" i="2"/>
  <c r="Y250" i="2" s="1"/>
  <c r="H252" i="2"/>
  <c r="Z252" i="2" s="1"/>
  <c r="G252" i="2"/>
  <c r="Y252" i="2" s="1"/>
  <c r="H256" i="2"/>
  <c r="Z256" i="2" s="1"/>
  <c r="G256" i="2"/>
  <c r="Y256" i="2" s="1"/>
  <c r="H291" i="2"/>
  <c r="Z291" i="2" s="1"/>
  <c r="G291" i="2"/>
  <c r="Y291" i="2" s="1"/>
  <c r="H293" i="2"/>
  <c r="Z293" i="2" s="1"/>
  <c r="G293" i="2"/>
  <c r="Y293" i="2" s="1"/>
  <c r="H295" i="2"/>
  <c r="Z295" i="2" s="1"/>
  <c r="G295" i="2"/>
  <c r="Y295" i="2" s="1"/>
  <c r="H319" i="2"/>
  <c r="Z319" i="2" s="1"/>
  <c r="G319" i="2"/>
  <c r="Y319" i="2" s="1"/>
  <c r="H321" i="2"/>
  <c r="Z321" i="2" s="1"/>
  <c r="G321" i="2"/>
  <c r="Y321" i="2" s="1"/>
  <c r="H325" i="2"/>
  <c r="Z325" i="2" s="1"/>
  <c r="G325" i="2"/>
  <c r="Y325" i="2" s="1"/>
  <c r="H328" i="2"/>
  <c r="Z328" i="2" s="1"/>
  <c r="G328" i="2"/>
  <c r="Y328" i="2" s="1"/>
  <c r="H330" i="2"/>
  <c r="Z330" i="2" s="1"/>
  <c r="G330" i="2"/>
  <c r="Y330" i="2" s="1"/>
  <c r="H334" i="2"/>
  <c r="Z334" i="2" s="1"/>
  <c r="G334" i="2"/>
  <c r="Y334" i="2" s="1"/>
  <c r="G338" i="2"/>
  <c r="Y338" i="2" s="1"/>
  <c r="H338" i="2"/>
  <c r="Z338" i="2" s="1"/>
  <c r="G347" i="2"/>
  <c r="Y347" i="2" s="1"/>
  <c r="H347" i="2"/>
  <c r="Z347" i="2" s="1"/>
  <c r="G356" i="2"/>
  <c r="Y356" i="2" s="1"/>
  <c r="H356" i="2"/>
  <c r="Z356" i="2" s="1"/>
  <c r="G381" i="2"/>
  <c r="Y381" i="2" s="1"/>
  <c r="H381" i="2"/>
  <c r="Z381" i="2" s="1"/>
  <c r="G21" i="2"/>
  <c r="Y21" i="2" s="1"/>
  <c r="G27" i="2"/>
  <c r="Y27" i="2" s="1"/>
  <c r="G123" i="2"/>
  <c r="Y123" i="2" s="1"/>
  <c r="G134" i="2"/>
  <c r="Y134" i="2" s="1"/>
  <c r="G146" i="2"/>
  <c r="Y146" i="2" s="1"/>
  <c r="G157" i="2"/>
  <c r="Y157" i="2" s="1"/>
  <c r="G228" i="2"/>
  <c r="Y228" i="2" s="1"/>
  <c r="G246" i="2"/>
  <c r="Y246" i="2" s="1"/>
  <c r="G297" i="2"/>
  <c r="Y297" i="2" s="1"/>
  <c r="G332" i="2"/>
  <c r="Y332" i="2" s="1"/>
  <c r="G349" i="2"/>
  <c r="Y349" i="2" s="1"/>
  <c r="G384" i="2"/>
  <c r="Y384" i="2" s="1"/>
  <c r="H360" i="2"/>
  <c r="Z360" i="2" s="1"/>
  <c r="H343" i="2"/>
  <c r="Z343" i="2" s="1"/>
  <c r="H149" i="2"/>
  <c r="Z149" i="2" s="1"/>
  <c r="H108" i="2"/>
  <c r="Z108" i="2" s="1"/>
  <c r="H101" i="2"/>
  <c r="Z101" i="2" s="1"/>
  <c r="H433" i="2"/>
  <c r="Z433" i="2" s="1"/>
  <c r="H407" i="2"/>
  <c r="Z407" i="2" s="1"/>
  <c r="H399" i="2"/>
  <c r="Z399" i="2" s="1"/>
  <c r="H390" i="2"/>
  <c r="Z390" i="2" s="1"/>
  <c r="A3" i="16" l="1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C2" i="16"/>
  <c r="C3" i="16" s="1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P4" i="2" l="1"/>
  <c r="G214" i="2" l="1"/>
  <c r="Y214" i="2" s="1"/>
  <c r="I214" i="2"/>
  <c r="AA214" i="2" s="1"/>
  <c r="J214" i="2"/>
  <c r="AB214" i="2" s="1"/>
  <c r="L214" i="2"/>
  <c r="AD214" i="2" s="1"/>
  <c r="H214" i="2"/>
  <c r="Z214" i="2" s="1"/>
  <c r="K214" i="2"/>
  <c r="AC214" i="2" s="1"/>
  <c r="I303" i="2" l="1"/>
  <c r="AA303" i="2" s="1"/>
  <c r="H302" i="2"/>
  <c r="Z302" i="2" s="1"/>
  <c r="H301" i="2"/>
  <c r="Z301" i="2" s="1"/>
  <c r="L301" i="2" l="1"/>
  <c r="AD301" i="2" s="1"/>
  <c r="L302" i="2"/>
  <c r="AD302" i="2" s="1"/>
  <c r="K303" i="2"/>
  <c r="AC303" i="2" s="1"/>
  <c r="L300" i="2"/>
  <c r="AD300" i="2" s="1"/>
  <c r="I301" i="2"/>
  <c r="AA301" i="2" s="1"/>
  <c r="G302" i="2"/>
  <c r="Y302" i="2" s="1"/>
  <c r="I302" i="2"/>
  <c r="AA302" i="2" s="1"/>
  <c r="G301" i="2"/>
  <c r="Y301" i="2" s="1"/>
  <c r="K302" i="2"/>
  <c r="AC302" i="2" s="1"/>
  <c r="J301" i="2"/>
  <c r="AB301" i="2" s="1"/>
  <c r="K300" i="2"/>
  <c r="AC300" i="2" s="1"/>
  <c r="H300" i="2"/>
  <c r="Z300" i="2" s="1"/>
  <c r="L303" i="2"/>
  <c r="AD303" i="2" s="1"/>
  <c r="I300" i="2"/>
  <c r="AA300" i="2" s="1"/>
  <c r="H303" i="2"/>
  <c r="Z303" i="2" s="1"/>
  <c r="G300" i="2"/>
  <c r="Y300" i="2" s="1"/>
  <c r="K301" i="2"/>
  <c r="AC301" i="2" s="1"/>
  <c r="J300" i="2"/>
  <c r="AB300" i="2" s="1"/>
  <c r="G303" i="2"/>
  <c r="Y303" i="2" s="1"/>
  <c r="J302" i="2"/>
  <c r="AB302" i="2" s="1"/>
  <c r="J303" i="2"/>
  <c r="AB303" i="2" s="1"/>
  <c r="E61" i="2" l="1"/>
  <c r="D61" i="2"/>
  <c r="E57" i="2"/>
  <c r="W57" i="2" s="1"/>
  <c r="D57" i="2"/>
  <c r="V57" i="2" s="1"/>
  <c r="E59" i="2"/>
  <c r="W59" i="2" s="1"/>
  <c r="D59" i="2"/>
  <c r="E52" i="2"/>
  <c r="W52" i="2" s="1"/>
  <c r="D52" i="2"/>
  <c r="V52" i="2" s="1"/>
  <c r="D56" i="2"/>
  <c r="E55" i="2"/>
  <c r="D55" i="2"/>
  <c r="E54" i="2"/>
  <c r="D54" i="2"/>
  <c r="D53" i="2"/>
  <c r="V53" i="2" s="1"/>
  <c r="E60" i="2"/>
  <c r="W60" i="2" s="1"/>
  <c r="D60" i="2"/>
  <c r="E56" i="2"/>
  <c r="W56" i="2" s="1"/>
  <c r="E49" i="2"/>
  <c r="W49" i="2" s="1"/>
  <c r="D49" i="2"/>
  <c r="E50" i="2"/>
  <c r="D50" i="2"/>
  <c r="V50" i="2" s="1"/>
  <c r="E58" i="2"/>
  <c r="W58" i="2" s="1"/>
  <c r="D58" i="2"/>
  <c r="V58" i="2" s="1"/>
  <c r="E53" i="2"/>
  <c r="E51" i="2"/>
  <c r="D51" i="2"/>
  <c r="V51" i="2" s="1"/>
  <c r="H60" i="2" l="1"/>
  <c r="Z60" i="2" s="1"/>
  <c r="V60" i="2"/>
  <c r="I54" i="2"/>
  <c r="AA54" i="2" s="1"/>
  <c r="W54" i="2"/>
  <c r="L49" i="2"/>
  <c r="AD49" i="2" s="1"/>
  <c r="V49" i="2"/>
  <c r="K55" i="2"/>
  <c r="AC55" i="2" s="1"/>
  <c r="V55" i="2"/>
  <c r="I51" i="2"/>
  <c r="AA51" i="2" s="1"/>
  <c r="W51" i="2"/>
  <c r="L61" i="2"/>
  <c r="AD61" i="2" s="1"/>
  <c r="V61" i="2"/>
  <c r="I53" i="2"/>
  <c r="AA53" i="2" s="1"/>
  <c r="W53" i="2"/>
  <c r="I55" i="2"/>
  <c r="AA55" i="2" s="1"/>
  <c r="W55" i="2"/>
  <c r="J59" i="2"/>
  <c r="AB59" i="2" s="1"/>
  <c r="V59" i="2"/>
  <c r="I50" i="2"/>
  <c r="AA50" i="2" s="1"/>
  <c r="W50" i="2"/>
  <c r="K54" i="2"/>
  <c r="AC54" i="2" s="1"/>
  <c r="V54" i="2"/>
  <c r="K56" i="2"/>
  <c r="AC56" i="2" s="1"/>
  <c r="V56" i="2"/>
  <c r="I61" i="2"/>
  <c r="AA61" i="2" s="1"/>
  <c r="W61" i="2"/>
  <c r="L54" i="2"/>
  <c r="AD54" i="2" s="1"/>
  <c r="K53" i="2"/>
  <c r="AC53" i="2" s="1"/>
  <c r="J57" i="2"/>
  <c r="AB57" i="2" s="1"/>
  <c r="J56" i="2"/>
  <c r="AB56" i="2" s="1"/>
  <c r="J60" i="2"/>
  <c r="AB60" i="2" s="1"/>
  <c r="L55" i="2"/>
  <c r="AD55" i="2" s="1"/>
  <c r="I59" i="2"/>
  <c r="AA59" i="2" s="1"/>
  <c r="G53" i="2"/>
  <c r="Y53" i="2" s="1"/>
  <c r="H53" i="2"/>
  <c r="Z53" i="2" s="1"/>
  <c r="L53" i="2"/>
  <c r="AD53" i="2" s="1"/>
  <c r="K61" i="2"/>
  <c r="AC61" i="2" s="1"/>
  <c r="G60" i="2"/>
  <c r="Y60" i="2" s="1"/>
  <c r="J61" i="2"/>
  <c r="AB61" i="2" s="1"/>
  <c r="L60" i="2"/>
  <c r="AD60" i="2" s="1"/>
  <c r="K49" i="2"/>
  <c r="AC49" i="2" s="1"/>
  <c r="J51" i="2"/>
  <c r="AB51" i="2" s="1"/>
  <c r="K58" i="2"/>
  <c r="AC58" i="2" s="1"/>
  <c r="L50" i="2"/>
  <c r="AD50" i="2" s="1"/>
  <c r="G49" i="2"/>
  <c r="Y49" i="2" s="1"/>
  <c r="H58" i="2"/>
  <c r="Z58" i="2" s="1"/>
  <c r="H50" i="2"/>
  <c r="Z50" i="2" s="1"/>
  <c r="J53" i="2"/>
  <c r="AB53" i="2" s="1"/>
  <c r="J58" i="2"/>
  <c r="AB58" i="2" s="1"/>
  <c r="I56" i="2"/>
  <c r="AA56" i="2" s="1"/>
  <c r="H61" i="2"/>
  <c r="Z61" i="2" s="1"/>
  <c r="L51" i="2"/>
  <c r="AD51" i="2" s="1"/>
  <c r="G61" i="2"/>
  <c r="Y61" i="2" s="1"/>
  <c r="I60" i="2"/>
  <c r="AA60" i="2" s="1"/>
  <c r="K51" i="2"/>
  <c r="AC51" i="2" s="1"/>
  <c r="H51" i="2"/>
  <c r="Z51" i="2" s="1"/>
  <c r="G58" i="2"/>
  <c r="Y58" i="2" s="1"/>
  <c r="J49" i="2"/>
  <c r="AB49" i="2" s="1"/>
  <c r="G55" i="2"/>
  <c r="Y55" i="2" s="1"/>
  <c r="G52" i="2"/>
  <c r="Y52" i="2" s="1"/>
  <c r="G59" i="2"/>
  <c r="Y59" i="2" s="1"/>
  <c r="H49" i="2"/>
  <c r="Z49" i="2" s="1"/>
  <c r="L58" i="2"/>
  <c r="AD58" i="2" s="1"/>
  <c r="G57" i="2"/>
  <c r="Y57" i="2" s="1"/>
  <c r="K57" i="2"/>
  <c r="AC57" i="2" s="1"/>
  <c r="I57" i="2"/>
  <c r="AA57" i="2" s="1"/>
  <c r="H55" i="2"/>
  <c r="Z55" i="2" s="1"/>
  <c r="G51" i="2"/>
  <c r="Y51" i="2" s="1"/>
  <c r="K59" i="2"/>
  <c r="AC59" i="2" s="1"/>
  <c r="I49" i="2"/>
  <c r="AA49" i="2" s="1"/>
  <c r="J55" i="2"/>
  <c r="AB55" i="2" s="1"/>
  <c r="L52" i="2"/>
  <c r="AD52" i="2" s="1"/>
  <c r="G56" i="2"/>
  <c r="Y56" i="2" s="1"/>
  <c r="G50" i="2"/>
  <c r="Y50" i="2" s="1"/>
  <c r="K50" i="2"/>
  <c r="AC50" i="2" s="1"/>
  <c r="J54" i="2"/>
  <c r="AB54" i="2" s="1"/>
  <c r="J52" i="2"/>
  <c r="AB52" i="2" s="1"/>
  <c r="H52" i="2"/>
  <c r="Z52" i="2" s="1"/>
  <c r="G54" i="2"/>
  <c r="Y54" i="2" s="1"/>
  <c r="J50" i="2"/>
  <c r="AB50" i="2" s="1"/>
  <c r="K60" i="2"/>
  <c r="AC60" i="2" s="1"/>
  <c r="K52" i="2"/>
  <c r="AC52" i="2" s="1"/>
  <c r="H54" i="2"/>
  <c r="Z54" i="2" s="1"/>
  <c r="L59" i="2"/>
  <c r="AD59" i="2" s="1"/>
  <c r="L56" i="2"/>
  <c r="AD56" i="2" s="1"/>
  <c r="I58" i="2"/>
  <c r="AA58" i="2" s="1"/>
  <c r="H56" i="2"/>
  <c r="Z56" i="2" s="1"/>
  <c r="I52" i="2"/>
  <c r="AA52" i="2" s="1"/>
  <c r="H59" i="2"/>
  <c r="Z59" i="2" s="1"/>
  <c r="L57" i="2"/>
  <c r="AD57" i="2" s="1"/>
  <c r="H57" i="2"/>
  <c r="Z57" i="2" s="1"/>
  <c r="D425" i="2" l="1"/>
  <c r="E425" i="2"/>
  <c r="D420" i="2"/>
  <c r="D413" i="2"/>
  <c r="D412" i="2"/>
  <c r="V412" i="2" s="1"/>
  <c r="E422" i="2"/>
  <c r="D422" i="2"/>
  <c r="E412" i="2"/>
  <c r="W412" i="2" s="1"/>
  <c r="E420" i="2"/>
  <c r="W420" i="2" s="1"/>
  <c r="E413" i="2"/>
  <c r="E423" i="2"/>
  <c r="W423" i="2" s="1"/>
  <c r="D423" i="2"/>
  <c r="V423" i="2" s="1"/>
  <c r="E417" i="2"/>
  <c r="D417" i="2"/>
  <c r="E414" i="2"/>
  <c r="W414" i="2" s="1"/>
  <c r="D414" i="2"/>
  <c r="E418" i="2"/>
  <c r="W418" i="2" s="1"/>
  <c r="D418" i="2"/>
  <c r="E415" i="2"/>
  <c r="W415" i="2" s="1"/>
  <c r="D415" i="2"/>
  <c r="E421" i="2"/>
  <c r="D421" i="2"/>
  <c r="E424" i="2"/>
  <c r="D424" i="2"/>
  <c r="V424" i="2" s="1"/>
  <c r="E419" i="2"/>
  <c r="W419" i="2" s="1"/>
  <c r="D419" i="2"/>
  <c r="E416" i="2"/>
  <c r="D416" i="2"/>
  <c r="V416" i="2" s="1"/>
  <c r="J420" i="2" l="1"/>
  <c r="AB420" i="2" s="1"/>
  <c r="V420" i="2"/>
  <c r="J415" i="2"/>
  <c r="AB415" i="2" s="1"/>
  <c r="V415" i="2"/>
  <c r="I416" i="2"/>
  <c r="AA416" i="2" s="1"/>
  <c r="W416" i="2"/>
  <c r="L419" i="2"/>
  <c r="AD419" i="2" s="1"/>
  <c r="V419" i="2"/>
  <c r="J421" i="2"/>
  <c r="AB421" i="2" s="1"/>
  <c r="V421" i="2"/>
  <c r="K418" i="2"/>
  <c r="AC418" i="2" s="1"/>
  <c r="V418" i="2"/>
  <c r="J417" i="2"/>
  <c r="AB417" i="2" s="1"/>
  <c r="V417" i="2"/>
  <c r="I413" i="2"/>
  <c r="AA413" i="2" s="1"/>
  <c r="W413" i="2"/>
  <c r="I422" i="2"/>
  <c r="AA422" i="2" s="1"/>
  <c r="W422" i="2"/>
  <c r="K414" i="2"/>
  <c r="AC414" i="2" s="1"/>
  <c r="V414" i="2"/>
  <c r="K413" i="2"/>
  <c r="AC413" i="2" s="1"/>
  <c r="V413" i="2"/>
  <c r="H422" i="2"/>
  <c r="Z422" i="2" s="1"/>
  <c r="V422" i="2"/>
  <c r="I421" i="2"/>
  <c r="AA421" i="2" s="1"/>
  <c r="W421" i="2"/>
  <c r="I417" i="2"/>
  <c r="AA417" i="2" s="1"/>
  <c r="W417" i="2"/>
  <c r="I424" i="2"/>
  <c r="AA424" i="2" s="1"/>
  <c r="W424" i="2"/>
  <c r="I425" i="2"/>
  <c r="AA425" i="2" s="1"/>
  <c r="W425" i="2"/>
  <c r="H425" i="2"/>
  <c r="Z425" i="2" s="1"/>
  <c r="V425" i="2"/>
  <c r="H413" i="2"/>
  <c r="Z413" i="2" s="1"/>
  <c r="G420" i="2"/>
  <c r="Y420" i="2" s="1"/>
  <c r="J413" i="2"/>
  <c r="AB413" i="2" s="1"/>
  <c r="I415" i="2"/>
  <c r="AA415" i="2" s="1"/>
  <c r="I420" i="2"/>
  <c r="AA420" i="2" s="1"/>
  <c r="G419" i="2"/>
  <c r="Y419" i="2" s="1"/>
  <c r="G421" i="2"/>
  <c r="Y421" i="2" s="1"/>
  <c r="L412" i="2"/>
  <c r="AD412" i="2" s="1"/>
  <c r="J425" i="2"/>
  <c r="AB425" i="2" s="1"/>
  <c r="G412" i="2"/>
  <c r="Y412" i="2" s="1"/>
  <c r="G423" i="2"/>
  <c r="Y423" i="2" s="1"/>
  <c r="I423" i="2"/>
  <c r="AA423" i="2" s="1"/>
  <c r="J422" i="2"/>
  <c r="AB422" i="2" s="1"/>
  <c r="L422" i="2"/>
  <c r="AD422" i="2" s="1"/>
  <c r="J412" i="2"/>
  <c r="AB412" i="2" s="1"/>
  <c r="I418" i="2"/>
  <c r="AA418" i="2" s="1"/>
  <c r="K422" i="2"/>
  <c r="AC422" i="2" s="1"/>
  <c r="G415" i="2"/>
  <c r="Y415" i="2" s="1"/>
  <c r="H415" i="2"/>
  <c r="Z415" i="2" s="1"/>
  <c r="L415" i="2"/>
  <c r="AD415" i="2" s="1"/>
  <c r="H414" i="2"/>
  <c r="Z414" i="2" s="1"/>
  <c r="J423" i="2"/>
  <c r="AB423" i="2" s="1"/>
  <c r="J419" i="2"/>
  <c r="AB419" i="2" s="1"/>
  <c r="L413" i="2"/>
  <c r="AD413" i="2" s="1"/>
  <c r="H421" i="2"/>
  <c r="Z421" i="2" s="1"/>
  <c r="I412" i="2"/>
  <c r="AA412" i="2" s="1"/>
  <c r="G424" i="2"/>
  <c r="Y424" i="2" s="1"/>
  <c r="G422" i="2"/>
  <c r="Y422" i="2" s="1"/>
  <c r="H419" i="2"/>
  <c r="Z419" i="2" s="1"/>
  <c r="L414" i="2"/>
  <c r="AD414" i="2" s="1"/>
  <c r="K417" i="2"/>
  <c r="AC417" i="2" s="1"/>
  <c r="G413" i="2"/>
  <c r="Y413" i="2" s="1"/>
  <c r="G414" i="2"/>
  <c r="Y414" i="2" s="1"/>
  <c r="L420" i="2"/>
  <c r="AD420" i="2" s="1"/>
  <c r="G416" i="2"/>
  <c r="Y416" i="2" s="1"/>
  <c r="J416" i="2"/>
  <c r="AB416" i="2" s="1"/>
  <c r="H417" i="2"/>
  <c r="Z417" i="2" s="1"/>
  <c r="H416" i="2"/>
  <c r="Z416" i="2" s="1"/>
  <c r="K421" i="2"/>
  <c r="AC421" i="2" s="1"/>
  <c r="K415" i="2"/>
  <c r="AC415" i="2" s="1"/>
  <c r="K420" i="2"/>
  <c r="AC420" i="2" s="1"/>
  <c r="I419" i="2"/>
  <c r="AA419" i="2" s="1"/>
  <c r="I414" i="2"/>
  <c r="AA414" i="2" s="1"/>
  <c r="G425" i="2"/>
  <c r="Y425" i="2" s="1"/>
  <c r="G417" i="2"/>
  <c r="Y417" i="2" s="1"/>
  <c r="K412" i="2"/>
  <c r="AC412" i="2" s="1"/>
  <c r="H423" i="2"/>
  <c r="Z423" i="2" s="1"/>
  <c r="H420" i="2"/>
  <c r="Z420" i="2" s="1"/>
  <c r="H424" i="2"/>
  <c r="Z424" i="2" s="1"/>
  <c r="K424" i="2"/>
  <c r="AC424" i="2" s="1"/>
  <c r="K416" i="2"/>
  <c r="AC416" i="2" s="1"/>
  <c r="K423" i="2"/>
  <c r="AC423" i="2" s="1"/>
  <c r="L425" i="2"/>
  <c r="AD425" i="2" s="1"/>
  <c r="J418" i="2"/>
  <c r="AB418" i="2" s="1"/>
  <c r="K419" i="2"/>
  <c r="AC419" i="2" s="1"/>
  <c r="L416" i="2"/>
  <c r="AD416" i="2" s="1"/>
  <c r="L424" i="2"/>
  <c r="AD424" i="2" s="1"/>
  <c r="L421" i="2"/>
  <c r="AD421" i="2" s="1"/>
  <c r="L418" i="2"/>
  <c r="AD418" i="2" s="1"/>
  <c r="J414" i="2"/>
  <c r="AB414" i="2" s="1"/>
  <c r="L417" i="2"/>
  <c r="AD417" i="2" s="1"/>
  <c r="L423" i="2"/>
  <c r="AD423" i="2" s="1"/>
  <c r="J424" i="2"/>
  <c r="AB424" i="2" s="1"/>
  <c r="H412" i="2"/>
  <c r="Z412" i="2" s="1"/>
  <c r="H418" i="2"/>
  <c r="Z418" i="2" s="1"/>
  <c r="G418" i="2"/>
  <c r="Y418" i="2" s="1"/>
  <c r="K425" i="2"/>
  <c r="AC425" i="2" s="1"/>
  <c r="AE76" i="2" l="1"/>
  <c r="X76" i="2"/>
  <c r="X67" i="2"/>
  <c r="AE67" i="2"/>
  <c r="AE73" i="2"/>
  <c r="X73" i="2"/>
  <c r="AE74" i="2"/>
  <c r="X74" i="2"/>
  <c r="X70" i="2"/>
  <c r="AE70" i="2"/>
  <c r="AE71" i="2"/>
  <c r="X71" i="2"/>
  <c r="X68" i="2"/>
  <c r="AE68" i="2"/>
  <c r="X78" i="2"/>
  <c r="AE78" i="2"/>
  <c r="AE66" i="2"/>
  <c r="X66" i="2"/>
  <c r="X65" i="2"/>
  <c r="AE65" i="2"/>
  <c r="AE69" i="2"/>
  <c r="X69" i="2"/>
  <c r="X72" i="2"/>
  <c r="AE72" i="2"/>
  <c r="AE75" i="2"/>
  <c r="X75" i="2"/>
  <c r="AE77" i="2"/>
  <c r="X77" i="2"/>
  <c r="AE64" i="2"/>
  <c r="X64" i="2"/>
  <c r="D78" i="2"/>
  <c r="H78" i="2" s="1"/>
  <c r="Z78" i="2" s="1"/>
  <c r="D68" i="2"/>
  <c r="L68" i="2" s="1"/>
  <c r="AD68" i="2" s="1"/>
  <c r="E74" i="2"/>
  <c r="I74" i="2" s="1"/>
  <c r="AA74" i="2" s="1"/>
  <c r="D74" i="2"/>
  <c r="J74" i="2" s="1"/>
  <c r="AB74" i="2" s="1"/>
  <c r="E78" i="2"/>
  <c r="W78" i="2" s="1"/>
  <c r="D65" i="2"/>
  <c r="K65" i="2" s="1"/>
  <c r="AC65" i="2" s="1"/>
  <c r="E77" i="2"/>
  <c r="W77" i="2" s="1"/>
  <c r="D77" i="2"/>
  <c r="J77" i="2" s="1"/>
  <c r="AB77" i="2" s="1"/>
  <c r="D70" i="2"/>
  <c r="V70" i="2" s="1"/>
  <c r="E65" i="2"/>
  <c r="W65" i="2" s="1"/>
  <c r="D66" i="2"/>
  <c r="V66" i="2" s="1"/>
  <c r="E69" i="2"/>
  <c r="I69" i="2" s="1"/>
  <c r="AA69" i="2" s="1"/>
  <c r="D69" i="2"/>
  <c r="V69" i="2" s="1"/>
  <c r="E73" i="2"/>
  <c r="W73" i="2" s="1"/>
  <c r="D73" i="2"/>
  <c r="H73" i="2" s="1"/>
  <c r="Z73" i="2" s="1"/>
  <c r="D75" i="2"/>
  <c r="H75" i="2" s="1"/>
  <c r="Z75" i="2" s="1"/>
  <c r="E64" i="2"/>
  <c r="I64" i="2" s="1"/>
  <c r="AA64" i="2" s="1"/>
  <c r="D64" i="2"/>
  <c r="L64" i="2" s="1"/>
  <c r="E70" i="2"/>
  <c r="W70" i="2" s="1"/>
  <c r="D76" i="2"/>
  <c r="V76" i="2" s="1"/>
  <c r="E76" i="2"/>
  <c r="W76" i="2" s="1"/>
  <c r="E68" i="2"/>
  <c r="W68" i="2" s="1"/>
  <c r="E75" i="2"/>
  <c r="E71" i="2"/>
  <c r="I71" i="2" s="1"/>
  <c r="AA71" i="2" s="1"/>
  <c r="D71" i="2"/>
  <c r="H71" i="2" s="1"/>
  <c r="Z71" i="2" s="1"/>
  <c r="E66" i="2"/>
  <c r="I66" i="2" s="1"/>
  <c r="AA66" i="2" s="1"/>
  <c r="E67" i="2"/>
  <c r="W67" i="2" s="1"/>
  <c r="D67" i="2"/>
  <c r="H67" i="2" s="1"/>
  <c r="Z67" i="2" s="1"/>
  <c r="E72" i="2"/>
  <c r="W72" i="2" s="1"/>
  <c r="D72" i="2"/>
  <c r="L72" i="2" s="1"/>
  <c r="AD72" i="2" s="1"/>
  <c r="L76" i="2" l="1"/>
  <c r="AD76" i="2" s="1"/>
  <c r="G75" i="2"/>
  <c r="Y75" i="2" s="1"/>
  <c r="J75" i="2"/>
  <c r="AB75" i="2" s="1"/>
  <c r="K64" i="2"/>
  <c r="AC64" i="2" s="1"/>
  <c r="I75" i="2"/>
  <c r="AA75" i="2" s="1"/>
  <c r="V75" i="2"/>
  <c r="J76" i="2"/>
  <c r="AB76" i="2" s="1"/>
  <c r="J72" i="2"/>
  <c r="AB72" i="2" s="1"/>
  <c r="L67" i="2"/>
  <c r="AD67" i="2" s="1"/>
  <c r="L74" i="2"/>
  <c r="AD74" i="2" s="1"/>
  <c r="K77" i="2"/>
  <c r="AC77" i="2" s="1"/>
  <c r="L77" i="2"/>
  <c r="AD77" i="2" s="1"/>
  <c r="I76" i="2"/>
  <c r="AA76" i="2" s="1"/>
  <c r="K73" i="2"/>
  <c r="AC73" i="2" s="1"/>
  <c r="J71" i="2"/>
  <c r="AB71" i="2" s="1"/>
  <c r="J68" i="2"/>
  <c r="AB68" i="2" s="1"/>
  <c r="H68" i="2"/>
  <c r="Z68" i="2" s="1"/>
  <c r="I67" i="2"/>
  <c r="AA67" i="2" s="1"/>
  <c r="I65" i="2"/>
  <c r="AA65" i="2" s="1"/>
  <c r="H65" i="2"/>
  <c r="Z65" i="2" s="1"/>
  <c r="L65" i="2"/>
  <c r="AD65" i="2" s="1"/>
  <c r="J64" i="2"/>
  <c r="AB64" i="2" s="1"/>
  <c r="J73" i="2"/>
  <c r="AB73" i="2" s="1"/>
  <c r="H72" i="2"/>
  <c r="Z72" i="2" s="1"/>
  <c r="G67" i="2"/>
  <c r="Y67" i="2" s="1"/>
  <c r="G69" i="2"/>
  <c r="Y69" i="2" s="1"/>
  <c r="V73" i="2"/>
  <c r="V78" i="2"/>
  <c r="W66" i="2"/>
  <c r="G73" i="2"/>
  <c r="Y73" i="2" s="1"/>
  <c r="G72" i="2"/>
  <c r="Y72" i="2" s="1"/>
  <c r="L69" i="2"/>
  <c r="AD69" i="2" s="1"/>
  <c r="V67" i="2"/>
  <c r="K71" i="2"/>
  <c r="AC71" i="2" s="1"/>
  <c r="H77" i="2"/>
  <c r="Z77" i="2" s="1"/>
  <c r="V74" i="2"/>
  <c r="W69" i="2"/>
  <c r="H66" i="2"/>
  <c r="Z66" i="2" s="1"/>
  <c r="G70" i="2"/>
  <c r="Y70" i="2" s="1"/>
  <c r="I68" i="2"/>
  <c r="AA68" i="2" s="1"/>
  <c r="J69" i="2"/>
  <c r="AB69" i="2" s="1"/>
  <c r="L66" i="2"/>
  <c r="AD66" i="2" s="1"/>
  <c r="K70" i="2"/>
  <c r="AC70" i="2" s="1"/>
  <c r="H70" i="2"/>
  <c r="Z70" i="2" s="1"/>
  <c r="L70" i="2"/>
  <c r="AD70" i="2" s="1"/>
  <c r="H69" i="2"/>
  <c r="Z69" i="2" s="1"/>
  <c r="H74" i="2"/>
  <c r="Z74" i="2" s="1"/>
  <c r="AD64" i="2"/>
  <c r="L75" i="2"/>
  <c r="AD75" i="2" s="1"/>
  <c r="J78" i="2"/>
  <c r="AB78" i="2" s="1"/>
  <c r="W74" i="2"/>
  <c r="K72" i="2"/>
  <c r="AC72" i="2" s="1"/>
  <c r="K69" i="2"/>
  <c r="AC69" i="2" s="1"/>
  <c r="J66" i="2"/>
  <c r="AB66" i="2" s="1"/>
  <c r="J67" i="2"/>
  <c r="AB67" i="2" s="1"/>
  <c r="L73" i="2"/>
  <c r="AD73" i="2" s="1"/>
  <c r="L71" i="2"/>
  <c r="AD71" i="2" s="1"/>
  <c r="I72" i="2"/>
  <c r="AA72" i="2" s="1"/>
  <c r="J65" i="2"/>
  <c r="I78" i="2"/>
  <c r="AA78" i="2" s="1"/>
  <c r="K74" i="2"/>
  <c r="AC74" i="2" s="1"/>
  <c r="K68" i="2"/>
  <c r="AC68" i="2" s="1"/>
  <c r="K78" i="2"/>
  <c r="AC78" i="2" s="1"/>
  <c r="H76" i="2"/>
  <c r="Z76" i="2" s="1"/>
  <c r="I70" i="2"/>
  <c r="AA70" i="2" s="1"/>
  <c r="I73" i="2"/>
  <c r="AA73" i="2" s="1"/>
  <c r="G66" i="2"/>
  <c r="Y66" i="2" s="1"/>
  <c r="G76" i="2"/>
  <c r="Y76" i="2" s="1"/>
  <c r="V71" i="2"/>
  <c r="V68" i="2"/>
  <c r="W64" i="2"/>
  <c r="G74" i="2"/>
  <c r="Y74" i="2" s="1"/>
  <c r="G64" i="2"/>
  <c r="Y64" i="2" s="1"/>
  <c r="L78" i="2"/>
  <c r="AD78" i="2" s="1"/>
  <c r="W75" i="2"/>
  <c r="G78" i="2"/>
  <c r="Y78" i="2" s="1"/>
  <c r="W71" i="2"/>
  <c r="G68" i="2"/>
  <c r="Y68" i="2" s="1"/>
  <c r="G65" i="2"/>
  <c r="Y65" i="2" s="1"/>
  <c r="V72" i="2"/>
  <c r="V64" i="2"/>
  <c r="V77" i="2"/>
  <c r="V65" i="2"/>
  <c r="G77" i="2"/>
  <c r="Y77" i="2" s="1"/>
  <c r="K66" i="2"/>
  <c r="AC66" i="2" s="1"/>
  <c r="H64" i="2"/>
  <c r="Z64" i="2" s="1"/>
  <c r="K67" i="2"/>
  <c r="AC67" i="2" s="1"/>
  <c r="K75" i="2"/>
  <c r="AC75" i="2" s="1"/>
  <c r="J70" i="2"/>
  <c r="AB70" i="2" s="1"/>
  <c r="K76" i="2"/>
  <c r="AC76" i="2" s="1"/>
  <c r="G71" i="2"/>
  <c r="Y71" i="2" s="1"/>
  <c r="I77" i="2"/>
  <c r="AA77" i="2" s="1"/>
  <c r="AB65" i="2" l="1"/>
  <c r="AE276" i="2" l="1"/>
  <c r="X276" i="2"/>
  <c r="X280" i="2"/>
  <c r="AE280" i="2"/>
  <c r="AE284" i="2"/>
  <c r="X284" i="2"/>
  <c r="X288" i="2"/>
  <c r="AE288" i="2"/>
  <c r="X285" i="2"/>
  <c r="AE285" i="2"/>
  <c r="AE281" i="2"/>
  <c r="X281" i="2"/>
  <c r="X277" i="2"/>
  <c r="AE277" i="2"/>
  <c r="X279" i="2"/>
  <c r="AE279" i="2"/>
  <c r="X282" i="2"/>
  <c r="AE282" i="2"/>
  <c r="AE275" i="2"/>
  <c r="X275" i="2"/>
  <c r="X286" i="2"/>
  <c r="AE286" i="2"/>
  <c r="X283" i="2"/>
  <c r="AE283" i="2"/>
  <c r="AE287" i="2"/>
  <c r="X287" i="2"/>
  <c r="X274" i="2"/>
  <c r="AE278" i="2"/>
  <c r="X278" i="2"/>
  <c r="D285" i="2"/>
  <c r="L285" i="2" s="1"/>
  <c r="AD285" i="2" s="1"/>
  <c r="E283" i="2"/>
  <c r="I283" i="2" s="1"/>
  <c r="AA283" i="2" s="1"/>
  <c r="D283" i="2"/>
  <c r="V283" i="2" s="1"/>
  <c r="D280" i="2"/>
  <c r="V280" i="2" s="1"/>
  <c r="AE274" i="2"/>
  <c r="E275" i="2"/>
  <c r="D275" i="2"/>
  <c r="V275" i="2" s="1"/>
  <c r="E288" i="2"/>
  <c r="W288" i="2" s="1"/>
  <c r="D288" i="2"/>
  <c r="J288" i="2" s="1"/>
  <c r="AB288" i="2" s="1"/>
  <c r="E287" i="2"/>
  <c r="I287" i="2" s="1"/>
  <c r="AA287" i="2" s="1"/>
  <c r="D287" i="2"/>
  <c r="J287" i="2" s="1"/>
  <c r="AB287" i="2" s="1"/>
  <c r="D284" i="2"/>
  <c r="K284" i="2" s="1"/>
  <c r="AC284" i="2" s="1"/>
  <c r="E284" i="2"/>
  <c r="E277" i="2"/>
  <c r="D277" i="2"/>
  <c r="J277" i="2" s="1"/>
  <c r="AB277" i="2" s="1"/>
  <c r="E281" i="2"/>
  <c r="D281" i="2"/>
  <c r="J281" i="2" s="1"/>
  <c r="AB281" i="2" s="1"/>
  <c r="E280" i="2"/>
  <c r="W280" i="2" s="1"/>
  <c r="E285" i="2"/>
  <c r="E279" i="2"/>
  <c r="D279" i="2"/>
  <c r="J279" i="2" s="1"/>
  <c r="AB279" i="2" s="1"/>
  <c r="E286" i="2"/>
  <c r="W286" i="2" s="1"/>
  <c r="D286" i="2"/>
  <c r="V286" i="2" s="1"/>
  <c r="E278" i="2"/>
  <c r="I278" i="2" s="1"/>
  <c r="AA278" i="2" s="1"/>
  <c r="D278" i="2"/>
  <c r="J278" i="2" s="1"/>
  <c r="AB278" i="2" s="1"/>
  <c r="E276" i="2"/>
  <c r="W276" i="2" s="1"/>
  <c r="D276" i="2"/>
  <c r="J276" i="2" s="1"/>
  <c r="AB276" i="2" s="1"/>
  <c r="E282" i="2"/>
  <c r="I282" i="2" s="1"/>
  <c r="AA282" i="2" s="1"/>
  <c r="D282" i="2"/>
  <c r="V282" i="2" s="1"/>
  <c r="D274" i="2"/>
  <c r="L274" i="2" s="1"/>
  <c r="AD274" i="2" s="1"/>
  <c r="E274" i="2"/>
  <c r="I274" i="2" s="1"/>
  <c r="AA274" i="2" s="1"/>
  <c r="H280" i="2" l="1"/>
  <c r="Z280" i="2" s="1"/>
  <c r="G285" i="2"/>
  <c r="Y285" i="2" s="1"/>
  <c r="J282" i="2"/>
  <c r="AB282" i="2" s="1"/>
  <c r="L277" i="2"/>
  <c r="AD277" i="2" s="1"/>
  <c r="G275" i="2"/>
  <c r="Y275" i="2" s="1"/>
  <c r="L286" i="2"/>
  <c r="AD286" i="2" s="1"/>
  <c r="K275" i="2"/>
  <c r="AC275" i="2" s="1"/>
  <c r="J274" i="2"/>
  <c r="AB274" i="2" s="1"/>
  <c r="H285" i="2"/>
  <c r="Z285" i="2" s="1"/>
  <c r="K276" i="2"/>
  <c r="AC276" i="2" s="1"/>
  <c r="L278" i="2"/>
  <c r="AD278" i="2" s="1"/>
  <c r="G284" i="2"/>
  <c r="Y284" i="2" s="1"/>
  <c r="L284" i="2"/>
  <c r="AD284" i="2" s="1"/>
  <c r="G279" i="2"/>
  <c r="Y279" i="2" s="1"/>
  <c r="G281" i="2"/>
  <c r="Y281" i="2" s="1"/>
  <c r="K286" i="2"/>
  <c r="AC286" i="2" s="1"/>
  <c r="K279" i="2"/>
  <c r="AC279" i="2" s="1"/>
  <c r="K281" i="2"/>
  <c r="AC281" i="2" s="1"/>
  <c r="I284" i="2"/>
  <c r="AA284" i="2" s="1"/>
  <c r="J283" i="2"/>
  <c r="AB283" i="2" s="1"/>
  <c r="J275" i="2"/>
  <c r="AB275" i="2" s="1"/>
  <c r="I281" i="2"/>
  <c r="AA281" i="2" s="1"/>
  <c r="G276" i="2"/>
  <c r="Y276" i="2" s="1"/>
  <c r="G278" i="2"/>
  <c r="Y278" i="2" s="1"/>
  <c r="K285" i="2"/>
  <c r="AC285" i="2" s="1"/>
  <c r="J285" i="2"/>
  <c r="AB285" i="2" s="1"/>
  <c r="H279" i="2"/>
  <c r="Z279" i="2" s="1"/>
  <c r="H281" i="2"/>
  <c r="Z281" i="2" s="1"/>
  <c r="I288" i="2"/>
  <c r="AA288" i="2" s="1"/>
  <c r="I280" i="2"/>
  <c r="AA280" i="2" s="1"/>
  <c r="G280" i="2"/>
  <c r="Y280" i="2" s="1"/>
  <c r="W281" i="2"/>
  <c r="W282" i="2"/>
  <c r="W275" i="2"/>
  <c r="G287" i="2"/>
  <c r="Y287" i="2" s="1"/>
  <c r="H278" i="2"/>
  <c r="Z278" i="2" s="1"/>
  <c r="V274" i="2"/>
  <c r="H287" i="2"/>
  <c r="Z287" i="2" s="1"/>
  <c r="V278" i="2"/>
  <c r="V279" i="2"/>
  <c r="I286" i="2"/>
  <c r="AA286" i="2" s="1"/>
  <c r="W285" i="2"/>
  <c r="W279" i="2"/>
  <c r="H277" i="2"/>
  <c r="Z277" i="2" s="1"/>
  <c r="L281" i="2"/>
  <c r="AD281" i="2" s="1"/>
  <c r="H286" i="2"/>
  <c r="Z286" i="2" s="1"/>
  <c r="I275" i="2"/>
  <c r="AA275" i="2" s="1"/>
  <c r="G288" i="2"/>
  <c r="Y288" i="2" s="1"/>
  <c r="K274" i="2"/>
  <c r="AC274" i="2" s="1"/>
  <c r="L287" i="2"/>
  <c r="AD287" i="2" s="1"/>
  <c r="K282" i="2"/>
  <c r="AC282" i="2" s="1"/>
  <c r="J280" i="2"/>
  <c r="AB280" i="2" s="1"/>
  <c r="K278" i="2"/>
  <c r="AC278" i="2" s="1"/>
  <c r="L288" i="2"/>
  <c r="AD288" i="2" s="1"/>
  <c r="J286" i="2"/>
  <c r="AB286" i="2" s="1"/>
  <c r="K283" i="2"/>
  <c r="AC283" i="2" s="1"/>
  <c r="K277" i="2"/>
  <c r="AC277" i="2" s="1"/>
  <c r="L275" i="2"/>
  <c r="AD275" i="2" s="1"/>
  <c r="G282" i="2"/>
  <c r="Y282" i="2" s="1"/>
  <c r="W283" i="2"/>
  <c r="V284" i="2"/>
  <c r="V281" i="2"/>
  <c r="V287" i="2"/>
  <c r="V276" i="2"/>
  <c r="V277" i="2"/>
  <c r="H275" i="2"/>
  <c r="Z275" i="2" s="1"/>
  <c r="W284" i="2"/>
  <c r="W278" i="2"/>
  <c r="L282" i="2"/>
  <c r="AD282" i="2" s="1"/>
  <c r="I279" i="2"/>
  <c r="AA279" i="2" s="1"/>
  <c r="L276" i="2"/>
  <c r="AD276" i="2" s="1"/>
  <c r="H282" i="2"/>
  <c r="Z282" i="2" s="1"/>
  <c r="H276" i="2"/>
  <c r="Z276" i="2" s="1"/>
  <c r="G277" i="2"/>
  <c r="Y277" i="2" s="1"/>
  <c r="V285" i="2"/>
  <c r="I277" i="2"/>
  <c r="AA277" i="2" s="1"/>
  <c r="I285" i="2"/>
  <c r="AA285" i="2" s="1"/>
  <c r="H284" i="2"/>
  <c r="Z284" i="2" s="1"/>
  <c r="I276" i="2"/>
  <c r="AA276" i="2" s="1"/>
  <c r="G283" i="2"/>
  <c r="Y283" i="2" s="1"/>
  <c r="J284" i="2"/>
  <c r="AB284" i="2" s="1"/>
  <c r="V288" i="2"/>
  <c r="W277" i="2"/>
  <c r="W287" i="2"/>
  <c r="K287" i="2"/>
  <c r="AC287" i="2" s="1"/>
  <c r="K288" i="2"/>
  <c r="AC288" i="2" s="1"/>
  <c r="L279" i="2"/>
  <c r="AD279" i="2" s="1"/>
  <c r="H288" i="2"/>
  <c r="Z288" i="2" s="1"/>
  <c r="K280" i="2"/>
  <c r="AC280" i="2" s="1"/>
  <c r="H283" i="2"/>
  <c r="Z283" i="2" s="1"/>
  <c r="H274" i="2"/>
  <c r="Z274" i="2" s="1"/>
  <c r="G274" i="2"/>
  <c r="Y274" i="2" s="1"/>
  <c r="L280" i="2"/>
  <c r="AD280" i="2" s="1"/>
  <c r="L283" i="2"/>
  <c r="AD283" i="2" s="1"/>
  <c r="G286" i="2"/>
  <c r="Y286" i="2" s="1"/>
  <c r="W274" i="2"/>
  <c r="AE81" i="2" l="1"/>
  <c r="X81" i="2"/>
  <c r="X85" i="2"/>
  <c r="AE85" i="2"/>
  <c r="AE89" i="2"/>
  <c r="X89" i="2"/>
  <c r="X93" i="2"/>
  <c r="AE93" i="2"/>
  <c r="AE90" i="2"/>
  <c r="X90" i="2"/>
  <c r="AE86" i="2"/>
  <c r="X86" i="2"/>
  <c r="X82" i="2"/>
  <c r="AE82" i="2"/>
  <c r="X80" i="2"/>
  <c r="AE80" i="2"/>
  <c r="X83" i="2"/>
  <c r="AE83" i="2"/>
  <c r="X84" i="2"/>
  <c r="AE84" i="2"/>
  <c r="AE92" i="2"/>
  <c r="X92" i="2"/>
  <c r="AE87" i="2"/>
  <c r="X87" i="2"/>
  <c r="X88" i="2"/>
  <c r="AE88" i="2"/>
  <c r="AE91" i="2"/>
  <c r="X91" i="2"/>
  <c r="X79" i="2"/>
  <c r="AE79" i="2"/>
  <c r="D83" i="2"/>
  <c r="J83" i="2" s="1"/>
  <c r="AB83" i="2" s="1"/>
  <c r="E88" i="2"/>
  <c r="W88" i="2" s="1"/>
  <c r="D88" i="2"/>
  <c r="V88" i="2" s="1"/>
  <c r="D86" i="2"/>
  <c r="V86" i="2" s="1"/>
  <c r="D89" i="2"/>
  <c r="K89" i="2" s="1"/>
  <c r="AC89" i="2" s="1"/>
  <c r="D91" i="2"/>
  <c r="L91" i="2" s="1"/>
  <c r="AD91" i="2" s="1"/>
  <c r="D92" i="2"/>
  <c r="H92" i="2" s="1"/>
  <c r="Z92" i="2" s="1"/>
  <c r="E87" i="2"/>
  <c r="W87" i="2" s="1"/>
  <c r="D87" i="2"/>
  <c r="K87" i="2" s="1"/>
  <c r="AC87" i="2" s="1"/>
  <c r="E84" i="2"/>
  <c r="W84" i="2" s="1"/>
  <c r="D84" i="2"/>
  <c r="H84" i="2" s="1"/>
  <c r="Z84" i="2" s="1"/>
  <c r="E80" i="2"/>
  <c r="D80" i="2"/>
  <c r="L80" i="2" s="1"/>
  <c r="AD80" i="2" s="1"/>
  <c r="D79" i="2"/>
  <c r="H79" i="2" s="1"/>
  <c r="Z79" i="2" s="1"/>
  <c r="W91" i="2"/>
  <c r="E82" i="2"/>
  <c r="W82" i="2" s="1"/>
  <c r="D82" i="2"/>
  <c r="V82" i="2" s="1"/>
  <c r="E89" i="2"/>
  <c r="I89" i="2" s="1"/>
  <c r="AA89" i="2" s="1"/>
  <c r="E86" i="2"/>
  <c r="W86" i="2" s="1"/>
  <c r="E83" i="2"/>
  <c r="I83" i="2" s="1"/>
  <c r="AA83" i="2" s="1"/>
  <c r="W90" i="2"/>
  <c r="D90" i="2"/>
  <c r="H90" i="2" s="1"/>
  <c r="Z90" i="2" s="1"/>
  <c r="D93" i="2"/>
  <c r="V93" i="2" s="1"/>
  <c r="E85" i="2"/>
  <c r="W85" i="2" s="1"/>
  <c r="D85" i="2"/>
  <c r="V85" i="2" s="1"/>
  <c r="E81" i="2"/>
  <c r="W81" i="2" s="1"/>
  <c r="D81" i="2"/>
  <c r="H81" i="2" s="1"/>
  <c r="Z81" i="2" s="1"/>
  <c r="E79" i="2"/>
  <c r="I79" i="2" s="1"/>
  <c r="AA79" i="2" s="1"/>
  <c r="H83" i="2" l="1"/>
  <c r="Z83" i="2" s="1"/>
  <c r="K80" i="2"/>
  <c r="AC80" i="2" s="1"/>
  <c r="K92" i="2"/>
  <c r="AC92" i="2" s="1"/>
  <c r="L83" i="2"/>
  <c r="AD83" i="2" s="1"/>
  <c r="K82" i="2"/>
  <c r="AC82" i="2" s="1"/>
  <c r="J79" i="2"/>
  <c r="AB79" i="2" s="1"/>
  <c r="G80" i="2"/>
  <c r="Y80" i="2" s="1"/>
  <c r="G92" i="2"/>
  <c r="Y92" i="2" s="1"/>
  <c r="G93" i="2"/>
  <c r="Y93" i="2" s="1"/>
  <c r="G79" i="2"/>
  <c r="Y79" i="2" s="1"/>
  <c r="H91" i="2"/>
  <c r="Z91" i="2" s="1"/>
  <c r="L84" i="2"/>
  <c r="AD84" i="2" s="1"/>
  <c r="K91" i="2"/>
  <c r="AC91" i="2" s="1"/>
  <c r="L86" i="2"/>
  <c r="AD86" i="2" s="1"/>
  <c r="I86" i="2"/>
  <c r="AA86" i="2" s="1"/>
  <c r="L87" i="2"/>
  <c r="AD87" i="2" s="1"/>
  <c r="K81" i="2"/>
  <c r="AC81" i="2" s="1"/>
  <c r="K90" i="2"/>
  <c r="AC90" i="2" s="1"/>
  <c r="H87" i="2"/>
  <c r="Z87" i="2" s="1"/>
  <c r="I80" i="2"/>
  <c r="AA80" i="2" s="1"/>
  <c r="H85" i="2"/>
  <c r="Z85" i="2" s="1"/>
  <c r="G85" i="2"/>
  <c r="Y85" i="2" s="1"/>
  <c r="L79" i="2"/>
  <c r="V79" i="2"/>
  <c r="J80" i="2"/>
  <c r="AB80" i="2" s="1"/>
  <c r="J81" i="2"/>
  <c r="AB81" i="2" s="1"/>
  <c r="J86" i="2"/>
  <c r="AB86" i="2" s="1"/>
  <c r="K84" i="2"/>
  <c r="AC84" i="2" s="1"/>
  <c r="J87" i="2"/>
  <c r="AB87" i="2" s="1"/>
  <c r="I90" i="2"/>
  <c r="AA90" i="2" s="1"/>
  <c r="J88" i="2"/>
  <c r="AB88" i="2" s="1"/>
  <c r="J93" i="2"/>
  <c r="AB93" i="2" s="1"/>
  <c r="L90" i="2"/>
  <c r="AD90" i="2" s="1"/>
  <c r="J91" i="2"/>
  <c r="AB91" i="2" s="1"/>
  <c r="I87" i="2"/>
  <c r="AA87" i="2" s="1"/>
  <c r="I84" i="2"/>
  <c r="AA84" i="2" s="1"/>
  <c r="H80" i="2"/>
  <c r="Z80" i="2" s="1"/>
  <c r="H86" i="2"/>
  <c r="Z86" i="2" s="1"/>
  <c r="I93" i="2"/>
  <c r="AA93" i="2" s="1"/>
  <c r="I85" i="2"/>
  <c r="AA85" i="2" s="1"/>
  <c r="G91" i="2"/>
  <c r="Y91" i="2" s="1"/>
  <c r="G88" i="2"/>
  <c r="Y88" i="2" s="1"/>
  <c r="W89" i="2"/>
  <c r="W83" i="2"/>
  <c r="J82" i="2"/>
  <c r="AB82" i="2" s="1"/>
  <c r="V80" i="2"/>
  <c r="V84" i="2"/>
  <c r="V92" i="2"/>
  <c r="I91" i="2"/>
  <c r="AA91" i="2" s="1"/>
  <c r="I88" i="2"/>
  <c r="AA88" i="2" s="1"/>
  <c r="W79" i="2"/>
  <c r="W93" i="2"/>
  <c r="L81" i="2"/>
  <c r="AD81" i="2" s="1"/>
  <c r="L85" i="2"/>
  <c r="AD85" i="2" s="1"/>
  <c r="L93" i="2"/>
  <c r="AD93" i="2" s="1"/>
  <c r="J90" i="2"/>
  <c r="AB90" i="2" s="1"/>
  <c r="J89" i="2"/>
  <c r="AB89" i="2" s="1"/>
  <c r="L88" i="2"/>
  <c r="AD88" i="2" s="1"/>
  <c r="J92" i="2"/>
  <c r="AB92" i="2" s="1"/>
  <c r="G86" i="2"/>
  <c r="Y86" i="2" s="1"/>
  <c r="K79" i="2"/>
  <c r="H88" i="2"/>
  <c r="Z88" i="2" s="1"/>
  <c r="G90" i="2"/>
  <c r="Y90" i="2" s="1"/>
  <c r="G81" i="2"/>
  <c r="Y81" i="2" s="1"/>
  <c r="K83" i="2"/>
  <c r="AC83" i="2" s="1"/>
  <c r="G87" i="2"/>
  <c r="Y87" i="2" s="1"/>
  <c r="G89" i="2"/>
  <c r="Y89" i="2" s="1"/>
  <c r="G83" i="2"/>
  <c r="Y83" i="2" s="1"/>
  <c r="L82" i="2"/>
  <c r="AD82" i="2" s="1"/>
  <c r="V81" i="2"/>
  <c r="V87" i="2"/>
  <c r="V90" i="2"/>
  <c r="V91" i="2"/>
  <c r="W92" i="2"/>
  <c r="J85" i="2"/>
  <c r="AB85" i="2" s="1"/>
  <c r="I92" i="2"/>
  <c r="AA92" i="2" s="1"/>
  <c r="I82" i="2"/>
  <c r="AA82" i="2" s="1"/>
  <c r="V83" i="2"/>
  <c r="K86" i="2"/>
  <c r="AC86" i="2" s="1"/>
  <c r="K85" i="2"/>
  <c r="AC85" i="2" s="1"/>
  <c r="J84" i="2"/>
  <c r="AB84" i="2" s="1"/>
  <c r="H93" i="2"/>
  <c r="Z93" i="2" s="1"/>
  <c r="K88" i="2"/>
  <c r="AC88" i="2" s="1"/>
  <c r="K93" i="2"/>
  <c r="AC93" i="2" s="1"/>
  <c r="L92" i="2"/>
  <c r="AD92" i="2" s="1"/>
  <c r="L89" i="2"/>
  <c r="AD89" i="2" s="1"/>
  <c r="H82" i="2"/>
  <c r="Z82" i="2" s="1"/>
  <c r="H89" i="2"/>
  <c r="Z89" i="2" s="1"/>
  <c r="I81" i="2"/>
  <c r="AA81" i="2" s="1"/>
  <c r="G82" i="2"/>
  <c r="Y82" i="2" s="1"/>
  <c r="W80" i="2"/>
  <c r="V89" i="2"/>
  <c r="G84" i="2"/>
  <c r="Y84" i="2" s="1"/>
  <c r="AC79" i="2" l="1"/>
  <c r="AD79" i="2"/>
  <c r="AE112" i="2" l="1"/>
  <c r="X112" i="2"/>
  <c r="X115" i="2"/>
  <c r="AE115" i="2"/>
  <c r="X109" i="2"/>
  <c r="X113" i="2"/>
  <c r="AE113" i="2"/>
  <c r="X117" i="2"/>
  <c r="AE117" i="2"/>
  <c r="X118" i="2"/>
  <c r="AE118" i="2"/>
  <c r="X114" i="2"/>
  <c r="AE114" i="2"/>
  <c r="AE110" i="2"/>
  <c r="X110" i="2"/>
  <c r="X120" i="2"/>
  <c r="AE120" i="2"/>
  <c r="AE111" i="2"/>
  <c r="X111" i="2"/>
  <c r="AE119" i="2"/>
  <c r="X119" i="2"/>
  <c r="X116" i="2"/>
  <c r="AE116" i="2"/>
  <c r="AE109" i="2"/>
  <c r="I117" i="2"/>
  <c r="AA117" i="2" s="1"/>
  <c r="D117" i="2"/>
  <c r="V117" i="2" s="1"/>
  <c r="I112" i="2"/>
  <c r="AA112" i="2" s="1"/>
  <c r="D112" i="2"/>
  <c r="V112" i="2" s="1"/>
  <c r="W118" i="2"/>
  <c r="D118" i="2"/>
  <c r="K118" i="2" s="1"/>
  <c r="AC118" i="2" s="1"/>
  <c r="W114" i="2"/>
  <c r="D114" i="2"/>
  <c r="V114" i="2" s="1"/>
  <c r="D119" i="2"/>
  <c r="V119" i="2" s="1"/>
  <c r="D120" i="2"/>
  <c r="K120" i="2" s="1"/>
  <c r="AC120" i="2" s="1"/>
  <c r="I113" i="2"/>
  <c r="AA113" i="2" s="1"/>
  <c r="D113" i="2"/>
  <c r="J113" i="2" s="1"/>
  <c r="AB113" i="2" s="1"/>
  <c r="D110" i="2"/>
  <c r="V110" i="2" s="1"/>
  <c r="D116" i="2"/>
  <c r="V116" i="2" s="1"/>
  <c r="W115" i="2"/>
  <c r="D115" i="2"/>
  <c r="V115" i="2" s="1"/>
  <c r="D109" i="2"/>
  <c r="J109" i="2" s="1"/>
  <c r="W109" i="2"/>
  <c r="W110" i="2"/>
  <c r="W111" i="2"/>
  <c r="D111" i="2"/>
  <c r="J111" i="2" s="1"/>
  <c r="AB111" i="2" s="1"/>
  <c r="L119" i="2" l="1"/>
  <c r="AD119" i="2" s="1"/>
  <c r="G119" i="2"/>
  <c r="Y119" i="2" s="1"/>
  <c r="L114" i="2"/>
  <c r="AD114" i="2" s="1"/>
  <c r="K111" i="2"/>
  <c r="AC111" i="2" s="1"/>
  <c r="K109" i="2"/>
  <c r="AC109" i="2" s="1"/>
  <c r="H114" i="2"/>
  <c r="Z114" i="2" s="1"/>
  <c r="K119" i="2"/>
  <c r="AC119" i="2" s="1"/>
  <c r="I109" i="2"/>
  <c r="AA109" i="2" s="1"/>
  <c r="G120" i="2"/>
  <c r="Y120" i="2" s="1"/>
  <c r="J119" i="2"/>
  <c r="AB119" i="2" s="1"/>
  <c r="L118" i="2"/>
  <c r="AD118" i="2" s="1"/>
  <c r="V113" i="2"/>
  <c r="G116" i="2"/>
  <c r="Y116" i="2" s="1"/>
  <c r="H118" i="2"/>
  <c r="Z118" i="2" s="1"/>
  <c r="W116" i="2"/>
  <c r="I111" i="2"/>
  <c r="AA111" i="2" s="1"/>
  <c r="L120" i="2"/>
  <c r="AD120" i="2" s="1"/>
  <c r="J112" i="2"/>
  <c r="AB112" i="2" s="1"/>
  <c r="H119" i="2"/>
  <c r="Z119" i="2" s="1"/>
  <c r="G111" i="2"/>
  <c r="Y111" i="2" s="1"/>
  <c r="V118" i="2"/>
  <c r="K113" i="2"/>
  <c r="AC113" i="2" s="1"/>
  <c r="L112" i="2"/>
  <c r="AD112" i="2" s="1"/>
  <c r="K117" i="2"/>
  <c r="AC117" i="2" s="1"/>
  <c r="G117" i="2"/>
  <c r="Y117" i="2" s="1"/>
  <c r="I116" i="2"/>
  <c r="AA116" i="2" s="1"/>
  <c r="AB109" i="2"/>
  <c r="L115" i="2"/>
  <c r="AD115" i="2" s="1"/>
  <c r="K115" i="2"/>
  <c r="AC115" i="2" s="1"/>
  <c r="I115" i="2"/>
  <c r="AA115" i="2" s="1"/>
  <c r="L111" i="2"/>
  <c r="AD111" i="2" s="1"/>
  <c r="H115" i="2"/>
  <c r="Z115" i="2" s="1"/>
  <c r="I114" i="2"/>
  <c r="AA114" i="2" s="1"/>
  <c r="H113" i="2"/>
  <c r="Z113" i="2" s="1"/>
  <c r="G113" i="2"/>
  <c r="Y113" i="2" s="1"/>
  <c r="G109" i="2"/>
  <c r="Y109" i="2" s="1"/>
  <c r="J110" i="2"/>
  <c r="AB110" i="2" s="1"/>
  <c r="L113" i="2"/>
  <c r="AD113" i="2" s="1"/>
  <c r="V120" i="2"/>
  <c r="J118" i="2"/>
  <c r="AB118" i="2" s="1"/>
  <c r="I119" i="2"/>
  <c r="AA119" i="2" s="1"/>
  <c r="V111" i="2"/>
  <c r="J115" i="2"/>
  <c r="AB115" i="2" s="1"/>
  <c r="L116" i="2"/>
  <c r="AD116" i="2" s="1"/>
  <c r="K114" i="2"/>
  <c r="AC114" i="2" s="1"/>
  <c r="L117" i="2"/>
  <c r="AD117" i="2" s="1"/>
  <c r="W120" i="2"/>
  <c r="W119" i="2"/>
  <c r="G112" i="2"/>
  <c r="Y112" i="2" s="1"/>
  <c r="W117" i="2"/>
  <c r="K110" i="2"/>
  <c r="AC110" i="2" s="1"/>
  <c r="V109" i="2"/>
  <c r="K116" i="2"/>
  <c r="AC116" i="2" s="1"/>
  <c r="W112" i="2"/>
  <c r="J117" i="2"/>
  <c r="AB117" i="2" s="1"/>
  <c r="H112" i="2"/>
  <c r="Z112" i="2" s="1"/>
  <c r="H110" i="2"/>
  <c r="Z110" i="2" s="1"/>
  <c r="H111" i="2"/>
  <c r="Z111" i="2" s="1"/>
  <c r="G114" i="2"/>
  <c r="Y114" i="2" s="1"/>
  <c r="G118" i="2"/>
  <c r="Y118" i="2" s="1"/>
  <c r="J116" i="2"/>
  <c r="AB116" i="2" s="1"/>
  <c r="L110" i="2"/>
  <c r="AD110" i="2" s="1"/>
  <c r="L109" i="2"/>
  <c r="I118" i="2"/>
  <c r="AA118" i="2" s="1"/>
  <c r="I120" i="2"/>
  <c r="AA120" i="2" s="1"/>
  <c r="I110" i="2"/>
  <c r="AA110" i="2" s="1"/>
  <c r="H117" i="2"/>
  <c r="Z117" i="2" s="1"/>
  <c r="H109" i="2"/>
  <c r="Z109" i="2" s="1"/>
  <c r="G110" i="2"/>
  <c r="Y110" i="2" s="1"/>
  <c r="H116" i="2"/>
  <c r="Z116" i="2" s="1"/>
  <c r="J120" i="2"/>
  <c r="AB120" i="2" s="1"/>
  <c r="K112" i="2"/>
  <c r="AC112" i="2" s="1"/>
  <c r="G115" i="2"/>
  <c r="Y115" i="2" s="1"/>
  <c r="H120" i="2"/>
  <c r="Z120" i="2" s="1"/>
  <c r="J114" i="2"/>
  <c r="AB114" i="2" s="1"/>
  <c r="W113" i="2"/>
  <c r="AD109" i="2" l="1"/>
  <c r="AE372" i="2" l="1"/>
  <c r="X372" i="2"/>
  <c r="X364" i="2"/>
  <c r="AE377" i="2"/>
  <c r="X377" i="2"/>
  <c r="AE369" i="2"/>
  <c r="X369" i="2"/>
  <c r="X371" i="2"/>
  <c r="AE371" i="2"/>
  <c r="X375" i="2"/>
  <c r="AE375" i="2"/>
  <c r="AE366" i="2"/>
  <c r="X366" i="2"/>
  <c r="X365" i="2"/>
  <c r="AE365" i="2"/>
  <c r="X370" i="2"/>
  <c r="AE370" i="2"/>
  <c r="AE374" i="2"/>
  <c r="X374" i="2"/>
  <c r="AE376" i="2"/>
  <c r="X376" i="2"/>
  <c r="AE368" i="2"/>
  <c r="X368" i="2"/>
  <c r="X373" i="2"/>
  <c r="AE373" i="2"/>
  <c r="X367" i="2"/>
  <c r="AE367" i="2"/>
  <c r="X378" i="2"/>
  <c r="AE378" i="2"/>
  <c r="AE364" i="2"/>
  <c r="E369" i="2"/>
  <c r="I369" i="2" s="1"/>
  <c r="AA369" i="2" s="1"/>
  <c r="D369" i="2"/>
  <c r="J369" i="2" s="1"/>
  <c r="AB369" i="2" s="1"/>
  <c r="E370" i="2"/>
  <c r="I370" i="2" s="1"/>
  <c r="AA370" i="2" s="1"/>
  <c r="D370" i="2"/>
  <c r="V370" i="2" s="1"/>
  <c r="E365" i="2"/>
  <c r="W365" i="2" s="1"/>
  <c r="D365" i="2"/>
  <c r="H365" i="2" s="1"/>
  <c r="Z365" i="2" s="1"/>
  <c r="E374" i="2"/>
  <c r="W374" i="2" s="1"/>
  <c r="D374" i="2"/>
  <c r="V374" i="2" s="1"/>
  <c r="E366" i="2"/>
  <c r="W366" i="2" s="1"/>
  <c r="D366" i="2"/>
  <c r="H366" i="2" s="1"/>
  <c r="Z366" i="2" s="1"/>
  <c r="E368" i="2"/>
  <c r="I368" i="2" s="1"/>
  <c r="AA368" i="2" s="1"/>
  <c r="D368" i="2"/>
  <c r="K368" i="2" s="1"/>
  <c r="AC368" i="2" s="1"/>
  <c r="E377" i="2"/>
  <c r="W377" i="2" s="1"/>
  <c r="D377" i="2"/>
  <c r="H377" i="2" s="1"/>
  <c r="Z377" i="2" s="1"/>
  <c r="E378" i="2"/>
  <c r="W378" i="2" s="1"/>
  <c r="D378" i="2"/>
  <c r="H378" i="2" s="1"/>
  <c r="Z378" i="2" s="1"/>
  <c r="E371" i="2"/>
  <c r="W371" i="2" s="1"/>
  <c r="D371" i="2"/>
  <c r="V371" i="2" s="1"/>
  <c r="E372" i="2"/>
  <c r="W372" i="2" s="1"/>
  <c r="D372" i="2"/>
  <c r="J372" i="2" s="1"/>
  <c r="AB372" i="2" s="1"/>
  <c r="E364" i="2"/>
  <c r="W364" i="2" s="1"/>
  <c r="D364" i="2"/>
  <c r="H364" i="2" s="1"/>
  <c r="Z364" i="2" s="1"/>
  <c r="E376" i="2"/>
  <c r="W376" i="2" s="1"/>
  <c r="D376" i="2"/>
  <c r="V376" i="2" s="1"/>
  <c r="E373" i="2"/>
  <c r="W373" i="2" s="1"/>
  <c r="D373" i="2"/>
  <c r="H373" i="2" s="1"/>
  <c r="Z373" i="2" s="1"/>
  <c r="E375" i="2"/>
  <c r="D375" i="2"/>
  <c r="V375" i="2" s="1"/>
  <c r="E367" i="2"/>
  <c r="D367" i="2"/>
  <c r="H367" i="2" s="1"/>
  <c r="Z367" i="2" s="1"/>
  <c r="L368" i="2" l="1"/>
  <c r="AD368" i="2" s="1"/>
  <c r="J370" i="2"/>
  <c r="AB370" i="2" s="1"/>
  <c r="K367" i="2"/>
  <c r="AC367" i="2" s="1"/>
  <c r="J366" i="2"/>
  <c r="AB366" i="2" s="1"/>
  <c r="G367" i="2"/>
  <c r="Y367" i="2" s="1"/>
  <c r="J373" i="2"/>
  <c r="AB373" i="2" s="1"/>
  <c r="K364" i="2"/>
  <c r="AC364" i="2" s="1"/>
  <c r="L373" i="2"/>
  <c r="AD373" i="2" s="1"/>
  <c r="G368" i="2"/>
  <c r="Y368" i="2" s="1"/>
  <c r="L366" i="2"/>
  <c r="AD366" i="2" s="1"/>
  <c r="G375" i="2"/>
  <c r="Y375" i="2" s="1"/>
  <c r="K376" i="2"/>
  <c r="AC376" i="2" s="1"/>
  <c r="J368" i="2"/>
  <c r="AB368" i="2" s="1"/>
  <c r="G378" i="2"/>
  <c r="Y378" i="2" s="1"/>
  <c r="G377" i="2"/>
  <c r="Y377" i="2" s="1"/>
  <c r="K378" i="2"/>
  <c r="AC378" i="2" s="1"/>
  <c r="J371" i="2"/>
  <c r="AB371" i="2" s="1"/>
  <c r="K375" i="2"/>
  <c r="AC375" i="2" s="1"/>
  <c r="L371" i="2"/>
  <c r="AD371" i="2" s="1"/>
  <c r="J378" i="2"/>
  <c r="AB378" i="2" s="1"/>
  <c r="L377" i="2"/>
  <c r="AD377" i="2" s="1"/>
  <c r="J377" i="2"/>
  <c r="AB377" i="2" s="1"/>
  <c r="J375" i="2"/>
  <c r="AB375" i="2" s="1"/>
  <c r="K372" i="2"/>
  <c r="AC372" i="2" s="1"/>
  <c r="L369" i="2"/>
  <c r="AD369" i="2" s="1"/>
  <c r="I367" i="2"/>
  <c r="AA367" i="2" s="1"/>
  <c r="I378" i="2"/>
  <c r="AA378" i="2" s="1"/>
  <c r="H370" i="2"/>
  <c r="Z370" i="2" s="1"/>
  <c r="I365" i="2"/>
  <c r="AA365" i="2" s="1"/>
  <c r="I373" i="2"/>
  <c r="AA373" i="2" s="1"/>
  <c r="H376" i="2"/>
  <c r="Z376" i="2" s="1"/>
  <c r="H368" i="2"/>
  <c r="Z368" i="2" s="1"/>
  <c r="G370" i="2"/>
  <c r="Y370" i="2" s="1"/>
  <c r="G364" i="2"/>
  <c r="Y364" i="2" s="1"/>
  <c r="L364" i="2"/>
  <c r="AD364" i="2" s="1"/>
  <c r="J374" i="2"/>
  <c r="AB374" i="2" s="1"/>
  <c r="K370" i="2"/>
  <c r="AC370" i="2" s="1"/>
  <c r="G371" i="2"/>
  <c r="Y371" i="2" s="1"/>
  <c r="G374" i="2"/>
  <c r="Y374" i="2" s="1"/>
  <c r="G376" i="2"/>
  <c r="Y376" i="2" s="1"/>
  <c r="V366" i="2"/>
  <c r="I376" i="2"/>
  <c r="AA376" i="2" s="1"/>
  <c r="H374" i="2"/>
  <c r="Z374" i="2" s="1"/>
  <c r="V372" i="2"/>
  <c r="K369" i="2"/>
  <c r="AC369" i="2" s="1"/>
  <c r="H375" i="2"/>
  <c r="Z375" i="2" s="1"/>
  <c r="H372" i="2"/>
  <c r="Z372" i="2" s="1"/>
  <c r="W370" i="2"/>
  <c r="W375" i="2"/>
  <c r="W367" i="2"/>
  <c r="L378" i="2"/>
  <c r="AD378" i="2" s="1"/>
  <c r="V378" i="2"/>
  <c r="V367" i="2"/>
  <c r="K377" i="2"/>
  <c r="AC377" i="2" s="1"/>
  <c r="K373" i="2"/>
  <c r="AC373" i="2" s="1"/>
  <c r="V373" i="2"/>
  <c r="V368" i="2"/>
  <c r="V364" i="2"/>
  <c r="V369" i="2"/>
  <c r="I371" i="2"/>
  <c r="AA371" i="2" s="1"/>
  <c r="G372" i="2"/>
  <c r="Y372" i="2" s="1"/>
  <c r="G369" i="2"/>
  <c r="Y369" i="2" s="1"/>
  <c r="J364" i="2"/>
  <c r="AB364" i="2" s="1"/>
  <c r="L372" i="2"/>
  <c r="AD372" i="2" s="1"/>
  <c r="L367" i="2"/>
  <c r="AD367" i="2" s="1"/>
  <c r="L375" i="2"/>
  <c r="AD375" i="2" s="1"/>
  <c r="G365" i="2"/>
  <c r="Y365" i="2" s="1"/>
  <c r="J367" i="2"/>
  <c r="AB367" i="2" s="1"/>
  <c r="K374" i="2"/>
  <c r="AC374" i="2" s="1"/>
  <c r="J365" i="2"/>
  <c r="AB365" i="2" s="1"/>
  <c r="I366" i="2"/>
  <c r="AA366" i="2" s="1"/>
  <c r="I375" i="2"/>
  <c r="AA375" i="2" s="1"/>
  <c r="H371" i="2"/>
  <c r="Z371" i="2" s="1"/>
  <c r="H369" i="2"/>
  <c r="Z369" i="2" s="1"/>
  <c r="I377" i="2"/>
  <c r="AA377" i="2" s="1"/>
  <c r="I372" i="2"/>
  <c r="AA372" i="2" s="1"/>
  <c r="I364" i="2"/>
  <c r="AA364" i="2" s="1"/>
  <c r="J376" i="2"/>
  <c r="AB376" i="2" s="1"/>
  <c r="K365" i="2"/>
  <c r="AC365" i="2" s="1"/>
  <c r="W369" i="2"/>
  <c r="W368" i="2"/>
  <c r="V377" i="2"/>
  <c r="L370" i="2"/>
  <c r="AD370" i="2" s="1"/>
  <c r="V365" i="2"/>
  <c r="G373" i="2"/>
  <c r="Y373" i="2" s="1"/>
  <c r="G366" i="2"/>
  <c r="Y366" i="2" s="1"/>
  <c r="L374" i="2"/>
  <c r="AD374" i="2" s="1"/>
  <c r="L365" i="2"/>
  <c r="AD365" i="2" s="1"/>
  <c r="K371" i="2"/>
  <c r="AC371" i="2" s="1"/>
  <c r="I374" i="2"/>
  <c r="AA374" i="2" s="1"/>
  <c r="K366" i="2"/>
  <c r="AC366" i="2" s="1"/>
  <c r="L376" i="2"/>
  <c r="AD376" i="2" s="1"/>
  <c r="AE267" i="2" l="1"/>
  <c r="X267" i="2"/>
  <c r="AE266" i="2"/>
  <c r="X266" i="2"/>
  <c r="AE260" i="2"/>
  <c r="X260" i="2"/>
  <c r="X269" i="2"/>
  <c r="AE269" i="2"/>
  <c r="X265" i="2"/>
  <c r="AE265" i="2"/>
  <c r="X273" i="2"/>
  <c r="AE273" i="2"/>
  <c r="AE268" i="2"/>
  <c r="X268" i="2"/>
  <c r="X270" i="2"/>
  <c r="AE270" i="2"/>
  <c r="AE271" i="2"/>
  <c r="X271" i="2"/>
  <c r="X261" i="2"/>
  <c r="AE261" i="2"/>
  <c r="X264" i="2"/>
  <c r="AE264" i="2"/>
  <c r="AE272" i="2"/>
  <c r="X272" i="2"/>
  <c r="X262" i="2"/>
  <c r="AE262" i="2"/>
  <c r="X263" i="2"/>
  <c r="AE263" i="2"/>
  <c r="E261" i="2"/>
  <c r="D261" i="2"/>
  <c r="L261" i="2" s="1"/>
  <c r="AD261" i="2" s="1"/>
  <c r="D260" i="2"/>
  <c r="D259" i="2"/>
  <c r="E267" i="2"/>
  <c r="W267" i="2" s="1"/>
  <c r="D267" i="2"/>
  <c r="V267" i="2" s="1"/>
  <c r="E271" i="2"/>
  <c r="W271" i="2" s="1"/>
  <c r="D271" i="2"/>
  <c r="K271" i="2" s="1"/>
  <c r="AC271" i="2" s="1"/>
  <c r="E260" i="2"/>
  <c r="I260" i="2" s="1"/>
  <c r="AA260" i="2" s="1"/>
  <c r="E270" i="2"/>
  <c r="D270" i="2"/>
  <c r="AE259" i="2"/>
  <c r="E263" i="2"/>
  <c r="D263" i="2"/>
  <c r="V263" i="2" s="1"/>
  <c r="E272" i="2"/>
  <c r="W272" i="2" s="1"/>
  <c r="D272" i="2"/>
  <c r="L272" i="2" s="1"/>
  <c r="AD272" i="2" s="1"/>
  <c r="E269" i="2"/>
  <c r="D269" i="2"/>
  <c r="H269" i="2" s="1"/>
  <c r="Z269" i="2" s="1"/>
  <c r="E259" i="2"/>
  <c r="E273" i="2"/>
  <c r="D273" i="2"/>
  <c r="V273" i="2" s="1"/>
  <c r="E268" i="2"/>
  <c r="W268" i="2" s="1"/>
  <c r="D268" i="2"/>
  <c r="E265" i="2"/>
  <c r="W265" i="2" s="1"/>
  <c r="D265" i="2"/>
  <c r="K265" i="2" s="1"/>
  <c r="AC265" i="2" s="1"/>
  <c r="E262" i="2"/>
  <c r="D262" i="2"/>
  <c r="E266" i="2"/>
  <c r="D266" i="2"/>
  <c r="E264" i="2"/>
  <c r="W264" i="2" s="1"/>
  <c r="D264" i="2"/>
  <c r="K264" i="2" s="1"/>
  <c r="AC264" i="2" s="1"/>
  <c r="J259" i="2" l="1"/>
  <c r="AB259" i="2" s="1"/>
  <c r="V259" i="2"/>
  <c r="G259" i="2"/>
  <c r="Y259" i="2" s="1"/>
  <c r="W259" i="2"/>
  <c r="G263" i="2"/>
  <c r="Y263" i="2" s="1"/>
  <c r="G260" i="2"/>
  <c r="Y260" i="2" s="1"/>
  <c r="G270" i="2"/>
  <c r="Y270" i="2" s="1"/>
  <c r="K272" i="2"/>
  <c r="AC272" i="2" s="1"/>
  <c r="J267" i="2"/>
  <c r="AB267" i="2" s="1"/>
  <c r="L264" i="2"/>
  <c r="AD264" i="2" s="1"/>
  <c r="H263" i="2"/>
  <c r="Z263" i="2" s="1"/>
  <c r="I267" i="2"/>
  <c r="AA267" i="2" s="1"/>
  <c r="W260" i="2"/>
  <c r="J269" i="2"/>
  <c r="AB269" i="2" s="1"/>
  <c r="J263" i="2"/>
  <c r="AB263" i="2" s="1"/>
  <c r="G267" i="2"/>
  <c r="Y267" i="2" s="1"/>
  <c r="V269" i="2"/>
  <c r="I271" i="2"/>
  <c r="AA271" i="2" s="1"/>
  <c r="L269" i="2"/>
  <c r="AD269" i="2" s="1"/>
  <c r="K263" i="2"/>
  <c r="AC263" i="2" s="1"/>
  <c r="L263" i="2"/>
  <c r="AD263" i="2" s="1"/>
  <c r="J261" i="2"/>
  <c r="AB261" i="2" s="1"/>
  <c r="H261" i="2"/>
  <c r="Z261" i="2" s="1"/>
  <c r="K261" i="2"/>
  <c r="AC261" i="2" s="1"/>
  <c r="L259" i="2"/>
  <c r="AD259" i="2" s="1"/>
  <c r="W263" i="2"/>
  <c r="I263" i="2"/>
  <c r="AA263" i="2" s="1"/>
  <c r="I268" i="2"/>
  <c r="AA268" i="2" s="1"/>
  <c r="I272" i="2"/>
  <c r="AA272" i="2" s="1"/>
  <c r="L260" i="2"/>
  <c r="AD260" i="2" s="1"/>
  <c r="H260" i="2"/>
  <c r="Z260" i="2" s="1"/>
  <c r="V260" i="2"/>
  <c r="I259" i="2"/>
  <c r="AA259" i="2" s="1"/>
  <c r="G265" i="2"/>
  <c r="Y265" i="2" s="1"/>
  <c r="K260" i="2"/>
  <c r="AC260" i="2" s="1"/>
  <c r="V264" i="2"/>
  <c r="J264" i="2"/>
  <c r="AB264" i="2" s="1"/>
  <c r="W266" i="2"/>
  <c r="G266" i="2"/>
  <c r="Y266" i="2" s="1"/>
  <c r="I266" i="2"/>
  <c r="AA266" i="2" s="1"/>
  <c r="V268" i="2"/>
  <c r="H268" i="2"/>
  <c r="Z268" i="2" s="1"/>
  <c r="K268" i="2"/>
  <c r="AC268" i="2" s="1"/>
  <c r="J268" i="2"/>
  <c r="AB268" i="2" s="1"/>
  <c r="L268" i="2"/>
  <c r="AD268" i="2" s="1"/>
  <c r="W273" i="2"/>
  <c r="I273" i="2"/>
  <c r="AA273" i="2" s="1"/>
  <c r="G273" i="2"/>
  <c r="Y273" i="2" s="1"/>
  <c r="V272" i="2"/>
  <c r="H272" i="2"/>
  <c r="Z272" i="2" s="1"/>
  <c r="J270" i="2"/>
  <c r="AB270" i="2" s="1"/>
  <c r="H270" i="2"/>
  <c r="Z270" i="2" s="1"/>
  <c r="L270" i="2"/>
  <c r="AD270" i="2" s="1"/>
  <c r="V270" i="2"/>
  <c r="K270" i="2"/>
  <c r="AC270" i="2" s="1"/>
  <c r="W261" i="2"/>
  <c r="I261" i="2"/>
  <c r="AA261" i="2" s="1"/>
  <c r="G261" i="2"/>
  <c r="Y261" i="2" s="1"/>
  <c r="I264" i="2"/>
  <c r="AA264" i="2" s="1"/>
  <c r="H264" i="2"/>
  <c r="Z264" i="2" s="1"/>
  <c r="G264" i="2"/>
  <c r="Y264" i="2" s="1"/>
  <c r="J266" i="2"/>
  <c r="AB266" i="2" s="1"/>
  <c r="V266" i="2"/>
  <c r="K266" i="2"/>
  <c r="AC266" i="2" s="1"/>
  <c r="L266" i="2"/>
  <c r="AD266" i="2" s="1"/>
  <c r="H266" i="2"/>
  <c r="Z266" i="2" s="1"/>
  <c r="W269" i="2"/>
  <c r="G269" i="2"/>
  <c r="Y269" i="2" s="1"/>
  <c r="I269" i="2"/>
  <c r="AA269" i="2" s="1"/>
  <c r="V265" i="2"/>
  <c r="L265" i="2"/>
  <c r="AD265" i="2" s="1"/>
  <c r="J265" i="2"/>
  <c r="AB265" i="2" s="1"/>
  <c r="H265" i="2"/>
  <c r="Z265" i="2" s="1"/>
  <c r="K273" i="2"/>
  <c r="AC273" i="2" s="1"/>
  <c r="W270" i="2"/>
  <c r="I270" i="2"/>
  <c r="AA270" i="2" s="1"/>
  <c r="G268" i="2"/>
  <c r="Y268" i="2" s="1"/>
  <c r="H271" i="2"/>
  <c r="Z271" i="2" s="1"/>
  <c r="L271" i="2"/>
  <c r="AD271" i="2" s="1"/>
  <c r="I265" i="2"/>
  <c r="AA265" i="2" s="1"/>
  <c r="G271" i="2"/>
  <c r="Y271" i="2" s="1"/>
  <c r="J271" i="2"/>
  <c r="AB271" i="2" s="1"/>
  <c r="V271" i="2"/>
  <c r="I262" i="2"/>
  <c r="AA262" i="2" s="1"/>
  <c r="W262" i="2"/>
  <c r="G262" i="2"/>
  <c r="Y262" i="2" s="1"/>
  <c r="H273" i="2"/>
  <c r="Z273" i="2" s="1"/>
  <c r="J273" i="2"/>
  <c r="AB273" i="2" s="1"/>
  <c r="L273" i="2"/>
  <c r="AD273" i="2" s="1"/>
  <c r="V262" i="2"/>
  <c r="H262" i="2"/>
  <c r="Z262" i="2" s="1"/>
  <c r="L262" i="2"/>
  <c r="AD262" i="2" s="1"/>
  <c r="J262" i="2"/>
  <c r="AB262" i="2" s="1"/>
  <c r="K262" i="2"/>
  <c r="AC262" i="2" s="1"/>
  <c r="J272" i="2"/>
  <c r="AB272" i="2" s="1"/>
  <c r="J260" i="2"/>
  <c r="AB260" i="2" s="1"/>
  <c r="H267" i="2"/>
  <c r="Z267" i="2" s="1"/>
  <c r="K269" i="2"/>
  <c r="AC269" i="2" s="1"/>
  <c r="V261" i="2"/>
  <c r="H259" i="2"/>
  <c r="Z259" i="2" s="1"/>
  <c r="G272" i="2"/>
  <c r="Y272" i="2" s="1"/>
  <c r="K259" i="2"/>
  <c r="AC259" i="2" s="1"/>
  <c r="K267" i="2"/>
  <c r="AC267" i="2" s="1"/>
  <c r="L267" i="2"/>
  <c r="AD267" i="2" s="1"/>
  <c r="AE306" i="2" l="1"/>
  <c r="X306" i="2"/>
  <c r="AE314" i="2"/>
  <c r="X314" i="2"/>
  <c r="X304" i="2"/>
  <c r="X312" i="2"/>
  <c r="AE312" i="2"/>
  <c r="X317" i="2"/>
  <c r="AE317" i="2"/>
  <c r="AE309" i="2"/>
  <c r="X309" i="2"/>
  <c r="AE311" i="2"/>
  <c r="X311" i="2"/>
  <c r="X310" i="2"/>
  <c r="AE310" i="2"/>
  <c r="X316" i="2"/>
  <c r="AE316" i="2"/>
  <c r="AE315" i="2"/>
  <c r="X315" i="2"/>
  <c r="X318" i="2"/>
  <c r="AE318" i="2"/>
  <c r="AE308" i="2"/>
  <c r="X308" i="2"/>
  <c r="X313" i="2"/>
  <c r="AE313" i="2"/>
  <c r="X305" i="2"/>
  <c r="AE305" i="2"/>
  <c r="AE307" i="2"/>
  <c r="X307" i="2"/>
  <c r="D305" i="2"/>
  <c r="D314" i="2"/>
  <c r="AE304" i="2"/>
  <c r="E305" i="2"/>
  <c r="D311" i="2"/>
  <c r="D315" i="2"/>
  <c r="D309" i="2"/>
  <c r="D308" i="2"/>
  <c r="D310" i="2"/>
  <c r="E307" i="2"/>
  <c r="D307" i="2"/>
  <c r="E309" i="2"/>
  <c r="E310" i="2"/>
  <c r="E315" i="2"/>
  <c r="E308" i="2"/>
  <c r="E311" i="2"/>
  <c r="E313" i="2"/>
  <c r="D313" i="2"/>
  <c r="D304" i="2"/>
  <c r="E304" i="2"/>
  <c r="E314" i="2"/>
  <c r="E316" i="2"/>
  <c r="D316" i="2"/>
  <c r="E306" i="2"/>
  <c r="D306" i="2"/>
  <c r="E318" i="2"/>
  <c r="D318" i="2"/>
  <c r="E312" i="2"/>
  <c r="D312" i="2"/>
  <c r="E317" i="2"/>
  <c r="D317" i="2"/>
  <c r="V312" i="2" l="1"/>
  <c r="J312" i="2"/>
  <c r="K312" i="2"/>
  <c r="AC312" i="2" s="1"/>
  <c r="H312" i="2"/>
  <c r="Z312" i="2" s="1"/>
  <c r="L312" i="2"/>
  <c r="AD312" i="2" s="1"/>
  <c r="V316" i="2"/>
  <c r="J316" i="2"/>
  <c r="AB316" i="2" s="1"/>
  <c r="K316" i="2"/>
  <c r="AC316" i="2" s="1"/>
  <c r="H316" i="2"/>
  <c r="Z316" i="2" s="1"/>
  <c r="L316" i="2"/>
  <c r="W312" i="2"/>
  <c r="I312" i="2"/>
  <c r="AA312" i="2" s="1"/>
  <c r="G312" i="2"/>
  <c r="Y312" i="2" s="1"/>
  <c r="V306" i="2"/>
  <c r="K306" i="2"/>
  <c r="AC306" i="2" s="1"/>
  <c r="H306" i="2"/>
  <c r="Z306" i="2" s="1"/>
  <c r="L306" i="2"/>
  <c r="AD306" i="2" s="1"/>
  <c r="J306" i="2"/>
  <c r="AB306" i="2" s="1"/>
  <c r="W316" i="2"/>
  <c r="I316" i="2"/>
  <c r="AA316" i="2" s="1"/>
  <c r="G316" i="2"/>
  <c r="Y316" i="2" s="1"/>
  <c r="W304" i="2"/>
  <c r="I304" i="2"/>
  <c r="G304" i="2"/>
  <c r="Y304" i="2" s="1"/>
  <c r="V313" i="2"/>
  <c r="H313" i="2"/>
  <c r="L313" i="2"/>
  <c r="J313" i="2"/>
  <c r="AB313" i="2" s="1"/>
  <c r="K313" i="2"/>
  <c r="AC313" i="2" s="1"/>
  <c r="W308" i="2"/>
  <c r="I308" i="2"/>
  <c r="AA308" i="2" s="1"/>
  <c r="G308" i="2"/>
  <c r="Y308" i="2" s="1"/>
  <c r="V310" i="2"/>
  <c r="K310" i="2"/>
  <c r="H310" i="2"/>
  <c r="Z310" i="2" s="1"/>
  <c r="L310" i="2"/>
  <c r="AD310" i="2" s="1"/>
  <c r="J310" i="2"/>
  <c r="AB310" i="2" s="1"/>
  <c r="H317" i="2"/>
  <c r="Z317" i="2" s="1"/>
  <c r="L317" i="2"/>
  <c r="AD317" i="2" s="1"/>
  <c r="J317" i="2"/>
  <c r="AB317" i="2" s="1"/>
  <c r="K317" i="2"/>
  <c r="AC317" i="2" s="1"/>
  <c r="K318" i="2"/>
  <c r="AC318" i="2" s="1"/>
  <c r="H318" i="2"/>
  <c r="Z318" i="2" s="1"/>
  <c r="L318" i="2"/>
  <c r="AD318" i="2" s="1"/>
  <c r="J318" i="2"/>
  <c r="AB318" i="2" s="1"/>
  <c r="G306" i="2"/>
  <c r="Y306" i="2" s="1"/>
  <c r="I306" i="2"/>
  <c r="AA306" i="2" s="1"/>
  <c r="J304" i="2"/>
  <c r="AB304" i="2" s="1"/>
  <c r="K304" i="2"/>
  <c r="AC304" i="2" s="1"/>
  <c r="H304" i="2"/>
  <c r="L304" i="2"/>
  <c r="AD304" i="2" s="1"/>
  <c r="I313" i="2"/>
  <c r="AA313" i="2" s="1"/>
  <c r="G313" i="2"/>
  <c r="I309" i="2"/>
  <c r="AA309" i="2" s="1"/>
  <c r="G309" i="2"/>
  <c r="Y309" i="2" s="1"/>
  <c r="V315" i="2"/>
  <c r="J315" i="2"/>
  <c r="AB315" i="2" s="1"/>
  <c r="K315" i="2"/>
  <c r="H315" i="2"/>
  <c r="Z315" i="2" s="1"/>
  <c r="L315" i="2"/>
  <c r="AD315" i="2" s="1"/>
  <c r="W317" i="2"/>
  <c r="I317" i="2"/>
  <c r="G317" i="2"/>
  <c r="Y317" i="2" s="1"/>
  <c r="W318" i="2"/>
  <c r="G318" i="2"/>
  <c r="Y318" i="2" s="1"/>
  <c r="I318" i="2"/>
  <c r="AA318" i="2" s="1"/>
  <c r="W314" i="2"/>
  <c r="G314" i="2"/>
  <c r="Y314" i="2" s="1"/>
  <c r="I314" i="2"/>
  <c r="AA314" i="2" s="1"/>
  <c r="W311" i="2"/>
  <c r="G311" i="2"/>
  <c r="Y311" i="2" s="1"/>
  <c r="I311" i="2"/>
  <c r="AA311" i="2" s="1"/>
  <c r="W315" i="2"/>
  <c r="G315" i="2"/>
  <c r="I315" i="2"/>
  <c r="AA315" i="2" s="1"/>
  <c r="V307" i="2"/>
  <c r="J307" i="2"/>
  <c r="AB307" i="2" s="1"/>
  <c r="K307" i="2"/>
  <c r="H307" i="2"/>
  <c r="Z307" i="2" s="1"/>
  <c r="L307" i="2"/>
  <c r="AD307" i="2" s="1"/>
  <c r="V308" i="2"/>
  <c r="J308" i="2"/>
  <c r="AB308" i="2" s="1"/>
  <c r="K308" i="2"/>
  <c r="AC308" i="2" s="1"/>
  <c r="H308" i="2"/>
  <c r="Z308" i="2" s="1"/>
  <c r="L308" i="2"/>
  <c r="AD308" i="2" s="1"/>
  <c r="J311" i="2"/>
  <c r="AB311" i="2" s="1"/>
  <c r="K311" i="2"/>
  <c r="AC311" i="2" s="1"/>
  <c r="H311" i="2"/>
  <c r="Z311" i="2" s="1"/>
  <c r="L311" i="2"/>
  <c r="AD311" i="2" s="1"/>
  <c r="K314" i="2"/>
  <c r="AC314" i="2" s="1"/>
  <c r="H314" i="2"/>
  <c r="Z314" i="2" s="1"/>
  <c r="L314" i="2"/>
  <c r="AD314" i="2" s="1"/>
  <c r="J314" i="2"/>
  <c r="AB314" i="2" s="1"/>
  <c r="G310" i="2"/>
  <c r="Y310" i="2" s="1"/>
  <c r="I310" i="2"/>
  <c r="AA310" i="2" s="1"/>
  <c r="G307" i="2"/>
  <c r="Y307" i="2" s="1"/>
  <c r="I307" i="2"/>
  <c r="AA307" i="2" s="1"/>
  <c r="H309" i="2"/>
  <c r="L309" i="2"/>
  <c r="AD309" i="2" s="1"/>
  <c r="J309" i="2"/>
  <c r="AB309" i="2" s="1"/>
  <c r="K309" i="2"/>
  <c r="AC309" i="2" s="1"/>
  <c r="I305" i="2"/>
  <c r="AA305" i="2" s="1"/>
  <c r="G305" i="2"/>
  <c r="Y305" i="2" s="1"/>
  <c r="H305" i="2"/>
  <c r="Z305" i="2" s="1"/>
  <c r="L305" i="2"/>
  <c r="AD305" i="2" s="1"/>
  <c r="J305" i="2"/>
  <c r="AB305" i="2" s="1"/>
  <c r="K305" i="2"/>
  <c r="AC305" i="2" s="1"/>
  <c r="AD313" i="2"/>
  <c r="W305" i="2"/>
  <c r="AB312" i="2"/>
  <c r="Z304" i="2"/>
  <c r="Z309" i="2"/>
  <c r="AA304" i="2"/>
  <c r="Y313" i="2"/>
  <c r="W309" i="2"/>
  <c r="V314" i="2"/>
  <c r="V311" i="2"/>
  <c r="W306" i="2"/>
  <c r="W307" i="2"/>
  <c r="V309" i="2"/>
  <c r="V318" i="2"/>
  <c r="V317" i="2"/>
  <c r="V305" i="2"/>
  <c r="AD316" i="2"/>
  <c r="W310" i="2"/>
  <c r="W313" i="2"/>
  <c r="AC310" i="2"/>
  <c r="AC315" i="2"/>
  <c r="Y315" i="2"/>
  <c r="AC307" i="2"/>
  <c r="Z313" i="2"/>
  <c r="AA317" i="2"/>
  <c r="V304" i="2"/>
  <c r="AE13" i="2" l="1"/>
  <c r="X13" i="2"/>
  <c r="X8" i="2"/>
  <c r="AE8" i="2"/>
  <c r="X6" i="2"/>
  <c r="AE6" i="2"/>
  <c r="AE9" i="2"/>
  <c r="X9" i="2"/>
  <c r="AE10" i="2"/>
  <c r="X10" i="2"/>
  <c r="AE12" i="2"/>
  <c r="X12" i="2"/>
  <c r="X16" i="2"/>
  <c r="AE16" i="2"/>
  <c r="X18" i="2"/>
  <c r="AE18" i="2"/>
  <c r="X11" i="2"/>
  <c r="AE11" i="2"/>
  <c r="X17" i="2"/>
  <c r="AE17" i="2"/>
  <c r="X7" i="2"/>
  <c r="AE7" i="2"/>
  <c r="X15" i="2"/>
  <c r="AE15" i="2"/>
  <c r="X14" i="2"/>
  <c r="AE14" i="2"/>
  <c r="X5" i="2"/>
  <c r="AE5" i="2"/>
  <c r="X4" i="2"/>
  <c r="AE4" i="2"/>
  <c r="E5" i="2"/>
  <c r="W5" i="2" s="1"/>
  <c r="D5" i="2"/>
  <c r="K5" i="2" s="1"/>
  <c r="AC5" i="2" s="1"/>
  <c r="D11" i="2"/>
  <c r="J11" i="2" s="1"/>
  <c r="AB11" i="2" s="1"/>
  <c r="D6" i="2"/>
  <c r="V6" i="2" s="1"/>
  <c r="D4" i="2"/>
  <c r="V4" i="2" s="1"/>
  <c r="E4" i="2"/>
  <c r="G4" i="2" s="1"/>
  <c r="Y4" i="2" s="1"/>
  <c r="E6" i="2"/>
  <c r="W6" i="2" s="1"/>
  <c r="D12" i="2"/>
  <c r="L12" i="2" s="1"/>
  <c r="AD12" i="2" s="1"/>
  <c r="E13" i="2"/>
  <c r="W13" i="2" s="1"/>
  <c r="D13" i="2"/>
  <c r="H13" i="2" s="1"/>
  <c r="Z13" i="2" s="1"/>
  <c r="D8" i="2"/>
  <c r="L8" i="2" s="1"/>
  <c r="AD8" i="2" s="1"/>
  <c r="E14" i="2"/>
  <c r="D14" i="2"/>
  <c r="V14" i="2" s="1"/>
  <c r="E8" i="2"/>
  <c r="W8" i="2" s="1"/>
  <c r="H8" i="2"/>
  <c r="Z8" i="2" s="1"/>
  <c r="E17" i="2"/>
  <c r="I17" i="2" s="1"/>
  <c r="AA17" i="2" s="1"/>
  <c r="D17" i="2"/>
  <c r="J17" i="2" s="1"/>
  <c r="AB17" i="2" s="1"/>
  <c r="D16" i="2"/>
  <c r="L16" i="2" s="1"/>
  <c r="AD16" i="2" s="1"/>
  <c r="E12" i="2"/>
  <c r="W12" i="2" s="1"/>
  <c r="E16" i="2"/>
  <c r="E10" i="2"/>
  <c r="I10" i="2" s="1"/>
  <c r="AA10" i="2" s="1"/>
  <c r="D10" i="2"/>
  <c r="V10" i="2" s="1"/>
  <c r="E11" i="2"/>
  <c r="I11" i="2" s="1"/>
  <c r="AA11" i="2" s="1"/>
  <c r="D15" i="2"/>
  <c r="H15" i="2" s="1"/>
  <c r="Z15" i="2" s="1"/>
  <c r="E7" i="2"/>
  <c r="D7" i="2"/>
  <c r="V7" i="2" s="1"/>
  <c r="E15" i="2"/>
  <c r="E18" i="2"/>
  <c r="D18" i="2"/>
  <c r="K18" i="2" s="1"/>
  <c r="AC18" i="2" s="1"/>
  <c r="E9" i="2"/>
  <c r="W9" i="2" s="1"/>
  <c r="D9" i="2"/>
  <c r="V9" i="2" s="1"/>
  <c r="G15" i="2" l="1"/>
  <c r="Y15" i="2" s="1"/>
  <c r="K7" i="2"/>
  <c r="AC7" i="2" s="1"/>
  <c r="J15" i="2"/>
  <c r="AB15" i="2" s="1"/>
  <c r="G14" i="2"/>
  <c r="Y14" i="2" s="1"/>
  <c r="J14" i="2"/>
  <c r="AB14" i="2" s="1"/>
  <c r="G18" i="2"/>
  <c r="Y18" i="2" s="1"/>
  <c r="G7" i="2"/>
  <c r="Y7" i="2" s="1"/>
  <c r="H16" i="2"/>
  <c r="Z16" i="2" s="1"/>
  <c r="K14" i="2"/>
  <c r="AC14" i="2" s="1"/>
  <c r="L10" i="2"/>
  <c r="AD10" i="2" s="1"/>
  <c r="G16" i="2"/>
  <c r="Y16" i="2" s="1"/>
  <c r="H7" i="2"/>
  <c r="Z7" i="2" s="1"/>
  <c r="J16" i="2"/>
  <c r="AB16" i="2" s="1"/>
  <c r="I6" i="2"/>
  <c r="AA6" i="2" s="1"/>
  <c r="K8" i="2"/>
  <c r="AC8" i="2" s="1"/>
  <c r="J4" i="2"/>
  <c r="L4" i="2"/>
  <c r="K6" i="2"/>
  <c r="AC6" i="2" s="1"/>
  <c r="J5" i="2"/>
  <c r="AB5" i="2" s="1"/>
  <c r="I16" i="2"/>
  <c r="AA16" i="2" s="1"/>
  <c r="J6" i="2"/>
  <c r="AB6" i="2" s="1"/>
  <c r="J12" i="2"/>
  <c r="AB12" i="2" s="1"/>
  <c r="L7" i="2"/>
  <c r="AD7" i="2" s="1"/>
  <c r="L6" i="2"/>
  <c r="AD6" i="2" s="1"/>
  <c r="H5" i="2"/>
  <c r="Z5" i="2" s="1"/>
  <c r="L17" i="2"/>
  <c r="AD17" i="2" s="1"/>
  <c r="V18" i="2"/>
  <c r="H12" i="2"/>
  <c r="Z12" i="2" s="1"/>
  <c r="H10" i="2"/>
  <c r="Z10" i="2" s="1"/>
  <c r="G6" i="2"/>
  <c r="Y6" i="2" s="1"/>
  <c r="W7" i="2"/>
  <c r="W4" i="2"/>
  <c r="I4" i="2"/>
  <c r="AA4" i="2" s="1"/>
  <c r="G10" i="2"/>
  <c r="Y10" i="2" s="1"/>
  <c r="I13" i="2"/>
  <c r="AA13" i="2" s="1"/>
  <c r="W14" i="2"/>
  <c r="W16" i="2"/>
  <c r="K10" i="2"/>
  <c r="AC10" i="2" s="1"/>
  <c r="V8" i="2"/>
  <c r="V5" i="2"/>
  <c r="V11" i="2"/>
  <c r="W18" i="2"/>
  <c r="I18" i="2"/>
  <c r="AA18" i="2" s="1"/>
  <c r="G12" i="2"/>
  <c r="Y12" i="2" s="1"/>
  <c r="K13" i="2"/>
  <c r="AC13" i="2" s="1"/>
  <c r="J9" i="2"/>
  <c r="AB9" i="2" s="1"/>
  <c r="H17" i="2"/>
  <c r="Z17" i="2" s="1"/>
  <c r="G17" i="2"/>
  <c r="Y17" i="2" s="1"/>
  <c r="J8" i="2"/>
  <c r="AB8" i="2" s="1"/>
  <c r="K15" i="2"/>
  <c r="AC15" i="2" s="1"/>
  <c r="V12" i="2"/>
  <c r="J7" i="2"/>
  <c r="AB7" i="2" s="1"/>
  <c r="V17" i="2"/>
  <c r="L15" i="2"/>
  <c r="AD15" i="2" s="1"/>
  <c r="K11" i="2"/>
  <c r="AC11" i="2" s="1"/>
  <c r="J10" i="2"/>
  <c r="AB10" i="2" s="1"/>
  <c r="L13" i="2"/>
  <c r="AD13" i="2" s="1"/>
  <c r="H4" i="2"/>
  <c r="Z4" i="2" s="1"/>
  <c r="W17" i="2"/>
  <c r="G13" i="2"/>
  <c r="Y13" i="2" s="1"/>
  <c r="V16" i="2"/>
  <c r="L5" i="2"/>
  <c r="AD5" i="2" s="1"/>
  <c r="V15" i="2"/>
  <c r="W10" i="2"/>
  <c r="G9" i="2"/>
  <c r="Y9" i="2" s="1"/>
  <c r="I12" i="2"/>
  <c r="AA12" i="2" s="1"/>
  <c r="H11" i="2"/>
  <c r="Z11" i="2" s="1"/>
  <c r="I9" i="2"/>
  <c r="AA9" i="2" s="1"/>
  <c r="K4" i="2"/>
  <c r="K16" i="2"/>
  <c r="AC16" i="2" s="1"/>
  <c r="L11" i="2"/>
  <c r="AD11" i="2" s="1"/>
  <c r="L9" i="2"/>
  <c r="AD9" i="2" s="1"/>
  <c r="J18" i="2"/>
  <c r="AB18" i="2" s="1"/>
  <c r="H18" i="2"/>
  <c r="Z18" i="2" s="1"/>
  <c r="V13" i="2"/>
  <c r="H6" i="2"/>
  <c r="Z6" i="2" s="1"/>
  <c r="G11" i="2"/>
  <c r="Y11" i="2" s="1"/>
  <c r="I8" i="2"/>
  <c r="AA8" i="2" s="1"/>
  <c r="G5" i="2"/>
  <c r="Y5" i="2" s="1"/>
  <c r="W15" i="2"/>
  <c r="G8" i="2"/>
  <c r="Y8" i="2" s="1"/>
  <c r="I5" i="2"/>
  <c r="AA5" i="2" s="1"/>
  <c r="H9" i="2"/>
  <c r="Z9" i="2" s="1"/>
  <c r="W11" i="2"/>
  <c r="K9" i="2"/>
  <c r="AC9" i="2" s="1"/>
  <c r="L18" i="2"/>
  <c r="AD18" i="2" s="1"/>
  <c r="I15" i="2"/>
  <c r="AA15" i="2" s="1"/>
  <c r="K17" i="2"/>
  <c r="AC17" i="2" s="1"/>
  <c r="H14" i="2"/>
  <c r="Z14" i="2" s="1"/>
  <c r="J13" i="2"/>
  <c r="AB13" i="2" s="1"/>
  <c r="K12" i="2"/>
  <c r="AC12" i="2" s="1"/>
  <c r="I14" i="2"/>
  <c r="AA14" i="2" s="1"/>
  <c r="L14" i="2"/>
  <c r="AD14" i="2" s="1"/>
  <c r="I7" i="2"/>
  <c r="AA7" i="2" s="1"/>
  <c r="AD4" i="2" l="1"/>
  <c r="AC4" i="2"/>
  <c r="AB4" i="2"/>
  <c r="X238" i="2" l="1"/>
  <c r="AE238" i="2"/>
  <c r="AE239" i="2"/>
  <c r="X239" i="2"/>
  <c r="AE235" i="2"/>
  <c r="X235" i="2"/>
  <c r="X233" i="2"/>
  <c r="AE233" i="2"/>
  <c r="AE232" i="2"/>
  <c r="X232" i="2"/>
  <c r="AE241" i="2"/>
  <c r="X241" i="2"/>
  <c r="X229" i="2"/>
  <c r="X243" i="2"/>
  <c r="AE243" i="2"/>
  <c r="AE230" i="2"/>
  <c r="X230" i="2"/>
  <c r="AE234" i="2"/>
  <c r="X234" i="2"/>
  <c r="AE242" i="2"/>
  <c r="X242" i="2"/>
  <c r="AE231" i="2"/>
  <c r="X231" i="2"/>
  <c r="AE240" i="2"/>
  <c r="X240" i="2"/>
  <c r="X237" i="2"/>
  <c r="AE237" i="2"/>
  <c r="X236" i="2"/>
  <c r="AE236" i="2"/>
  <c r="AE229" i="2"/>
  <c r="E238" i="2"/>
  <c r="I238" i="2" s="1"/>
  <c r="AA238" i="2" s="1"/>
  <c r="D238" i="2"/>
  <c r="V238" i="2" s="1"/>
  <c r="E233" i="2"/>
  <c r="W233" i="2" s="1"/>
  <c r="D233" i="2"/>
  <c r="V233" i="2" s="1"/>
  <c r="E237" i="2"/>
  <c r="I237" i="2" s="1"/>
  <c r="AA237" i="2" s="1"/>
  <c r="D237" i="2"/>
  <c r="H237" i="2" s="1"/>
  <c r="Z237" i="2" s="1"/>
  <c r="E236" i="2"/>
  <c r="W236" i="2" s="1"/>
  <c r="D236" i="2"/>
  <c r="L236" i="2" s="1"/>
  <c r="AD236" i="2" s="1"/>
  <c r="E231" i="2"/>
  <c r="D231" i="2"/>
  <c r="H231" i="2" s="1"/>
  <c r="Z231" i="2" s="1"/>
  <c r="E240" i="2"/>
  <c r="D240" i="2"/>
  <c r="H240" i="2" s="1"/>
  <c r="Z240" i="2" s="1"/>
  <c r="E235" i="2"/>
  <c r="W235" i="2" s="1"/>
  <c r="D235" i="2"/>
  <c r="J235" i="2" s="1"/>
  <c r="AB235" i="2" s="1"/>
  <c r="E241" i="2"/>
  <c r="W241" i="2" s="1"/>
  <c r="D241" i="2"/>
  <c r="J241" i="2" s="1"/>
  <c r="AB241" i="2" s="1"/>
  <c r="E230" i="2"/>
  <c r="W230" i="2" s="1"/>
  <c r="D230" i="2"/>
  <c r="H230" i="2" s="1"/>
  <c r="Z230" i="2" s="1"/>
  <c r="E232" i="2"/>
  <c r="I232" i="2" s="1"/>
  <c r="AA232" i="2" s="1"/>
  <c r="D232" i="2"/>
  <c r="V232" i="2" s="1"/>
  <c r="E243" i="2"/>
  <c r="W243" i="2" s="1"/>
  <c r="D243" i="2"/>
  <c r="V243" i="2" s="1"/>
  <c r="E229" i="2"/>
  <c r="D229" i="2"/>
  <c r="V229" i="2" s="1"/>
  <c r="E242" i="2"/>
  <c r="W242" i="2" s="1"/>
  <c r="D242" i="2"/>
  <c r="V242" i="2" s="1"/>
  <c r="E239" i="2"/>
  <c r="D239" i="2"/>
  <c r="J239" i="2" s="1"/>
  <c r="AB239" i="2" s="1"/>
  <c r="E234" i="2"/>
  <c r="W234" i="2" s="1"/>
  <c r="D234" i="2"/>
  <c r="V234" i="2" s="1"/>
  <c r="G231" i="2" l="1"/>
  <c r="Y231" i="2" s="1"/>
  <c r="G239" i="2"/>
  <c r="Y239" i="2" s="1"/>
  <c r="J229" i="2"/>
  <c r="AB229" i="2" s="1"/>
  <c r="J234" i="2"/>
  <c r="AB234" i="2" s="1"/>
  <c r="K239" i="2"/>
  <c r="AC239" i="2" s="1"/>
  <c r="L242" i="2"/>
  <c r="AD242" i="2" s="1"/>
  <c r="G240" i="2"/>
  <c r="Y240" i="2" s="1"/>
  <c r="L239" i="2"/>
  <c r="AD239" i="2" s="1"/>
  <c r="K230" i="2"/>
  <c r="AC230" i="2" s="1"/>
  <c r="L243" i="2"/>
  <c r="AD243" i="2" s="1"/>
  <c r="I230" i="2"/>
  <c r="AA230" i="2" s="1"/>
  <c r="L235" i="2"/>
  <c r="AD235" i="2" s="1"/>
  <c r="K240" i="2"/>
  <c r="AC240" i="2" s="1"/>
  <c r="I240" i="2"/>
  <c r="AA240" i="2" s="1"/>
  <c r="J236" i="2"/>
  <c r="AB236" i="2" s="1"/>
  <c r="V237" i="2"/>
  <c r="K242" i="2"/>
  <c r="AC242" i="2" s="1"/>
  <c r="L238" i="2"/>
  <c r="AD238" i="2" s="1"/>
  <c r="I229" i="2"/>
  <c r="AA229" i="2" s="1"/>
  <c r="L241" i="2"/>
  <c r="AD241" i="2" s="1"/>
  <c r="K236" i="2"/>
  <c r="AC236" i="2" s="1"/>
  <c r="K233" i="2"/>
  <c r="AC233" i="2" s="1"/>
  <c r="L232" i="2"/>
  <c r="AD232" i="2" s="1"/>
  <c r="I239" i="2"/>
  <c r="AA239" i="2" s="1"/>
  <c r="H229" i="2"/>
  <c r="Z229" i="2" s="1"/>
  <c r="G229" i="2"/>
  <c r="Y229" i="2" s="1"/>
  <c r="G230" i="2"/>
  <c r="Y230" i="2" s="1"/>
  <c r="V241" i="2"/>
  <c r="V236" i="2"/>
  <c r="V239" i="2"/>
  <c r="V235" i="2"/>
  <c r="J230" i="2"/>
  <c r="AB230" i="2" s="1"/>
  <c r="L229" i="2"/>
  <c r="AD229" i="2" s="1"/>
  <c r="I236" i="2"/>
  <c r="AA236" i="2" s="1"/>
  <c r="H239" i="2"/>
  <c r="Z239" i="2" s="1"/>
  <c r="H238" i="2"/>
  <c r="Z238" i="2" s="1"/>
  <c r="W231" i="2"/>
  <c r="G237" i="2"/>
  <c r="Y237" i="2" s="1"/>
  <c r="G236" i="2"/>
  <c r="Y236" i="2" s="1"/>
  <c r="G242" i="2"/>
  <c r="Y242" i="2" s="1"/>
  <c r="H234" i="2"/>
  <c r="Z234" i="2" s="1"/>
  <c r="W240" i="2"/>
  <c r="G243" i="2"/>
  <c r="Y243" i="2" s="1"/>
  <c r="G238" i="2"/>
  <c r="Y238" i="2" s="1"/>
  <c r="I243" i="2"/>
  <c r="AA243" i="2" s="1"/>
  <c r="W239" i="2"/>
  <c r="W237" i="2"/>
  <c r="V231" i="2"/>
  <c r="L234" i="2"/>
  <c r="AD234" i="2" s="1"/>
  <c r="J240" i="2"/>
  <c r="AB240" i="2" s="1"/>
  <c r="J238" i="2"/>
  <c r="AB238" i="2" s="1"/>
  <c r="V230" i="2"/>
  <c r="H236" i="2"/>
  <c r="Z236" i="2" s="1"/>
  <c r="H232" i="2"/>
  <c r="Z232" i="2" s="1"/>
  <c r="I231" i="2"/>
  <c r="AA231" i="2" s="1"/>
  <c r="G235" i="2"/>
  <c r="Y235" i="2" s="1"/>
  <c r="G234" i="2"/>
  <c r="Y234" i="2" s="1"/>
  <c r="H242" i="2"/>
  <c r="Z242" i="2" s="1"/>
  <c r="H233" i="2"/>
  <c r="Z233" i="2" s="1"/>
  <c r="W232" i="2"/>
  <c r="W238" i="2"/>
  <c r="I242" i="2"/>
  <c r="AA242" i="2" s="1"/>
  <c r="J232" i="2"/>
  <c r="AB232" i="2" s="1"/>
  <c r="K232" i="2"/>
  <c r="AC232" i="2" s="1"/>
  <c r="K241" i="2"/>
  <c r="AC241" i="2" s="1"/>
  <c r="K234" i="2"/>
  <c r="AC234" i="2" s="1"/>
  <c r="L231" i="2"/>
  <c r="AD231" i="2" s="1"/>
  <c r="K231" i="2"/>
  <c r="AC231" i="2" s="1"/>
  <c r="L237" i="2"/>
  <c r="AD237" i="2" s="1"/>
  <c r="L233" i="2"/>
  <c r="AD233" i="2" s="1"/>
  <c r="J233" i="2"/>
  <c r="AB233" i="2" s="1"/>
  <c r="L240" i="2"/>
  <c r="AD240" i="2" s="1"/>
  <c r="J231" i="2"/>
  <c r="AB231" i="2" s="1"/>
  <c r="K235" i="2"/>
  <c r="AC235" i="2" s="1"/>
  <c r="K238" i="2"/>
  <c r="AC238" i="2" s="1"/>
  <c r="L230" i="2"/>
  <c r="AD230" i="2" s="1"/>
  <c r="K243" i="2"/>
  <c r="AC243" i="2" s="1"/>
  <c r="G241" i="2"/>
  <c r="Y241" i="2" s="1"/>
  <c r="J242" i="2"/>
  <c r="AB242" i="2" s="1"/>
  <c r="V240" i="2"/>
  <c r="I241" i="2"/>
  <c r="AA241" i="2" s="1"/>
  <c r="I235" i="2"/>
  <c r="AA235" i="2" s="1"/>
  <c r="H243" i="2"/>
  <c r="Z243" i="2" s="1"/>
  <c r="I234" i="2"/>
  <c r="AA234" i="2" s="1"/>
  <c r="G232" i="2"/>
  <c r="Y232" i="2" s="1"/>
  <c r="G233" i="2"/>
  <c r="Y233" i="2" s="1"/>
  <c r="K229" i="2"/>
  <c r="AC229" i="2" s="1"/>
  <c r="H241" i="2"/>
  <c r="Z241" i="2" s="1"/>
  <c r="H235" i="2"/>
  <c r="Z235" i="2" s="1"/>
  <c r="W229" i="2"/>
  <c r="J243" i="2"/>
  <c r="AB243" i="2" s="1"/>
  <c r="K237" i="2"/>
  <c r="AC237" i="2" s="1"/>
  <c r="J237" i="2"/>
  <c r="AB237" i="2" s="1"/>
  <c r="I233" i="2"/>
  <c r="AA233" i="2" s="1"/>
  <c r="AE183" i="2" l="1"/>
  <c r="X183" i="2"/>
  <c r="X181" i="2"/>
  <c r="AE181" i="2"/>
  <c r="X169" i="2"/>
  <c r="X173" i="2"/>
  <c r="AE173" i="2"/>
  <c r="AE170" i="2"/>
  <c r="X170" i="2"/>
  <c r="AE174" i="2"/>
  <c r="X174" i="2"/>
  <c r="X182" i="2"/>
  <c r="AE182" i="2"/>
  <c r="X177" i="2"/>
  <c r="AE177" i="2"/>
  <c r="X171" i="2"/>
  <c r="AE171" i="2"/>
  <c r="X176" i="2"/>
  <c r="AE176" i="2"/>
  <c r="X178" i="2"/>
  <c r="AE178" i="2"/>
  <c r="X175" i="2"/>
  <c r="AE175" i="2"/>
  <c r="AE179" i="2"/>
  <c r="X179" i="2"/>
  <c r="X180" i="2"/>
  <c r="AE180" i="2"/>
  <c r="X172" i="2"/>
  <c r="AE172" i="2"/>
  <c r="D173" i="2"/>
  <c r="J173" i="2" s="1"/>
  <c r="AB173" i="2" s="1"/>
  <c r="K173" i="2"/>
  <c r="AC173" i="2" s="1"/>
  <c r="D170" i="2"/>
  <c r="J170" i="2" s="1"/>
  <c r="AB170" i="2" s="1"/>
  <c r="D174" i="2"/>
  <c r="V174" i="2" s="1"/>
  <c r="E180" i="2"/>
  <c r="W180" i="2" s="1"/>
  <c r="D180" i="2"/>
  <c r="L180" i="2" s="1"/>
  <c r="AD180" i="2" s="1"/>
  <c r="D175" i="2"/>
  <c r="V175" i="2" s="1"/>
  <c r="E177" i="2"/>
  <c r="W177" i="2" s="1"/>
  <c r="D177" i="2"/>
  <c r="V177" i="2" s="1"/>
  <c r="AE169" i="2"/>
  <c r="E170" i="2"/>
  <c r="I170" i="2" s="1"/>
  <c r="AA170" i="2" s="1"/>
  <c r="E183" i="2"/>
  <c r="D183" i="2"/>
  <c r="H183" i="2" s="1"/>
  <c r="Z183" i="2" s="1"/>
  <c r="E172" i="2"/>
  <c r="D172" i="2"/>
  <c r="V172" i="2" s="1"/>
  <c r="E179" i="2"/>
  <c r="W179" i="2" s="1"/>
  <c r="D179" i="2"/>
  <c r="J179" i="2" s="1"/>
  <c r="AB179" i="2" s="1"/>
  <c r="H173" i="2"/>
  <c r="Z173" i="2" s="1"/>
  <c r="E173" i="2"/>
  <c r="W173" i="2" s="1"/>
  <c r="I173" i="2"/>
  <c r="AA173" i="2" s="1"/>
  <c r="E175" i="2"/>
  <c r="I175" i="2" s="1"/>
  <c r="AA175" i="2" s="1"/>
  <c r="H175" i="2"/>
  <c r="Z175" i="2"/>
  <c r="E178" i="2"/>
  <c r="D178" i="2"/>
  <c r="V178" i="2" s="1"/>
  <c r="E171" i="2"/>
  <c r="I171" i="2" s="1"/>
  <c r="AA171" i="2" s="1"/>
  <c r="D171" i="2"/>
  <c r="H171" i="2" s="1"/>
  <c r="Z171" i="2" s="1"/>
  <c r="E182" i="2"/>
  <c r="W182" i="2" s="1"/>
  <c r="D182" i="2"/>
  <c r="V182" i="2" s="1"/>
  <c r="K182" i="2"/>
  <c r="AC182" i="2" s="1"/>
  <c r="E176" i="2"/>
  <c r="D176" i="2"/>
  <c r="H176" i="2" s="1"/>
  <c r="Z176" i="2" s="1"/>
  <c r="E174" i="2"/>
  <c r="H174" i="2"/>
  <c r="Z174" i="2" s="1"/>
  <c r="E181" i="2"/>
  <c r="W181" i="2" s="1"/>
  <c r="D181" i="2"/>
  <c r="H181" i="2" s="1"/>
  <c r="Z181" i="2" s="1"/>
  <c r="E169" i="2"/>
  <c r="W169" i="2" s="1"/>
  <c r="D169" i="2"/>
  <c r="H169" i="2" s="1"/>
  <c r="Z169" i="2" s="1"/>
  <c r="K181" i="2" l="1"/>
  <c r="AC181" i="2" s="1"/>
  <c r="G180" i="2"/>
  <c r="Y180" i="2" s="1"/>
  <c r="G176" i="2"/>
  <c r="Y176" i="2" s="1"/>
  <c r="I169" i="2"/>
  <c r="AA169" i="2" s="1"/>
  <c r="G178" i="2"/>
  <c r="Y178" i="2" s="1"/>
  <c r="K179" i="2"/>
  <c r="AC179" i="2" s="1"/>
  <c r="G172" i="2"/>
  <c r="Y172" i="2" s="1"/>
  <c r="K180" i="2"/>
  <c r="AC180" i="2" s="1"/>
  <c r="G174" i="2"/>
  <c r="Y174" i="2" s="1"/>
  <c r="J176" i="2"/>
  <c r="AB176" i="2" s="1"/>
  <c r="K171" i="2"/>
  <c r="AC171" i="2" s="1"/>
  <c r="L178" i="2"/>
  <c r="AD178" i="2" s="1"/>
  <c r="G183" i="2"/>
  <c r="Y183" i="2" s="1"/>
  <c r="K174" i="2"/>
  <c r="AC174" i="2" s="1"/>
  <c r="J174" i="2"/>
  <c r="AB174" i="2" s="1"/>
  <c r="K175" i="2"/>
  <c r="AC175" i="2" s="1"/>
  <c r="G173" i="2"/>
  <c r="Y173" i="2" s="1"/>
  <c r="G171" i="2"/>
  <c r="Y171" i="2" s="1"/>
  <c r="I172" i="2"/>
  <c r="AA172" i="2" s="1"/>
  <c r="G170" i="2"/>
  <c r="Y170" i="2" s="1"/>
  <c r="J183" i="2"/>
  <c r="AB183" i="2" s="1"/>
  <c r="L175" i="2"/>
  <c r="AD175" i="2" s="1"/>
  <c r="L174" i="2"/>
  <c r="AD174" i="2" s="1"/>
  <c r="V169" i="2"/>
  <c r="J181" i="2"/>
  <c r="AB181" i="2" s="1"/>
  <c r="I181" i="2"/>
  <c r="AA181" i="2" s="1"/>
  <c r="J180" i="2"/>
  <c r="AB180" i="2" s="1"/>
  <c r="V173" i="2"/>
  <c r="G181" i="2"/>
  <c r="Y181" i="2" s="1"/>
  <c r="W172" i="2"/>
  <c r="W175" i="2"/>
  <c r="J182" i="2"/>
  <c r="AB182" i="2" s="1"/>
  <c r="I179" i="2"/>
  <c r="AA179" i="2" s="1"/>
  <c r="I182" i="2"/>
  <c r="AA182" i="2" s="1"/>
  <c r="J175" i="2"/>
  <c r="AB175" i="2" s="1"/>
  <c r="L169" i="2"/>
  <c r="AD169" i="2" s="1"/>
  <c r="L181" i="2"/>
  <c r="AD181" i="2" s="1"/>
  <c r="V183" i="2"/>
  <c r="L173" i="2"/>
  <c r="AD173" i="2" s="1"/>
  <c r="L179" i="2"/>
  <c r="AD179" i="2" s="1"/>
  <c r="V181" i="2"/>
  <c r="J171" i="2"/>
  <c r="AB171" i="2" s="1"/>
  <c r="K170" i="2"/>
  <c r="AC170" i="2" s="1"/>
  <c r="H180" i="2"/>
  <c r="Z180" i="2" s="1"/>
  <c r="H179" i="2"/>
  <c r="Z179" i="2" s="1"/>
  <c r="H178" i="2"/>
  <c r="Z178" i="2" s="1"/>
  <c r="I177" i="2"/>
  <c r="AA177" i="2" s="1"/>
  <c r="I174" i="2"/>
  <c r="AA174" i="2" s="1"/>
  <c r="H170" i="2"/>
  <c r="Z170" i="2" s="1"/>
  <c r="G169" i="2"/>
  <c r="Y169" i="2" s="1"/>
  <c r="W170" i="2"/>
  <c r="G182" i="2"/>
  <c r="Y182" i="2" s="1"/>
  <c r="I183" i="2"/>
  <c r="AA183" i="2" s="1"/>
  <c r="H177" i="2"/>
  <c r="Z177" i="2" s="1"/>
  <c r="V180" i="2"/>
  <c r="H172" i="2"/>
  <c r="Z172" i="2" s="1"/>
  <c r="W174" i="2"/>
  <c r="V179" i="2"/>
  <c r="L170" i="2"/>
  <c r="AD170" i="2" s="1"/>
  <c r="W176" i="2"/>
  <c r="W178" i="2"/>
  <c r="W183" i="2"/>
  <c r="I178" i="2"/>
  <c r="AA178" i="2" s="1"/>
  <c r="G179" i="2"/>
  <c r="Y179" i="2" s="1"/>
  <c r="K172" i="2"/>
  <c r="AC172" i="2" s="1"/>
  <c r="G177" i="2"/>
  <c r="Y177" i="2" s="1"/>
  <c r="G175" i="2"/>
  <c r="Y175" i="2" s="1"/>
  <c r="I180" i="2"/>
  <c r="AA180" i="2" s="1"/>
  <c r="K177" i="2"/>
  <c r="AC177" i="2" s="1"/>
  <c r="K169" i="2"/>
  <c r="AC169" i="2" s="1"/>
  <c r="W171" i="2"/>
  <c r="V176" i="2"/>
  <c r="V171" i="2"/>
  <c r="V170" i="2"/>
  <c r="J172" i="2"/>
  <c r="AB172" i="2" s="1"/>
  <c r="L183" i="2"/>
  <c r="AD183" i="2" s="1"/>
  <c r="K176" i="2"/>
  <c r="AC176" i="2" s="1"/>
  <c r="J178" i="2"/>
  <c r="AB178" i="2" s="1"/>
  <c r="I176" i="2"/>
  <c r="AA176" i="2" s="1"/>
  <c r="J177" i="2"/>
  <c r="AB177" i="2" s="1"/>
  <c r="L177" i="2"/>
  <c r="AD177" i="2" s="1"/>
  <c r="L176" i="2"/>
  <c r="AD176" i="2" s="1"/>
  <c r="K183" i="2"/>
  <c r="AC183" i="2" s="1"/>
  <c r="L172" i="2"/>
  <c r="AD172" i="2" s="1"/>
  <c r="J169" i="2"/>
  <c r="AB169" i="2" s="1"/>
  <c r="L171" i="2"/>
  <c r="AD171" i="2" s="1"/>
  <c r="L182" i="2"/>
  <c r="AD182" i="2" s="1"/>
  <c r="K178" i="2"/>
  <c r="AC178" i="2" s="1"/>
  <c r="H182" i="2"/>
  <c r="Z182" i="2" s="1"/>
  <c r="X184" i="2" l="1"/>
  <c r="AE184" i="2"/>
  <c r="D184" i="2"/>
  <c r="K184" i="2" s="1"/>
  <c r="AC184" i="2" s="1"/>
  <c r="E184" i="2"/>
  <c r="W184" i="2" s="1"/>
  <c r="L184" i="2" l="1"/>
  <c r="AD184" i="2" s="1"/>
  <c r="H184" i="2"/>
  <c r="Z184" i="2" s="1"/>
  <c r="J184" i="2"/>
  <c r="AB184" i="2" s="1"/>
  <c r="I184" i="2"/>
  <c r="AA184" i="2" s="1"/>
  <c r="V184" i="2"/>
  <c r="G184" i="2"/>
  <c r="Y184" i="2" s="1"/>
  <c r="X186" i="2"/>
  <c r="AE186" i="2"/>
  <c r="X192" i="2"/>
  <c r="AE192" i="2"/>
  <c r="AE196" i="2"/>
  <c r="X196" i="2"/>
  <c r="X195" i="2"/>
  <c r="AE195" i="2"/>
  <c r="X191" i="2"/>
  <c r="AE191" i="2"/>
  <c r="AE197" i="2"/>
  <c r="X197" i="2"/>
  <c r="X193" i="2"/>
  <c r="AE193" i="2"/>
  <c r="X198" i="2"/>
  <c r="AE198" i="2"/>
  <c r="X185" i="2"/>
  <c r="V193" i="2"/>
  <c r="AE189" i="2"/>
  <c r="X189" i="2"/>
  <c r="AE188" i="2"/>
  <c r="X188" i="2"/>
  <c r="X194" i="2"/>
  <c r="AE194" i="2"/>
  <c r="AE187" i="2"/>
  <c r="X187" i="2"/>
  <c r="AE185" i="2"/>
  <c r="AE190" i="2"/>
  <c r="X190" i="2"/>
  <c r="D191" i="2"/>
  <c r="J191" i="2" s="1"/>
  <c r="AB191" i="2" s="1"/>
  <c r="D196" i="2"/>
  <c r="H196" i="2" s="1"/>
  <c r="Z196" i="2" s="1"/>
  <c r="D189" i="2"/>
  <c r="V189" i="2" s="1"/>
  <c r="D186" i="2"/>
  <c r="K186" i="2" s="1"/>
  <c r="AC186" i="2" s="1"/>
  <c r="E197" i="2"/>
  <c r="D197" i="2"/>
  <c r="K197" i="2" s="1"/>
  <c r="AC197" i="2" s="1"/>
  <c r="E189" i="2"/>
  <c r="I189" i="2" s="1"/>
  <c r="AA189" i="2" s="1"/>
  <c r="E186" i="2"/>
  <c r="W186" i="2" s="1"/>
  <c r="D193" i="2"/>
  <c r="L193" i="2" s="1"/>
  <c r="AD193" i="2" s="1"/>
  <c r="D198" i="2"/>
  <c r="J198" i="2" s="1"/>
  <c r="AB198" i="2" s="1"/>
  <c r="D192" i="2"/>
  <c r="J192" i="2" s="1"/>
  <c r="AB192" i="2" s="1"/>
  <c r="E185" i="2"/>
  <c r="W185" i="2" s="1"/>
  <c r="D185" i="2"/>
  <c r="J185" i="2" s="1"/>
  <c r="AB185" i="2" s="1"/>
  <c r="E191" i="2"/>
  <c r="W191" i="2" s="1"/>
  <c r="E188" i="2"/>
  <c r="I188" i="2" s="1"/>
  <c r="AA188" i="2" s="1"/>
  <c r="D188" i="2"/>
  <c r="J188" i="2" s="1"/>
  <c r="AB188" i="2" s="1"/>
  <c r="D187" i="2"/>
  <c r="V187" i="2" s="1"/>
  <c r="E192" i="2"/>
  <c r="W192" i="2" s="1"/>
  <c r="D195" i="2"/>
  <c r="V195" i="2" s="1"/>
  <c r="E196" i="2"/>
  <c r="W196" i="2" s="1"/>
  <c r="E198" i="2"/>
  <c r="I198" i="2" s="1"/>
  <c r="AA198" i="2" s="1"/>
  <c r="E187" i="2"/>
  <c r="W187" i="2" s="1"/>
  <c r="E195" i="2"/>
  <c r="E193" i="2"/>
  <c r="I193" i="2" s="1"/>
  <c r="AA193" i="2" s="1"/>
  <c r="H193" i="2"/>
  <c r="Z193" i="2" s="1"/>
  <c r="E190" i="2"/>
  <c r="D190" i="2"/>
  <c r="H190" i="2" s="1"/>
  <c r="Z190" i="2" s="1"/>
  <c r="E194" i="2"/>
  <c r="D194" i="2"/>
  <c r="V194" i="2" s="1"/>
  <c r="H195" i="2" l="1"/>
  <c r="Z195" i="2" s="1"/>
  <c r="G195" i="2"/>
  <c r="Y195" i="2" s="1"/>
  <c r="I186" i="2"/>
  <c r="AA186" i="2" s="1"/>
  <c r="J195" i="2"/>
  <c r="AB195" i="2" s="1"/>
  <c r="L196" i="2"/>
  <c r="AD196" i="2" s="1"/>
  <c r="L191" i="2"/>
  <c r="AD191" i="2" s="1"/>
  <c r="V198" i="2"/>
  <c r="H189" i="2"/>
  <c r="Z189" i="2" s="1"/>
  <c r="H191" i="2"/>
  <c r="Z191" i="2" s="1"/>
  <c r="G197" i="2"/>
  <c r="Y197" i="2" s="1"/>
  <c r="K196" i="2"/>
  <c r="AC196" i="2" s="1"/>
  <c r="K198" i="2"/>
  <c r="AC198" i="2" s="1"/>
  <c r="L198" i="2"/>
  <c r="AD198" i="2" s="1"/>
  <c r="G196" i="2"/>
  <c r="Y196" i="2" s="1"/>
  <c r="L189" i="2"/>
  <c r="AD189" i="2" s="1"/>
  <c r="H198" i="2"/>
  <c r="Z198" i="2" s="1"/>
  <c r="W193" i="2"/>
  <c r="G194" i="2"/>
  <c r="Y194" i="2" s="1"/>
  <c r="G187" i="2"/>
  <c r="Y187" i="2" s="1"/>
  <c r="H185" i="2"/>
  <c r="Z185" i="2" s="1"/>
  <c r="K185" i="2"/>
  <c r="AC185" i="2" s="1"/>
  <c r="G193" i="2"/>
  <c r="Y193" i="2" s="1"/>
  <c r="I185" i="2"/>
  <c r="AA185" i="2" s="1"/>
  <c r="G186" i="2"/>
  <c r="Y186" i="2" s="1"/>
  <c r="L195" i="2"/>
  <c r="AD195" i="2" s="1"/>
  <c r="J189" i="2"/>
  <c r="AB189" i="2" s="1"/>
  <c r="W189" i="2"/>
  <c r="G190" i="2"/>
  <c r="Y190" i="2" s="1"/>
  <c r="I187" i="2"/>
  <c r="AA187" i="2" s="1"/>
  <c r="H187" i="2"/>
  <c r="Z187" i="2" s="1"/>
  <c r="V191" i="2"/>
  <c r="G198" i="2"/>
  <c r="Y198" i="2" s="1"/>
  <c r="L186" i="2"/>
  <c r="AD186" i="2" s="1"/>
  <c r="W198" i="2"/>
  <c r="I195" i="2"/>
  <c r="AA195" i="2" s="1"/>
  <c r="H194" i="2"/>
  <c r="Z194" i="2" s="1"/>
  <c r="L194" i="2"/>
  <c r="AD194" i="2" s="1"/>
  <c r="K194" i="2"/>
  <c r="AC194" i="2" s="1"/>
  <c r="G189" i="2"/>
  <c r="Y189" i="2" s="1"/>
  <c r="K195" i="2"/>
  <c r="AC195" i="2" s="1"/>
  <c r="J187" i="2"/>
  <c r="AB187" i="2" s="1"/>
  <c r="L197" i="2"/>
  <c r="AD197" i="2" s="1"/>
  <c r="J196" i="2"/>
  <c r="AB196" i="2" s="1"/>
  <c r="V190" i="2"/>
  <c r="L192" i="2"/>
  <c r="AD192" i="2" s="1"/>
  <c r="K191" i="2"/>
  <c r="AC191" i="2" s="1"/>
  <c r="K187" i="2"/>
  <c r="AC187" i="2" s="1"/>
  <c r="J197" i="2"/>
  <c r="AB197" i="2" s="1"/>
  <c r="L185" i="2"/>
  <c r="AD185" i="2" s="1"/>
  <c r="I190" i="2"/>
  <c r="AA190" i="2" s="1"/>
  <c r="K193" i="2"/>
  <c r="AC193" i="2" s="1"/>
  <c r="H186" i="2"/>
  <c r="Z186" i="2" s="1"/>
  <c r="I197" i="2"/>
  <c r="AA197" i="2" s="1"/>
  <c r="I192" i="2"/>
  <c r="AA192" i="2" s="1"/>
  <c r="W194" i="2"/>
  <c r="W188" i="2"/>
  <c r="V186" i="2"/>
  <c r="V196" i="2"/>
  <c r="W197" i="2"/>
  <c r="I194" i="2"/>
  <c r="AA194" i="2" s="1"/>
  <c r="G188" i="2"/>
  <c r="Y188" i="2" s="1"/>
  <c r="J194" i="2"/>
  <c r="AB194" i="2" s="1"/>
  <c r="K190" i="2"/>
  <c r="AC190" i="2" s="1"/>
  <c r="I196" i="2"/>
  <c r="AA196" i="2" s="1"/>
  <c r="L187" i="2"/>
  <c r="AD187" i="2" s="1"/>
  <c r="J190" i="2"/>
  <c r="AB190" i="2" s="1"/>
  <c r="L188" i="2"/>
  <c r="AD188" i="2" s="1"/>
  <c r="J193" i="2"/>
  <c r="AB193" i="2" s="1"/>
  <c r="G192" i="2"/>
  <c r="Y192" i="2" s="1"/>
  <c r="K189" i="2"/>
  <c r="AC189" i="2" s="1"/>
  <c r="G185" i="2"/>
  <c r="Y185" i="2" s="1"/>
  <c r="H197" i="2"/>
  <c r="Z197" i="2" s="1"/>
  <c r="J186" i="2"/>
  <c r="AB186" i="2" s="1"/>
  <c r="V197" i="2"/>
  <c r="V185" i="2"/>
  <c r="W190" i="2"/>
  <c r="V188" i="2"/>
  <c r="W195" i="2"/>
  <c r="V192" i="2"/>
  <c r="H192" i="2"/>
  <c r="Z192" i="2" s="1"/>
  <c r="K188" i="2"/>
  <c r="AC188" i="2" s="1"/>
  <c r="G191" i="2"/>
  <c r="Y191" i="2" s="1"/>
  <c r="K192" i="2"/>
  <c r="AC192" i="2" s="1"/>
  <c r="H188" i="2"/>
  <c r="Z188" i="2" s="1"/>
  <c r="L190" i="2"/>
  <c r="AD190" i="2" s="1"/>
  <c r="I191" i="2"/>
  <c r="AA191" i="2" s="1"/>
  <c r="AE212" i="2" l="1"/>
  <c r="X212" i="2"/>
  <c r="AE213" i="2"/>
  <c r="X213" i="2"/>
  <c r="E213" i="2"/>
  <c r="D213" i="2"/>
  <c r="H213" i="2" s="1"/>
  <c r="Z213" i="2" s="1"/>
  <c r="E212" i="2"/>
  <c r="I212" i="2" s="1"/>
  <c r="AA212" i="2" s="1"/>
  <c r="D212" i="2"/>
  <c r="L212" i="2" s="1"/>
  <c r="AD212" i="2" s="1"/>
  <c r="W212" i="2" l="1"/>
  <c r="G212" i="2"/>
  <c r="Y212" i="2" s="1"/>
  <c r="J212" i="2"/>
  <c r="AB212" i="2" s="1"/>
  <c r="K212" i="2"/>
  <c r="AC212" i="2" s="1"/>
  <c r="G213" i="2"/>
  <c r="Y213" i="2" s="1"/>
  <c r="V212" i="2"/>
  <c r="H212" i="2"/>
  <c r="Z212" i="2" s="1"/>
  <c r="V213" i="2"/>
  <c r="W213" i="2"/>
  <c r="J213" i="2"/>
  <c r="AB213" i="2" s="1"/>
  <c r="I213" i="2"/>
  <c r="AA213" i="2" s="1"/>
  <c r="L213" i="2"/>
  <c r="AD213" i="2" s="1"/>
  <c r="K213" i="2"/>
  <c r="AC213" i="2" s="1"/>
  <c r="X34" i="2" l="1"/>
  <c r="X39" i="2"/>
  <c r="AE39" i="2"/>
  <c r="X46" i="2"/>
  <c r="AE46" i="2"/>
  <c r="X40" i="2"/>
  <c r="AE40" i="2"/>
  <c r="X48" i="2"/>
  <c r="AE48" i="2"/>
  <c r="AE41" i="2"/>
  <c r="X41" i="2"/>
  <c r="AE43" i="2"/>
  <c r="X43" i="2"/>
  <c r="AE37" i="2"/>
  <c r="X37" i="2"/>
  <c r="AE38" i="2"/>
  <c r="X38" i="2"/>
  <c r="AE45" i="2"/>
  <c r="X45" i="2"/>
  <c r="X47" i="2"/>
  <c r="AE47" i="2"/>
  <c r="X36" i="2"/>
  <c r="AE36" i="2"/>
  <c r="X44" i="2"/>
  <c r="AE44" i="2"/>
  <c r="AE35" i="2"/>
  <c r="X35" i="2"/>
  <c r="AE42" i="2"/>
  <c r="X42" i="2"/>
  <c r="D37" i="2"/>
  <c r="V37" i="2" s="1"/>
  <c r="D38" i="2"/>
  <c r="L38" i="2" s="1"/>
  <c r="AD38" i="2" s="1"/>
  <c r="K38" i="2"/>
  <c r="AC38" i="2" s="1"/>
  <c r="H43" i="2"/>
  <c r="Z43" i="2" s="1"/>
  <c r="E43" i="2"/>
  <c r="W43" i="2" s="1"/>
  <c r="G43" i="2"/>
  <c r="Y43" i="2" s="1"/>
  <c r="D43" i="2"/>
  <c r="V43" i="2" s="1"/>
  <c r="J43" i="2"/>
  <c r="AB43" i="2" s="1"/>
  <c r="AE34" i="2"/>
  <c r="H37" i="2"/>
  <c r="Z37" i="2" s="1"/>
  <c r="E38" i="2"/>
  <c r="W38" i="2" s="1"/>
  <c r="G38" i="2"/>
  <c r="Y38" i="2" s="1"/>
  <c r="H38" i="2"/>
  <c r="Z38" i="2" s="1"/>
  <c r="E42" i="2"/>
  <c r="I42" i="2" s="1"/>
  <c r="AA42" i="2" s="1"/>
  <c r="D42" i="2"/>
  <c r="J42" i="2" s="1"/>
  <c r="AB42" i="2" s="1"/>
  <c r="K42" i="2"/>
  <c r="AC42" i="2" s="1"/>
  <c r="J41" i="2"/>
  <c r="AB41" i="2" s="1"/>
  <c r="E45" i="2"/>
  <c r="W45" i="2" s="1"/>
  <c r="D45" i="2"/>
  <c r="L45" i="2" s="1"/>
  <c r="AD45" i="2" s="1"/>
  <c r="J45" i="2"/>
  <c r="AB45" i="2" s="1"/>
  <c r="E44" i="2"/>
  <c r="D44" i="2"/>
  <c r="V44" i="2" s="1"/>
  <c r="K44" i="2"/>
  <c r="AC44" i="2" s="1"/>
  <c r="E37" i="2"/>
  <c r="G37" i="2" s="1"/>
  <c r="Y37" i="2" s="1"/>
  <c r="E48" i="2"/>
  <c r="D48" i="2"/>
  <c r="V48" i="2" s="1"/>
  <c r="K48" i="2"/>
  <c r="AC48" i="2" s="1"/>
  <c r="E46" i="2"/>
  <c r="I46" i="2" s="1"/>
  <c r="AA46" i="2" s="1"/>
  <c r="D46" i="2"/>
  <c r="J46" i="2" s="1"/>
  <c r="AB46" i="2" s="1"/>
  <c r="E39" i="2"/>
  <c r="W39" i="2" s="1"/>
  <c r="G39" i="2"/>
  <c r="Y39" i="2" s="1"/>
  <c r="D39" i="2"/>
  <c r="H39" i="2" s="1"/>
  <c r="Z39" i="2" s="1"/>
  <c r="E35" i="2"/>
  <c r="D35" i="2"/>
  <c r="V35" i="2" s="1"/>
  <c r="E41" i="2"/>
  <c r="I41" i="2" s="1"/>
  <c r="AA41" i="2" s="1"/>
  <c r="D41" i="2"/>
  <c r="V41" i="2" s="1"/>
  <c r="E47" i="2"/>
  <c r="W47" i="2" s="1"/>
  <c r="D47" i="2"/>
  <c r="J47" i="2" s="1"/>
  <c r="AB47" i="2" s="1"/>
  <c r="E40" i="2"/>
  <c r="W40" i="2" s="1"/>
  <c r="D40" i="2"/>
  <c r="V40" i="2" s="1"/>
  <c r="E36" i="2"/>
  <c r="G36" i="2" s="1"/>
  <c r="Y36" i="2" s="1"/>
  <c r="D36" i="2"/>
  <c r="J36" i="2" s="1"/>
  <c r="AB36" i="2" s="1"/>
  <c r="E34" i="2"/>
  <c r="W34" i="2" s="1"/>
  <c r="D34" i="2"/>
  <c r="V34" i="2" s="1"/>
  <c r="K34" i="2"/>
  <c r="L39" i="2" l="1"/>
  <c r="AD39" i="2" s="1"/>
  <c r="V38" i="2"/>
  <c r="G40" i="2"/>
  <c r="Y40" i="2" s="1"/>
  <c r="L41" i="2"/>
  <c r="AD41" i="2" s="1"/>
  <c r="G35" i="2"/>
  <c r="Y35" i="2" s="1"/>
  <c r="G48" i="2"/>
  <c r="Y48" i="2" s="1"/>
  <c r="G44" i="2"/>
  <c r="Y44" i="2" s="1"/>
  <c r="L44" i="2"/>
  <c r="AD44" i="2" s="1"/>
  <c r="K43" i="2"/>
  <c r="AC43" i="2" s="1"/>
  <c r="J37" i="2"/>
  <c r="AB37" i="2" s="1"/>
  <c r="J34" i="2"/>
  <c r="K40" i="2"/>
  <c r="AC40" i="2" s="1"/>
  <c r="K41" i="2"/>
  <c r="AC41" i="2" s="1"/>
  <c r="K37" i="2"/>
  <c r="AC37" i="2" s="1"/>
  <c r="W36" i="2"/>
  <c r="J39" i="2"/>
  <c r="AB39" i="2" s="1"/>
  <c r="H42" i="2"/>
  <c r="Z42" i="2" s="1"/>
  <c r="I47" i="2"/>
  <c r="AA47" i="2" s="1"/>
  <c r="I40" i="2"/>
  <c r="AA40" i="2" s="1"/>
  <c r="I39" i="2"/>
  <c r="AA39" i="2" s="1"/>
  <c r="V45" i="2"/>
  <c r="W42" i="2"/>
  <c r="L48" i="2"/>
  <c r="AD48" i="2" s="1"/>
  <c r="W37" i="2"/>
  <c r="V36" i="2"/>
  <c r="H40" i="2"/>
  <c r="Z40" i="2" s="1"/>
  <c r="V47" i="2"/>
  <c r="V39" i="2"/>
  <c r="V42" i="2"/>
  <c r="K36" i="2"/>
  <c r="AC36" i="2" s="1"/>
  <c r="G47" i="2"/>
  <c r="Y47" i="2" s="1"/>
  <c r="J35" i="2"/>
  <c r="AB35" i="2" s="1"/>
  <c r="G46" i="2"/>
  <c r="Y46" i="2" s="1"/>
  <c r="I35" i="2"/>
  <c r="AA35" i="2" s="1"/>
  <c r="I37" i="2"/>
  <c r="AA37" i="2" s="1"/>
  <c r="H46" i="2"/>
  <c r="Z46" i="2" s="1"/>
  <c r="H36" i="2"/>
  <c r="Z36" i="2" s="1"/>
  <c r="H48" i="2"/>
  <c r="Z48" i="2" s="1"/>
  <c r="L34" i="2"/>
  <c r="I43" i="2"/>
  <c r="AA43" i="2" s="1"/>
  <c r="I44" i="2"/>
  <c r="AA44" i="2" s="1"/>
  <c r="I38" i="2"/>
  <c r="AA38" i="2" s="1"/>
  <c r="I48" i="2"/>
  <c r="AA48" i="2" s="1"/>
  <c r="K45" i="2"/>
  <c r="AC45" i="2" s="1"/>
  <c r="I36" i="2"/>
  <c r="AA36" i="2" s="1"/>
  <c r="L37" i="2"/>
  <c r="AD37" i="2" s="1"/>
  <c r="AC34" i="2"/>
  <c r="W35" i="2"/>
  <c r="W46" i="2"/>
  <c r="W44" i="2"/>
  <c r="W48" i="2"/>
  <c r="K46" i="2"/>
  <c r="AC46" i="2" s="1"/>
  <c r="J48" i="2"/>
  <c r="AB48" i="2" s="1"/>
  <c r="G34" i="2"/>
  <c r="Y34" i="2" s="1"/>
  <c r="L40" i="2"/>
  <c r="AD40" i="2" s="1"/>
  <c r="G41" i="2"/>
  <c r="Y41" i="2" s="1"/>
  <c r="K39" i="2"/>
  <c r="AC39" i="2" s="1"/>
  <c r="J40" i="2"/>
  <c r="AB40" i="2" s="1"/>
  <c r="L47" i="2"/>
  <c r="AD47" i="2" s="1"/>
  <c r="L35" i="2"/>
  <c r="AD35" i="2" s="1"/>
  <c r="G42" i="2"/>
  <c r="Y42" i="2" s="1"/>
  <c r="J44" i="2"/>
  <c r="AB44" i="2" s="1"/>
  <c r="L36" i="2"/>
  <c r="AD36" i="2" s="1"/>
  <c r="K35" i="2"/>
  <c r="AC35" i="2" s="1"/>
  <c r="H35" i="2"/>
  <c r="Z35" i="2" s="1"/>
  <c r="L43" i="2"/>
  <c r="AD43" i="2" s="1"/>
  <c r="L42" i="2"/>
  <c r="AD42" i="2" s="1"/>
  <c r="H44" i="2"/>
  <c r="Z44" i="2" s="1"/>
  <c r="I45" i="2"/>
  <c r="AA45" i="2" s="1"/>
  <c r="H41" i="2"/>
  <c r="Z41" i="2" s="1"/>
  <c r="I34" i="2"/>
  <c r="AA34" i="2" s="1"/>
  <c r="H34" i="2"/>
  <c r="Z34" i="2" s="1"/>
  <c r="W41" i="2"/>
  <c r="AB34" i="2"/>
  <c r="V46" i="2"/>
  <c r="K47" i="2"/>
  <c r="AC47" i="2" s="1"/>
  <c r="L46" i="2"/>
  <c r="AD46" i="2" s="1"/>
  <c r="H47" i="2"/>
  <c r="Z47" i="2" s="1"/>
  <c r="G45" i="2"/>
  <c r="Y45" i="2" s="1"/>
  <c r="H45" i="2"/>
  <c r="Z45" i="2" s="1"/>
  <c r="J38" i="2"/>
  <c r="AB38" i="2" s="1"/>
  <c r="K469" i="2" l="1"/>
  <c r="AC469" i="2" s="1"/>
  <c r="L469" i="2"/>
  <c r="AD469" i="2" s="1"/>
  <c r="AD34" i="2"/>
  <c r="J469" i="2"/>
  <c r="AB469" i="2" s="1"/>
  <c r="X199" i="2" l="1"/>
  <c r="X211" i="2"/>
  <c r="AE211" i="2"/>
  <c r="AE205" i="2"/>
  <c r="X205" i="2"/>
  <c r="X209" i="2"/>
  <c r="AE209" i="2"/>
  <c r="AE202" i="2"/>
  <c r="X202" i="2"/>
  <c r="AE208" i="2"/>
  <c r="X208" i="2"/>
  <c r="X201" i="2"/>
  <c r="AE201" i="2"/>
  <c r="X207" i="2"/>
  <c r="AE207" i="2"/>
  <c r="X206" i="2"/>
  <c r="AE206" i="2"/>
  <c r="X204" i="2"/>
  <c r="AE204" i="2"/>
  <c r="AE203" i="2"/>
  <c r="X203" i="2"/>
  <c r="X210" i="2"/>
  <c r="AE210" i="2"/>
  <c r="X200" i="2"/>
  <c r="AE200" i="2"/>
  <c r="H199" i="2"/>
  <c r="Z199" i="2" s="1"/>
  <c r="D199" i="2"/>
  <c r="J199" i="2" s="1"/>
  <c r="AB199" i="2" s="1"/>
  <c r="D200" i="2"/>
  <c r="L200" i="2" s="1"/>
  <c r="AD200" i="2" s="1"/>
  <c r="E200" i="2"/>
  <c r="W200" i="2" s="1"/>
  <c r="F469" i="2"/>
  <c r="E199" i="2"/>
  <c r="G199" i="2" s="1"/>
  <c r="Y199" i="2" s="1"/>
  <c r="AE199" i="2"/>
  <c r="AE469" i="2"/>
  <c r="E207" i="2"/>
  <c r="G207" i="2" s="1"/>
  <c r="Y207" i="2" s="1"/>
  <c r="D207" i="2"/>
  <c r="L207" i="2" s="1"/>
  <c r="AD207" i="2" s="1"/>
  <c r="D203" i="2"/>
  <c r="J203" i="2" s="1"/>
  <c r="AB203" i="2" s="1"/>
  <c r="K203" i="2"/>
  <c r="AC203" i="2" s="1"/>
  <c r="E211" i="2"/>
  <c r="W211" i="2" s="1"/>
  <c r="D211" i="2"/>
  <c r="H211" i="2" s="1"/>
  <c r="Z211" i="2" s="1"/>
  <c r="E202" i="2"/>
  <c r="W202" i="2" s="1"/>
  <c r="D202" i="2"/>
  <c r="H202" i="2" s="1"/>
  <c r="Z202" i="2" s="1"/>
  <c r="J202" i="2"/>
  <c r="AB202" i="2" s="1"/>
  <c r="E201" i="2"/>
  <c r="W201" i="2" s="1"/>
  <c r="D201" i="2"/>
  <c r="V201" i="2" s="1"/>
  <c r="L201" i="2"/>
  <c r="AD201" i="2" s="1"/>
  <c r="E210" i="2"/>
  <c r="G210" i="2" s="1"/>
  <c r="Y210" i="2" s="1"/>
  <c r="D210" i="2"/>
  <c r="H210" i="2" s="1"/>
  <c r="Z210" i="2" s="1"/>
  <c r="E203" i="2"/>
  <c r="I203" i="2" s="1"/>
  <c r="AA203" i="2" s="1"/>
  <c r="H203" i="2"/>
  <c r="Z203" i="2" s="1"/>
  <c r="E204" i="2"/>
  <c r="I204" i="2" s="1"/>
  <c r="AA204" i="2" s="1"/>
  <c r="D204" i="2"/>
  <c r="V204" i="2" s="1"/>
  <c r="E206" i="2"/>
  <c r="W206" i="2" s="1"/>
  <c r="D206" i="2"/>
  <c r="L206" i="2" s="1"/>
  <c r="AD206" i="2" s="1"/>
  <c r="E208" i="2"/>
  <c r="G208" i="2" s="1"/>
  <c r="Y208" i="2" s="1"/>
  <c r="D208" i="2"/>
  <c r="H208" i="2" s="1"/>
  <c r="Z208" i="2" s="1"/>
  <c r="E205" i="2"/>
  <c r="G205" i="2" s="1"/>
  <c r="Y205" i="2" s="1"/>
  <c r="D205" i="2"/>
  <c r="H205" i="2" s="1"/>
  <c r="Z205" i="2" s="1"/>
  <c r="E209" i="2"/>
  <c r="I209" i="2" s="1"/>
  <c r="AA209" i="2" s="1"/>
  <c r="D209" i="2"/>
  <c r="H209" i="2" s="1"/>
  <c r="Z209" i="2" s="1"/>
  <c r="J208" i="2" l="1"/>
  <c r="AB208" i="2" s="1"/>
  <c r="K208" i="2"/>
  <c r="AC208" i="2" s="1"/>
  <c r="J210" i="2"/>
  <c r="AB210" i="2" s="1"/>
  <c r="H200" i="2"/>
  <c r="Z200" i="2" s="1"/>
  <c r="I202" i="2"/>
  <c r="AA202" i="2" s="1"/>
  <c r="K200" i="2"/>
  <c r="AC200" i="2" s="1"/>
  <c r="K199" i="2"/>
  <c r="AC199" i="2" s="1"/>
  <c r="K210" i="2"/>
  <c r="AC210" i="2" s="1"/>
  <c r="J200" i="2"/>
  <c r="AB200" i="2" s="1"/>
  <c r="V203" i="2"/>
  <c r="V200" i="2"/>
  <c r="J206" i="2"/>
  <c r="AB206" i="2" s="1"/>
  <c r="L211" i="2"/>
  <c r="AD211" i="2" s="1"/>
  <c r="K211" i="2"/>
  <c r="AC211" i="2" s="1"/>
  <c r="G200" i="2"/>
  <c r="Y200" i="2" s="1"/>
  <c r="G204" i="2"/>
  <c r="Y204" i="2" s="1"/>
  <c r="V209" i="2"/>
  <c r="L208" i="2"/>
  <c r="AD208" i="2" s="1"/>
  <c r="J211" i="2"/>
  <c r="AB211" i="2" s="1"/>
  <c r="L203" i="2"/>
  <c r="AD203" i="2" s="1"/>
  <c r="K202" i="2"/>
  <c r="AC202" i="2" s="1"/>
  <c r="X469" i="2"/>
  <c r="V205" i="2"/>
  <c r="I200" i="2"/>
  <c r="AA200" i="2" s="1"/>
  <c r="L210" i="2"/>
  <c r="AD210" i="2" s="1"/>
  <c r="V210" i="2"/>
  <c r="K201" i="2"/>
  <c r="AC201" i="2" s="1"/>
  <c r="H206" i="2"/>
  <c r="Z206" i="2" s="1"/>
  <c r="H204" i="2"/>
  <c r="Z204" i="2" s="1"/>
  <c r="V202" i="2"/>
  <c r="I207" i="2"/>
  <c r="AA207" i="2" s="1"/>
  <c r="H201" i="2"/>
  <c r="Z201" i="2" s="1"/>
  <c r="I211" i="2"/>
  <c r="AA211" i="2" s="1"/>
  <c r="L199" i="2"/>
  <c r="AD199" i="2" s="1"/>
  <c r="W208" i="2"/>
  <c r="W204" i="2"/>
  <c r="G211" i="2"/>
  <c r="Y211" i="2" s="1"/>
  <c r="W205" i="2"/>
  <c r="W210" i="2"/>
  <c r="W203" i="2"/>
  <c r="K205" i="2"/>
  <c r="AC205" i="2" s="1"/>
  <c r="L202" i="2"/>
  <c r="AD202" i="2" s="1"/>
  <c r="J209" i="2"/>
  <c r="AB209" i="2" s="1"/>
  <c r="L205" i="2"/>
  <c r="AD205" i="2" s="1"/>
  <c r="J205" i="2"/>
  <c r="AB205" i="2" s="1"/>
  <c r="K206" i="2"/>
  <c r="AC206" i="2" s="1"/>
  <c r="K204" i="2"/>
  <c r="AC204" i="2" s="1"/>
  <c r="J204" i="2"/>
  <c r="AB204" i="2" s="1"/>
  <c r="I206" i="2"/>
  <c r="AA206" i="2" s="1"/>
  <c r="K207" i="2"/>
  <c r="AC207" i="2" s="1"/>
  <c r="I201" i="2"/>
  <c r="AA201" i="2" s="1"/>
  <c r="I205" i="2"/>
  <c r="AA205" i="2" s="1"/>
  <c r="K209" i="2"/>
  <c r="AC209" i="2" s="1"/>
  <c r="J201" i="2"/>
  <c r="AB201" i="2" s="1"/>
  <c r="V211" i="2"/>
  <c r="L204" i="2"/>
  <c r="AD204" i="2" s="1"/>
  <c r="V207" i="2"/>
  <c r="I208" i="2"/>
  <c r="AA208" i="2" s="1"/>
  <c r="G202" i="2"/>
  <c r="Y202" i="2" s="1"/>
  <c r="G201" i="2"/>
  <c r="Y201" i="2" s="1"/>
  <c r="G203" i="2"/>
  <c r="Y203" i="2" s="1"/>
  <c r="I210" i="2"/>
  <c r="AA210" i="2" s="1"/>
  <c r="V208" i="2"/>
  <c r="I199" i="2"/>
  <c r="AA199" i="2" s="1"/>
  <c r="W209" i="2"/>
  <c r="W199" i="2"/>
  <c r="V199" i="2"/>
  <c r="E469" i="2"/>
  <c r="V206" i="2"/>
  <c r="J207" i="2"/>
  <c r="AB207" i="2" s="1"/>
  <c r="H207" i="2"/>
  <c r="Z207" i="2" s="1"/>
  <c r="D469" i="2"/>
  <c r="V469" i="2" s="1"/>
  <c r="G206" i="2"/>
  <c r="Y206" i="2" s="1"/>
  <c r="W207" i="2"/>
  <c r="L209" i="2"/>
  <c r="AD209" i="2" s="1"/>
  <c r="G209" i="2"/>
  <c r="Y209" i="2" s="1"/>
  <c r="W469" i="2" l="1"/>
  <c r="G469" i="2"/>
  <c r="Y469" i="2" s="1"/>
  <c r="H469" i="2"/>
  <c r="Z469" i="2" s="1"/>
  <c r="I469" i="2"/>
  <c r="AA469" i="2" s="1"/>
</calcChain>
</file>

<file path=xl/sharedStrings.xml><?xml version="1.0" encoding="utf-8"?>
<sst xmlns="http://schemas.openxmlformats.org/spreadsheetml/2006/main" count="155" uniqueCount="68">
  <si>
    <t>Date</t>
  </si>
  <si>
    <t>Bills</t>
  </si>
  <si>
    <t>TOTAL</t>
  </si>
  <si>
    <t>Staff Name</t>
  </si>
  <si>
    <t>MTD Performance report</t>
  </si>
  <si>
    <t>Role/ Desn</t>
  </si>
  <si>
    <t>Qty</t>
  </si>
  <si>
    <t>UPT</t>
  </si>
  <si>
    <t>FC</t>
  </si>
  <si>
    <t>Name</t>
  </si>
  <si>
    <t>%</t>
  </si>
  <si>
    <t>Designation</t>
  </si>
  <si>
    <t>SS</t>
  </si>
  <si>
    <t>Retail</t>
  </si>
  <si>
    <t>Retail Accum Tgt</t>
  </si>
  <si>
    <t>Row Labels</t>
  </si>
  <si>
    <t>Grand Total</t>
  </si>
  <si>
    <t>Target</t>
  </si>
  <si>
    <t>ATV</t>
  </si>
  <si>
    <t>AUV</t>
  </si>
  <si>
    <t>Loyalty</t>
  </si>
  <si>
    <t>Red Card</t>
  </si>
  <si>
    <t>Bettery</t>
  </si>
  <si>
    <t>Achievemen</t>
  </si>
  <si>
    <t>Sale</t>
  </si>
  <si>
    <t>Prem</t>
  </si>
  <si>
    <t>Pradeep</t>
  </si>
  <si>
    <t>Aftab</t>
  </si>
  <si>
    <t>Sandeep</t>
  </si>
  <si>
    <t>Prince</t>
  </si>
  <si>
    <t>Partner</t>
  </si>
  <si>
    <t>NA</t>
  </si>
  <si>
    <t>Achievemen%</t>
  </si>
  <si>
    <t>Targets</t>
  </si>
  <si>
    <t>Upt</t>
  </si>
  <si>
    <t>Auv</t>
  </si>
  <si>
    <t>Atv</t>
  </si>
  <si>
    <t>Sale%</t>
  </si>
  <si>
    <t>(All)</t>
  </si>
  <si>
    <t>Sum of Qty</t>
  </si>
  <si>
    <t>Sum of Bills</t>
  </si>
  <si>
    <t>Sum of Sale</t>
  </si>
  <si>
    <t>Sum of Bills2</t>
  </si>
  <si>
    <t>Sum of Qty2</t>
  </si>
  <si>
    <t>Sum of Sale2</t>
  </si>
  <si>
    <t>DSM</t>
  </si>
  <si>
    <t>Emp Code</t>
  </si>
  <si>
    <t>Total</t>
  </si>
  <si>
    <t>Anu</t>
  </si>
  <si>
    <t>Achievement</t>
  </si>
  <si>
    <t>Google Review</t>
  </si>
  <si>
    <t>Kunal</t>
  </si>
  <si>
    <t>Suraj</t>
  </si>
  <si>
    <t xml:space="preserve">Kajal  </t>
  </si>
  <si>
    <t xml:space="preserve">komal  </t>
  </si>
  <si>
    <t>Presnt Days</t>
  </si>
  <si>
    <t>Sum of Presnt Days</t>
  </si>
  <si>
    <t>Per Day Avg</t>
  </si>
  <si>
    <t>MUSKAN</t>
  </si>
  <si>
    <t>HUZEFA</t>
  </si>
  <si>
    <t>Afreen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</si>
  <si>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</si>
  <si>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</si>
  <si>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Muskan</t>
  </si>
  <si>
    <t>Khushi</t>
  </si>
  <si>
    <t>Kishan</t>
  </si>
  <si>
    <t>Rahul</t>
  </si>
  <si>
    <t>Anuj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</si>
</sst>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Tahoma"/>
      <family val="2"/>
    </font>
    <font>
      <sz val="11"/>
      <color rgb="FF9C65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29" applyNumberFormat="0" applyFill="0" applyAlignment="0" applyProtection="0"/>
    <xf numFmtId="0" fontId="14" fillId="0" borderId="30" applyNumberFormat="0" applyFill="0" applyAlignment="0" applyProtection="0"/>
    <xf numFmtId="0" fontId="15" fillId="0" borderId="31" applyNumberFormat="0" applyFill="0" applyAlignment="0" applyProtection="0"/>
    <xf numFmtId="0" fontId="15" fillId="0" borderId="0" applyNumberFormat="0" applyFill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9" fillId="15" borderId="32" applyNumberFormat="0" applyAlignment="0" applyProtection="0"/>
    <xf numFmtId="0" fontId="20" fillId="16" borderId="33" applyNumberFormat="0" applyAlignment="0" applyProtection="0"/>
    <xf numFmtId="0" fontId="21" fillId="16" borderId="32" applyNumberFormat="0" applyAlignment="0" applyProtection="0"/>
    <xf numFmtId="0" fontId="22" fillId="0" borderId="34" applyNumberFormat="0" applyFill="0" applyAlignment="0" applyProtection="0"/>
    <xf numFmtId="0" fontId="23" fillId="17" borderId="35" applyNumberFormat="0" applyAlignment="0" applyProtection="0"/>
    <xf numFmtId="0" fontId="24" fillId="0" borderId="0" applyNumberFormat="0" applyFill="0" applyBorder="0" applyAlignment="0" applyProtection="0"/>
    <xf numFmtId="0" fontId="1" fillId="18" borderId="36" applyNumberFormat="0" applyFont="0" applyAlignment="0" applyProtection="0"/>
    <xf numFmtId="0" fontId="25" fillId="0" borderId="0" applyNumberFormat="0" applyFill="0" applyBorder="0" applyAlignment="0" applyProtection="0"/>
    <xf numFmtId="0" fontId="5" fillId="0" borderId="37" applyNumberFormat="0" applyFill="0" applyAlignment="0" applyProtection="0"/>
    <xf numFmtId="0" fontId="2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6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8" fillId="14" borderId="0" applyNumberFormat="0" applyBorder="0" applyAlignment="0" applyProtection="0"/>
    <xf numFmtId="0" fontId="2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14" borderId="0" applyNumberFormat="0" applyBorder="0" applyAlignment="0" applyProtection="0"/>
    <xf numFmtId="0" fontId="26" fillId="22" borderId="0" applyNumberFormat="0" applyBorder="0" applyAlignment="0" applyProtection="0"/>
    <xf numFmtId="0" fontId="26" fillId="26" borderId="0" applyNumberFormat="0" applyBorder="0" applyAlignment="0" applyProtection="0"/>
    <xf numFmtId="0" fontId="26" fillId="30" borderId="0" applyNumberFormat="0" applyBorder="0" applyAlignment="0" applyProtection="0"/>
    <xf numFmtId="0" fontId="26" fillId="34" borderId="0" applyNumberFormat="0" applyBorder="0" applyAlignment="0" applyProtection="0"/>
    <xf numFmtId="0" fontId="26" fillId="38" borderId="0" applyNumberFormat="0" applyBorder="0" applyAlignment="0" applyProtection="0"/>
    <xf numFmtId="0" fontId="26" fillId="42" borderId="0" applyNumberFormat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2" fillId="0" borderId="0" xfId="0" applyNumberFormat="1" applyFont="1"/>
    <xf numFmtId="0" fontId="0" fillId="0" borderId="1" xfId="0" applyFont="1" applyBorder="1"/>
    <xf numFmtId="14" fontId="4" fillId="0" borderId="1" xfId="0" applyNumberFormat="1" applyFont="1" applyFill="1" applyBorder="1" applyAlignment="1" applyProtection="1">
      <alignment vertical="center"/>
    </xf>
    <xf numFmtId="164" fontId="0" fillId="0" borderId="1" xfId="0" applyNumberFormat="1" applyFont="1" applyBorder="1"/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3" fillId="5" borderId="7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2" fontId="2" fillId="5" borderId="8" xfId="0" applyNumberFormat="1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9" fontId="2" fillId="7" borderId="5" xfId="0" applyNumberFormat="1" applyFont="1" applyFill="1" applyBorder="1" applyAlignment="1">
      <alignment horizontal="center"/>
    </xf>
    <xf numFmtId="9" fontId="2" fillId="7" borderId="7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0" borderId="1" xfId="0" applyNumberFormat="1" applyFont="1" applyBorder="1"/>
    <xf numFmtId="1" fontId="2" fillId="0" borderId="6" xfId="0" applyNumberFormat="1" applyFon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5" fillId="0" borderId="1" xfId="0" applyNumberFormat="1" applyFont="1" applyBorder="1"/>
    <xf numFmtId="0" fontId="0" fillId="4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4" borderId="14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0" fontId="0" fillId="0" borderId="13" xfId="0" applyBorder="1"/>
    <xf numFmtId="0" fontId="0" fillId="4" borderId="14" xfId="0" applyFill="1" applyBorder="1"/>
    <xf numFmtId="0" fontId="0" fillId="0" borderId="18" xfId="0" applyBorder="1" applyAlignment="1">
      <alignment horizontal="center"/>
    </xf>
    <xf numFmtId="0" fontId="0" fillId="0" borderId="5" xfId="0" applyBorder="1"/>
    <xf numFmtId="2" fontId="0" fillId="4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1" fontId="0" fillId="8" borderId="1" xfId="0" applyNumberFormat="1" applyFill="1" applyBorder="1"/>
    <xf numFmtId="2" fontId="0" fillId="8" borderId="1" xfId="0" applyNumberFormat="1" applyFill="1" applyBorder="1"/>
    <xf numFmtId="1" fontId="0" fillId="8" borderId="6" xfId="0" applyNumberFormat="1" applyFill="1" applyBorder="1"/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2" fontId="0" fillId="4" borderId="11" xfId="0" applyNumberFormat="1" applyFill="1" applyBorder="1"/>
    <xf numFmtId="0" fontId="0" fillId="4" borderId="11" xfId="0" applyFill="1" applyBorder="1"/>
    <xf numFmtId="1" fontId="0" fillId="4" borderId="11" xfId="0" applyNumberFormat="1" applyFill="1" applyBorder="1"/>
    <xf numFmtId="1" fontId="0" fillId="8" borderId="11" xfId="0" applyNumberFormat="1" applyFill="1" applyBorder="1"/>
    <xf numFmtId="2" fontId="0" fillId="8" borderId="11" xfId="0" applyNumberFormat="1" applyFill="1" applyBorder="1"/>
    <xf numFmtId="1" fontId="0" fillId="8" borderId="16" xfId="0" applyNumberFormat="1" applyFill="1" applyBorder="1"/>
    <xf numFmtId="2" fontId="0" fillId="4" borderId="14" xfId="0" applyNumberFormat="1" applyFill="1" applyBorder="1"/>
    <xf numFmtId="1" fontId="0" fillId="4" borderId="14" xfId="0" applyNumberFormat="1" applyFill="1" applyBorder="1"/>
    <xf numFmtId="1" fontId="0" fillId="8" borderId="14" xfId="0" applyNumberFormat="1" applyFill="1" applyBorder="1"/>
    <xf numFmtId="2" fontId="0" fillId="8" borderId="14" xfId="0" applyNumberFormat="1" applyFill="1" applyBorder="1"/>
    <xf numFmtId="1" fontId="0" fillId="8" borderId="15" xfId="0" applyNumberFormat="1" applyFill="1" applyBorder="1"/>
    <xf numFmtId="9" fontId="2" fillId="7" borderId="22" xfId="0" applyNumberFormat="1" applyFont="1" applyFill="1" applyBorder="1" applyAlignment="1">
      <alignment horizontal="center"/>
    </xf>
    <xf numFmtId="9" fontId="2" fillId="7" borderId="23" xfId="0" applyNumberFormat="1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2" fillId="0" borderId="3" xfId="0" applyFont="1" applyBorder="1"/>
    <xf numFmtId="0" fontId="3" fillId="6" borderId="4" xfId="0" applyFont="1" applyFill="1" applyBorder="1" applyAlignment="1">
      <alignment horizontal="center"/>
    </xf>
    <xf numFmtId="0" fontId="3" fillId="2" borderId="24" xfId="0" applyFont="1" applyFill="1" applyBorder="1" applyAlignment="1"/>
    <xf numFmtId="1" fontId="3" fillId="2" borderId="24" xfId="0" applyNumberFormat="1" applyFont="1" applyFill="1" applyBorder="1" applyAlignment="1"/>
    <xf numFmtId="0" fontId="2" fillId="0" borderId="24" xfId="0" applyFont="1" applyBorder="1"/>
    <xf numFmtId="0" fontId="2" fillId="0" borderId="12" xfId="0" applyFont="1" applyBorder="1"/>
    <xf numFmtId="0" fontId="2" fillId="0" borderId="17" xfId="0" applyFont="1" applyBorder="1"/>
    <xf numFmtId="0" fontId="2" fillId="4" borderId="5" xfId="0" applyFont="1" applyFill="1" applyBorder="1"/>
    <xf numFmtId="0" fontId="3" fillId="4" borderId="19" xfId="0" applyFont="1" applyFill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4" fontId="3" fillId="3" borderId="8" xfId="0" applyNumberFormat="1" applyFont="1" applyFill="1" applyBorder="1" applyAlignment="1">
      <alignment horizontal="center"/>
    </xf>
    <xf numFmtId="14" fontId="3" fillId="5" borderId="25" xfId="0" applyNumberFormat="1" applyFont="1" applyFill="1" applyBorder="1" applyAlignment="1">
      <alignment horizontal="center"/>
    </xf>
    <xf numFmtId="9" fontId="5" fillId="0" borderId="1" xfId="0" applyNumberFormat="1" applyFont="1" applyBorder="1"/>
    <xf numFmtId="0" fontId="0" fillId="0" borderId="11" xfId="0" applyBorder="1"/>
    <xf numFmtId="1" fontId="0" fillId="0" borderId="11" xfId="0" applyNumberFormat="1" applyBorder="1" applyAlignment="1">
      <alignment horizontal="center"/>
    </xf>
    <xf numFmtId="166" fontId="7" fillId="0" borderId="1" xfId="1" applyNumberFormat="1" applyFont="1" applyFill="1" applyBorder="1"/>
    <xf numFmtId="0" fontId="0" fillId="0" borderId="1" xfId="0" applyBorder="1"/>
    <xf numFmtId="0" fontId="0" fillId="0" borderId="3" xfId="0" applyBorder="1"/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1" fontId="0" fillId="8" borderId="4" xfId="0" applyNumberFormat="1" applyFill="1" applyBorder="1" applyAlignment="1">
      <alignment horizontal="center"/>
    </xf>
    <xf numFmtId="0" fontId="0" fillId="8" borderId="4" xfId="0" applyFill="1" applyBorder="1"/>
    <xf numFmtId="0" fontId="0" fillId="8" borderId="10" xfId="0" applyFill="1" applyBorder="1"/>
    <xf numFmtId="0" fontId="0" fillId="0" borderId="26" xfId="0" applyBorder="1"/>
    <xf numFmtId="0" fontId="0" fillId="8" borderId="1" xfId="0" applyFill="1" applyBorder="1"/>
    <xf numFmtId="0" fontId="2" fillId="9" borderId="27" xfId="0" applyFont="1" applyFill="1" applyBorder="1" applyAlignment="1">
      <alignment wrapText="1"/>
    </xf>
    <xf numFmtId="0" fontId="8" fillId="0" borderId="1" xfId="4" applyBorder="1"/>
    <xf numFmtId="0" fontId="0" fillId="0" borderId="28" xfId="0" applyBorder="1"/>
    <xf numFmtId="0" fontId="0" fillId="8" borderId="11" xfId="0" applyFill="1" applyBorder="1"/>
    <xf numFmtId="0" fontId="0" fillId="0" borderId="18" xfId="0" applyBorder="1"/>
    <xf numFmtId="1" fontId="0" fillId="0" borderId="18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0" borderId="1" xfId="0" applyFont="1" applyBorder="1"/>
    <xf numFmtId="0" fontId="9" fillId="0" borderId="1" xfId="0" applyFont="1" applyBorder="1"/>
    <xf numFmtId="166" fontId="7" fillId="0" borderId="1" xfId="6" applyNumberFormat="1" applyFont="1" applyFill="1" applyBorder="1"/>
    <xf numFmtId="1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6" fontId="7" fillId="0" borderId="18" xfId="1" applyNumberFormat="1" applyFont="1" applyFill="1" applyBorder="1"/>
    <xf numFmtId="2" fontId="5" fillId="0" borderId="1" xfId="0" applyNumberFormat="1" applyFont="1" applyBorder="1"/>
    <xf numFmtId="2" fontId="5" fillId="4" borderId="1" xfId="0" applyNumberFormat="1" applyFont="1" applyFill="1" applyBorder="1"/>
    <xf numFmtId="1" fontId="5" fillId="4" borderId="1" xfId="0" applyNumberFormat="1" applyFont="1" applyFill="1" applyBorder="1"/>
    <xf numFmtId="9" fontId="5" fillId="4" borderId="1" xfId="0" applyNumberFormat="1" applyFont="1" applyFill="1" applyBorder="1"/>
    <xf numFmtId="9" fontId="0" fillId="0" borderId="0" xfId="0" applyNumberFormat="1"/>
    <xf numFmtId="1" fontId="11" fillId="10" borderId="1" xfId="0" applyNumberFormat="1" applyFont="1" applyFill="1" applyBorder="1"/>
    <xf numFmtId="0" fontId="11" fillId="10" borderId="1" xfId="0" applyFont="1" applyFill="1" applyBorder="1"/>
    <xf numFmtId="1" fontId="11" fillId="11" borderId="1" xfId="0" applyNumberFormat="1" applyFont="1" applyFill="1" applyBorder="1" applyAlignment="1">
      <alignment horizontal="center"/>
    </xf>
    <xf numFmtId="1" fontId="0" fillId="4" borderId="1" xfId="0" applyNumberFormat="1" applyFont="1" applyFill="1" applyBorder="1" applyAlignment="1">
      <alignment horizontal="center"/>
    </xf>
    <xf numFmtId="1" fontId="0" fillId="8" borderId="1" xfId="0" applyNumberFormat="1" applyFill="1" applyBorder="1"/>
    <xf numFmtId="0" fontId="0" fillId="8" borderId="1" xfId="0" applyFill="1" applyBorder="1"/>
    <xf numFmtId="0" fontId="0" fillId="0" borderId="1" xfId="0" applyBorder="1"/>
    <xf numFmtId="1" fontId="0" fillId="0" borderId="1" xfId="0" applyNumberFormat="1" applyBorder="1"/>
    <xf numFmtId="1" fontId="0" fillId="8" borderId="1" xfId="0" applyNumberFormat="1" applyFont="1" applyFill="1" applyBorder="1"/>
    <xf numFmtId="0" fontId="0" fillId="8" borderId="1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94">
    <cellStyle name="20% - Accent1" xfId="24" builtinId="30" customBuiltin="1"/>
    <cellStyle name="20% - Accent2" xfId="27" builtinId="34" customBuiltin="1"/>
    <cellStyle name="20% - Accent3" xfId="30" builtinId="38" customBuiltin="1"/>
    <cellStyle name="20% - Accent4" xfId="33" builtinId="42" customBuiltin="1"/>
    <cellStyle name="20% - Accent5" xfId="36" builtinId="46" customBuiltin="1"/>
    <cellStyle name="20% - Accent6" xfId="39" builtinId="50" customBuiltin="1"/>
    <cellStyle name="40% - Accent1" xfId="25" builtinId="31" customBuiltin="1"/>
    <cellStyle name="40% - Accent2" xfId="28" builtinId="35" customBuiltin="1"/>
    <cellStyle name="40% - Accent3" xfId="31" builtinId="39" customBuiltin="1"/>
    <cellStyle name="40% - Accent4" xfId="34" builtinId="43" customBuiltin="1"/>
    <cellStyle name="40% - Accent5" xfId="37" builtinId="47" customBuiltin="1"/>
    <cellStyle name="40% - Accent6" xfId="40" builtinId="51" customBuiltin="1"/>
    <cellStyle name="60% - Accent1 2" xfId="41" xr:uid="{DB32ECAB-C756-436C-ADDC-9484E75ADA90}"/>
    <cellStyle name="60% - Accent1 3" xfId="87" xr:uid="{00000000-0005-0000-0000-00005B000000}"/>
    <cellStyle name="60% - Accent2 2" xfId="42" xr:uid="{1A59ADBE-819C-4469-BA17-2B9F32FD6DB8}"/>
    <cellStyle name="60% - Accent2 3" xfId="88" xr:uid="{00000000-0005-0000-0000-00005C000000}"/>
    <cellStyle name="60% - Accent3 2" xfId="43" xr:uid="{A062EE5B-FBF9-498E-98BD-B145D703C3F8}"/>
    <cellStyle name="60% - Accent3 3" xfId="89" xr:uid="{00000000-0005-0000-0000-00005D000000}"/>
    <cellStyle name="60% - Accent4 2" xfId="44" xr:uid="{FAF0A890-FFE8-434C-B252-2710A973C002}"/>
    <cellStyle name="60% - Accent4 3" xfId="90" xr:uid="{00000000-0005-0000-0000-00005E000000}"/>
    <cellStyle name="60% - Accent5 2" xfId="45" xr:uid="{F9549A8E-BF85-45BE-9895-4113B66D0F30}"/>
    <cellStyle name="60% - Accent5 3" xfId="91" xr:uid="{00000000-0005-0000-0000-00005F000000}"/>
    <cellStyle name="60% - Accent6 2" xfId="46" xr:uid="{893CD54F-E5F6-4840-8611-EB44C10B9C6F}"/>
    <cellStyle name="60% - Accent6 3" xfId="92" xr:uid="{00000000-0005-0000-0000-000060000000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3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2" xr:uid="{00000000-0005-0000-0000-000001000000}"/>
    <cellStyle name="Comma 2 11" xfId="5" xr:uid="{00000000-0005-0000-0000-000002000000}"/>
    <cellStyle name="Comma 2 11 2" xfId="93" xr:uid="{00000000-0005-0000-0000-000023000000}"/>
    <cellStyle name="Comma 2 2" xfId="6" xr:uid="{00000000-0005-0000-0000-000003000000}"/>
    <cellStyle name="Comma 2 2 2" xfId="47" xr:uid="{6D1BFD24-565F-491D-B4C0-EA6B1890094C}"/>
    <cellStyle name="Comma 2 2 2 2" xfId="81" xr:uid="{00000000-0005-0000-0000-000025000000}"/>
    <cellStyle name="Comma 2 2 3" xfId="78" xr:uid="{00000000-0005-0000-0000-000024000000}"/>
    <cellStyle name="Comma 2 3" xfId="48" xr:uid="{56587AFB-41B9-45A8-885E-37E85FCA1995}"/>
    <cellStyle name="Comma 2 3 2" xfId="83" xr:uid="{00000000-0005-0000-0000-000026000000}"/>
    <cellStyle name="Comma 2 4" xfId="49" xr:uid="{11464987-805B-49BB-9808-D1E02841C2F9}"/>
    <cellStyle name="Comma 2 4 2" xfId="85" xr:uid="{00000000-0005-0000-0000-000027000000}"/>
    <cellStyle name="Comma 2 5" xfId="50" xr:uid="{4D8E74A7-4D9A-42F6-B0E2-9794C27A0AE7}"/>
    <cellStyle name="Comma 2 5 2" xfId="80" xr:uid="{00000000-0005-0000-0000-000028000000}"/>
    <cellStyle name="Comma 2 6" xfId="74" xr:uid="{00000000-0005-0000-0000-000022000000}"/>
    <cellStyle name="Comma 3" xfId="51" xr:uid="{DE4F7876-85BB-44FC-B083-BB742FFBF29E}"/>
    <cellStyle name="Comma 3 2" xfId="52" xr:uid="{74A989BA-9381-4E76-B962-DE725F07E3CC}"/>
    <cellStyle name="Comma 3 2 2" xfId="82" xr:uid="{00000000-0005-0000-0000-00002A000000}"/>
    <cellStyle name="Comma 3 3" xfId="75" xr:uid="{00000000-0005-0000-0000-000029000000}"/>
    <cellStyle name="Comma 4" xfId="53" xr:uid="{430F5F30-FAD9-421E-A719-A15C170E2B6B}"/>
    <cellStyle name="Comma 4 2" xfId="54" xr:uid="{A6093E55-A7BC-4302-A61C-E34BB3264BB5}"/>
    <cellStyle name="Comma 4 2 2" xfId="84" xr:uid="{00000000-0005-0000-0000-00002C000000}"/>
    <cellStyle name="Comma 4 3" xfId="76" xr:uid="{00000000-0005-0000-0000-00002B000000}"/>
    <cellStyle name="Comma 5" xfId="55" xr:uid="{E7267303-52B6-4CB6-B4DB-E4BB1420D6FC}"/>
    <cellStyle name="Comma 5 2" xfId="79" xr:uid="{00000000-0005-0000-0000-00002D000000}"/>
    <cellStyle name="Comma 6" xfId="56" xr:uid="{160FFF08-B3A4-4B76-90DC-5B28F0AF9AD7}"/>
    <cellStyle name="Comma 6 2" xfId="77" xr:uid="{00000000-0005-0000-0000-00002E000000}"/>
    <cellStyle name="Comma 7" xfId="3" xr:uid="{00000000-0005-0000-0000-000004000000}"/>
    <cellStyle name="Comma 7 2" xfId="73" xr:uid="{00000000-0005-0000-0000-00002F000000}"/>
    <cellStyle name="Comma 8" xfId="72" xr:uid="{00000000-0005-0000-0000-000061000000}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4" builtinId="8"/>
    <cellStyle name="Input" xfId="14" builtinId="20" customBuiltin="1"/>
    <cellStyle name="Linked Cell" xfId="17" builtinId="24" customBuiltin="1"/>
    <cellStyle name="Neutral 2" xfId="57" xr:uid="{46501C7C-2BAD-4AAF-BC08-8E980851D15D}"/>
    <cellStyle name="Neutral 3" xfId="86" xr:uid="{00000000-0005-0000-0000-000070000000}"/>
    <cellStyle name="Normal" xfId="0" builtinId="0"/>
    <cellStyle name="Normal 2" xfId="58" xr:uid="{FEBAF9DB-59AF-48A0-8490-314DA4533CFB}"/>
    <cellStyle name="Normal 2 2" xfId="59" xr:uid="{A5EE72E2-5367-472D-AFDA-E02EEF3B03B2}"/>
    <cellStyle name="Normal 2 2 3" xfId="60" xr:uid="{7E4EC50D-3221-468D-B4CF-6FCC2E733526}"/>
    <cellStyle name="Normal 3" xfId="61" xr:uid="{FE616990-6D06-4BC2-A1A3-4EFC3183DD63}"/>
    <cellStyle name="Normal 4" xfId="62" xr:uid="{72BAE6FE-6D8B-4361-858F-E12FEB63623A}"/>
    <cellStyle name="Normal 5" xfId="63" xr:uid="{94947937-CB6D-41F8-A290-896194DE9ED2}"/>
    <cellStyle name="Normal 6" xfId="64" xr:uid="{6686D927-76EB-4903-AA23-53C3D40D31C5}"/>
    <cellStyle name="Normal 7" xfId="65" xr:uid="{6AF5F51E-C303-4536-B256-8A92FD6A74D0}"/>
    <cellStyle name="Note" xfId="20" builtinId="10" customBuiltin="1"/>
    <cellStyle name="Output" xfId="15" builtinId="21" customBuiltin="1"/>
    <cellStyle name="Percent 2" xfId="66" xr:uid="{C973E7A9-3282-4090-9E0C-9E739213C244}"/>
    <cellStyle name="Percent 2 2" xfId="67" xr:uid="{1E3DBD3C-6230-4C1D-B02E-69C96E13A0B7}"/>
    <cellStyle name="Percent 2 3" xfId="68" xr:uid="{C9118200-1F98-4E73-A0AD-D16E17B3A11D}"/>
    <cellStyle name="Percent 3" xfId="69" xr:uid="{40DDF53D-23DD-4FA7-A036-88FE6E04615B}"/>
    <cellStyle name="Percent 4" xfId="70" xr:uid="{055B4982-C5AA-4046-AECE-1FCFAA792EF3}"/>
    <cellStyle name="Percent 5" xfId="71" xr:uid="{61699145-65B3-415C-8EB0-4CCC72051ED2}"/>
    <cellStyle name="Title" xfId="7" builtinId="15" customBuiltin="1"/>
    <cellStyle name="Total" xfId="22" builtinId="25" customBuiltin="1"/>
    <cellStyle name="Warning Text" xfId="19" builtinId="11" customBuiltin="1"/>
  </cellStyles>
  <dxfs count="42"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folder/Farman/Closing%20Folder/Dec%2025/FC%203,%205%20,7%20D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OP"/>
      <sheetName val="MASTER"/>
      <sheetName val="Pivot"/>
      <sheetName val="Sale"/>
      <sheetName val="KPIs"/>
      <sheetName val="3 Days Plan"/>
    </sheetNames>
    <sheetDataSet>
      <sheetData sheetId="0"/>
      <sheetData sheetId="1"/>
      <sheetData sheetId="2">
        <row r="3">
          <cell r="A3" t="str">
            <v>Row Labels</v>
          </cell>
          <cell r="B3" t="str">
            <v>Sum of NET</v>
          </cell>
          <cell r="C3" t="str">
            <v>Sum of bills</v>
          </cell>
          <cell r="D3" t="str">
            <v>Sum of QTY</v>
          </cell>
        </row>
        <row r="4">
          <cell r="A4">
            <v>50000000</v>
          </cell>
          <cell r="B4">
            <v>-13633.71</v>
          </cell>
          <cell r="C4">
            <v>4</v>
          </cell>
          <cell r="D4">
            <v>-4</v>
          </cell>
        </row>
        <row r="5">
          <cell r="A5">
            <v>50000001</v>
          </cell>
          <cell r="B5">
            <v>29561.649999999998</v>
          </cell>
          <cell r="C5">
            <v>9</v>
          </cell>
          <cell r="D5">
            <v>18</v>
          </cell>
        </row>
        <row r="6">
          <cell r="A6">
            <v>50000002</v>
          </cell>
          <cell r="B6">
            <v>33205.4</v>
          </cell>
          <cell r="C6">
            <v>13</v>
          </cell>
          <cell r="D6">
            <v>21</v>
          </cell>
        </row>
        <row r="7">
          <cell r="A7">
            <v>50000003</v>
          </cell>
          <cell r="B7">
            <v>1617.59</v>
          </cell>
          <cell r="C7">
            <v>1</v>
          </cell>
          <cell r="D7">
            <v>2</v>
          </cell>
        </row>
        <row r="8">
          <cell r="A8">
            <v>50119209</v>
          </cell>
          <cell r="B8">
            <v>4178.1000000000004</v>
          </cell>
          <cell r="C8">
            <v>2</v>
          </cell>
          <cell r="D8">
            <v>3</v>
          </cell>
        </row>
        <row r="9">
          <cell r="A9">
            <v>50151682</v>
          </cell>
          <cell r="B9">
            <v>26624.750000000004</v>
          </cell>
          <cell r="C9">
            <v>10</v>
          </cell>
          <cell r="D9">
            <v>28</v>
          </cell>
        </row>
        <row r="10">
          <cell r="A10">
            <v>50157523</v>
          </cell>
          <cell r="B10">
            <v>1747.3</v>
          </cell>
          <cell r="C10">
            <v>1</v>
          </cell>
          <cell r="D10">
            <v>3</v>
          </cell>
        </row>
        <row r="11">
          <cell r="A11">
            <v>50170981</v>
          </cell>
          <cell r="B11">
            <v>20008.32</v>
          </cell>
          <cell r="C11">
            <v>8</v>
          </cell>
          <cell r="D11">
            <v>15</v>
          </cell>
        </row>
        <row r="12">
          <cell r="A12">
            <v>50181637</v>
          </cell>
          <cell r="B12">
            <v>11625.97</v>
          </cell>
          <cell r="C12">
            <v>6</v>
          </cell>
          <cell r="D12">
            <v>11</v>
          </cell>
        </row>
        <row r="13">
          <cell r="A13">
            <v>64062882</v>
          </cell>
          <cell r="B13">
            <v>19120.520000000004</v>
          </cell>
          <cell r="C13">
            <v>5</v>
          </cell>
          <cell r="D13">
            <v>15</v>
          </cell>
        </row>
        <row r="14">
          <cell r="A14" t="str">
            <v>(blank)</v>
          </cell>
          <cell r="C14">
            <v>1</v>
          </cell>
        </row>
        <row r="15">
          <cell r="A15">
            <v>50105787</v>
          </cell>
          <cell r="B15">
            <v>4286.8</v>
          </cell>
          <cell r="C15">
            <v>2</v>
          </cell>
          <cell r="D15">
            <v>5</v>
          </cell>
        </row>
        <row r="16">
          <cell r="A16" t="str">
            <v>Grand Total</v>
          </cell>
          <cell r="B16">
            <v>138342.69</v>
          </cell>
          <cell r="C16">
            <v>62</v>
          </cell>
          <cell r="D16">
            <v>117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0.925178935184" createdVersion="6" refreshedVersion="6" minRefreshableVersion="3" recordCount="466" xr:uid="{00000000-000A-0000-FFFF-FFFF05000000}">
  <cacheSource type="worksheet">
    <worksheetSource ref="A3:AE469" sheet="MTD"/>
  </cacheSource>
  <cacheFields count="31">
    <cacheField name="Date" numFmtId="0">
      <sharedItems containsNonDate="0" containsDate="1" containsString="0" containsBlank="1" minDate="2026-03-01T00:00:00" maxDate="2026-10-02T00:00:00" count="186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m/>
        <d v="2026-08-11T00:00:00" u="1"/>
        <d v="2026-04-24T00:00:00" u="1"/>
        <d v="2026-07-26T00:00:00" u="1"/>
        <d v="2026-08-07T00:00:00" u="1"/>
        <d v="2026-04-20T00:00:00" u="1"/>
        <d v="2026-07-22T00:00:00" u="1"/>
        <d v="2026-05-01T00:00:00" u="1"/>
        <d v="2026-08-03T00:00:00" u="1"/>
        <d v="2026-04-16T00:00:00" u="1"/>
        <d v="2026-07-18T00:00:00" u="1"/>
        <d v="2026-03-31T00:00:00" u="1"/>
        <d v="2026-04-12T00:00:00" u="1"/>
        <d v="2026-07-14T00:00:00" u="1"/>
        <d v="2026-03-27T00:00:00" u="1"/>
        <d v="2026-06-29T00:00:00" u="1"/>
        <d v="2026-04-08T00:00:00" u="1"/>
        <d v="2026-07-10T00:00:00" u="1"/>
        <d v="2026-03-23T00:00:00" u="1"/>
        <d v="2026-06-25T00:00:00" u="1"/>
        <d v="2026-04-04T00:00:00" u="1"/>
        <d v="2026-07-06T00:00:00" u="1"/>
        <d v="2026-03-19T00:00:00" u="1"/>
        <d v="2026-06-21T00:00:00" u="1"/>
        <d v="2026-07-02T00:00:00" u="1"/>
        <d v="2026-03-15T00:00:00" u="1"/>
        <d v="2026-06-17T00:00:00" u="1"/>
        <d v="2026-03-11T00:00:00" u="1"/>
        <d v="2026-06-13T00:00:00" u="1"/>
        <d v="2026-03-07T00:00:00" u="1"/>
        <d v="2026-08-30T00:00:00" u="1"/>
        <d v="2026-06-09T00:00:00" u="1"/>
        <d v="2026-03-03T00:00:00" u="1"/>
        <d v="2026-08-26T00:00:00" u="1"/>
        <d v="2026-06-05T00:00:00" u="1"/>
        <d v="2026-08-22T00:00:00" u="1"/>
        <d v="2026-06-01T00:00:00" u="1"/>
        <d v="2026-08-18T00:00:00" u="1"/>
        <d v="2026-08-14T00:00:00" u="1"/>
        <d v="2026-04-27T00:00:00" u="1"/>
        <d v="2026-07-29T00:00:00" u="1"/>
        <d v="2026-08-10T00:00:00" u="1"/>
        <d v="2026-04-23T00:00:00" u="1"/>
        <d v="2026-07-25T00:00:00" u="1"/>
        <d v="2026-08-06T00:00:00" u="1"/>
        <d v="2026-04-19T00:00:00" u="1"/>
        <d v="2026-07-21T00:00:00" u="1"/>
        <d v="2026-08-02T00:00:00" u="1"/>
        <d v="2026-04-15T00:00:00" u="1"/>
        <d v="2026-07-17T00:00:00" u="1"/>
        <d v="2026-03-30T00:00:00" u="1"/>
        <d v="2026-04-11T00:00:00" u="1"/>
        <d v="2026-07-13T00:00:00" u="1"/>
        <d v="2026-03-26T00:00:00" u="1"/>
        <d v="2026-06-28T00:00:00" u="1"/>
        <d v="2026-04-07T00:00:00" u="1"/>
        <d v="2026-07-09T00:00:00" u="1"/>
        <d v="2026-03-22T00:00:00" u="1"/>
        <d v="2026-06-24T00:00:00" u="1"/>
        <d v="2026-04-03T00:00:00" u="1"/>
        <d v="2026-07-05T00:00:00" u="1"/>
        <d v="2026-03-18T00:00:00" u="1"/>
        <d v="2026-06-20T00:00:00" u="1"/>
        <d v="2026-07-01T00:00:00" u="1"/>
        <d v="2026-03-14T00:00:00" u="1"/>
        <d v="2026-06-16T00:00:00" u="1"/>
        <d v="2026-03-10T00:00:00" u="1"/>
        <d v="2026-06-12T00:00:00" u="1"/>
        <d v="2026-03-06T00:00:00" u="1"/>
        <d v="2026-08-29T00:00:00" u="1"/>
        <d v="2026-06-08T00:00:00" u="1"/>
        <d v="2026-03-02T00:00:00" u="1"/>
        <d v="2026-08-25T00:00:00" u="1"/>
        <d v="2026-06-04T00:00:00" u="1"/>
        <d v="2026-08-21T00:00:00" u="1"/>
        <d v="2026-08-17T00:00:00" u="1"/>
        <d v="2026-04-30T00:00:00" u="1"/>
        <d v="2026-08-13T00:00:00" u="1"/>
        <d v="2026-04-26T00:00:00" u="1"/>
        <d v="2026-07-28T00:00:00" u="1"/>
        <d v="2026-08-09T00:00:00" u="1"/>
        <d v="2026-04-22T00:00:00" u="1"/>
        <d v="2026-07-24T00:00:00" u="1"/>
        <d v="2026-08-05T00:00:00" u="1"/>
        <d v="2026-04-18T00:00:00" u="1"/>
        <d v="2026-07-20T00:00:00" u="1"/>
        <d v="2026-08-01T00:00:00" u="1"/>
        <d v="2026-04-14T00:00:00" u="1"/>
        <d v="2026-07-16T00:00:00" u="1"/>
        <d v="2026-03-29T00:00:00" u="1"/>
        <d v="2026-04-10T00:00:00" u="1"/>
        <d v="2026-07-12T00:00:00" u="1"/>
        <d v="2026-03-25T00:00:00" u="1"/>
        <d v="2026-06-27T00:00:00" u="1"/>
        <d v="2026-04-06T00:00:00" u="1"/>
        <d v="2026-07-08T00:00:00" u="1"/>
        <d v="2026-03-21T00:00:00" u="1"/>
        <d v="2026-06-23T00:00:00" u="1"/>
        <d v="2026-04-02T00:00:00" u="1"/>
        <d v="2026-07-04T00:00:00" u="1"/>
        <d v="2026-03-17T00:00:00" u="1"/>
        <d v="2026-06-19T00:00:00" u="1"/>
        <d v="2026-03-13T00:00:00" u="1"/>
        <d v="2026-06-15T00:00:00" u="1"/>
        <d v="2026-03-09T00:00:00" u="1"/>
        <d v="2026-06-11T00:00:00" u="1"/>
        <d v="2026-03-05T00:00:00" u="1"/>
        <d v="2026-08-28T00:00:00" u="1"/>
        <d v="2026-06-07T00:00:00" u="1"/>
        <d v="2026-03-01T00:00:00" u="1"/>
        <d v="2026-08-24T00:00:00" u="1"/>
        <d v="2026-06-03T00:00:00" u="1"/>
        <d v="2026-08-20T00:00:00" u="1"/>
        <d v="2026-08-16T00:00:00" u="1"/>
        <d v="2026-04-29T00:00:00" u="1"/>
        <d v="2026-07-31T00:00:00" u="1"/>
        <d v="2026-08-12T00:00:00" u="1"/>
        <d v="2026-04-25T00:00:00" u="1"/>
        <d v="2026-07-27T00:00:00" u="1"/>
        <d v="2026-08-08T00:00:00" u="1"/>
        <d v="2026-04-21T00:00:00" u="1"/>
        <d v="2026-07-23T00:00:00" u="1"/>
        <d v="2026-08-04T00:00:00" u="1"/>
        <d v="2026-04-17T00:00:00" u="1"/>
        <d v="2026-07-19T00:00:00" u="1"/>
        <d v="2026-04-13T00:00:00" u="1"/>
        <d v="2026-07-15T00:00:00" u="1"/>
        <d v="2026-03-28T00:00:00" u="1"/>
        <d v="2026-06-30T00:00:00" u="1"/>
        <d v="2026-04-09T00:00:00" u="1"/>
        <d v="2026-07-11T00:00:00" u="1"/>
        <d v="2026-03-24T00:00:00" u="1"/>
        <d v="2026-06-26T00:00:00" u="1"/>
        <d v="2026-04-05T00:00:00" u="1"/>
        <d v="2026-07-07T00:00:00" u="1"/>
        <d v="2026-03-20T00:00:00" u="1"/>
        <d v="2026-06-22T00:00:00" u="1"/>
        <d v="2026-04-01T00:00:00" u="1"/>
        <d v="2026-07-03T00:00:00" u="1"/>
        <d v="2026-03-16T00:00:00" u="1"/>
        <d v="2026-06-18T00:00:00" u="1"/>
        <d v="2026-03-12T00:00:00" u="1"/>
        <d v="2026-06-14T00:00:00" u="1"/>
        <d v="2026-03-08T00:00:00" u="1"/>
        <d v="2026-08-31T00:00:00" u="1"/>
        <d v="2026-06-10T00:00:00" u="1"/>
        <d v="2026-03-04T00:00:00" u="1"/>
        <d v="2026-08-27T00:00:00" u="1"/>
        <d v="2026-06-06T00:00:00" u="1"/>
        <d v="2026-08-23T00:00:00" u="1"/>
        <d v="2026-06-02T00:00:00" u="1"/>
        <d v="2026-08-19T00:00:00" u="1"/>
        <d v="2026-08-15T00:00:00" u="1"/>
        <d v="2026-04-28T00:00:00" u="1"/>
        <d v="2026-07-30T00:00:00" u="1"/>
      </sharedItems>
    </cacheField>
    <cacheField name="Role/ Desn" numFmtId="0">
      <sharedItems containsBlank="1"/>
    </cacheField>
    <cacheField name="Staff Name" numFmtId="0">
      <sharedItems count="16">
        <s v="komal  "/>
        <s v="Prem"/>
        <s v="Anuj"/>
        <s v="Muskan"/>
        <s v="Kajal  "/>
        <s v="Pradeep"/>
        <s v="Aftab"/>
        <s v="Khushi"/>
        <s v="Kishan"/>
        <s v="Rahul"/>
        <s v="Prince"/>
        <s v="Kunal"/>
        <s v="NA"/>
        <s v="TOTAL"/>
        <s v="Sandeep" u="1"/>
        <s v="Suraj" u="1"/>
      </sharedItems>
    </cacheField>
    <cacheField name="Bills" numFmtId="1">
      <sharedItems containsSemiMixedTypes="0" containsString="0" containsNumber="1" minValue="0" maxValue="994.36341704599954"/>
    </cacheField>
    <cacheField name="Qty" numFmtId="1">
      <sharedItems containsSemiMixedTypes="0" containsString="0" containsNumber="1" minValue="0" maxValue="2482.88922049846"/>
    </cacheField>
    <cacheField name="Sale" numFmtId="1">
      <sharedItems containsString="0" containsBlank="1" containsNumber="1" minValue="0" maxValue="2453094.5498524797"/>
    </cacheField>
    <cacheField name="UPT" numFmtId="2">
      <sharedItems containsMixedTypes="1" containsNumber="1" minValue="2.496963562753034" maxValue="2.4969635627530367"/>
    </cacheField>
    <cacheField name="ATV" numFmtId="1">
      <sharedItems containsMixedTypes="1" containsNumber="1" minValue="2466.9999999999986" maxValue="2467"/>
    </cacheField>
    <cacheField name="AUV" numFmtId="1">
      <sharedItems containsMixedTypes="1" containsNumber="1" minValue="987.99999999999989" maxValue="988.00000000000057"/>
    </cacheField>
    <cacheField name="Loyalty" numFmtId="1">
      <sharedItems containsSemiMixedTypes="0" containsString="0" containsNumber="1" minValue="0" maxValue="26.735135047970964"/>
    </cacheField>
    <cacheField name="Red Card" numFmtId="0">
      <sharedItems containsSemiMixedTypes="0" containsString="0" containsNumber="1" minValue="0" maxValue="13.367567523985482"/>
    </cacheField>
    <cacheField name="Bettery" numFmtId="1">
      <sharedItems containsSemiMixedTypes="0" containsString="0" containsNumber="1" minValue="0" maxValue="83.547297024909255"/>
    </cacheField>
    <cacheField name="Bills2" numFmtId="0">
      <sharedItems containsString="0" containsBlank="1" containsNumber="1" containsInteger="1" minValue="0" maxValue="1021"/>
    </cacheField>
    <cacheField name="Qty2" numFmtId="0">
      <sharedItems containsString="0" containsBlank="1" containsNumber="1" containsInteger="1" minValue="-6" maxValue="2280"/>
    </cacheField>
    <cacheField name="Sale2" numFmtId="1">
      <sharedItems containsString="0" containsBlank="1" containsNumber="1" minValue="-14498" maxValue="2386241.4999999991"/>
    </cacheField>
    <cacheField name="UPT2" numFmtId="2">
      <sharedItems containsMixedTypes="1" containsNumber="1" minValue="-2" maxValue="11"/>
    </cacheField>
    <cacheField name="ATV2" numFmtId="1">
      <sharedItems containsMixedTypes="1" containsNumber="1" minValue="-4900" maxValue="10302.575000000001"/>
    </cacheField>
    <cacheField name="AUV2" numFmtId="1">
      <sharedItems containsMixedTypes="1" containsNumber="1" minValue="-5807.15" maxValue="6399"/>
    </cacheField>
    <cacheField name="Loyalty2" numFmtId="0">
      <sharedItems containsSemiMixedTypes="0" containsString="0" containsNumber="1" containsInteger="1" minValue="0" maxValue="0"/>
    </cacheField>
    <cacheField name="Red Card2" numFmtId="0">
      <sharedItems containsSemiMixedTypes="0" containsString="0" containsNumber="1" containsInteger="1" minValue="0" maxValue="0"/>
    </cacheField>
    <cacheField name="Bettery2" numFmtId="0">
      <sharedItems containsSemiMixedTypes="0" containsString="0" containsNumber="1" containsInteger="1" minValue="0" maxValue="0"/>
    </cacheField>
    <cacheField name="Bills3" numFmtId="9">
      <sharedItems containsMixedTypes="1" containsNumber="1" minValue="0" maxValue="3.759269434011244"/>
    </cacheField>
    <cacheField name="Qty3" numFmtId="9">
      <sharedItems containsMixedTypes="1" containsNumber="1" minValue="0" maxValue="3.6355207930011892"/>
    </cacheField>
    <cacheField name="Sale3" numFmtId="9">
      <sharedItems containsMixedTypes="1" containsNumber="1" minValue="0" maxValue="3.4083843724594329"/>
    </cacheField>
    <cacheField name="UPT3" numFmtId="9">
      <sharedItems containsMixedTypes="1" containsNumber="1" minValue="0.40048642075395213" maxValue="4.4053506282934745"/>
    </cacheField>
    <cacheField name="ATV3" numFmtId="9">
      <sharedItems containsMixedTypes="1" containsNumber="1" minValue="9.201459262261856E-2" maxValue="4.1761552492906366"/>
    </cacheField>
    <cacheField name="AUV3" numFmtId="9">
      <sharedItems containsMixedTypes="1" containsNumber="1" minValue="3.829284750337382E-2" maxValue="6.4767206477732797"/>
    </cacheField>
    <cacheField name="Loyalty3" numFmtId="9">
      <sharedItems containsMixedTypes="1" containsNumber="1" containsInteger="1" minValue="0" maxValue="0"/>
    </cacheField>
    <cacheField name="Red Card3" numFmtId="9">
      <sharedItems containsMixedTypes="1" containsNumber="1" containsInteger="1" minValue="0" maxValue="0"/>
    </cacheField>
    <cacheField name="Bettery3" numFmtId="9">
      <sharedItems containsMixedTypes="1" containsNumber="1" containsInteger="1" minValue="0" maxValue="0"/>
    </cacheField>
    <cacheField name="Presnt Days" numFmtId="0">
      <sharedItems containsSemiMixedTypes="0" containsString="0" containsNumber="1" containsInteger="1" minValue="0" maxValue="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x v="0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SS"/>
    <x v="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FC"/>
    <x v="4"/>
    <n v="1.7562861766286268"/>
    <n v="4.3853825888085245"/>
    <n v="4332.7579977428222"/>
    <n v="2.4969635627530362"/>
    <n v="2467"/>
    <n v="988"/>
    <n v="0.14050289413029016"/>
    <n v="7.0251447065145078E-2"/>
    <n v="0.43907154415715671"/>
    <n v="2"/>
    <n v="2"/>
    <n v="4698"/>
    <n v="1"/>
    <n v="2349"/>
    <n v="2349"/>
    <n v="0"/>
    <n v="0"/>
    <n v="0"/>
    <n v="1.1387665783711896"/>
    <n v="0.45606055104610266"/>
    <n v="1.0842978081045498"/>
    <n v="0.40048642075395219"/>
    <n v="0.95216862586137008"/>
    <n v="2.3775303643724697"/>
    <n v="0"/>
    <n v="0"/>
    <n v="0"/>
    <n v="1"/>
  </r>
  <r>
    <x v="0"/>
    <s v="FC"/>
    <x v="5"/>
    <n v="5.2688585298858808"/>
    <n v="13.156147766425574"/>
    <n v="12998.273993228468"/>
    <n v="2.4969635627530362"/>
    <n v="2467"/>
    <n v="988"/>
    <n v="0.42150868239087047"/>
    <n v="0.21075434119543524"/>
    <n v="1.3172146324714702"/>
    <n v="5"/>
    <n v="8"/>
    <n v="10118"/>
    <n v="1.6"/>
    <n v="2023.6"/>
    <n v="1264.75"/>
    <n v="0"/>
    <n v="0"/>
    <n v="0"/>
    <n v="0.94897214864265789"/>
    <n v="0.60808073472813684"/>
    <n v="0.77841104174839182"/>
    <n v="0.64077827320632352"/>
    <n v="0.82026753141467368"/>
    <n v="1.2801113360323886"/>
    <n v="0"/>
    <n v="0"/>
    <n v="0"/>
    <n v="1"/>
  </r>
  <r>
    <x v="0"/>
    <s v="FC"/>
    <x v="6"/>
    <n v="5.2688585298858808"/>
    <n v="13.156147766425574"/>
    <n v="12998.273993228468"/>
    <n v="2.4969635627530362"/>
    <n v="2467"/>
    <n v="988"/>
    <n v="0.42150868239087047"/>
    <n v="0.21075434119543524"/>
    <n v="1.3172146324714702"/>
    <n v="5"/>
    <n v="9"/>
    <n v="10887"/>
    <n v="1.8"/>
    <n v="2177.4"/>
    <n v="1209.6666666666667"/>
    <n v="0"/>
    <n v="0"/>
    <n v="0"/>
    <n v="0.94897214864265789"/>
    <n v="0.68409082656915399"/>
    <n v="0.83757274278659233"/>
    <n v="0.72087555735711395"/>
    <n v="0.88261045804620997"/>
    <n v="1.2243589743589745"/>
    <n v="0"/>
    <n v="0"/>
    <n v="0"/>
    <n v="1"/>
  </r>
  <r>
    <x v="0"/>
    <s v="FC"/>
    <x v="7"/>
    <n v="5.8542872554287566"/>
    <n v="14.617941962695083"/>
    <n v="14442.526659142743"/>
    <n v="2.4969635627530362"/>
    <n v="2467"/>
    <n v="988"/>
    <n v="0.46834298043430056"/>
    <n v="0.23417149021715028"/>
    <n v="1.4635718138571892"/>
    <n v="4"/>
    <n v="5"/>
    <n v="5086"/>
    <n v="1.25"/>
    <n v="1271.5"/>
    <n v="1017.2"/>
    <n v="0"/>
    <n v="0"/>
    <n v="0"/>
    <n v="0.68325994702271364"/>
    <n v="0.34204541328457699"/>
    <n v="0.35215444776626686"/>
    <n v="0.50060802594244025"/>
    <n v="0.51540332387515198"/>
    <n v="1.0295546558704454"/>
    <n v="0"/>
    <n v="0"/>
    <n v="0"/>
    <n v="1"/>
  </r>
  <r>
    <x v="0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Partner"/>
    <x v="10"/>
    <n v="5.8542872554287566"/>
    <n v="14.617941962695083"/>
    <n v="14442.526659142743"/>
    <n v="2.4969635627530362"/>
    <n v="2467"/>
    <n v="988"/>
    <n v="0.46834298043430056"/>
    <n v="0.23417149021715028"/>
    <n v="1.4635718138571892"/>
    <n v="3"/>
    <n v="7"/>
    <n v="10710.65"/>
    <n v="2.3333333333333335"/>
    <n v="3570.2166666666667"/>
    <n v="1530.0928571428572"/>
    <n v="0"/>
    <n v="0"/>
    <n v="0"/>
    <n v="0.51244496026703523"/>
    <n v="0.47886357859840778"/>
    <n v="0.74160500117337125"/>
    <n v="0.93446831509255524"/>
    <n v="1.4471895689771652"/>
    <n v="1.548676980913823"/>
    <n v="0"/>
    <n v="0"/>
    <n v="0"/>
    <n v="1"/>
  </r>
  <r>
    <x v="0"/>
    <s v="Partner"/>
    <x v="11"/>
    <n v="5.8542872554287566"/>
    <n v="14.617941962695083"/>
    <n v="14442.526659142743"/>
    <n v="2.4969635627530362"/>
    <n v="2467"/>
    <n v="988"/>
    <n v="0.46834298043430056"/>
    <n v="0.23417149021715028"/>
    <n v="1.4635718138571892"/>
    <n v="8"/>
    <n v="23"/>
    <n v="23429.660000000003"/>
    <n v="2.875"/>
    <n v="2928.7075000000004"/>
    <n v="1018.6808695652176"/>
    <n v="0"/>
    <n v="0"/>
    <n v="0"/>
    <n v="1.3665198940454273"/>
    <n v="1.5734089011090542"/>
    <n v="1.6222687728374743"/>
    <n v="1.1513984596676126"/>
    <n v="1.1871534252128093"/>
    <n v="1.0310535117056858"/>
    <n v="0"/>
    <n v="0"/>
    <n v="0"/>
    <n v="1"/>
  </r>
  <r>
    <x v="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SS"/>
    <x v="1"/>
    <n v="2.3366242176015644"/>
    <n v="5.8344655311974289"/>
    <n v="5764.4519448230594"/>
    <n v="2.4969635627530367"/>
    <n v="2467"/>
    <n v="987.99999999999989"/>
    <n v="0.18692993740812516"/>
    <n v="9.3464968704062582E-2"/>
    <n v="0.58415605440039109"/>
    <n v="3"/>
    <n v="4"/>
    <n v="5046"/>
    <n v="1.3333333333333333"/>
    <n v="1682"/>
    <n v="1261.5"/>
    <n v="0"/>
    <n v="0"/>
    <n v="0"/>
    <n v="1.2839034952224195"/>
    <n v="0.68558122052682091"/>
    <n v="0.87536509078399261"/>
    <n v="0.53398189433860277"/>
    <n v="0.68179975678962301"/>
    <n v="1.2768218623481782"/>
    <n v="0"/>
    <n v="0"/>
    <n v="0"/>
    <n v="1"/>
  </r>
  <r>
    <x v="1"/>
    <s v="SS"/>
    <x v="2"/>
    <n v="7.7887473920052157"/>
    <n v="19.448218437324762"/>
    <n v="19214.839816076867"/>
    <n v="2.4969635627530362"/>
    <n v="2467"/>
    <n v="988.00000000000011"/>
    <n v="0.62309979136041727"/>
    <n v="0.31154989568020863"/>
    <n v="1.9471868480013039"/>
    <n v="5"/>
    <n v="13"/>
    <n v="24179"/>
    <n v="2.6"/>
    <n v="4835.8"/>
    <n v="1859.9230769230769"/>
    <n v="0"/>
    <n v="0"/>
    <n v="0"/>
    <n v="0.64195174761120966"/>
    <n v="0.6684416900136505"/>
    <n v="1.2583503287792006"/>
    <n v="1.0412646939602759"/>
    <n v="1.9601945683015809"/>
    <n v="1.8825132357521019"/>
    <n v="0"/>
    <n v="0"/>
    <n v="0"/>
    <n v="1"/>
  </r>
  <r>
    <x v="1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FC"/>
    <x v="4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FC"/>
    <x v="5"/>
    <n v="6.2309979136041722"/>
    <n v="15.558574749859812"/>
    <n v="15371.871852861494"/>
    <n v="2.4969635627530367"/>
    <n v="2467"/>
    <n v="988"/>
    <n v="0.49847983308833377"/>
    <n v="0.24923991654416688"/>
    <n v="1.5577494784010431"/>
    <n v="7"/>
    <n v="18"/>
    <n v="20477"/>
    <n v="2.5714285714285716"/>
    <n v="2925.2857142857142"/>
    <n v="1137.6111111111111"/>
    <n v="0"/>
    <n v="0"/>
    <n v="0"/>
    <n v="1.123415558319617"/>
    <n v="1.1569183096390103"/>
    <n v="1.3321084247907116"/>
    <n v="1.029822224795877"/>
    <n v="1.1857664022236376"/>
    <n v="1.1514282501124606"/>
    <n v="0"/>
    <n v="0"/>
    <n v="0"/>
    <n v="1"/>
  </r>
  <r>
    <x v="1"/>
    <s v="FC"/>
    <x v="6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FC"/>
    <x v="7"/>
    <n v="7.7887473920052157"/>
    <n v="19.448218437324762"/>
    <n v="19214.839816076867"/>
    <n v="2.4969635627530362"/>
    <n v="2467"/>
    <n v="988.00000000000011"/>
    <n v="0.62309979136041727"/>
    <n v="0.31154989568020863"/>
    <n v="1.9471868480013039"/>
    <n v="8"/>
    <n v="15"/>
    <n v="21268.200000000004"/>
    <n v="1.875"/>
    <n v="2658.5250000000005"/>
    <n v="1417.8800000000003"/>
    <n v="0"/>
    <n v="0"/>
    <n v="0"/>
    <n v="1.0271227961779354"/>
    <n v="0.77127887309267362"/>
    <n v="1.1068632475512552"/>
    <n v="0.75091203891366043"/>
    <n v="1.0776347790839078"/>
    <n v="1.4351012145748989"/>
    <n v="0"/>
    <n v="0"/>
    <n v="0"/>
    <n v="1"/>
  </r>
  <r>
    <x v="1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Partner"/>
    <x v="1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Partner"/>
    <x v="11"/>
    <n v="7.0098726528046944"/>
    <n v="17.503396593592289"/>
    <n v="17293.355834469181"/>
    <n v="2.4969635627530367"/>
    <n v="2467"/>
    <n v="988"/>
    <n v="0.56078981222437552"/>
    <n v="0.28039490611218776"/>
    <n v="1.7524681632011736"/>
    <n v="5"/>
    <n v="9"/>
    <n v="49965.200000000004"/>
    <n v="1.8"/>
    <n v="9993.0400000000009"/>
    <n v="5551.6888888888898"/>
    <n v="0"/>
    <n v="0"/>
    <n v="0"/>
    <n v="0.71327971956801073"/>
    <n v="0.5141859153951156"/>
    <n v="2.889271491216828"/>
    <n v="0.72087555735711384"/>
    <n v="4.0506850425618159"/>
    <n v="5.619118308591994"/>
    <n v="0"/>
    <n v="0"/>
    <n v="0"/>
    <n v="1"/>
  </r>
  <r>
    <x v="1"/>
    <s v="NA"/>
    <x v="12"/>
    <n v="0"/>
    <n v="0"/>
    <n v="0"/>
    <e v="#DIV/0!"/>
    <e v="#DIV/0!"/>
    <e v="#DIV/0!"/>
    <n v="0"/>
    <n v="0"/>
    <n v="0"/>
    <n v="1"/>
    <n v="-1"/>
    <n v="-1175"/>
    <n v="-1"/>
    <n v="-1175"/>
    <n v="1175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SS"/>
    <x v="1"/>
    <n v="6.3608103701375933"/>
    <n v="15.882711723815227"/>
    <n v="15692.119183129444"/>
    <n v="2.4969635627530367"/>
    <n v="2467"/>
    <n v="988"/>
    <n v="0.50886482961100743"/>
    <n v="0.25443241480550371"/>
    <n v="1.5902025925343983"/>
    <n v="8"/>
    <n v="12"/>
    <n v="13485.2"/>
    <n v="1.5"/>
    <n v="1685.65"/>
    <n v="1123.7666666666667"/>
    <n v="0"/>
    <n v="0"/>
    <n v="0"/>
    <n v="1.257701383075023"/>
    <n v="0.75553848792751677"/>
    <n v="0.85936130376182107"/>
    <n v="0.60072963113092825"/>
    <n v="0.68327928658289427"/>
    <n v="1.1374156545209178"/>
    <n v="0"/>
    <n v="0"/>
    <n v="0"/>
    <n v="1"/>
  </r>
  <r>
    <x v="2"/>
    <s v="SS"/>
    <x v="2"/>
    <n v="9.0868719573394188"/>
    <n v="22.689588176878893"/>
    <n v="22417.313118756345"/>
    <n v="2.4969635627530362"/>
    <n v="2467"/>
    <n v="988"/>
    <n v="0.72694975658715355"/>
    <n v="0.36347487829357678"/>
    <n v="2.2717179893348547"/>
    <n v="4"/>
    <n v="13"/>
    <n v="13681.000000000004"/>
    <n v="3.25"/>
    <n v="3420.2500000000009"/>
    <n v="1052.3846153846157"/>
    <n v="0"/>
    <n v="0"/>
    <n v="0"/>
    <n v="0.44019548407625808"/>
    <n v="0.57295002001170026"/>
    <n v="0.61028723324354361"/>
    <n v="1.3015808674503446"/>
    <n v="1.3864004864207544"/>
    <n v="1.0651666147617569"/>
    <n v="0"/>
    <n v="0"/>
    <n v="0"/>
    <n v="1"/>
  </r>
  <r>
    <x v="2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FC"/>
    <x v="4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FC"/>
    <x v="5"/>
    <n v="6.3608103701375933"/>
    <n v="15.882711723815227"/>
    <n v="15692.119183129444"/>
    <n v="2.4969635627530367"/>
    <n v="2467"/>
    <n v="988"/>
    <n v="0.50886482961100743"/>
    <n v="0.25443241480550371"/>
    <n v="1.5902025925343983"/>
    <n v="4"/>
    <n v="9"/>
    <n v="6429"/>
    <n v="2.25"/>
    <n v="1607.25"/>
    <n v="714.33333333333337"/>
    <n v="0"/>
    <n v="0"/>
    <n v="0"/>
    <n v="0.6288506915375115"/>
    <n v="0.5666538659456376"/>
    <n v="0.40969609808417723"/>
    <n v="0.90109444669639227"/>
    <n v="0.65149979732468588"/>
    <n v="0.7230094466936573"/>
    <n v="0"/>
    <n v="0"/>
    <n v="0"/>
    <n v="1"/>
  </r>
  <r>
    <x v="2"/>
    <s v="FC"/>
    <x v="6"/>
    <n v="0"/>
    <n v="0"/>
    <n v="0"/>
    <e v="#DIV/0!"/>
    <e v="#DIV/0!"/>
    <e v="#DIV/0!"/>
    <n v="0"/>
    <n v="0"/>
    <n v="0"/>
    <n v="8"/>
    <n v="14"/>
    <n v="15237.449999999999"/>
    <n v="1.75"/>
    <n v="1904.6812499999999"/>
    <n v="1088.3892857142857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FC"/>
    <x v="7"/>
    <n v="6.3608103701375933"/>
    <n v="15.882711723815227"/>
    <n v="15692.119183129444"/>
    <n v="2.4969635627530367"/>
    <n v="2467"/>
    <n v="988"/>
    <n v="0.50886482961100743"/>
    <n v="0.25443241480550371"/>
    <n v="1.5902025925343983"/>
    <n v="3"/>
    <n v="11"/>
    <n v="11839"/>
    <n v="3.6666666666666665"/>
    <n v="3946.3333333333335"/>
    <n v="1076.2727272727273"/>
    <n v="0"/>
    <n v="0"/>
    <n v="0"/>
    <n v="0.47163801865313359"/>
    <n v="0.69257694726689034"/>
    <n v="0.75445514158011739"/>
    <n v="1.4684502094311578"/>
    <n v="1.5996486961221457"/>
    <n v="1.089344865660655"/>
    <n v="0"/>
    <n v="0"/>
    <n v="0"/>
    <n v="1"/>
  </r>
  <r>
    <x v="2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Partner"/>
    <x v="10"/>
    <n v="8.1781847616054772"/>
    <n v="20.420629359191004"/>
    <n v="20175.581806880713"/>
    <n v="2.4969635627530362"/>
    <n v="2467"/>
    <n v="988"/>
    <n v="0.65425478092843814"/>
    <n v="0.32712739046421907"/>
    <n v="2.0445461904013693"/>
    <n v="5"/>
    <n v="15"/>
    <n v="14641.15"/>
    <n v="3"/>
    <n v="2928.23"/>
    <n v="976.0766666666666"/>
    <n v="0"/>
    <n v="0"/>
    <n v="0"/>
    <n v="0.61138261677258066"/>
    <n v="0.73455130770730803"/>
    <n v="0.72568663150059731"/>
    <n v="1.2014592622618565"/>
    <n v="1.186959870287799"/>
    <n v="0.98793184885290142"/>
    <n v="0"/>
    <n v="0"/>
    <n v="0"/>
    <n v="1"/>
  </r>
  <r>
    <x v="2"/>
    <s v="Partner"/>
    <x v="1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NA"/>
    <x v="12"/>
    <n v="0"/>
    <n v="0"/>
    <n v="0"/>
    <e v="#DIV/0!"/>
    <e v="#DIV/0!"/>
    <e v="#DIV/0!"/>
    <n v="0"/>
    <n v="0"/>
    <n v="0"/>
    <n v="5"/>
    <n v="1"/>
    <n v="-4729"/>
    <n v="0.2"/>
    <n v="-945.8"/>
    <n v="-4729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SS"/>
    <x v="1"/>
    <n v="2.4151154703892135"/>
    <n v="6.0304553294030265"/>
    <n v="5958.0898654501898"/>
    <n v="2.4969635627530367"/>
    <n v="2467"/>
    <n v="987.99999999999989"/>
    <n v="0.19320923763113709"/>
    <n v="9.6604618815568546E-2"/>
    <n v="0.60377886759730337"/>
    <n v="1"/>
    <n v="1"/>
    <n v="599"/>
    <n v="1"/>
    <n v="599"/>
    <n v="599"/>
    <n v="0"/>
    <n v="0"/>
    <n v="0"/>
    <n v="0.41405887720923035"/>
    <n v="0.16582495771492484"/>
    <n v="0.10053557659032387"/>
    <n v="0.40048642075395213"/>
    <n v="0.24280502634779083"/>
    <n v="0.60627530364372473"/>
    <n v="0"/>
    <n v="0"/>
    <n v="0"/>
    <n v="1"/>
  </r>
  <r>
    <x v="3"/>
    <s v="SS"/>
    <x v="2"/>
    <n v="6.0377886759730339"/>
    <n v="15.076138323507566"/>
    <n v="14895.224663625475"/>
    <n v="2.4969635627530367"/>
    <n v="2467"/>
    <n v="988"/>
    <n v="0.48302309407784272"/>
    <n v="0.24151154703892136"/>
    <n v="1.5094471689932585"/>
    <n v="4"/>
    <n v="11"/>
    <n v="12405.94"/>
    <n v="2.75"/>
    <n v="3101.4850000000001"/>
    <n v="1127.8127272727272"/>
    <n v="0"/>
    <n v="0"/>
    <n v="0"/>
    <n v="0.66249420353476862"/>
    <n v="0.72962981394566928"/>
    <n v="0.83288035462101007"/>
    <n v="1.1013376570733684"/>
    <n v="1.2571888933927848"/>
    <n v="1.1415108575634891"/>
    <n v="0"/>
    <n v="0"/>
    <n v="0"/>
    <n v="1"/>
  </r>
  <r>
    <x v="3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FC"/>
    <x v="4"/>
    <n v="6.0377886759730339"/>
    <n v="15.076138323507566"/>
    <n v="14895.224663625475"/>
    <n v="2.4969635627530367"/>
    <n v="2467"/>
    <n v="988"/>
    <n v="0.48302309407784272"/>
    <n v="0.24151154703892136"/>
    <n v="1.5094471689932585"/>
    <n v="7"/>
    <n v="11"/>
    <n v="10704.310000000001"/>
    <n v="1.5714285714285714"/>
    <n v="1529.187142857143"/>
    <n v="973.11909090909103"/>
    <n v="0"/>
    <n v="0"/>
    <n v="0"/>
    <n v="1.1593648561858449"/>
    <n v="0.72962981394566928"/>
    <n v="0.718640385877509"/>
    <n v="0.6293358040419248"/>
    <n v="0.61985696913544508"/>
    <n v="0.98493835112256178"/>
    <n v="0"/>
    <n v="0"/>
    <n v="0"/>
    <n v="1"/>
  </r>
  <r>
    <x v="3"/>
    <s v="FC"/>
    <x v="5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FC"/>
    <x v="6"/>
    <n v="6.0377886759730339"/>
    <n v="15.076138323507566"/>
    <n v="14895.224663625475"/>
    <n v="2.4969635627530367"/>
    <n v="2467"/>
    <n v="988"/>
    <n v="0.48302309407784272"/>
    <n v="0.24151154703892136"/>
    <n v="1.5094471689932585"/>
    <n v="6"/>
    <n v="17"/>
    <n v="7271.76"/>
    <n v="2.8333333333333335"/>
    <n v="1211.96"/>
    <n v="427.75058823529412"/>
    <n v="0"/>
    <n v="0"/>
    <n v="0"/>
    <n v="0.99374130530215288"/>
    <n v="1.127609712461489"/>
    <n v="0.4881940463615716"/>
    <n v="1.134711525469531"/>
    <n v="0.49126874746655858"/>
    <n v="0.43294593950940702"/>
    <n v="0"/>
    <n v="0"/>
    <n v="0"/>
    <n v="1"/>
  </r>
  <r>
    <x v="3"/>
    <s v="FC"/>
    <x v="7"/>
    <n v="12.075577351946068"/>
    <n v="30.152276647015132"/>
    <n v="29790.44932725095"/>
    <n v="2.4969635627530367"/>
    <n v="2467"/>
    <n v="988"/>
    <n v="0.96604618815568544"/>
    <n v="0.48302309407784272"/>
    <n v="3.018894337986517"/>
    <n v="6"/>
    <n v="22"/>
    <n v="20444"/>
    <n v="3.6666666666666665"/>
    <n v="3407.3333333333335"/>
    <n v="929.27272727272725"/>
    <n v="0"/>
    <n v="0"/>
    <n v="0"/>
    <n v="0.49687065265107644"/>
    <n v="0.72962981394566928"/>
    <n v="0.68626020962022738"/>
    <n v="1.4684502094311578"/>
    <n v="1.3811647074719633"/>
    <n v="0.94055944055944052"/>
    <n v="0"/>
    <n v="0"/>
    <n v="0"/>
    <n v="1"/>
  </r>
  <r>
    <x v="3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Partner"/>
    <x v="10"/>
    <n v="8.452904146362247"/>
    <n v="21.10659365291059"/>
    <n v="20853.314529075662"/>
    <n v="2.4969635627530362"/>
    <n v="2467"/>
    <n v="988"/>
    <n v="0.67623233170897978"/>
    <n v="0.33811616585448989"/>
    <n v="2.1132260365905617"/>
    <n v="1"/>
    <n v="9"/>
    <n v="6413"/>
    <n v="9"/>
    <n v="6413"/>
    <n v="712.55555555555554"/>
    <n v="0"/>
    <n v="0"/>
    <n v="0"/>
    <n v="0.1183025363454944"/>
    <n v="0.42640703412409248"/>
    <n v="0.30752904968936184"/>
    <n v="3.60437778678557"/>
    <n v="2.599513579246048"/>
    <n v="0.72121007647323432"/>
    <n v="0"/>
    <n v="0"/>
    <n v="0"/>
    <n v="1"/>
  </r>
  <r>
    <x v="3"/>
    <s v="Partner"/>
    <x v="11"/>
    <n v="10.868019616751463"/>
    <n v="27.137048982313619"/>
    <n v="26811.404394525856"/>
    <n v="2.4969635627530362"/>
    <n v="2467"/>
    <n v="988"/>
    <n v="0.86944156934011707"/>
    <n v="0.43472078467005854"/>
    <n v="2.7170049041878657"/>
    <n v="5"/>
    <n v="10"/>
    <n v="8626"/>
    <n v="2"/>
    <n v="1725.2"/>
    <n v="862.6"/>
    <n v="0"/>
    <n v="0"/>
    <n v="0"/>
    <n v="0.460065419121367"/>
    <n v="0.36849990603316629"/>
    <n v="0.3217287641135721"/>
    <n v="0.80097284150790438"/>
    <n v="0.6993109039319011"/>
    <n v="0.87307692307692308"/>
    <n v="0"/>
    <n v="0"/>
    <n v="0"/>
    <n v="1"/>
  </r>
  <r>
    <x v="3"/>
    <s v="NA"/>
    <x v="12"/>
    <n v="0"/>
    <n v="0"/>
    <n v="0"/>
    <e v="#DIV/0!"/>
    <e v="#DIV/0!"/>
    <e v="#DIV/0!"/>
    <n v="0"/>
    <n v="0"/>
    <n v="0"/>
    <n v="4"/>
    <n v="-6"/>
    <n v="-14498"/>
    <n v="-1.5"/>
    <n v="-3624.5"/>
    <n v="2416.3333333333335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SS"/>
    <x v="1"/>
    <n v="3.000110106550157"/>
    <n v="7.4911656203028709"/>
    <n v="7401.2716328592369"/>
    <n v="2.4969635627530362"/>
    <n v="2467"/>
    <n v="988"/>
    <n v="0.24000880852401257"/>
    <n v="0.12000440426200629"/>
    <n v="0.75002752663753924"/>
    <n v="5"/>
    <n v="9"/>
    <n v="3190"/>
    <n v="1.8"/>
    <n v="638"/>
    <n v="354.44444444444446"/>
    <n v="0"/>
    <n v="0"/>
    <n v="0"/>
    <n v="1.6666054986060252"/>
    <n v="1.2014151677020493"/>
    <n v="0.43100701585352419"/>
    <n v="0.72087555735711395"/>
    <n v="0.25861370085123631"/>
    <n v="0.35874943769680612"/>
    <n v="0"/>
    <n v="0"/>
    <n v="0"/>
    <n v="1"/>
  </r>
  <r>
    <x v="4"/>
    <s v="SS"/>
    <x v="2"/>
    <n v="3.000110106550157"/>
    <n v="7.4911656203028709"/>
    <n v="7401.2716328592369"/>
    <n v="2.4969635627530362"/>
    <n v="2467"/>
    <n v="988"/>
    <n v="0.24000880852401257"/>
    <n v="0.12000440426200629"/>
    <n v="0.75002752663753924"/>
    <n v="0"/>
    <n v="1"/>
    <n v="449.5"/>
    <e v="#DIV/0!"/>
    <e v="#DIV/0!"/>
    <n v="449.5"/>
    <n v="0"/>
    <n v="0"/>
    <n v="0"/>
    <n v="0"/>
    <n v="0.13349057418911658"/>
    <n v="6.0732806779360229E-2"/>
    <e v="#DIV/0!"/>
    <e v="#DIV/0!"/>
    <n v="0.45495951417004049"/>
    <n v="0"/>
    <n v="0"/>
    <n v="0"/>
    <n v="1"/>
  </r>
  <r>
    <x v="4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FC"/>
    <x v="4"/>
    <n v="7.5002752663753913"/>
    <n v="18.727914050757175"/>
    <n v="18503.17908214809"/>
    <n v="2.4969635627530362"/>
    <n v="2467"/>
    <n v="988.00000000000011"/>
    <n v="0.60002202131003135"/>
    <n v="0.30001101065501568"/>
    <n v="1.8750688165938478"/>
    <n v="16"/>
    <n v="36"/>
    <n v="20241"/>
    <n v="2.25"/>
    <n v="1265.0625"/>
    <n v="562.25"/>
    <n v="0"/>
    <n v="0"/>
    <n v="0"/>
    <n v="2.1332550382157125"/>
    <n v="1.9222642683232791"/>
    <n v="1.0939201263813396"/>
    <n v="0.90109444669639249"/>
    <n v="0.51279387920551278"/>
    <n v="0.56907894736842102"/>
    <n v="0"/>
    <n v="0"/>
    <n v="0"/>
    <n v="1"/>
  </r>
  <r>
    <x v="4"/>
    <s v="FC"/>
    <x v="5"/>
    <n v="7.5002752663753913"/>
    <n v="18.727914050757175"/>
    <n v="18503.17908214809"/>
    <n v="2.4969635627530362"/>
    <n v="2467"/>
    <n v="988.00000000000011"/>
    <n v="0.60002202131003135"/>
    <n v="0.30001101065501568"/>
    <n v="1.8750688165938478"/>
    <n v="5"/>
    <n v="8"/>
    <n v="16493"/>
    <n v="1.6"/>
    <n v="3298.6"/>
    <n v="2061.625"/>
    <n v="0"/>
    <n v="0"/>
    <n v="0"/>
    <n v="0.66664219944241021"/>
    <n v="0.42716983740517317"/>
    <n v="0.89136034012190291"/>
    <n v="0.64077827320632352"/>
    <n v="1.3370895824888529"/>
    <n v="2.0866649797570846"/>
    <n v="0"/>
    <n v="0"/>
    <n v="0"/>
    <n v="1"/>
  </r>
  <r>
    <x v="4"/>
    <s v="FC"/>
    <x v="6"/>
    <n v="7.5002752663753913"/>
    <n v="18.727914050757175"/>
    <n v="18503.17908214809"/>
    <n v="2.4969635627530362"/>
    <n v="2467"/>
    <n v="988.00000000000011"/>
    <n v="0.60002202131003135"/>
    <n v="0.30001101065501568"/>
    <n v="1.8750688165938478"/>
    <n v="9"/>
    <n v="15"/>
    <n v="16517.5"/>
    <n v="1.6666666666666667"/>
    <n v="1835.2777777777778"/>
    <n v="1101.1666666666667"/>
    <n v="0"/>
    <n v="0"/>
    <n v="0"/>
    <n v="1.1999559589963384"/>
    <n v="0.80094344513469962"/>
    <n v="0.89268443691041843"/>
    <n v="0.66747736792325374"/>
    <n v="0.74393100031527271"/>
    <n v="1.114541160593792"/>
    <n v="0"/>
    <n v="0"/>
    <n v="0"/>
    <n v="1"/>
  </r>
  <r>
    <x v="4"/>
    <s v="FC"/>
    <x v="7"/>
    <n v="15.000550532750783"/>
    <n v="37.455828101514349"/>
    <n v="37006.35816429618"/>
    <n v="2.4969635627530362"/>
    <n v="2467"/>
    <n v="988.00000000000011"/>
    <n v="1.2000440426200627"/>
    <n v="0.60002202131003135"/>
    <n v="3.7501376331876957"/>
    <n v="7"/>
    <n v="25"/>
    <n v="23789"/>
    <n v="3.5714285714285716"/>
    <n v="3398.4285714285716"/>
    <n v="951.56"/>
    <n v="0"/>
    <n v="0"/>
    <n v="0"/>
    <n v="0.46664953960968714"/>
    <n v="0.66745287094558303"/>
    <n v="0.64283547963256982"/>
    <n v="1.4303086455498293"/>
    <n v="1.3775551566390642"/>
    <n v="0.96311740890688247"/>
    <n v="0"/>
    <n v="0"/>
    <n v="0"/>
    <n v="1"/>
  </r>
  <r>
    <x v="4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Partner"/>
    <x v="10"/>
    <n v="10.500385372925548"/>
    <n v="26.219079671060047"/>
    <n v="25904.450715007326"/>
    <n v="2.4969635627530367"/>
    <n v="2467"/>
    <n v="988"/>
    <n v="0.84003082983404387"/>
    <n v="0.42001541491702193"/>
    <n v="2.625096343231387"/>
    <n v="7"/>
    <n v="14"/>
    <n v="12757"/>
    <n v="2"/>
    <n v="1822.4285714285713"/>
    <n v="911.21428571428567"/>
    <n v="0"/>
    <n v="0"/>
    <n v="0"/>
    <n v="0.66664219944241021"/>
    <n v="0.53396229675646634"/>
    <n v="0.49246363647500302"/>
    <n v="0.80097284150790427"/>
    <n v="0.73872256644854939"/>
    <n v="0.9222816657027183"/>
    <n v="0"/>
    <n v="0"/>
    <n v="0"/>
    <n v="1"/>
  </r>
  <r>
    <x v="4"/>
    <s v="Partner"/>
    <x v="11"/>
    <n v="13.500495479475704"/>
    <n v="33.710245291362916"/>
    <n v="33305.722347866562"/>
    <n v="2.4969635627530362"/>
    <n v="2467"/>
    <n v="988"/>
    <n v="1.0800396383580564"/>
    <n v="0.54001981917902819"/>
    <n v="3.3751238698689261"/>
    <n v="8"/>
    <n v="69"/>
    <n v="66146.649999999994"/>
    <n v="8.625"/>
    <n v="8268.3312499999993"/>
    <n v="958.64710144927528"/>
    <n v="0"/>
    <n v="0"/>
    <n v="0"/>
    <n v="0.5925708439488091"/>
    <n v="2.0468554708997879"/>
    <n v="1.9860445994571589"/>
    <n v="3.4541953790028379"/>
    <n v="3.3515732671260636"/>
    <n v="0.97029058851141226"/>
    <n v="0"/>
    <n v="0"/>
    <n v="0"/>
    <n v="1"/>
  </r>
  <r>
    <x v="4"/>
    <s v="NA"/>
    <x v="12"/>
    <n v="0"/>
    <n v="0"/>
    <n v="0"/>
    <e v="#DIV/0!"/>
    <e v="#DIV/0!"/>
    <e v="#DIV/0!"/>
    <n v="0"/>
    <n v="0"/>
    <n v="0"/>
    <n v="9"/>
    <n v="1"/>
    <n v="-5807.15"/>
    <n v="0.1111111111111111"/>
    <n v="-645.23888888888882"/>
    <n v="-5807.15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5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6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6"/>
    <s v="SS"/>
    <x v="1"/>
    <n v="1.3269717778971848"/>
    <n v="3.3134001782108857"/>
    <n v="3273.6393760723549"/>
    <n v="2.4969635627530367"/>
    <n v="2467"/>
    <n v="988"/>
    <n v="0.10615774223177478"/>
    <n v="5.307887111588739E-2"/>
    <n v="0.3317429444742962"/>
    <n v="4"/>
    <n v="5"/>
    <n v="1755.4"/>
    <n v="1.25"/>
    <n v="438.85"/>
    <n v="351.08000000000004"/>
    <n v="0"/>
    <n v="0"/>
    <n v="0"/>
    <n v="3.0143821192178546"/>
    <n v="1.5090238821378394"/>
    <n v="0.53622277787545825"/>
    <n v="0.50060802594244014"/>
    <n v="0.17788812322659101"/>
    <n v="0.35534412955465589"/>
    <n v="0"/>
    <n v="0"/>
    <n v="0"/>
    <n v="1"/>
  </r>
  <r>
    <x v="6"/>
    <s v="SS"/>
    <x v="2"/>
    <n v="1.9904576668457772"/>
    <n v="4.9701002673163286"/>
    <n v="4910.4590641085324"/>
    <n v="2.4969635627530367"/>
    <n v="2467"/>
    <n v="988"/>
    <n v="0.15923661334766218"/>
    <n v="7.9618306673831088E-2"/>
    <n v="0.4976144167114443"/>
    <n v="1"/>
    <n v="2"/>
    <n v="1758.4"/>
    <n v="2"/>
    <n v="1758.4"/>
    <n v="879.2"/>
    <n v="0"/>
    <n v="0"/>
    <n v="0"/>
    <n v="0.50239701986964236"/>
    <n v="0.40240636857009054"/>
    <n v="0.35809279275994294"/>
    <n v="0.80097284150790427"/>
    <n v="0.71276854479124452"/>
    <n v="0.88987854251012155"/>
    <n v="0"/>
    <n v="0"/>
    <n v="0"/>
    <n v="1"/>
  </r>
  <r>
    <x v="6"/>
    <s v="FC"/>
    <x v="3"/>
    <n v="6.6348588894859235"/>
    <n v="16.567000891054427"/>
    <n v="16368.196880361773"/>
    <n v="2.4969635627530367"/>
    <n v="2467"/>
    <n v="988"/>
    <n v="0.53078871115887394"/>
    <n v="0.26539435557943697"/>
    <n v="1.6587147223714809"/>
    <n v="7"/>
    <n v="9"/>
    <n v="16472"/>
    <n v="1.2857142857142858"/>
    <n v="2353.1428571428573"/>
    <n v="1830.2222222222222"/>
    <n v="0"/>
    <n v="0"/>
    <n v="0"/>
    <n v="1.0550337417262492"/>
    <n v="0.54324859756962229"/>
    <n v="1.0063417565414776"/>
    <n v="0.51491111239793852"/>
    <n v="0.95384793560715742"/>
    <n v="1.8524516419253261"/>
    <n v="0"/>
    <n v="0"/>
    <n v="0"/>
    <n v="1"/>
  </r>
  <r>
    <x v="6"/>
    <s v="FC"/>
    <x v="4"/>
    <n v="1.9904576668457772"/>
    <n v="4.9701002673163286"/>
    <n v="4910.4590641085324"/>
    <n v="2.4969635627530367"/>
    <n v="2467"/>
    <n v="988"/>
    <n v="0.15923661334766218"/>
    <n v="7.9618306673831088E-2"/>
    <n v="0.4976144167114443"/>
    <n v="1"/>
    <n v="2"/>
    <n v="899"/>
    <n v="2"/>
    <n v="899"/>
    <n v="449.5"/>
    <n v="0"/>
    <n v="0"/>
    <n v="0"/>
    <n v="0.50239701986964236"/>
    <n v="0.40240636857009054"/>
    <n v="0.18307860594357864"/>
    <n v="0.80097284150790427"/>
    <n v="0.36441021483583297"/>
    <n v="0.45495951417004049"/>
    <n v="0"/>
    <n v="0"/>
    <n v="0"/>
    <n v="1"/>
  </r>
  <r>
    <x v="6"/>
    <s v="FC"/>
    <x v="5"/>
    <n v="1.9904576668457772"/>
    <n v="4.9701002673163286"/>
    <n v="4910.4590641085324"/>
    <n v="2.4969635627530367"/>
    <n v="2467"/>
    <n v="988"/>
    <n v="0.15923661334766218"/>
    <n v="7.9618306673831088E-2"/>
    <n v="0.4976144167114443"/>
    <n v="1"/>
    <n v="6"/>
    <n v="227"/>
    <n v="6"/>
    <n v="227"/>
    <n v="37.833333333333336"/>
    <n v="0"/>
    <n v="0"/>
    <n v="0"/>
    <n v="0.50239701986964236"/>
    <n v="1.2072191057102717"/>
    <n v="4.6227857118122752E-2"/>
    <n v="2.402918524523713"/>
    <n v="9.201459262261856E-2"/>
    <n v="3.829284750337382E-2"/>
    <n v="0"/>
    <n v="0"/>
    <n v="0"/>
    <n v="1"/>
  </r>
  <r>
    <x v="6"/>
    <s v="FC"/>
    <x v="6"/>
    <n v="1.9904576668457772"/>
    <n v="4.9701002673163286"/>
    <n v="4910.4590641085324"/>
    <n v="2.4969635627530367"/>
    <n v="2467"/>
    <n v="988"/>
    <n v="0.15923661334766218"/>
    <n v="7.9618306673831088E-2"/>
    <n v="0.4976144167114443"/>
    <n v="2"/>
    <n v="2"/>
    <n v="1918"/>
    <n v="1"/>
    <n v="959"/>
    <n v="959"/>
    <n v="0"/>
    <n v="0"/>
    <n v="0"/>
    <n v="1.0047940397392847"/>
    <n v="0.40240636857009054"/>
    <n v="0.39059484560598873"/>
    <n v="0.40048642075395213"/>
    <n v="0.38873125253344143"/>
    <n v="0.97064777327935226"/>
    <n v="0"/>
    <n v="0"/>
    <n v="0"/>
    <n v="1"/>
  </r>
  <r>
    <x v="6"/>
    <s v="FC"/>
    <x v="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6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6"/>
    <s v="Partner"/>
    <x v="9"/>
    <n v="4.6444012226401465"/>
    <n v="11.596900623738099"/>
    <n v="11457.737816253242"/>
    <n v="2.4969635627530367"/>
    <n v="2467"/>
    <n v="988"/>
    <n v="0.37155209781121173"/>
    <n v="0.18577604890560587"/>
    <n v="1.1611003056600366"/>
    <n v="3"/>
    <n v="3"/>
    <n v="1796.5"/>
    <n v="1"/>
    <n v="598.83333333333337"/>
    <n v="598.83333333333337"/>
    <n v="0"/>
    <n v="0"/>
    <n v="0"/>
    <n v="0.64593902554668314"/>
    <n v="0.25868980836648681"/>
    <n v="0.15679360348528795"/>
    <n v="0.40048642075395213"/>
    <n v="0.24273746790974193"/>
    <n v="0.6061066126855601"/>
    <n v="0"/>
    <n v="0"/>
    <n v="0"/>
    <n v="1"/>
  </r>
  <r>
    <x v="6"/>
    <s v="Partner"/>
    <x v="10"/>
    <n v="4.6444012226401465"/>
    <n v="11.596900623738099"/>
    <n v="11457.737816253242"/>
    <n v="2.4969635627530367"/>
    <n v="2467"/>
    <n v="988"/>
    <n v="0.37155209781121173"/>
    <n v="0.18577604890560587"/>
    <n v="1.1611003056600366"/>
    <n v="2"/>
    <n v="5"/>
    <n v="8316.2999999999993"/>
    <n v="2.5"/>
    <n v="4158.1499999999996"/>
    <n v="1663.2599999999998"/>
    <n v="0"/>
    <n v="0"/>
    <n v="0"/>
    <n v="0.43062601703112208"/>
    <n v="0.43114968061081133"/>
    <n v="0.72582390462827728"/>
    <n v="1.0012160518848803"/>
    <n v="1.6855087150385082"/>
    <n v="1.6834615384615381"/>
    <n v="0"/>
    <n v="0"/>
    <n v="0"/>
    <n v="1"/>
  </r>
  <r>
    <x v="6"/>
    <s v="Partner"/>
    <x v="11"/>
    <n v="4.6444012226401465"/>
    <n v="11.596900623738099"/>
    <n v="11457.737816253242"/>
    <n v="2.4969635627530367"/>
    <n v="2467"/>
    <n v="988"/>
    <n v="0.37155209781121173"/>
    <n v="0.18577604890560587"/>
    <n v="1.1611003056600366"/>
    <n v="1"/>
    <n v="1"/>
    <n v="6399"/>
    <n v="1"/>
    <n v="6399"/>
    <n v="6399"/>
    <n v="0"/>
    <n v="0"/>
    <n v="0"/>
    <n v="0.21531300851556104"/>
    <n v="8.622993612216226E-2"/>
    <n v="0.55848720773857929"/>
    <n v="0.40048642075395213"/>
    <n v="2.593838670449939"/>
    <n v="6.4767206477732797"/>
    <n v="0"/>
    <n v="0"/>
    <n v="0"/>
    <n v="1"/>
  </r>
  <r>
    <x v="6"/>
    <s v="NA"/>
    <x v="12"/>
    <n v="0"/>
    <n v="0"/>
    <n v="0"/>
    <e v="#DIV/0!"/>
    <e v="#DIV/0!"/>
    <e v="#DIV/0!"/>
    <n v="0"/>
    <n v="0"/>
    <n v="0"/>
    <n v="2"/>
    <n v="0"/>
    <n v="-620"/>
    <n v="0"/>
    <n v="-310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6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6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SS"/>
    <x v="1"/>
    <n v="1.7634899755483502"/>
    <n v="4.4033702122244733"/>
    <n v="4350.5297696777798"/>
    <n v="2.4969635627530362"/>
    <n v="2467"/>
    <n v="988"/>
    <n v="0.14107919804386801"/>
    <n v="7.0539599021934005E-2"/>
    <n v="0.44087249388708755"/>
    <n v="1"/>
    <n v="2"/>
    <n v="358"/>
    <n v="2"/>
    <n v="358"/>
    <n v="179"/>
    <n v="0"/>
    <n v="0"/>
    <n v="0"/>
    <n v="0.56705737705656878"/>
    <n v="0.454197558599019"/>
    <n v="8.2288828936461944E-2"/>
    <n v="0.80097284150790438"/>
    <n v="0.14511552492906363"/>
    <n v="0.1811740890688259"/>
    <n v="0"/>
    <n v="0"/>
    <n v="0"/>
    <n v="1"/>
  </r>
  <r>
    <x v="7"/>
    <s v="SS"/>
    <x v="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FC"/>
    <x v="3"/>
    <n v="5.878299918494502"/>
    <n v="14.677900707414915"/>
    <n v="14501.765898925936"/>
    <n v="2.4969635627530362"/>
    <n v="2467"/>
    <n v="988"/>
    <n v="0.47026399347956016"/>
    <n v="0.23513199673978008"/>
    <n v="1.4695749796236255"/>
    <n v="6"/>
    <n v="7"/>
    <n v="19594"/>
    <n v="1.1666666666666667"/>
    <n v="3265.6666666666665"/>
    <n v="2799.1428571428573"/>
    <n v="0"/>
    <n v="0"/>
    <n v="0"/>
    <n v="1.0207032787018235"/>
    <n v="0.47690743652896983"/>
    <n v="1.3511457940064537"/>
    <n v="0.46723415754627762"/>
    <n v="1.3237400351303876"/>
    <n v="2.8331405436668597"/>
    <n v="0"/>
    <n v="0"/>
    <n v="0"/>
    <n v="1"/>
  </r>
  <r>
    <x v="7"/>
    <s v="FC"/>
    <x v="4"/>
    <n v="1.7634899755483502"/>
    <n v="4.4033702122244733"/>
    <n v="4350.5297696777798"/>
    <n v="2.4969635627530362"/>
    <n v="2467"/>
    <n v="988"/>
    <n v="0.14107919804386801"/>
    <n v="7.0539599021934005E-2"/>
    <n v="0.44087249388708755"/>
    <n v="1"/>
    <n v="1"/>
    <n v="899"/>
    <n v="1"/>
    <n v="899"/>
    <n v="899"/>
    <n v="0"/>
    <n v="0"/>
    <n v="0"/>
    <n v="0.56705737705656878"/>
    <n v="0.2270987792995095"/>
    <n v="0.20664150059742817"/>
    <n v="0.40048642075395219"/>
    <n v="0.36441021483583297"/>
    <n v="0.90991902834008098"/>
    <n v="0"/>
    <n v="0"/>
    <n v="0"/>
    <n v="1"/>
  </r>
  <r>
    <x v="7"/>
    <s v="FC"/>
    <x v="5"/>
    <n v="1.7634899755483502"/>
    <n v="4.4033702122244733"/>
    <n v="4350.5297696777798"/>
    <n v="2.4969635627530362"/>
    <n v="2467"/>
    <n v="988"/>
    <n v="0.14107919804386801"/>
    <n v="7.0539599021934005E-2"/>
    <n v="0.44087249388708755"/>
    <n v="1"/>
    <n v="6"/>
    <n v="5154"/>
    <n v="6"/>
    <n v="5154"/>
    <n v="859"/>
    <n v="0"/>
    <n v="0"/>
    <n v="0"/>
    <n v="0.56705737705656878"/>
    <n v="1.362592675797057"/>
    <n v="1.18468330820817"/>
    <n v="2.402918524523713"/>
    <n v="2.0891771382245641"/>
    <n v="0.86943319838056676"/>
    <n v="0"/>
    <n v="0"/>
    <n v="0"/>
    <n v="1"/>
  </r>
  <r>
    <x v="7"/>
    <s v="FC"/>
    <x v="6"/>
    <n v="0"/>
    <n v="0"/>
    <n v="0"/>
    <e v="#DIV/0!"/>
    <e v="#DIV/0!"/>
    <e v="#DIV/0!"/>
    <n v="0"/>
    <n v="0"/>
    <n v="0"/>
    <n v="4"/>
    <n v="8"/>
    <n v="10192"/>
    <n v="2"/>
    <n v="2548"/>
    <n v="1274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FC"/>
    <x v="7"/>
    <n v="4.1148099429461507"/>
    <n v="10.274530495190438"/>
    <n v="10151.236129248153"/>
    <n v="2.4969635627530362"/>
    <n v="2467"/>
    <n v="988"/>
    <n v="0.32918479543569207"/>
    <n v="0.16459239771784603"/>
    <n v="1.028702485736537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n v="1"/>
  </r>
  <r>
    <x v="7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Partner"/>
    <x v="9"/>
    <n v="5.2904699266450521"/>
    <n v="13.210110636673424"/>
    <n v="13051.589309033343"/>
    <n v="2.4969635627530362"/>
    <n v="2467"/>
    <n v="988"/>
    <n v="0.42323759413160417"/>
    <n v="0.21161879706580208"/>
    <n v="1.322617481661263"/>
    <n v="2"/>
    <n v="3"/>
    <n v="3697"/>
    <n v="1.5"/>
    <n v="1848.5"/>
    <n v="1232.3333333333333"/>
    <n v="0"/>
    <n v="0"/>
    <n v="0"/>
    <n v="0.37803825137104574"/>
    <n v="0.22709877929950945"/>
    <n v="0.2832605219535379"/>
    <n v="0.60072963113092825"/>
    <n v="0.74929063640048643"/>
    <n v="1.2473009446693657"/>
    <n v="0"/>
    <n v="0"/>
    <n v="0"/>
    <n v="1"/>
  </r>
  <r>
    <x v="7"/>
    <s v="Partner"/>
    <x v="10"/>
    <n v="5.2904699266450521"/>
    <n v="13.210110636673424"/>
    <n v="13051.589309033343"/>
    <n v="2.4969635627530362"/>
    <n v="2467"/>
    <n v="988"/>
    <n v="0.42323759413160417"/>
    <n v="0.21161879706580208"/>
    <n v="1.322617481661263"/>
    <n v="3"/>
    <n v="6"/>
    <n v="1787"/>
    <n v="2"/>
    <n v="595.66666666666663"/>
    <n v="297.83333333333331"/>
    <n v="0"/>
    <n v="0"/>
    <n v="0"/>
    <n v="0.56705737705656856"/>
    <n v="0.45419755859901889"/>
    <n v="0.1369181911633682"/>
    <n v="0.80097284150790438"/>
    <n v="0.24145385758681256"/>
    <n v="0.3014507422402159"/>
    <n v="0"/>
    <n v="0"/>
    <n v="0"/>
    <n v="1"/>
  </r>
  <r>
    <x v="7"/>
    <s v="Partner"/>
    <x v="11"/>
    <n v="5.2904699266450521"/>
    <n v="13.210110636673424"/>
    <n v="13051.589309033343"/>
    <n v="2.4969635627530362"/>
    <n v="2467"/>
    <n v="988"/>
    <n v="0.42323759413160417"/>
    <n v="0.21161879706580208"/>
    <n v="1.322617481661263"/>
    <n v="2"/>
    <n v="5"/>
    <n v="6095"/>
    <n v="2.5"/>
    <n v="3047.5"/>
    <n v="1219"/>
    <n v="0"/>
    <n v="0"/>
    <n v="0"/>
    <n v="0.37803825137104574"/>
    <n v="0.37849796549918241"/>
    <n v="0.46699293516548923"/>
    <n v="1.0012160518848805"/>
    <n v="1.2353060397243616"/>
    <n v="1.2338056680161944"/>
    <n v="0"/>
    <n v="0"/>
    <n v="0"/>
    <n v="1"/>
  </r>
  <r>
    <x v="7"/>
    <s v="NA"/>
    <x v="12"/>
    <n v="0"/>
    <n v="0"/>
    <n v="0"/>
    <e v="#DIV/0!"/>
    <e v="#DIV/0!"/>
    <e v="#DIV/0!"/>
    <n v="0"/>
    <n v="0"/>
    <n v="0"/>
    <n v="3"/>
    <n v="-1"/>
    <n v="-1439.5"/>
    <n v="-0.33333333333333331"/>
    <n v="-479.83333333333331"/>
    <n v="1439.5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7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SS"/>
    <x v="1"/>
    <n v="0"/>
    <n v="0"/>
    <n v="0"/>
    <e v="#DIV/0!"/>
    <e v="#DIV/0!"/>
    <e v="#DIV/0!"/>
    <n v="0"/>
    <n v="0"/>
    <n v="0"/>
    <n v="1"/>
    <n v="2"/>
    <n v="2358.6"/>
    <n v="2"/>
    <n v="2358.6"/>
    <n v="1179.3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SS"/>
    <x v="2"/>
    <n v="4.5434359786697094"/>
    <n v="11.344794088439446"/>
    <n v="11208.656559378172"/>
    <n v="2.4969635627530362"/>
    <n v="2467"/>
    <n v="988"/>
    <n v="0.36347487829357678"/>
    <n v="0.18173743914678839"/>
    <n v="1.1358589946674273"/>
    <n v="7"/>
    <n v="11"/>
    <n v="14821"/>
    <n v="1.5714285714285714"/>
    <n v="2117.2857142857142"/>
    <n v="1347.3636363636363"/>
    <n v="0"/>
    <n v="0"/>
    <n v="0"/>
    <n v="1.5406841942669032"/>
    <n v="0.96960772617364666"/>
    <n v="1.3222815706311757"/>
    <n v="0.62933580404192491"/>
    <n v="0.8582430945625108"/>
    <n v="1.3637283768862716"/>
    <n v="0"/>
    <n v="0"/>
    <n v="0"/>
    <n v="1"/>
  </r>
  <r>
    <x v="8"/>
    <s v="FC"/>
    <x v="3"/>
    <n v="19.47186848001304"/>
    <n v="48.620546093311908"/>
    <n v="48037.099540192168"/>
    <n v="2.4969635627530362"/>
    <n v="2467"/>
    <n v="988"/>
    <n v="1.5577494784010433"/>
    <n v="0.77887473920052164"/>
    <n v="4.8679671200032599"/>
    <n v="8"/>
    <n v="26"/>
    <n v="52932.619999999995"/>
    <n v="3.25"/>
    <n v="6616.5774999999994"/>
    <n v="2035.87"/>
    <n v="0"/>
    <n v="0"/>
    <n v="0"/>
    <n v="0.41084911847117422"/>
    <n v="0.53475335201092034"/>
    <n v="1.1019112416583727"/>
    <n v="1.3015808674503446"/>
    <n v="2.6820338467774625"/>
    <n v="2.0605971659919029"/>
    <n v="0"/>
    <n v="0"/>
    <n v="0"/>
    <n v="1"/>
  </r>
  <r>
    <x v="8"/>
    <s v="FC"/>
    <x v="4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FC"/>
    <x v="5"/>
    <n v="0"/>
    <n v="0"/>
    <n v="0"/>
    <e v="#DIV/0!"/>
    <e v="#DIV/0!"/>
    <e v="#DIV/0!"/>
    <n v="0"/>
    <n v="0"/>
    <n v="0"/>
    <n v="2"/>
    <n v="2"/>
    <n v="1698"/>
    <n v="1"/>
    <n v="849"/>
    <n v="849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FC"/>
    <x v="6"/>
    <n v="3.8943736960026079"/>
    <n v="9.724109218662381"/>
    <n v="9607.4199080384333"/>
    <n v="2.4969635627530362"/>
    <n v="2467"/>
    <n v="988.00000000000011"/>
    <n v="0.31154989568020863"/>
    <n v="0.15577494784010432"/>
    <n v="0.97359342400065196"/>
    <n v="7"/>
    <n v="12"/>
    <n v="12908.81"/>
    <n v="1.7142857142857142"/>
    <n v="1844.1157142857141"/>
    <n v="1075.7341666666666"/>
    <n v="0"/>
    <n v="0"/>
    <n v="0"/>
    <n v="1.7974648933113873"/>
    <n v="1.2340461969482777"/>
    <n v="1.3436292077958751"/>
    <n v="0.68654814986391799"/>
    <n v="0.74751346343158254"/>
    <n v="1.0887997638326583"/>
    <n v="0"/>
    <n v="0"/>
    <n v="0"/>
    <n v="1"/>
  </r>
  <r>
    <x v="8"/>
    <s v="FC"/>
    <x v="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Partner"/>
    <x v="1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Partner"/>
    <x v="11"/>
    <n v="3.2453114133355068"/>
    <n v="8.1034243488853193"/>
    <n v="8006.183256698695"/>
    <n v="2.4969635627530367"/>
    <n v="2467"/>
    <n v="988"/>
    <n v="0.25962491306684055"/>
    <n v="0.12981245653342027"/>
    <n v="0.81132785333387669"/>
    <n v="2"/>
    <n v="4"/>
    <n v="6177.6"/>
    <n v="2"/>
    <n v="3088.8"/>
    <n v="1544.4"/>
    <n v="0"/>
    <n v="0"/>
    <n v="0"/>
    <n v="0.61627367770676122"/>
    <n v="0.49361847877931098"/>
    <n v="0.77160362209187039"/>
    <n v="0.80097284150790427"/>
    <n v="1.2520470206728822"/>
    <n v="1.5631578947368423"/>
    <n v="0"/>
    <n v="0"/>
    <n v="0"/>
    <n v="1"/>
  </r>
  <r>
    <x v="8"/>
    <s v="NA"/>
    <x v="12"/>
    <n v="0"/>
    <n v="0"/>
    <n v="0"/>
    <e v="#DIV/0!"/>
    <e v="#DIV/0!"/>
    <e v="#DIV/0!"/>
    <n v="0"/>
    <n v="0"/>
    <n v="0"/>
    <n v="2"/>
    <n v="0"/>
    <n v="-4850.5"/>
    <n v="0"/>
    <n v="-2425.25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8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SS"/>
    <x v="2"/>
    <n v="2.8039490611218776"/>
    <n v="7.0013586374369154"/>
    <n v="6917.342333787672"/>
    <n v="2.4969635627530367"/>
    <n v="2467"/>
    <n v="987.99999999999989"/>
    <n v="0.22431592488975022"/>
    <n v="0.11215796244487511"/>
    <n v="0.7009872652804694"/>
    <n v="1"/>
    <n v="1"/>
    <n v="2749"/>
    <n v="1"/>
    <n v="2749"/>
    <n v="2749"/>
    <n v="0"/>
    <n v="0"/>
    <n v="0"/>
    <n v="0.35663985978400542"/>
    <n v="0.14282942094308768"/>
    <n v="0.3974069617131053"/>
    <n v="0.40048642075395213"/>
    <n v="1.1143088771787597"/>
    <n v="2.7823886639676116"/>
    <n v="0"/>
    <n v="0"/>
    <n v="0"/>
    <n v="1"/>
  </r>
  <r>
    <x v="9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FC"/>
    <x v="4"/>
    <n v="7.0098726528046944"/>
    <n v="17.503396593592289"/>
    <n v="17293.355834469181"/>
    <n v="2.4969635627530367"/>
    <n v="2467"/>
    <n v="988"/>
    <n v="0.56078981222437552"/>
    <n v="0.28039490611218776"/>
    <n v="1.7524681632011736"/>
    <n v="12"/>
    <n v="24"/>
    <n v="20191.509999999998"/>
    <n v="2"/>
    <n v="1682.6258333333333"/>
    <n v="841.31291666666664"/>
    <n v="0"/>
    <n v="0"/>
    <n v="0"/>
    <n v="1.7118713269632257"/>
    <n v="1.3711624410536418"/>
    <n v="1.1675877252091353"/>
    <n v="0.80097284150790427"/>
    <n v="0.68205343872449664"/>
    <n v="0.85153129217273948"/>
    <n v="0"/>
    <n v="0"/>
    <n v="0"/>
    <n v="1"/>
  </r>
  <r>
    <x v="9"/>
    <s v="FC"/>
    <x v="5"/>
    <n v="0"/>
    <n v="0"/>
    <n v="0"/>
    <e v="#DIV/0!"/>
    <e v="#DIV/0!"/>
    <e v="#DIV/0!"/>
    <n v="0"/>
    <n v="0"/>
    <n v="0"/>
    <n v="1"/>
    <n v="1"/>
    <n v="1399"/>
    <n v="1"/>
    <n v="1399"/>
    <n v="1399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FC"/>
    <x v="6"/>
    <n v="2.8039490611218776"/>
    <n v="7.0013586374369154"/>
    <n v="6917.342333787672"/>
    <n v="2.4969635627530367"/>
    <n v="2467"/>
    <n v="987.99999999999989"/>
    <n v="0.22431592488975022"/>
    <n v="0.11215796244487511"/>
    <n v="0.7009872652804694"/>
    <n v="5"/>
    <n v="10"/>
    <n v="5114"/>
    <n v="2"/>
    <n v="1022.8"/>
    <n v="511.4"/>
    <n v="0"/>
    <n v="0"/>
    <n v="0"/>
    <n v="1.7831992989200269"/>
    <n v="1.4282942094308768"/>
    <n v="0.73930127399084056"/>
    <n v="0.80097284150790427"/>
    <n v="0.41459262261856505"/>
    <n v="0.51761133603238874"/>
    <n v="0"/>
    <n v="0"/>
    <n v="0"/>
    <n v="1"/>
  </r>
  <r>
    <x v="9"/>
    <s v="FC"/>
    <x v="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Partner"/>
    <x v="9"/>
    <n v="12.617770775048449"/>
    <n v="31.506113868466116"/>
    <n v="31128.040502044521"/>
    <n v="2.4969635627530362"/>
    <n v="2467"/>
    <n v="988"/>
    <n v="1.0094216620038758"/>
    <n v="0.50471083100193792"/>
    <n v="3.1544426937621122"/>
    <n v="5"/>
    <n v="6"/>
    <n v="9540"/>
    <n v="1.2"/>
    <n v="1908"/>
    <n v="1590"/>
    <n v="0"/>
    <n v="0"/>
    <n v="0"/>
    <n v="0.39626651087111714"/>
    <n v="0.19043922792411694"/>
    <n v="0.30647608542443922"/>
    <n v="0.48058370490474261"/>
    <n v="0.77340899878394809"/>
    <n v="1.6093117408906883"/>
    <n v="0"/>
    <n v="0"/>
    <n v="0"/>
    <n v="1"/>
  </r>
  <r>
    <x v="9"/>
    <s v="Partner"/>
    <x v="10"/>
    <n v="9.8138217139265702"/>
    <n v="24.504755231029197"/>
    <n v="24210.698168256848"/>
    <n v="2.4969635627530362"/>
    <n v="2467"/>
    <n v="988"/>
    <n v="0.78510573711412568"/>
    <n v="0.39255286855706284"/>
    <n v="2.4534554284816426"/>
    <n v="11"/>
    <n v="16"/>
    <n v="13681.21"/>
    <n v="1.4545454545454546"/>
    <n v="1243.7463636363636"/>
    <n v="855.07562499999995"/>
    <n v="0"/>
    <n v="0"/>
    <n v="0"/>
    <n v="1.1208681307497315"/>
    <n v="0.65293449573982953"/>
    <n v="0.56508944537327388"/>
    <n v="0.58252570291483963"/>
    <n v="0.50415336993772342"/>
    <n v="0.86546115890688258"/>
    <n v="0"/>
    <n v="0"/>
    <n v="0"/>
    <n v="1"/>
  </r>
  <r>
    <x v="9"/>
    <s v="Partner"/>
    <x v="1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NA"/>
    <x v="12"/>
    <n v="0"/>
    <n v="0"/>
    <n v="0"/>
    <e v="#DIV/0!"/>
    <e v="#DIV/0!"/>
    <e v="#DIV/0!"/>
    <n v="0"/>
    <n v="0"/>
    <n v="0"/>
    <n v="2"/>
    <n v="-2"/>
    <n v="-5598"/>
    <n v="-1"/>
    <n v="-2799"/>
    <n v="2799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9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SS"/>
    <x v="1"/>
    <n v="3.1921095868873834"/>
    <n v="7.9705813267724439"/>
    <n v="7874.9343508511747"/>
    <n v="2.4969635627530362"/>
    <n v="2467"/>
    <n v="988"/>
    <n v="0.2553687669509907"/>
    <n v="0.12768438347549535"/>
    <n v="0.79802739672184586"/>
    <n v="12"/>
    <n v="14"/>
    <n v="12632"/>
    <n v="1.1666666666666667"/>
    <n v="1052.6666666666667"/>
    <n v="902.28571428571433"/>
    <n v="0"/>
    <n v="0"/>
    <n v="0"/>
    <n v="3.759269434011244"/>
    <n v="1.7564590869897152"/>
    <n v="1.6040768642896241"/>
    <n v="0.46723415754627762"/>
    <n v="0.42669909471693018"/>
    <n v="0.91324465008675537"/>
    <n v="0"/>
    <n v="0"/>
    <n v="0"/>
    <n v="1"/>
  </r>
  <r>
    <x v="10"/>
    <s v="SS"/>
    <x v="2"/>
    <n v="4.468953421642337"/>
    <n v="11.158813857481421"/>
    <n v="11024.908091191644"/>
    <n v="2.4969635627530362"/>
    <n v="2467"/>
    <n v="988"/>
    <n v="0.35751627373138695"/>
    <n v="0.17875813686569347"/>
    <n v="1.1172383554105842"/>
    <n v="6"/>
    <n v="10"/>
    <n v="15250.15"/>
    <n v="1.6666666666666667"/>
    <n v="2541.6916666666666"/>
    <n v="1525.0149999999999"/>
    <n v="0"/>
    <n v="0"/>
    <n v="0"/>
    <n v="1.342596226432587"/>
    <n v="0.89615259540291592"/>
    <n v="1.3832450913748764"/>
    <n v="0.66747736792325374"/>
    <n v="1.03027631401162"/>
    <n v="1.5435374493927123"/>
    <n v="0"/>
    <n v="0"/>
    <n v="0"/>
    <n v="1"/>
  </r>
  <r>
    <x v="10"/>
    <s v="FC"/>
    <x v="3"/>
    <n v="6.3842191737747669"/>
    <n v="15.941162653544888"/>
    <n v="15749.868701702349"/>
    <n v="2.4969635627530362"/>
    <n v="2467"/>
    <n v="988"/>
    <n v="0.5107375339019814"/>
    <n v="0.2553687669509907"/>
    <n v="1.5960547934436917"/>
    <n v="3"/>
    <n v="13"/>
    <n v="13290"/>
    <n v="4.333333333333333"/>
    <n v="4430"/>
    <n v="1022.3076923076923"/>
    <n v="0"/>
    <n v="0"/>
    <n v="0"/>
    <n v="0.4699086792514055"/>
    <n v="0.81549886181665354"/>
    <n v="0.84381655820175372"/>
    <n v="1.7354411566004595"/>
    <n v="1.7957032833400892"/>
    <n v="1.034724384926814"/>
    <n v="0"/>
    <n v="0"/>
    <n v="0"/>
    <n v="1"/>
  </r>
  <r>
    <x v="10"/>
    <s v="FC"/>
    <x v="4"/>
    <n v="3.1921095868873834"/>
    <n v="7.9705813267724439"/>
    <n v="7874.9343508511747"/>
    <n v="2.4969635627530362"/>
    <n v="2467"/>
    <n v="988"/>
    <n v="0.2553687669509907"/>
    <n v="0.12768438347549535"/>
    <n v="0.79802739672184586"/>
    <n v="5"/>
    <n v="8"/>
    <n v="7335.8099999999995"/>
    <n v="1.6"/>
    <n v="1467.1619999999998"/>
    <n v="916.97624999999994"/>
    <n v="0"/>
    <n v="0"/>
    <n v="0"/>
    <n v="1.5663622641713517"/>
    <n v="1.0036909068512658"/>
    <n v="0.9315391942546285"/>
    <n v="0.64077827320632352"/>
    <n v="0.59471503850830965"/>
    <n v="0.92811361336032383"/>
    <n v="0"/>
    <n v="0"/>
    <n v="0"/>
    <n v="1"/>
  </r>
  <r>
    <x v="10"/>
    <s v="FC"/>
    <x v="5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FC"/>
    <x v="6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FC"/>
    <x v="7"/>
    <n v="6.3842191737747669"/>
    <n v="15.941162653544888"/>
    <n v="15749.868701702349"/>
    <n v="2.4969635627530362"/>
    <n v="2467"/>
    <n v="988"/>
    <n v="0.5107375339019814"/>
    <n v="0.2553687669509907"/>
    <n v="1.5960547934436917"/>
    <n v="9"/>
    <n v="27"/>
    <n v="31800.26"/>
    <n v="3"/>
    <n v="3533.362222222222"/>
    <n v="1177.7874074074073"/>
    <n v="0"/>
    <n v="0"/>
    <n v="0"/>
    <n v="1.4097260377542165"/>
    <n v="1.6937284053115111"/>
    <n v="2.0190809588503309"/>
    <n v="1.2014592622618565"/>
    <n v="1.4322505967662027"/>
    <n v="1.1920925176188333"/>
    <n v="0"/>
    <n v="0"/>
    <n v="0"/>
    <n v="1"/>
  </r>
  <r>
    <x v="10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Partner"/>
    <x v="9"/>
    <n v="5.1073753390198133"/>
    <n v="12.75293012283591"/>
    <n v="12599.894961361879"/>
    <n v="2.4969635627530362"/>
    <n v="2467"/>
    <n v="988"/>
    <n v="0.4085900271215851"/>
    <n v="0.20429501356079255"/>
    <n v="1.2768438347549533"/>
    <n v="4"/>
    <n v="7"/>
    <n v="6603.6"/>
    <n v="1.75"/>
    <n v="1650.9"/>
    <n v="943.37142857142862"/>
    <n v="0"/>
    <n v="0"/>
    <n v="0"/>
    <n v="0.78318113208567586"/>
    <n v="0.54889346468428601"/>
    <n v="0.52409960719912541"/>
    <n v="0.70085123631941637"/>
    <n v="0.66919335224969601"/>
    <n v="0.95482938114517069"/>
    <n v="0"/>
    <n v="0"/>
    <n v="0"/>
    <n v="1"/>
  </r>
  <r>
    <x v="10"/>
    <s v="Partner"/>
    <x v="10"/>
    <n v="5.1073753390198133"/>
    <n v="12.75293012283591"/>
    <n v="12599.894961361879"/>
    <n v="2.4969635627530362"/>
    <n v="2467"/>
    <n v="988"/>
    <n v="0.4085900271215851"/>
    <n v="0.20429501356079255"/>
    <n v="1.2768438347549533"/>
    <n v="4"/>
    <n v="12"/>
    <n v="13676.4"/>
    <n v="3"/>
    <n v="3419.1"/>
    <n v="1139.7"/>
    <n v="0"/>
    <n v="0"/>
    <n v="0"/>
    <n v="0.78318113208567586"/>
    <n v="0.94096022517306177"/>
    <n v="1.0854376200705855"/>
    <n v="1.2014592622618565"/>
    <n v="1.3859343331982164"/>
    <n v="1.1535425101214576"/>
    <n v="0"/>
    <n v="0"/>
    <n v="0"/>
    <n v="1"/>
  </r>
  <r>
    <x v="10"/>
    <s v="Partner"/>
    <x v="11"/>
    <n v="5.1073753390198133"/>
    <n v="12.75293012283591"/>
    <n v="12599.894961361879"/>
    <n v="2.4969635627530362"/>
    <n v="2467"/>
    <n v="988"/>
    <n v="0.4085900271215851"/>
    <n v="0.20429501356079255"/>
    <n v="1.2768438347549533"/>
    <n v="3"/>
    <n v="12"/>
    <n v="8145"/>
    <n v="4"/>
    <n v="2715"/>
    <n v="678.75"/>
    <n v="0"/>
    <n v="0"/>
    <n v="0"/>
    <n v="0.58738584906425695"/>
    <n v="0.94096022517306177"/>
    <n v="0.64643396036054224"/>
    <n v="1.6019456830158088"/>
    <n v="1.1005269558167816"/>
    <n v="0.68699392712550611"/>
    <n v="0"/>
    <n v="0"/>
    <n v="0"/>
    <n v="1"/>
  </r>
  <r>
    <x v="1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1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1"/>
    <s v="SS"/>
    <x v="1"/>
    <n v="0"/>
    <n v="0"/>
    <n v="0"/>
    <e v="#DIV/0!"/>
    <e v="#DIV/0!"/>
    <e v="#DIV/0!"/>
    <n v="0"/>
    <n v="0"/>
    <n v="0"/>
    <n v="1"/>
    <n v="1"/>
    <n v="92.81"/>
    <n v="1"/>
    <n v="92.81"/>
    <n v="92.81"/>
    <n v="0"/>
    <n v="0"/>
    <n v="0"/>
    <e v="#DIV/0!"/>
    <e v="#DIV/0!"/>
    <e v="#DIV/0!"/>
    <e v="#DIV/0!"/>
    <e v="#DIV/0!"/>
    <e v="#DIV/0!"/>
    <e v="#DIV/0!"/>
    <e v="#DIV/0!"/>
    <e v="#DIV/0!"/>
    <n v="0"/>
  </r>
  <r>
    <x v="11"/>
    <s v="SS"/>
    <x v="2"/>
    <n v="4.7123699974460775"/>
    <n v="11.766616177833475"/>
    <n v="11625.416783699473"/>
    <n v="2.4969635627530367"/>
    <n v="2467"/>
    <n v="988"/>
    <n v="0.37698959979568619"/>
    <n v="0.1884947998978431"/>
    <n v="1.1780924993615194"/>
    <n v="1"/>
    <n v="2"/>
    <n v="7448"/>
    <n v="2"/>
    <n v="7448"/>
    <n v="3724"/>
    <n v="0"/>
    <n v="0"/>
    <n v="0"/>
    <n v="0.21220744562544142"/>
    <n v="0.16997240071174391"/>
    <n v="0.64066520268272709"/>
    <n v="0.80097284150790427"/>
    <n v="3.0190514795297934"/>
    <n v="3.7692307692307692"/>
    <n v="0"/>
    <n v="0"/>
    <n v="0"/>
    <n v="1"/>
  </r>
  <r>
    <x v="11"/>
    <s v="FC"/>
    <x v="3"/>
    <n v="9.4247399948921551"/>
    <n v="23.53323235566695"/>
    <n v="23250.833567398946"/>
    <n v="2.4969635627530367"/>
    <n v="2467"/>
    <n v="988"/>
    <n v="0.75397919959137238"/>
    <n v="0.37698959979568619"/>
    <n v="2.3561849987230388"/>
    <n v="14"/>
    <n v="29"/>
    <n v="30760.71"/>
    <n v="2.0714285714285716"/>
    <n v="2197.1935714285714"/>
    <n v="1060.7141379310344"/>
    <n v="0"/>
    <n v="0"/>
    <n v="0"/>
    <n v="1.4854521193780899"/>
    <n v="1.2322999051601433"/>
    <n v="1.3229938578688634"/>
    <n v="0.82957901441890092"/>
    <n v="0.89063379466095316"/>
    <n v="1.0735973055982131"/>
    <n v="0"/>
    <n v="0"/>
    <n v="0"/>
    <n v="1"/>
  </r>
  <r>
    <x v="11"/>
    <s v="FC"/>
    <x v="4"/>
    <n v="4.7123699974460775"/>
    <n v="11.766616177833475"/>
    <n v="11625.416783699473"/>
    <n v="2.4969635627530367"/>
    <n v="2467"/>
    <n v="988"/>
    <n v="0.37698959979568619"/>
    <n v="0.1884947998978431"/>
    <n v="1.1780924993615194"/>
    <n v="3"/>
    <n v="4"/>
    <n v="4221.1499999999996"/>
    <n v="1.3333333333333333"/>
    <n v="1407.05"/>
    <n v="1055.2874999999999"/>
    <n v="0"/>
    <n v="0"/>
    <n v="0"/>
    <n v="0.63662233687632419"/>
    <n v="0.33994480142348782"/>
    <n v="0.36309665954674991"/>
    <n v="0.53398189433860277"/>
    <n v="0.5703486015403324"/>
    <n v="1.0681047570850202"/>
    <n v="0"/>
    <n v="0"/>
    <n v="0"/>
    <n v="1"/>
  </r>
  <r>
    <x v="11"/>
    <s v="FC"/>
    <x v="5"/>
    <n v="7.5397919959137232"/>
    <n v="18.826585884533557"/>
    <n v="18600.666853919156"/>
    <n v="2.4969635627530362"/>
    <n v="2467"/>
    <n v="988.00000000000011"/>
    <n v="0.60318335967309789"/>
    <n v="0.30159167983654894"/>
    <n v="1.8849479989784308"/>
    <n v="5"/>
    <n v="15"/>
    <n v="12091.4"/>
    <n v="3"/>
    <n v="2418.2799999999997"/>
    <n v="806.09333333333336"/>
    <n v="0"/>
    <n v="0"/>
    <n v="0"/>
    <n v="0.66314826757950451"/>
    <n v="0.79674562833629969"/>
    <n v="0.6500519629194017"/>
    <n v="1.2014592622618565"/>
    <n v="0.98025131738954185"/>
    <n v="0.81588394062078262"/>
    <n v="0"/>
    <n v="0"/>
    <n v="0"/>
    <n v="1"/>
  </r>
  <r>
    <x v="11"/>
    <s v="FC"/>
    <x v="6"/>
    <n v="7.5397919959137232"/>
    <n v="18.826585884533557"/>
    <n v="18600.666853919156"/>
    <n v="2.4969635627530362"/>
    <n v="2467"/>
    <n v="988.00000000000011"/>
    <n v="0.60318335967309789"/>
    <n v="0.30159167983654894"/>
    <n v="1.8849479989784308"/>
    <n v="9"/>
    <n v="19"/>
    <n v="15639.349999999999"/>
    <n v="2.1111111111111112"/>
    <n v="1737.7055555555553"/>
    <n v="823.12368421052622"/>
    <n v="0"/>
    <n v="0"/>
    <n v="0"/>
    <n v="1.1936668816431082"/>
    <n v="1.0092111292259796"/>
    <n v="0.84079512432667391"/>
    <n v="0.84547133270278796"/>
    <n v="0.70438003873350441"/>
    <n v="0.83312113786490494"/>
    <n v="0"/>
    <n v="0"/>
    <n v="0"/>
    <n v="1"/>
  </r>
  <r>
    <x v="11"/>
    <s v="FC"/>
    <x v="7"/>
    <n v="9.4247399948921551"/>
    <n v="23.53323235566695"/>
    <n v="23250.833567398946"/>
    <n v="2.4969635627530367"/>
    <n v="2467"/>
    <n v="988"/>
    <n v="0.75397919959137238"/>
    <n v="0.37698959979568619"/>
    <n v="2.3561849987230388"/>
    <n v="14"/>
    <n v="28"/>
    <n v="43833.53"/>
    <n v="2"/>
    <n v="3130.9664285714284"/>
    <n v="1565.4832142857142"/>
    <n v="0"/>
    <n v="0"/>
    <n v="0"/>
    <n v="1.4854521193780899"/>
    <n v="1.1898068049822075"/>
    <n v="1.8852455277758726"/>
    <n v="0.80097284150790427"/>
    <n v="1.2691392089872024"/>
    <n v="1.5844971804511276"/>
    <n v="0"/>
    <n v="0"/>
    <n v="0"/>
    <n v="1"/>
  </r>
  <r>
    <x v="11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1"/>
    <s v="Partner"/>
    <x v="9"/>
    <n v="8.4822659954029387"/>
    <n v="21.179909120100255"/>
    <n v="20925.750210659051"/>
    <n v="2.4969635627530367"/>
    <n v="2467"/>
    <n v="987.99999999999989"/>
    <n v="0.67858127963223513"/>
    <n v="0.33929063981611757"/>
    <n v="2.1205664988507347"/>
    <n v="8"/>
    <n v="17"/>
    <n v="18073.599999999999"/>
    <n v="2.125"/>
    <n v="2259.1999999999998"/>
    <n v="1063.1529411764704"/>
    <n v="0"/>
    <n v="0"/>
    <n v="0"/>
    <n v="0.94314420277973976"/>
    <n v="0.80264744780545738"/>
    <n v="0.86370141180380533"/>
    <n v="0.85103364410214832"/>
    <n v="0.91576813944061608"/>
    <n v="1.076065729935699"/>
    <n v="0"/>
    <n v="0"/>
    <n v="0"/>
    <n v="1"/>
  </r>
  <r>
    <x v="11"/>
    <s v="Partner"/>
    <x v="10"/>
    <n v="8.4822659954029387"/>
    <n v="21.179909120100255"/>
    <n v="20925.750210659051"/>
    <n v="2.4969635627530367"/>
    <n v="2467"/>
    <n v="987.99999999999989"/>
    <n v="0.67858127963223513"/>
    <n v="0.33929063981611757"/>
    <n v="2.1205664988507347"/>
    <n v="15"/>
    <n v="30"/>
    <n v="27923.4"/>
    <n v="2"/>
    <n v="1861.5600000000002"/>
    <n v="930.78000000000009"/>
    <n v="0"/>
    <n v="0"/>
    <n v="0"/>
    <n v="1.768395380212012"/>
    <n v="1.4164366725978659"/>
    <n v="1.3344037713771679"/>
    <n v="0.80097284150790427"/>
    <n v="0.75458451560599926"/>
    <n v="0.94208502024291518"/>
    <n v="0"/>
    <n v="0"/>
    <n v="0"/>
    <n v="1"/>
  </r>
  <r>
    <x v="11"/>
    <s v="Partner"/>
    <x v="11"/>
    <n v="8.4822659954029387"/>
    <n v="21.179909120100255"/>
    <n v="20925.750210659051"/>
    <n v="2.4969635627530367"/>
    <n v="2467"/>
    <n v="987.99999999999989"/>
    <n v="0.67858127963223513"/>
    <n v="0.33929063981611757"/>
    <n v="2.1205664988507347"/>
    <n v="11"/>
    <n v="77"/>
    <n v="71323"/>
    <n v="7"/>
    <n v="6483.909090909091"/>
    <n v="926.27272727272725"/>
    <n v="0"/>
    <n v="0"/>
    <n v="0"/>
    <n v="1.2968232788221421"/>
    <n v="3.6355207930011892"/>
    <n v="3.4083843724594329"/>
    <n v="2.803404945277665"/>
    <n v="2.6282566237977667"/>
    <n v="0.93752300331247707"/>
    <n v="0"/>
    <n v="0"/>
    <n v="0"/>
    <n v="1"/>
  </r>
  <r>
    <x v="11"/>
    <s v="NA"/>
    <x v="12"/>
    <n v="0"/>
    <n v="0"/>
    <n v="0"/>
    <e v="#DIV/0!"/>
    <e v="#DIV/0!"/>
    <e v="#DIV/0!"/>
    <n v="0"/>
    <n v="0"/>
    <n v="0"/>
    <n v="1"/>
    <n v="-2"/>
    <n v="-1919"/>
    <n v="-2"/>
    <n v="-1919"/>
    <n v="959.5"/>
    <n v="0"/>
    <n v="0"/>
    <n v="0"/>
    <e v="#DIV/0!"/>
    <e v="#DIV/0!"/>
    <e v="#DIV/0!"/>
    <e v="#DIV/0!"/>
    <e v="#DIV/0!"/>
    <e v="#DIV/0!"/>
    <e v="#DIV/0!"/>
    <e v="#DIV/0!"/>
    <e v="#DIV/0!"/>
    <n v="0"/>
  </r>
  <r>
    <x v="11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1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2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2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2"/>
    <s v="SS"/>
    <x v="2"/>
    <n v="4.7123699974460775"/>
    <n v="11.766616177833475"/>
    <n v="11625.416783699473"/>
    <n v="2.4969635627530367"/>
    <n v="2467"/>
    <n v="988"/>
    <n v="0.37698959979568619"/>
    <n v="0.1884947998978431"/>
    <n v="1.1780924993615194"/>
    <n v="6"/>
    <n v="16"/>
    <n v="21371.96"/>
    <n v="2.6666666666666665"/>
    <n v="3561.9933333333333"/>
    <n v="1335.7474999999999"/>
    <n v="0"/>
    <n v="0"/>
    <n v="0"/>
    <n v="1.2732446737526484"/>
    <n v="1.3597792056939513"/>
    <n v="1.8383822616980579"/>
    <n v="1.0679637886772055"/>
    <n v="1.4438562356438318"/>
    <n v="1.3519711538461539"/>
    <n v="0"/>
    <n v="0"/>
    <n v="0"/>
    <n v="1"/>
  </r>
  <r>
    <x v="12"/>
    <s v="FC"/>
    <x v="3"/>
    <n v="9.4247399948921551"/>
    <n v="23.53323235566695"/>
    <n v="23250.833567398946"/>
    <n v="2.4969635627530367"/>
    <n v="2467"/>
    <n v="988"/>
    <n v="0.75397919959137238"/>
    <n v="0.37698959979568619"/>
    <n v="2.3561849987230388"/>
    <n v="7"/>
    <n v="19"/>
    <n v="15207.6"/>
    <n v="2.7142857142857144"/>
    <n v="2172.514285714286"/>
    <n v="800.4"/>
    <n v="0"/>
    <n v="0"/>
    <n v="0"/>
    <n v="0.74272605968904493"/>
    <n v="0.8073689033807836"/>
    <n v="0.65406687273884534"/>
    <n v="1.0870345706178701"/>
    <n v="0.88063003069083334"/>
    <n v="0.81012145748987852"/>
    <n v="0"/>
    <n v="0"/>
    <n v="0"/>
    <n v="1"/>
  </r>
  <r>
    <x v="12"/>
    <s v="FC"/>
    <x v="4"/>
    <n v="4.7123699974460775"/>
    <n v="11.766616177833475"/>
    <n v="11625.416783699473"/>
    <n v="2.4969635627530367"/>
    <n v="2467"/>
    <n v="988"/>
    <n v="0.37698959979568619"/>
    <n v="0.1884947998978431"/>
    <n v="1.1780924993615194"/>
    <n v="6"/>
    <n v="17"/>
    <n v="10891.2"/>
    <n v="2.8333333333333335"/>
    <n v="1815.2"/>
    <n v="640.65882352941185"/>
    <n v="0"/>
    <n v="0"/>
    <n v="0"/>
    <n v="1.2732446737526484"/>
    <n v="1.4447654060498232"/>
    <n v="0.93684383129136917"/>
    <n v="1.134711525469531"/>
    <n v="0.73579246047831381"/>
    <n v="0.6484401047868541"/>
    <n v="0"/>
    <n v="0"/>
    <n v="0"/>
    <n v="1"/>
  </r>
  <r>
    <x v="12"/>
    <s v="FC"/>
    <x v="5"/>
    <n v="7.5397919959137232"/>
    <n v="18.826585884533557"/>
    <n v="18600.666853919156"/>
    <n v="2.4969635627530362"/>
    <n v="2467"/>
    <n v="988.00000000000011"/>
    <n v="0.60318335967309789"/>
    <n v="0.30159167983654894"/>
    <n v="1.8849479989784308"/>
    <n v="11"/>
    <n v="23"/>
    <n v="29218.600000000002"/>
    <n v="2.0909090909090908"/>
    <n v="2656.2363636363639"/>
    <n v="1270.3739130434783"/>
    <n v="0"/>
    <n v="0"/>
    <n v="0"/>
    <n v="1.4589261886749099"/>
    <n v="1.2216766301156596"/>
    <n v="1.5708361549329963"/>
    <n v="0.83738069794008185"/>
    <n v="1.0767070788959723"/>
    <n v="1.2858035557120224"/>
    <n v="0"/>
    <n v="0"/>
    <n v="0"/>
    <n v="1"/>
  </r>
  <r>
    <x v="12"/>
    <s v="FC"/>
    <x v="6"/>
    <n v="7.5397919959137232"/>
    <n v="18.826585884533557"/>
    <n v="18600.666853919156"/>
    <n v="2.4969635627530362"/>
    <n v="2467"/>
    <n v="988.00000000000011"/>
    <n v="0.60318335967309789"/>
    <n v="0.30159167983654894"/>
    <n v="1.8849479989784308"/>
    <n v="7"/>
    <n v="13"/>
    <n v="12088"/>
    <n v="1.8571428571428572"/>
    <n v="1726.8571428571429"/>
    <n v="929.84615384615381"/>
    <n v="0"/>
    <n v="0"/>
    <n v="0"/>
    <n v="0.9284075746113063"/>
    <n v="0.69051287789145976"/>
    <n v="0.64986917377389952"/>
    <n v="0.74376049568591129"/>
    <n v="0.69998262783021603"/>
    <n v="0.9411398318280908"/>
    <n v="0"/>
    <n v="0"/>
    <n v="0"/>
    <n v="1"/>
  </r>
  <r>
    <x v="12"/>
    <s v="FC"/>
    <x v="7"/>
    <n v="9.4247399948921551"/>
    <n v="23.53323235566695"/>
    <n v="23250.833567398946"/>
    <n v="2.4969635627530367"/>
    <n v="2467"/>
    <n v="988"/>
    <n v="0.75397919959137238"/>
    <n v="0.37698959979568619"/>
    <n v="2.3561849987230388"/>
    <n v="8"/>
    <n v="35"/>
    <n v="32615.000000000004"/>
    <n v="4.375"/>
    <n v="4076.8750000000005"/>
    <n v="931.857142857143"/>
    <n v="0"/>
    <n v="0"/>
    <n v="0"/>
    <n v="0.84882978250176566"/>
    <n v="1.4872585062277592"/>
    <n v="1.4027454071896581"/>
    <n v="1.7521280907985406"/>
    <n v="1.6525638427239564"/>
    <n v="0.94317524580682488"/>
    <n v="0"/>
    <n v="0"/>
    <n v="0"/>
    <n v="1"/>
  </r>
  <r>
    <x v="12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2"/>
    <s v="Partner"/>
    <x v="9"/>
    <n v="8.4822659954029387"/>
    <n v="21.179909120100255"/>
    <n v="20925.750210659051"/>
    <n v="2.4969635627530367"/>
    <n v="2467"/>
    <n v="987.99999999999989"/>
    <n v="0.67858127963223513"/>
    <n v="0.33929063981611757"/>
    <n v="2.1205664988507347"/>
    <n v="12"/>
    <n v="16"/>
    <n v="17859"/>
    <n v="1.3333333333333333"/>
    <n v="1488.25"/>
    <n v="1116.1875"/>
    <n v="0"/>
    <n v="0"/>
    <n v="0"/>
    <n v="1.4147163041696096"/>
    <n v="0.75543289205219522"/>
    <n v="0.85344610445092073"/>
    <n v="0.53398189433860277"/>
    <n v="0.60326307255776246"/>
    <n v="1.1297444331983808"/>
    <n v="0"/>
    <n v="0"/>
    <n v="0"/>
    <n v="1"/>
  </r>
  <r>
    <x v="12"/>
    <s v="Partner"/>
    <x v="10"/>
    <n v="8.4822659954029387"/>
    <n v="21.179909120100255"/>
    <n v="20925.750210659051"/>
    <n v="2.4969635627530367"/>
    <n v="2467"/>
    <n v="987.99999999999989"/>
    <n v="0.67858127963223513"/>
    <n v="0.33929063981611757"/>
    <n v="2.1205664988507347"/>
    <n v="10"/>
    <n v="15"/>
    <n v="17947"/>
    <n v="1.5"/>
    <n v="1794.7"/>
    <n v="1196.4666666666667"/>
    <n v="0"/>
    <n v="0"/>
    <n v="0"/>
    <n v="1.1789302534746746"/>
    <n v="0.70821833629893294"/>
    <n v="0.85765144949776995"/>
    <n v="0.60072963113092825"/>
    <n v="0.72748277259829752"/>
    <n v="1.2109986504723349"/>
    <n v="0"/>
    <n v="0"/>
    <n v="0"/>
    <n v="1"/>
  </r>
  <r>
    <x v="12"/>
    <s v="Partner"/>
    <x v="11"/>
    <n v="8.4822659954029387"/>
    <n v="21.179909120100255"/>
    <n v="20925.750210659051"/>
    <n v="2.4969635627530367"/>
    <n v="2467"/>
    <n v="987.99999999999989"/>
    <n v="0.67858127963223513"/>
    <n v="0.33929063981611757"/>
    <n v="2.1205664988507347"/>
    <n v="6"/>
    <n v="35"/>
    <n v="34075.300000000003"/>
    <n v="5.833333333333333"/>
    <n v="5679.2166666666672"/>
    <n v="973.58"/>
    <n v="0"/>
    <n v="0"/>
    <n v="0"/>
    <n v="0.70735815208480479"/>
    <n v="1.6525094513641769"/>
    <n v="1.6283908417602586"/>
    <n v="2.3361707877313873"/>
    <n v="2.3020740440481018"/>
    <n v="0.98540485829959534"/>
    <n v="0"/>
    <n v="0"/>
    <n v="0"/>
    <n v="1"/>
  </r>
  <r>
    <x v="12"/>
    <s v="NA"/>
    <x v="12"/>
    <n v="0"/>
    <n v="0"/>
    <n v="0"/>
    <e v="#DIV/0!"/>
    <e v="#DIV/0!"/>
    <e v="#DIV/0!"/>
    <n v="0"/>
    <n v="0"/>
    <n v="0"/>
    <n v="2"/>
    <n v="-2"/>
    <n v="-7798"/>
    <n v="-1"/>
    <n v="-3899"/>
    <n v="3899"/>
    <n v="0"/>
    <n v="0"/>
    <n v="0"/>
    <e v="#DIV/0!"/>
    <e v="#DIV/0!"/>
    <e v="#DIV/0!"/>
    <e v="#DIV/0!"/>
    <e v="#DIV/0!"/>
    <e v="#DIV/0!"/>
    <e v="#DIV/0!"/>
    <e v="#DIV/0!"/>
    <e v="#DIV/0!"/>
    <n v="0"/>
  </r>
  <r>
    <x v="12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2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SS"/>
    <x v="1"/>
    <n v="1.9074483408992364"/>
    <n v="4.7628290050591255"/>
    <n v="4705.675056998416"/>
    <n v="2.4969635627530362"/>
    <n v="2467"/>
    <n v="988"/>
    <n v="0.15259586727193891"/>
    <n v="7.6297933635969456E-2"/>
    <n v="0.47686208522480911"/>
    <n v="3"/>
    <n v="4"/>
    <n v="3347"/>
    <n v="1.3333333333333333"/>
    <n v="1115.6666666666667"/>
    <n v="836.75"/>
    <n v="0"/>
    <n v="0"/>
    <n v="0"/>
    <n v="1.5727817816474639"/>
    <n v="0.8398369951453557"/>
    <n v="0.71126883166789101"/>
    <n v="0.53398189433860288"/>
    <n v="0.45223618429941903"/>
    <n v="0.84691295546558709"/>
    <n v="0"/>
    <n v="0"/>
    <n v="0"/>
    <n v="1"/>
  </r>
  <r>
    <x v="13"/>
    <s v="SS"/>
    <x v="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FC"/>
    <x v="4"/>
    <n v="3.1790805681653937"/>
    <n v="7.9380483417652083"/>
    <n v="7842.7917616640261"/>
    <n v="2.4969635627530362"/>
    <n v="2467"/>
    <n v="988"/>
    <n v="0.25432644545323152"/>
    <n v="0.12716322272661576"/>
    <n v="0.79477014204134844"/>
    <n v="2"/>
    <n v="6"/>
    <n v="3615"/>
    <n v="3"/>
    <n v="1807.5"/>
    <n v="602.5"/>
    <n v="0"/>
    <n v="0"/>
    <n v="0"/>
    <n v="0.62911271265898561"/>
    <n v="0.75585329563082015"/>
    <n v="0.46093280426879468"/>
    <n v="1.2014592622618565"/>
    <n v="0.73267126064045396"/>
    <n v="0.60981781376518218"/>
    <n v="0"/>
    <n v="0"/>
    <n v="0"/>
    <n v="1"/>
  </r>
  <r>
    <x v="13"/>
    <s v="FC"/>
    <x v="5"/>
    <n v="5.0865289090646302"/>
    <n v="12.700877346824335"/>
    <n v="12548.466818662442"/>
    <n v="2.4969635627530367"/>
    <n v="2467"/>
    <n v="988"/>
    <n v="0.40692231272517043"/>
    <n v="0.20346115636258522"/>
    <n v="1.2716322272661575"/>
    <n v="2"/>
    <n v="9"/>
    <n v="12309.2"/>
    <n v="4.5"/>
    <n v="6154.6"/>
    <n v="1367.6888888888889"/>
    <n v="0"/>
    <n v="0"/>
    <n v="0"/>
    <n v="0.39319544541186596"/>
    <n v="0.70861246465389383"/>
    <n v="0.98093258546083117"/>
    <n v="1.8021888933927845"/>
    <n v="2.4947709768950141"/>
    <n v="1.3843004948268105"/>
    <n v="0"/>
    <n v="0"/>
    <n v="0"/>
    <n v="1"/>
  </r>
  <r>
    <x v="13"/>
    <s v="FC"/>
    <x v="6"/>
    <n v="3.1790805681653937"/>
    <n v="7.9380483417652083"/>
    <n v="7842.7917616640261"/>
    <n v="2.4969635627530362"/>
    <n v="2467"/>
    <n v="988"/>
    <n v="0.25432644545323152"/>
    <n v="0.12716322272661576"/>
    <n v="0.79477014204134844"/>
    <n v="2"/>
    <n v="4"/>
    <n v="8147.15"/>
    <n v="2"/>
    <n v="4073.5749999999998"/>
    <n v="2036.7874999999999"/>
    <n v="0"/>
    <n v="0"/>
    <n v="0"/>
    <n v="0.62911271265898561"/>
    <n v="0.50390219708721351"/>
    <n v="1.0388073848681909"/>
    <n v="0.80097284150790438"/>
    <n v="1.6512261856505877"/>
    <n v="2.0615258097165992"/>
    <n v="0"/>
    <n v="0"/>
    <n v="0"/>
    <n v="1"/>
  </r>
  <r>
    <x v="13"/>
    <s v="FC"/>
    <x v="7"/>
    <n v="6.3581611363307875"/>
    <n v="15.876096683530417"/>
    <n v="15685.583523328052"/>
    <n v="2.4969635627530362"/>
    <n v="2467"/>
    <n v="988"/>
    <n v="0.50865289090646304"/>
    <n v="0.25432644545323152"/>
    <n v="1.5895402840826969"/>
    <n v="4"/>
    <n v="13"/>
    <n v="22318.2"/>
    <n v="3.25"/>
    <n v="5579.55"/>
    <n v="1716.7846153846153"/>
    <n v="0"/>
    <n v="0"/>
    <n v="0"/>
    <n v="0.62911271265898561"/>
    <n v="0.81884107026672193"/>
    <n v="1.4228479270030172"/>
    <n v="1.3015808674503446"/>
    <n v="2.261674098094852"/>
    <n v="1.7376362503892868"/>
    <n v="0"/>
    <n v="0"/>
    <n v="0"/>
    <n v="1"/>
  </r>
  <r>
    <x v="13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Partner"/>
    <x v="10"/>
    <n v="5.7223450226977093"/>
    <n v="14.288487015177378"/>
    <n v="14117.025170995248"/>
    <n v="2.4969635627530367"/>
    <n v="2467"/>
    <n v="987.99999999999989"/>
    <n v="0.45778760181581674"/>
    <n v="0.22889380090790837"/>
    <n v="1.4305862556744273"/>
    <n v="2"/>
    <n v="4"/>
    <n v="3419.4"/>
    <n v="2"/>
    <n v="1709.7"/>
    <n v="854.85"/>
    <n v="0"/>
    <n v="0"/>
    <n v="0"/>
    <n v="0.34950706258832531"/>
    <n v="0.27994566504845186"/>
    <n v="0.24221816980432095"/>
    <n v="0.80097284150790427"/>
    <n v="0.6930279691933523"/>
    <n v="0.86523279352226734"/>
    <n v="0"/>
    <n v="0"/>
    <n v="0"/>
    <n v="1"/>
  </r>
  <r>
    <x v="13"/>
    <s v="Partner"/>
    <x v="11"/>
    <n v="5.7223450226977093"/>
    <n v="14.288487015177378"/>
    <n v="14117.025170995248"/>
    <n v="2.4969635627530367"/>
    <n v="2467"/>
    <n v="987.99999999999989"/>
    <n v="0.45778760181581674"/>
    <n v="0.22889380090790837"/>
    <n v="1.4305862556744273"/>
    <n v="4"/>
    <n v="10"/>
    <n v="8999.35"/>
    <n v="2.5"/>
    <n v="2249.8375000000001"/>
    <n v="899.93500000000006"/>
    <n v="0"/>
    <n v="0"/>
    <n v="0"/>
    <n v="0.69901412517665062"/>
    <n v="0.69986416262112972"/>
    <n v="0.63748203966441941"/>
    <n v="1.0012160518848803"/>
    <n v="0.91197304418321856"/>
    <n v="0.9108653846153848"/>
    <n v="0"/>
    <n v="0"/>
    <n v="0"/>
    <n v="1"/>
  </r>
  <r>
    <x v="13"/>
    <s v="NA"/>
    <x v="12"/>
    <n v="0"/>
    <n v="0"/>
    <n v="0"/>
    <e v="#DIV/0!"/>
    <e v="#DIV/0!"/>
    <e v="#DIV/0!"/>
    <n v="0"/>
    <n v="0"/>
    <n v="0"/>
    <n v="1"/>
    <n v="-1"/>
    <n v="-1499"/>
    <n v="-1"/>
    <n v="-1499"/>
    <n v="1499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3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SS"/>
    <x v="2"/>
    <n v="3.0544107419628292"/>
    <n v="7.6267523283626515"/>
    <n v="7535.2313004222997"/>
    <n v="2.4969635627530362"/>
    <n v="2467"/>
    <n v="988"/>
    <n v="0.24435285935702636"/>
    <n v="0.12217642967851318"/>
    <n v="0.76360268549070731"/>
    <n v="1"/>
    <n v="4"/>
    <n v="2588"/>
    <n v="4"/>
    <n v="2588"/>
    <n v="647"/>
    <n v="0"/>
    <n v="0"/>
    <n v="0"/>
    <n v="0.32739539128171702"/>
    <n v="0.52446963370301802"/>
    <n v="0.34345329251604523"/>
    <n v="1.6019456830158088"/>
    <n v="1.0490474260235103"/>
    <n v="0.65485829959514175"/>
    <n v="0"/>
    <n v="0"/>
    <n v="0"/>
    <n v="1"/>
  </r>
  <r>
    <x v="14"/>
    <s v="FC"/>
    <x v="3"/>
    <n v="6.1088214839256585"/>
    <n v="15.253504656725303"/>
    <n v="15070.462600844599"/>
    <n v="2.4969635627530362"/>
    <n v="2467"/>
    <n v="988"/>
    <n v="0.48870571871405272"/>
    <n v="0.24435285935702636"/>
    <n v="1.5272053709814146"/>
    <n v="5"/>
    <n v="14"/>
    <n v="15436"/>
    <n v="2.8"/>
    <n v="3087.2"/>
    <n v="1102.5714285714287"/>
    <n v="0"/>
    <n v="0"/>
    <n v="0"/>
    <n v="0.81848847820429249"/>
    <n v="0.91782185898028157"/>
    <n v="1.0242552208805398"/>
    <n v="1.1213619781110662"/>
    <n v="1.2513984596676124"/>
    <n v="1.1159629843840371"/>
    <n v="0"/>
    <n v="0"/>
    <n v="0"/>
    <n v="1"/>
  </r>
  <r>
    <x v="14"/>
    <s v="FC"/>
    <x v="4"/>
    <n v="1.8326464451776976"/>
    <n v="4.5760513970175909"/>
    <n v="4521.13878025338"/>
    <n v="2.4969635627530362"/>
    <n v="2467"/>
    <n v="988"/>
    <n v="0.14661171561421582"/>
    <n v="7.330585780710791E-2"/>
    <n v="0.4581616112944244"/>
    <n v="2"/>
    <n v="2"/>
    <n v="2348"/>
    <n v="1"/>
    <n v="1174"/>
    <n v="1174"/>
    <n v="0"/>
    <n v="0"/>
    <n v="0"/>
    <n v="1.0913179709390566"/>
    <n v="0.43705802808584837"/>
    <n v="0.51933818317083602"/>
    <n v="0.40048642075395219"/>
    <n v="0.47588163761653829"/>
    <n v="1.1882591093117409"/>
    <n v="0"/>
    <n v="0"/>
    <n v="0"/>
    <n v="1"/>
  </r>
  <r>
    <x v="14"/>
    <s v="FC"/>
    <x v="5"/>
    <n v="3.0544107419628292"/>
    <n v="7.6267523283626515"/>
    <n v="7535.2313004222997"/>
    <n v="2.4969635627530362"/>
    <n v="2467"/>
    <n v="988"/>
    <n v="0.24435285935702636"/>
    <n v="0.12217642967851318"/>
    <n v="0.76360268549070731"/>
    <n v="2"/>
    <n v="3"/>
    <n v="2347"/>
    <n v="1.5"/>
    <n v="1173.5"/>
    <n v="782.33333333333337"/>
    <n v="0"/>
    <n v="0"/>
    <n v="0"/>
    <n v="0.65479078256343404"/>
    <n v="0.39335222527726355"/>
    <n v="0.31147019997494518"/>
    <n v="0.60072963113092825"/>
    <n v="0.47567896230239159"/>
    <n v="0.79183535762483137"/>
    <n v="0"/>
    <n v="0"/>
    <n v="0"/>
    <n v="1"/>
  </r>
  <r>
    <x v="14"/>
    <s v="FC"/>
    <x v="6"/>
    <n v="3.0544107419628292"/>
    <n v="7.6267523283626515"/>
    <n v="7535.2313004222997"/>
    <n v="2.4969635627530362"/>
    <n v="2467"/>
    <n v="988"/>
    <n v="0.24435285935702636"/>
    <n v="0.12217642967851318"/>
    <n v="0.76360268549070731"/>
    <n v="5"/>
    <n v="7"/>
    <n v="9712.16"/>
    <n v="1.4"/>
    <n v="1942.432"/>
    <n v="1387.4514285714286"/>
    <n v="0"/>
    <n v="0"/>
    <n v="0"/>
    <n v="1.636976956408585"/>
    <n v="0.91782185898028157"/>
    <n v="1.2889000500164736"/>
    <n v="0.5606809890555331"/>
    <n v="0.78736603161734897"/>
    <n v="1.4043030653556969"/>
    <n v="0"/>
    <n v="0"/>
    <n v="0"/>
    <n v="1"/>
  </r>
  <r>
    <x v="14"/>
    <s v="FC"/>
    <x v="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FC"/>
    <x v="8"/>
    <n v="3.0544107419628292"/>
    <n v="7.6267523283626515"/>
    <n v="7535.2313004222997"/>
    <n v="2.4969635627530362"/>
    <n v="2467"/>
    <n v="988"/>
    <n v="0.24435285935702636"/>
    <n v="0.12217642967851318"/>
    <n v="0.7636026854907073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n v="1"/>
  </r>
  <r>
    <x v="14"/>
    <s v="Partner"/>
    <x v="9"/>
    <n v="5.4979393355330926"/>
    <n v="13.728154191052772"/>
    <n v="13563.416340760139"/>
    <n v="2.4969635627530362"/>
    <n v="2467"/>
    <n v="988"/>
    <n v="0.43983514684264741"/>
    <n v="0.2199175734213237"/>
    <n v="1.3744848338832731"/>
    <n v="1"/>
    <n v="1"/>
    <n v="899"/>
    <n v="1"/>
    <n v="899"/>
    <n v="899"/>
    <n v="0"/>
    <n v="0"/>
    <n v="0"/>
    <n v="0.18188632848984276"/>
    <n v="7.2843004680974738E-2"/>
    <n v="6.6281236040684505E-2"/>
    <n v="0.40048642075395219"/>
    <n v="0.36441021483583297"/>
    <n v="0.90991902834008098"/>
    <n v="0"/>
    <n v="0"/>
    <n v="0"/>
    <n v="1"/>
  </r>
  <r>
    <x v="14"/>
    <s v="Partner"/>
    <x v="1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Partner"/>
    <x v="11"/>
    <n v="5.4979393355330926"/>
    <n v="13.728154191052772"/>
    <n v="13563.416340760139"/>
    <n v="2.4969635627530362"/>
    <n v="2467"/>
    <n v="988"/>
    <n v="0.43983514684264741"/>
    <n v="0.2199175734213237"/>
    <n v="1.3744848338832731"/>
    <n v="4"/>
    <n v="16"/>
    <n v="12000.32"/>
    <n v="4"/>
    <n v="3000.08"/>
    <n v="750.02"/>
    <n v="0"/>
    <n v="0"/>
    <n v="0"/>
    <n v="0.72754531395937105"/>
    <n v="1.1654880748955958"/>
    <n v="0.88475644325222136"/>
    <n v="1.6019456830158088"/>
    <n v="1.2160843129306851"/>
    <n v="0.7591295546558704"/>
    <n v="0"/>
    <n v="0"/>
    <n v="0"/>
    <n v="1"/>
  </r>
  <r>
    <x v="1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SS"/>
    <x v="2"/>
    <n v="3.0544107419628292"/>
    <n v="7.6267523283626515"/>
    <n v="7535.2313004222997"/>
    <n v="2.4969635627530362"/>
    <n v="2467"/>
    <n v="988"/>
    <n v="0.24435285935702636"/>
    <n v="0.12217642967851318"/>
    <n v="0.76360268549070731"/>
    <n v="1"/>
    <n v="4"/>
    <n v="2588"/>
    <n v="4"/>
    <n v="2588"/>
    <n v="647"/>
    <n v="0"/>
    <n v="0"/>
    <n v="0"/>
    <n v="0.32739539128171702"/>
    <n v="0.52446963370301802"/>
    <n v="0.34345329251604523"/>
    <n v="1.6019456830158088"/>
    <n v="1.0490474260235103"/>
    <n v="0.65485829959514175"/>
    <n v="0"/>
    <n v="0"/>
    <n v="0"/>
    <n v="1"/>
  </r>
  <r>
    <x v="15"/>
    <s v="FC"/>
    <x v="3"/>
    <n v="6.1088214839256585"/>
    <n v="15.253504656725303"/>
    <n v="15070.462600844599"/>
    <n v="2.4969635627530362"/>
    <n v="2467"/>
    <n v="988"/>
    <n v="0.48870571871405272"/>
    <n v="0.24435285935702636"/>
    <n v="1.5272053709814146"/>
    <n v="5"/>
    <n v="14"/>
    <n v="15436"/>
    <n v="2.8"/>
    <n v="3087.2"/>
    <n v="1102.5714285714287"/>
    <n v="0"/>
    <n v="0"/>
    <n v="0"/>
    <n v="0.81848847820429249"/>
    <n v="0.91782185898028157"/>
    <n v="1.0242552208805398"/>
    <n v="1.1213619781110662"/>
    <n v="1.2513984596676124"/>
    <n v="1.1159629843840371"/>
    <n v="0"/>
    <n v="0"/>
    <n v="0"/>
    <n v="1"/>
  </r>
  <r>
    <x v="15"/>
    <s v="FC"/>
    <x v="4"/>
    <n v="1.8326464451776976"/>
    <n v="4.5760513970175909"/>
    <n v="4521.13878025338"/>
    <n v="2.4969635627530362"/>
    <n v="2467"/>
    <n v="988"/>
    <n v="0.14661171561421582"/>
    <n v="7.330585780710791E-2"/>
    <n v="0.4581616112944244"/>
    <n v="2"/>
    <n v="2"/>
    <n v="2348"/>
    <n v="1"/>
    <n v="1174"/>
    <n v="1174"/>
    <n v="0"/>
    <n v="0"/>
    <n v="0"/>
    <n v="1.0913179709390566"/>
    <n v="0.43705802808584837"/>
    <n v="0.51933818317083602"/>
    <n v="0.40048642075395219"/>
    <n v="0.47588163761653829"/>
    <n v="1.1882591093117409"/>
    <n v="0"/>
    <n v="0"/>
    <n v="0"/>
    <n v="1"/>
  </r>
  <r>
    <x v="15"/>
    <s v="FC"/>
    <x v="5"/>
    <n v="3.0544107419628292"/>
    <n v="7.6267523283626515"/>
    <n v="7535.2313004222997"/>
    <n v="2.4969635627530362"/>
    <n v="2467"/>
    <n v="988"/>
    <n v="0.24435285935702636"/>
    <n v="0.12217642967851318"/>
    <n v="0.76360268549070731"/>
    <n v="2"/>
    <n v="3"/>
    <n v="2347"/>
    <n v="1.5"/>
    <n v="1173.5"/>
    <n v="782.33333333333337"/>
    <n v="0"/>
    <n v="0"/>
    <n v="0"/>
    <n v="0.65479078256343404"/>
    <n v="0.39335222527726355"/>
    <n v="0.31147019997494518"/>
    <n v="0.60072963113092825"/>
    <n v="0.47567896230239159"/>
    <n v="0.79183535762483137"/>
    <n v="0"/>
    <n v="0"/>
    <n v="0"/>
    <n v="1"/>
  </r>
  <r>
    <x v="15"/>
    <s v="FC"/>
    <x v="6"/>
    <n v="3.0544107419628292"/>
    <n v="7.6267523283626515"/>
    <n v="7535.2313004222997"/>
    <n v="2.4969635627530362"/>
    <n v="2467"/>
    <n v="988"/>
    <n v="0.24435285935702636"/>
    <n v="0.12217642967851318"/>
    <n v="0.76360268549070731"/>
    <n v="5"/>
    <n v="7"/>
    <n v="9712.16"/>
    <n v="1.4"/>
    <n v="1942.432"/>
    <n v="1387.4514285714286"/>
    <n v="0"/>
    <n v="0"/>
    <n v="0"/>
    <n v="1.636976956408585"/>
    <n v="0.91782185898028157"/>
    <n v="1.2889000500164736"/>
    <n v="0.5606809890555331"/>
    <n v="0.78736603161734897"/>
    <n v="1.4043030653556969"/>
    <n v="0"/>
    <n v="0"/>
    <n v="0"/>
    <n v="1"/>
  </r>
  <r>
    <x v="15"/>
    <s v="FC"/>
    <x v="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FC"/>
    <x v="8"/>
    <n v="3.0544107419628292"/>
    <n v="7.6267523283626515"/>
    <n v="7535.2313004222997"/>
    <n v="2.4969635627530362"/>
    <n v="2467"/>
    <n v="988"/>
    <n v="0.24435285935702636"/>
    <n v="0.12217642967851318"/>
    <n v="0.7636026854907073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n v="1"/>
  </r>
  <r>
    <x v="15"/>
    <s v="Partner"/>
    <x v="9"/>
    <n v="5.4979393355330926"/>
    <n v="13.728154191052772"/>
    <n v="13563.416340760139"/>
    <n v="2.4969635627530362"/>
    <n v="2467"/>
    <n v="988"/>
    <n v="0.43983514684264741"/>
    <n v="0.2199175734213237"/>
    <n v="1.3744848338832731"/>
    <n v="1"/>
    <n v="1"/>
    <n v="899"/>
    <n v="1"/>
    <n v="899"/>
    <n v="899"/>
    <n v="0"/>
    <n v="0"/>
    <n v="0"/>
    <n v="0.18188632848984276"/>
    <n v="7.2843004680974738E-2"/>
    <n v="6.6281236040684505E-2"/>
    <n v="0.40048642075395219"/>
    <n v="0.36441021483583297"/>
    <n v="0.90991902834008098"/>
    <n v="0"/>
    <n v="0"/>
    <n v="0"/>
    <n v="1"/>
  </r>
  <r>
    <x v="15"/>
    <s v="Partner"/>
    <x v="1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Partner"/>
    <x v="11"/>
    <n v="5.4979393355330926"/>
    <n v="13.728154191052772"/>
    <n v="13563.416340760139"/>
    <n v="2.4969635627530362"/>
    <n v="2467"/>
    <n v="988"/>
    <n v="0.43983514684264741"/>
    <n v="0.2199175734213237"/>
    <n v="1.3744848338832731"/>
    <n v="4"/>
    <n v="16"/>
    <n v="12000.32"/>
    <n v="4"/>
    <n v="3000.08"/>
    <n v="750.02"/>
    <n v="0"/>
    <n v="0"/>
    <n v="0"/>
    <n v="0.72754531395937105"/>
    <n v="1.1654880748955958"/>
    <n v="0.88475644325222136"/>
    <n v="1.6019456830158088"/>
    <n v="1.2160843129306851"/>
    <n v="0.7591295546558704"/>
    <n v="0"/>
    <n v="0"/>
    <n v="0"/>
    <n v="1"/>
  </r>
  <r>
    <x v="15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5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6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6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6"/>
    <s v="SS"/>
    <x v="2"/>
    <n v="1.2533616492881956"/>
    <n v="3.1295983692246745"/>
    <n v="3092.0431887939785"/>
    <n v="2.4969635627530362"/>
    <n v="2467"/>
    <n v="988"/>
    <n v="0.10026893194305565"/>
    <n v="5.0134465971527827E-2"/>
    <n v="0.3133404123220489"/>
    <n v="2"/>
    <n v="4"/>
    <n v="3092"/>
    <n v="2"/>
    <n v="1546"/>
    <n v="773"/>
    <n v="0"/>
    <n v="0"/>
    <n v="0"/>
    <n v="1.5957086297764356"/>
    <n v="1.2781192754107162"/>
    <n v="0.99998603227984173"/>
    <n v="0.80097284150790438"/>
    <n v="0.62667207134171055"/>
    <n v="0.78238866396761131"/>
    <n v="0"/>
    <n v="0"/>
    <n v="0"/>
    <n v="1"/>
  </r>
  <r>
    <x v="16"/>
    <s v="FC"/>
    <x v="3"/>
    <n v="6.266808246440978"/>
    <n v="15.647991846123372"/>
    <n v="15460.215943969892"/>
    <n v="2.4969635627530362"/>
    <n v="2467"/>
    <n v="988"/>
    <n v="0.5013446597152782"/>
    <n v="0.2506723298576391"/>
    <n v="1.5667020616102445"/>
    <n v="7"/>
    <n v="15"/>
    <n v="15383.56"/>
    <n v="2.1428571428571428"/>
    <n v="2197.6514285714284"/>
    <n v="1025.5706666666667"/>
    <n v="0"/>
    <n v="0"/>
    <n v="0"/>
    <n v="1.1169960408435049"/>
    <n v="0.95858945655803718"/>
    <n v="0.99504172876706865"/>
    <n v="0.85818518732989757"/>
    <n v="0.89081938734147892"/>
    <n v="1.0380269905533064"/>
    <n v="0"/>
    <n v="0"/>
    <n v="0"/>
    <n v="1"/>
  </r>
  <r>
    <x v="16"/>
    <s v="FC"/>
    <x v="4"/>
    <n v="1.8800424739322932"/>
    <n v="4.6943975538370113"/>
    <n v="4638.0647831909673"/>
    <n v="2.4969635627530362"/>
    <n v="2467"/>
    <n v="988"/>
    <n v="0.15040339791458346"/>
    <n v="7.5201698957291729E-2"/>
    <n v="0.47001061848307329"/>
    <n v="3"/>
    <n v="5"/>
    <n v="4636.1499999999996"/>
    <n v="1.6666666666666667"/>
    <n v="1545.3833333333332"/>
    <n v="927.2299999999999"/>
    <n v="0"/>
    <n v="0"/>
    <n v="0"/>
    <n v="1.5957086297764358"/>
    <n v="1.065099396175597"/>
    <n v="0.99958715902418893"/>
    <n v="0.66747736792325374"/>
    <n v="0.62642210512092955"/>
    <n v="0.93849190283400796"/>
    <n v="0"/>
    <n v="0"/>
    <n v="0"/>
    <n v="1"/>
  </r>
  <r>
    <x v="16"/>
    <s v="FC"/>
    <x v="5"/>
    <n v="1.2533616492881956"/>
    <n v="3.1295983692246745"/>
    <n v="3092.0431887939785"/>
    <n v="2.4969635627530362"/>
    <n v="2467"/>
    <n v="988"/>
    <n v="0.10026893194305565"/>
    <n v="5.0134465971527827E-2"/>
    <n v="0.3133404123220489"/>
    <n v="2"/>
    <n v="4"/>
    <n v="1185"/>
    <n v="2"/>
    <n v="592.5"/>
    <n v="296.25"/>
    <n v="0"/>
    <n v="0"/>
    <n v="0"/>
    <n v="1.5957086297764356"/>
    <n v="1.2781192754107162"/>
    <n v="0.3832417361745189"/>
    <n v="0.80097284150790438"/>
    <n v="0.24017024726388325"/>
    <n v="0.2998481781376518"/>
    <n v="0"/>
    <n v="0"/>
    <n v="0"/>
    <n v="1"/>
  </r>
  <r>
    <x v="16"/>
    <s v="FC"/>
    <x v="6"/>
    <n v="3.133404123220489"/>
    <n v="7.8239959230616858"/>
    <n v="7730.1079719849458"/>
    <n v="2.4969635627530362"/>
    <n v="2467"/>
    <n v="988"/>
    <n v="0.2506723298576391"/>
    <n v="0.12533616492881955"/>
    <n v="0.78335103080512225"/>
    <n v="1"/>
    <n v="1"/>
    <n v="1359.2"/>
    <n v="1"/>
    <n v="1359.2"/>
    <n v="1359.2"/>
    <n v="0"/>
    <n v="0"/>
    <n v="0"/>
    <n v="0.31914172595528711"/>
    <n v="0.12781192754107162"/>
    <n v="0.17583195537836493"/>
    <n v="0.40048642075395219"/>
    <n v="0.55095257397648967"/>
    <n v="1.3757085020242916"/>
    <n v="0"/>
    <n v="0"/>
    <n v="0"/>
    <n v="1"/>
  </r>
  <r>
    <x v="16"/>
    <s v="FC"/>
    <x v="7"/>
    <n v="6.266808246440978"/>
    <n v="15.647991846123372"/>
    <n v="15460.215943969892"/>
    <n v="2.4969635627530362"/>
    <n v="2467"/>
    <n v="988"/>
    <n v="0.5013446597152782"/>
    <n v="0.2506723298576391"/>
    <n v="1.5667020616102445"/>
    <n v="4"/>
    <n v="8"/>
    <n v="7406"/>
    <n v="2"/>
    <n v="1851.5"/>
    <n v="925.75"/>
    <n v="0"/>
    <n v="0"/>
    <n v="0"/>
    <n v="0.63828345191057423"/>
    <n v="0.5112477101642865"/>
    <n v="0.47903599968075733"/>
    <n v="0.80097284150790438"/>
    <n v="0.75050668828536682"/>
    <n v="0.93699392712550611"/>
    <n v="0"/>
    <n v="0"/>
    <n v="0"/>
    <n v="1"/>
  </r>
  <r>
    <x v="16"/>
    <s v="FC"/>
    <x v="8"/>
    <n v="6.266808246440978"/>
    <n v="15.647991846123372"/>
    <n v="15460.215943969892"/>
    <n v="2.4969635627530362"/>
    <n v="2467"/>
    <n v="988"/>
    <n v="0.5013446597152782"/>
    <n v="0.2506723298576391"/>
    <n v="1.5667020616102445"/>
    <n v="3"/>
    <n v="11"/>
    <n v="7209.7999999999993"/>
    <n v="3.6666666666666665"/>
    <n v="2403.2666666666664"/>
    <n v="655.43636363636358"/>
    <n v="0"/>
    <n v="0"/>
    <n v="0"/>
    <n v="0.47871258893293067"/>
    <n v="0.70296560147589393"/>
    <n v="0.46634536193604154"/>
    <n v="1.468450209431158"/>
    <n v="0.97416565329009586"/>
    <n v="0.66339712918660276"/>
    <n v="0"/>
    <n v="0"/>
    <n v="0"/>
    <n v="1"/>
  </r>
  <r>
    <x v="16"/>
    <s v="Partner"/>
    <x v="9"/>
    <n v="5.6401274217968789"/>
    <n v="14.083192661511033"/>
    <n v="13914.194349572901"/>
    <n v="2.4969635627530367"/>
    <n v="2467"/>
    <n v="988"/>
    <n v="0.45121019374375032"/>
    <n v="0.22560509687187516"/>
    <n v="1.4100318554492197"/>
    <n v="2"/>
    <n v="3"/>
    <n v="2597"/>
    <n v="1.5"/>
    <n v="1298.5"/>
    <n v="865.66666666666663"/>
    <n v="0"/>
    <n v="0"/>
    <n v="0"/>
    <n v="0.3546019177280969"/>
    <n v="0.21301987923511939"/>
    <n v="0.18664393602348348"/>
    <n v="0.60072963113092825"/>
    <n v="0.52634779083907579"/>
    <n v="0.87618083670715241"/>
    <n v="0"/>
    <n v="0"/>
    <n v="0"/>
    <n v="1"/>
  </r>
  <r>
    <x v="16"/>
    <s v="Partner"/>
    <x v="10"/>
    <n v="4.3867657725086842"/>
    <n v="10.953594292286359"/>
    <n v="10822.151160778923"/>
    <n v="2.4969635627530362"/>
    <n v="2467"/>
    <n v="988"/>
    <n v="0.35094126180069474"/>
    <n v="0.17547063090034737"/>
    <n v="1.096691443127171"/>
    <n v="1"/>
    <n v="1"/>
    <n v="899"/>
    <n v="1"/>
    <n v="899"/>
    <n v="899"/>
    <n v="0"/>
    <n v="0"/>
    <n v="0"/>
    <n v="0.22795837568234797"/>
    <n v="9.1294233957908311E-2"/>
    <n v="8.3070360656031947E-2"/>
    <n v="0.40048642075395219"/>
    <n v="0.36441021483583297"/>
    <n v="0.90991902834008098"/>
    <n v="0"/>
    <n v="0"/>
    <n v="0"/>
    <n v="1"/>
  </r>
  <r>
    <x v="16"/>
    <s v="Partner"/>
    <x v="1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6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6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6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7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7"/>
    <s v="SS"/>
    <x v="1"/>
    <n v="0.98591739139306522"/>
    <n v="2.4617998021930081"/>
    <n v="2432.2582045666918"/>
    <n v="2.4969635627530367"/>
    <n v="2467"/>
    <n v="987.99999999999989"/>
    <n v="7.8873391311445218E-2"/>
    <n v="3.9436695655722609E-2"/>
    <n v="0.24647934784826631"/>
    <n v="1"/>
    <n v="1"/>
    <n v="599"/>
    <n v="1"/>
    <n v="599"/>
    <n v="599"/>
    <n v="0"/>
    <n v="0"/>
    <n v="0"/>
    <n v="1.0142837612257114"/>
    <n v="0.40620687316214138"/>
    <n v="0.24627319536854525"/>
    <n v="0.40048642075395213"/>
    <n v="0.24280502634779083"/>
    <n v="0.60627530364372473"/>
    <n v="0"/>
    <n v="0"/>
    <n v="0"/>
    <n v="1"/>
  </r>
  <r>
    <x v="17"/>
    <s v="SS"/>
    <x v="2"/>
    <n v="4.9295869569653252"/>
    <n v="12.308999010965037"/>
    <n v="12161.291022833457"/>
    <n v="2.4969635627530362"/>
    <n v="2467"/>
    <n v="988"/>
    <n v="0.39436695655722603"/>
    <n v="0.19718347827861302"/>
    <n v="1.2323967392413313"/>
    <n v="5"/>
    <n v="9"/>
    <n v="11973"/>
    <n v="1.8"/>
    <n v="2394.6"/>
    <n v="1330.3333333333333"/>
    <n v="0"/>
    <n v="0"/>
    <n v="0"/>
    <n v="1.0142837612257116"/>
    <n v="0.73117237169185467"/>
    <n v="0.98451718469034821"/>
    <n v="0.72087555735711395"/>
    <n v="0.97065261451155249"/>
    <n v="1.3464912280701753"/>
    <n v="0"/>
    <n v="0"/>
    <n v="0"/>
    <n v="1"/>
  </r>
  <r>
    <x v="17"/>
    <s v="FC"/>
    <x v="3"/>
    <n v="4.9295869569653252"/>
    <n v="12.308999010965037"/>
    <n v="12161.291022833457"/>
    <n v="2.4969635627530362"/>
    <n v="2467"/>
    <n v="988"/>
    <n v="0.39436695655722603"/>
    <n v="0.19718347827861302"/>
    <n v="1.2323967392413313"/>
    <n v="9"/>
    <n v="18"/>
    <n v="16117.75"/>
    <n v="2"/>
    <n v="1790.8611111111111"/>
    <n v="895.43055555555554"/>
    <n v="0"/>
    <n v="0"/>
    <n v="0"/>
    <n v="1.8257107702062809"/>
    <n v="1.4623447433837093"/>
    <n v="1.3253321518034629"/>
    <n v="0.80097284150790438"/>
    <n v="0.72592667657523757"/>
    <n v="0.90630623031938817"/>
    <n v="0"/>
    <n v="0"/>
    <n v="0"/>
    <n v="1"/>
  </r>
  <r>
    <x v="17"/>
    <s v="FC"/>
    <x v="4"/>
    <n v="1.4788760870895974"/>
    <n v="3.6926997032895112"/>
    <n v="3648.387306850037"/>
    <n v="2.4969635627530367"/>
    <n v="2467"/>
    <n v="988"/>
    <n v="0.1183100869671678"/>
    <n v="5.91550434835839E-2"/>
    <n v="0.36971902177239935"/>
    <n v="2"/>
    <n v="3"/>
    <n v="857.6"/>
    <n v="1.5"/>
    <n v="428.8"/>
    <n v="285.86666666666667"/>
    <n v="0"/>
    <n v="0"/>
    <n v="0"/>
    <n v="1.3523783483009488"/>
    <n v="0.81241374632428298"/>
    <n v="0.23506276276913127"/>
    <n v="0.60072963113092825"/>
    <n v="0.17381434941224158"/>
    <n v="0.28933873144399463"/>
    <n v="0"/>
    <n v="0"/>
    <n v="0"/>
    <n v="1"/>
  </r>
  <r>
    <x v="17"/>
    <s v="FC"/>
    <x v="5"/>
    <n v="2.9577521741791948"/>
    <n v="7.3853994065790225"/>
    <n v="7296.774613700074"/>
    <n v="2.4969635627530367"/>
    <n v="2467"/>
    <n v="988"/>
    <n v="0.2366201739343356"/>
    <n v="0.1183100869671678"/>
    <n v="0.7394380435447987"/>
    <n v="3"/>
    <n v="8"/>
    <n v="6992"/>
    <n v="2.6666666666666665"/>
    <n v="2330.6666666666665"/>
    <n v="874"/>
    <n v="0"/>
    <n v="0"/>
    <n v="0"/>
    <n v="1.0142837612257116"/>
    <n v="1.0832183284323773"/>
    <n v="0.95823159822864146"/>
    <n v="1.0679637886772055"/>
    <n v="0.94473719767598963"/>
    <n v="0.88461538461538458"/>
    <n v="0"/>
    <n v="0"/>
    <n v="0"/>
    <n v="1"/>
  </r>
  <r>
    <x v="17"/>
    <s v="FC"/>
    <x v="6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7"/>
    <s v="FC"/>
    <x v="7"/>
    <n v="4.9295869569653252"/>
    <n v="12.308999010965037"/>
    <n v="12161.291022833457"/>
    <n v="2.4969635627530362"/>
    <n v="2467"/>
    <n v="988"/>
    <n v="0.39436695655722603"/>
    <n v="0.19718347827861302"/>
    <n v="1.2323967392413313"/>
    <n v="4"/>
    <n v="10"/>
    <n v="9360.15"/>
    <n v="2.5"/>
    <n v="2340.0374999999999"/>
    <n v="936.01499999999999"/>
    <n v="0"/>
    <n v="0"/>
    <n v="0"/>
    <n v="0.8114270089805693"/>
    <n v="0.81241374632428298"/>
    <n v="0.7696674623134856"/>
    <n v="1.0012160518848805"/>
    <n v="0.94853567085528978"/>
    <n v="0.94738360323886639"/>
    <n v="0"/>
    <n v="0"/>
    <n v="0"/>
    <n v="1"/>
  </r>
  <r>
    <x v="17"/>
    <s v="FC"/>
    <x v="8"/>
    <n v="4.9295869569653252"/>
    <n v="12.308999010965037"/>
    <n v="12161.291022833457"/>
    <n v="2.4969635627530362"/>
    <n v="2467"/>
    <n v="988"/>
    <n v="0.39436695655722603"/>
    <n v="0.19718347827861302"/>
    <n v="1.2323967392413313"/>
    <n v="5"/>
    <n v="17"/>
    <n v="23750"/>
    <n v="3.4"/>
    <n v="4750"/>
    <n v="1397.0588235294117"/>
    <n v="0"/>
    <n v="0"/>
    <n v="0"/>
    <n v="1.0142837612257116"/>
    <n v="1.381103368751281"/>
    <n v="1.9529176594333726"/>
    <n v="1.3616538305634374"/>
    <n v="1.9254154843940008"/>
    <n v="1.4140271493212668"/>
    <n v="0"/>
    <n v="0"/>
    <n v="0"/>
    <n v="1"/>
  </r>
  <r>
    <x v="17"/>
    <s v="Partner"/>
    <x v="9"/>
    <n v="4.9295869569653252"/>
    <n v="12.308999010965037"/>
    <n v="12161.291022833457"/>
    <n v="2.4969635627530362"/>
    <n v="2467"/>
    <n v="988"/>
    <n v="0.39436695655722603"/>
    <n v="0.19718347827861302"/>
    <n v="1.2323967392413313"/>
    <n v="3"/>
    <n v="8"/>
    <n v="18338"/>
    <n v="2.6666666666666665"/>
    <n v="6112.666666666667"/>
    <n v="2292.25"/>
    <n v="0"/>
    <n v="0"/>
    <n v="0"/>
    <n v="0.60857025673542697"/>
    <n v="0.64993099705942636"/>
    <n v="1.5078991174184921"/>
    <n v="1.0679637886772058"/>
    <n v="2.4777732738819078"/>
    <n v="2.320091093117409"/>
    <n v="0"/>
    <n v="0"/>
    <n v="0"/>
    <n v="1"/>
  </r>
  <r>
    <x v="17"/>
    <s v="Partner"/>
    <x v="10"/>
    <n v="4.4366282612687931"/>
    <n v="11.078099109868534"/>
    <n v="10945.161920550112"/>
    <n v="2.4969635627530362"/>
    <n v="2467"/>
    <n v="988.00000000000011"/>
    <n v="0.35493026090150342"/>
    <n v="0.17746513045075171"/>
    <n v="1.1091570653171983"/>
    <n v="4"/>
    <n v="11"/>
    <n v="9849.6"/>
    <n v="2.75"/>
    <n v="2462.4"/>
    <n v="895.41818181818189"/>
    <n v="0"/>
    <n v="0"/>
    <n v="0"/>
    <n v="0.90158556553396574"/>
    <n v="0.99295013439634583"/>
    <n v="0.89990445746689807"/>
    <n v="1.1013376570733686"/>
    <n v="0.99813538710985006"/>
    <n v="0.90629370629370631"/>
    <n v="0"/>
    <n v="0"/>
    <n v="0"/>
    <n v="1"/>
  </r>
  <r>
    <x v="17"/>
    <s v="Partner"/>
    <x v="11"/>
    <n v="4.4366282612687931"/>
    <n v="11.078099109868534"/>
    <n v="10945.161920550112"/>
    <n v="2.4969635627530362"/>
    <n v="2467"/>
    <n v="988.00000000000011"/>
    <n v="0.35493026090150342"/>
    <n v="0.17746513045075171"/>
    <n v="1.1091570653171983"/>
    <n v="5"/>
    <n v="8"/>
    <n v="5322.21"/>
    <n v="1.6"/>
    <n v="1064.442"/>
    <n v="665.27625"/>
    <n v="0"/>
    <n v="0"/>
    <n v="0"/>
    <n v="1.1269819569174573"/>
    <n v="0.7221455522882515"/>
    <n v="0.48626142204504746"/>
    <n v="0.64077827320632352"/>
    <n v="0.4314722334819619"/>
    <n v="0.67335652834008086"/>
    <n v="0"/>
    <n v="0"/>
    <n v="0"/>
    <n v="1"/>
  </r>
  <r>
    <x v="17"/>
    <s v="NA"/>
    <x v="12"/>
    <n v="0"/>
    <n v="0"/>
    <n v="0"/>
    <e v="#DIV/0!"/>
    <e v="#DIV/0!"/>
    <e v="#DIV/0!"/>
    <n v="0"/>
    <n v="0"/>
    <n v="0"/>
    <n v="1"/>
    <n v="1"/>
    <n v="199"/>
    <n v="1"/>
    <n v="199"/>
    <n v="199"/>
    <n v="0"/>
    <n v="0"/>
    <n v="0"/>
    <e v="#DIV/0!"/>
    <e v="#DIV/0!"/>
    <e v="#DIV/0!"/>
    <e v="#DIV/0!"/>
    <e v="#DIV/0!"/>
    <e v="#DIV/0!"/>
    <e v="#DIV/0!"/>
    <e v="#DIV/0!"/>
    <e v="#DIV/0!"/>
    <n v="0"/>
  </r>
  <r>
    <x v="17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7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8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8"/>
    <s v="SS"/>
    <x v="1"/>
    <n v="5.351157930433212"/>
    <n v="13.361646370828678"/>
    <n v="13201.306614378735"/>
    <n v="2.4969635627530367"/>
    <n v="2467"/>
    <n v="988"/>
    <n v="0.42809263443465695"/>
    <n v="0.21404631721732847"/>
    <n v="1.337789482608303"/>
    <n v="7"/>
    <n v="18"/>
    <n v="14976"/>
    <n v="2.5714285714285716"/>
    <n v="2139.4285714285716"/>
    <n v="832"/>
    <n v="0"/>
    <n v="0"/>
    <n v="0"/>
    <n v="1.3081280894718992"/>
    <n v="1.3471393794179314"/>
    <n v="1.1344331616151"/>
    <n v="1.029822224795877"/>
    <n v="0.86721871561758068"/>
    <n v="0.84210526315789469"/>
    <n v="0"/>
    <n v="0"/>
    <n v="0"/>
    <n v="1"/>
  </r>
  <r>
    <x v="18"/>
    <s v="SS"/>
    <x v="2"/>
    <n v="7.6445113291903022"/>
    <n v="19.088066244040967"/>
    <n v="18859.009449112476"/>
    <n v="2.4969635627530362"/>
    <n v="2467"/>
    <n v="988.00000000000011"/>
    <n v="0.6115609063352242"/>
    <n v="0.3057804531676121"/>
    <n v="1.9111278322975755"/>
    <n v="9"/>
    <n v="21"/>
    <n v="24295.4"/>
    <n v="2.3333333333333335"/>
    <n v="2699.4888888888891"/>
    <n v="1156.9238095238095"/>
    <n v="0"/>
    <n v="0"/>
    <n v="0"/>
    <n v="1.1773152805247094"/>
    <n v="1.1001638265246441"/>
    <n v="1.2882649041327761"/>
    <n v="0.93446831509255524"/>
    <n v="1.0942395171823629"/>
    <n v="1.1709755157123576"/>
    <n v="0"/>
    <n v="0"/>
    <n v="0"/>
    <n v="1"/>
  </r>
  <r>
    <x v="18"/>
    <s v="FC"/>
    <x v="3"/>
    <n v="7.6445113291903022"/>
    <n v="19.088066244040967"/>
    <n v="18859.009449112476"/>
    <n v="2.4969635627530362"/>
    <n v="2467"/>
    <n v="988.00000000000011"/>
    <n v="0.6115609063352242"/>
    <n v="0.3057804531676121"/>
    <n v="1.9111278322975755"/>
    <n v="11"/>
    <n v="32"/>
    <n v="27250.900000000005"/>
    <n v="2.9090909090909092"/>
    <n v="2477.354545454546"/>
    <n v="851.59062500000016"/>
    <n v="0"/>
    <n v="0"/>
    <n v="0"/>
    <n v="1.4389408984190892"/>
    <n v="1.6764401166089815"/>
    <n v="1.4449804521033558"/>
    <n v="1.1650514058296793"/>
    <n v="1.0041972215056936"/>
    <n v="0.86193383097165999"/>
    <n v="0"/>
    <n v="0"/>
    <n v="0"/>
    <n v="1"/>
  </r>
  <r>
    <x v="18"/>
    <s v="FC"/>
    <x v="4"/>
    <n v="2.2933533987570911"/>
    <n v="5.7264198732122908"/>
    <n v="5657.7028347337437"/>
    <n v="2.4969635627530362"/>
    <n v="2467"/>
    <n v="988"/>
    <n v="0.1834682719005673"/>
    <n v="9.1734135950283652E-2"/>
    <n v="0.57333834968927277"/>
    <n v="1"/>
    <n v="1"/>
    <n v="899"/>
    <n v="1"/>
    <n v="899"/>
    <n v="899"/>
    <n v="0"/>
    <n v="0"/>
    <n v="0"/>
    <n v="0.43604269649063304"/>
    <n v="0.17462917881343554"/>
    <n v="0.1588984127057475"/>
    <n v="0.40048642075395219"/>
    <n v="0.36441021483583297"/>
    <n v="0.90991902834008098"/>
    <n v="0"/>
    <n v="0"/>
    <n v="0"/>
    <n v="1"/>
  </r>
  <r>
    <x v="18"/>
    <s v="FC"/>
    <x v="5"/>
    <n v="6.1156090633522435"/>
    <n v="15.270452995232777"/>
    <n v="15087.207559289984"/>
    <n v="2.4969635627530362"/>
    <n v="2467"/>
    <n v="988"/>
    <n v="0.48924872506817951"/>
    <n v="0.24462436253408976"/>
    <n v="1.5289022658380609"/>
    <n v="8"/>
    <n v="16"/>
    <n v="17621.400000000001"/>
    <n v="2"/>
    <n v="2202.6750000000002"/>
    <n v="1101.3375000000001"/>
    <n v="0"/>
    <n v="0"/>
    <n v="0"/>
    <n v="1.308128089471899"/>
    <n v="1.0477750728806132"/>
    <n v="1.1679696147051137"/>
    <n v="0.80097284150790438"/>
    <n v="0.89285569517632757"/>
    <n v="1.114714068825911"/>
    <n v="0"/>
    <n v="0"/>
    <n v="0"/>
    <n v="1"/>
  </r>
  <r>
    <x v="18"/>
    <s v="FC"/>
    <x v="6"/>
    <n v="3.8222556645951511"/>
    <n v="9.5440331220204833"/>
    <n v="9429.5047245562382"/>
    <n v="2.4969635627530362"/>
    <n v="2467"/>
    <n v="988.00000000000011"/>
    <n v="0.3057804531676121"/>
    <n v="0.15289022658380605"/>
    <n v="0.95556391614878777"/>
    <n v="9"/>
    <n v="11"/>
    <n v="9485"/>
    <n v="1.2222222222222223"/>
    <n v="1053.8888888888889"/>
    <n v="862.27272727272725"/>
    <n v="0"/>
    <n v="0"/>
    <n v="0"/>
    <n v="2.3546305610494187"/>
    <n v="1.1525525801686747"/>
    <n v="1.005885279987107"/>
    <n v="0.48948340314371941"/>
    <n v="0.42719452326262219"/>
    <n v="0.87274567537725423"/>
    <n v="0"/>
    <n v="0"/>
    <n v="0"/>
    <n v="1"/>
  </r>
  <r>
    <x v="18"/>
    <s v="FC"/>
    <x v="7"/>
    <n v="7.6445113291903022"/>
    <n v="19.088066244040967"/>
    <n v="18859.009449112476"/>
    <n v="2.4969635627530362"/>
    <n v="2467"/>
    <n v="988.00000000000011"/>
    <n v="0.6115609063352242"/>
    <n v="0.3057804531676121"/>
    <n v="1.9111278322975755"/>
    <n v="4"/>
    <n v="6"/>
    <n v="8481"/>
    <n v="1.5"/>
    <n v="2120.25"/>
    <n v="1413.5"/>
    <n v="0"/>
    <n v="0"/>
    <n v="0"/>
    <n v="0.52325123578875976"/>
    <n v="0.31433252186418403"/>
    <n v="0.44970548548079359"/>
    <n v="0.60072963113092825"/>
    <n v="0.85944466963923793"/>
    <n v="1.4306680161943319"/>
    <n v="0"/>
    <n v="0"/>
    <n v="0"/>
    <n v="1"/>
  </r>
  <r>
    <x v="18"/>
    <s v="FC"/>
    <x v="8"/>
    <n v="7.6445113291903022"/>
    <n v="19.088066244040967"/>
    <n v="18859.009449112476"/>
    <n v="2.4969635627530362"/>
    <n v="2467"/>
    <n v="988.00000000000011"/>
    <n v="0.6115609063352242"/>
    <n v="0.3057804531676121"/>
    <n v="1.9111278322975755"/>
    <n v="10"/>
    <n v="24"/>
    <n v="31916.800000000007"/>
    <n v="2.4"/>
    <n v="3191.6800000000007"/>
    <n v="1329.866666666667"/>
    <n v="0"/>
    <n v="0"/>
    <n v="0"/>
    <n v="1.3081280894718994"/>
    <n v="1.2573300874567361"/>
    <n v="1.6923900529410913"/>
    <n v="0.96116740980948523"/>
    <n v="1.2937494933117148"/>
    <n v="1.3460188933873147"/>
    <n v="0"/>
    <n v="0"/>
    <n v="0"/>
    <n v="1"/>
  </r>
  <r>
    <x v="18"/>
    <s v="Partner"/>
    <x v="9"/>
    <n v="6.8800601962712733"/>
    <n v="17.179259619636873"/>
    <n v="16973.108504201231"/>
    <n v="2.4969635627530362"/>
    <n v="2467"/>
    <n v="988"/>
    <n v="0.55040481570170185"/>
    <n v="0.27520240785085093"/>
    <n v="1.7200150490678183"/>
    <n v="6"/>
    <n v="16"/>
    <n v="16936.25"/>
    <n v="2.6666666666666665"/>
    <n v="2822.7083333333335"/>
    <n v="1058.515625"/>
    <n v="0"/>
    <n v="0"/>
    <n v="0"/>
    <n v="0.87208539298126608"/>
    <n v="0.93135562033832286"/>
    <n v="0.99782841757052887"/>
    <n v="1.0679637886772058"/>
    <n v="1.1441865964058913"/>
    <n v="1.0713720900809716"/>
    <n v="0"/>
    <n v="0"/>
    <n v="0"/>
    <n v="1"/>
  </r>
  <r>
    <x v="18"/>
    <s v="Partner"/>
    <x v="10"/>
    <n v="6.8800601962712733"/>
    <n v="17.179259619636873"/>
    <n v="16973.108504201231"/>
    <n v="2.4969635627530362"/>
    <n v="2467"/>
    <n v="988"/>
    <n v="0.55040481570170185"/>
    <n v="0.27520240785085093"/>
    <n v="1.7200150490678183"/>
    <n v="11"/>
    <n v="28"/>
    <n v="29050.550000000003"/>
    <n v="2.5454545454545454"/>
    <n v="2640.9590909090912"/>
    <n v="1037.519642857143"/>
    <n v="0"/>
    <n v="0"/>
    <n v="0"/>
    <n v="1.5988232204656545"/>
    <n v="1.629872335592065"/>
    <n v="1.7115633234071019"/>
    <n v="1.0194199801009691"/>
    <n v="1.0705144267973616"/>
    <n v="1.0501210960092542"/>
    <n v="0"/>
    <n v="0"/>
    <n v="0"/>
    <n v="1"/>
  </r>
  <r>
    <x v="18"/>
    <s v="Partner"/>
    <x v="11"/>
    <n v="6.8800601962712733"/>
    <n v="17.179259619636873"/>
    <n v="16973.108504201231"/>
    <n v="2.4969635627530362"/>
    <n v="2467"/>
    <n v="988"/>
    <n v="0.55040481570170185"/>
    <n v="0.27520240785085093"/>
    <n v="1.7200150490678183"/>
    <n v="5"/>
    <n v="6"/>
    <n v="11720.15"/>
    <n v="1.2"/>
    <n v="2344.0299999999997"/>
    <n v="1953.3583333333333"/>
    <n v="0"/>
    <n v="0"/>
    <n v="0"/>
    <n v="0.72673782748438842"/>
    <n v="0.34925835762687107"/>
    <n v="0.69051287789145965"/>
    <n v="0.48058370490474261"/>
    <n v="0.95015403323875147"/>
    <n v="1.9770833333333333"/>
    <n v="0"/>
    <n v="0"/>
    <n v="0"/>
    <n v="1"/>
  </r>
  <r>
    <x v="18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8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8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9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9"/>
    <s v="SS"/>
    <x v="1"/>
    <n v="5.4112833004380798"/>
    <n v="13.511777228927876"/>
    <n v="13349.635902180742"/>
    <n v="2.4969635627530362"/>
    <n v="2467"/>
    <n v="988"/>
    <n v="0.4329026640350464"/>
    <n v="0.2164513320175232"/>
    <n v="1.35282082510952"/>
    <n v="2"/>
    <n v="22"/>
    <n v="20605.150000000001"/>
    <n v="11"/>
    <n v="10302.575000000001"/>
    <n v="936.5977272727273"/>
    <n v="0"/>
    <n v="0"/>
    <n v="0"/>
    <n v="0.36959809512063185"/>
    <n v="1.6282092005557467"/>
    <n v="1.5434990250658467"/>
    <n v="4.4053506282934745"/>
    <n v="4.1761552492906366"/>
    <n v="0.94797340817077658"/>
    <n v="0"/>
    <n v="0"/>
    <n v="0"/>
    <n v="1"/>
  </r>
  <r>
    <x v="19"/>
    <s v="SS"/>
    <x v="2"/>
    <n v="7.7304047149115416"/>
    <n v="19.302538898468395"/>
    <n v="19070.908431686774"/>
    <n v="2.4969635627530367"/>
    <n v="2467"/>
    <n v="988"/>
    <n v="0.61843237719292332"/>
    <n v="0.30921618859646166"/>
    <n v="1.9326011787278854"/>
    <n v="4"/>
    <n v="6"/>
    <n v="13495.4"/>
    <n v="1.5"/>
    <n v="3373.85"/>
    <n v="2249.2333333333331"/>
    <n v="0"/>
    <n v="0"/>
    <n v="0"/>
    <n v="0.51743733316888463"/>
    <n v="0.31083993828791529"/>
    <n v="0.70764326976564307"/>
    <n v="0.60072963113092825"/>
    <n v="1.3675922172679367"/>
    <n v="2.2765519568151147"/>
    <n v="0"/>
    <n v="0"/>
    <n v="0"/>
    <n v="1"/>
  </r>
  <r>
    <x v="19"/>
    <s v="FC"/>
    <x v="3"/>
    <n v="7.7304047149115416"/>
    <n v="19.302538898468395"/>
    <n v="19070.908431686774"/>
    <n v="2.4969635627530367"/>
    <n v="2467"/>
    <n v="988"/>
    <n v="0.61843237719292332"/>
    <n v="0.30921618859646166"/>
    <n v="1.9326011787278854"/>
    <n v="13"/>
    <n v="39"/>
    <n v="36480.350000000006"/>
    <n v="3"/>
    <n v="2806.1807692307698"/>
    <n v="935.39358974358993"/>
    <n v="0"/>
    <n v="0"/>
    <n v="0"/>
    <n v="1.681671332798875"/>
    <n v="2.0204595988714491"/>
    <n v="1.9128795112553225"/>
    <n v="1.2014592622618565"/>
    <n v="1.1374871379127562"/>
    <n v="0.94675464548946353"/>
    <n v="0"/>
    <n v="0"/>
    <n v="0"/>
    <n v="1"/>
  </r>
  <r>
    <x v="19"/>
    <s v="FC"/>
    <x v="4"/>
    <n v="2.3191214144734627"/>
    <n v="5.7907616695405189"/>
    <n v="5721.2725295060327"/>
    <n v="2.4969635627530367"/>
    <n v="2467"/>
    <n v="988"/>
    <n v="0.185529713157877"/>
    <n v="9.2764856578938501E-2"/>
    <n v="0.57978035361836566"/>
    <n v="2"/>
    <n v="4"/>
    <n v="676"/>
    <n v="2"/>
    <n v="338"/>
    <n v="169"/>
    <n v="0"/>
    <n v="0"/>
    <n v="0"/>
    <n v="0.86239555528147438"/>
    <n v="0.69075541841758947"/>
    <n v="0.11815553209774557"/>
    <n v="0.80097284150790427"/>
    <n v="0.13700851236319417"/>
    <n v="0.17105263157894737"/>
    <n v="0"/>
    <n v="0"/>
    <n v="0"/>
    <n v="1"/>
  </r>
  <r>
    <x v="19"/>
    <s v="FC"/>
    <x v="5"/>
    <n v="5.4112833004380798"/>
    <n v="13.511777228927876"/>
    <n v="13349.635902180742"/>
    <n v="2.4969635627530362"/>
    <n v="2467"/>
    <n v="988"/>
    <n v="0.4329026640350464"/>
    <n v="0.2164513320175232"/>
    <n v="1.35282082510952"/>
    <n v="9"/>
    <n v="23"/>
    <n v="17692.309999999998"/>
    <n v="2.5555555555555554"/>
    <n v="1965.8122222222219"/>
    <n v="769.23086956521729"/>
    <n v="0"/>
    <n v="0"/>
    <n v="0"/>
    <n v="1.6631914280428433"/>
    <n v="1.702218709671917"/>
    <n v="1.3253028119748085"/>
    <n v="1.0234652974823222"/>
    <n v="0.79684321938476765"/>
    <n v="0.77857375462066525"/>
    <n v="0"/>
    <n v="0"/>
    <n v="0"/>
    <n v="1"/>
  </r>
  <r>
    <x v="19"/>
    <s v="FC"/>
    <x v="6"/>
    <n v="3.8652023574557708"/>
    <n v="9.6512694492341975"/>
    <n v="9535.4542158433869"/>
    <n v="2.4969635627530367"/>
    <n v="2467"/>
    <n v="988"/>
    <n v="0.30921618859646166"/>
    <n v="0.15460809429823083"/>
    <n v="0.9663005893639427"/>
    <n v="13"/>
    <n v="16"/>
    <n v="12895.220000000001"/>
    <n v="1.2307692307692308"/>
    <n v="991.94"/>
    <n v="805.95125000000007"/>
    <n v="0"/>
    <n v="0"/>
    <n v="0"/>
    <n v="3.3633426655977501"/>
    <n v="1.6578130042022148"/>
    <n v="1.3523445981812048"/>
    <n v="0.49290636400486421"/>
    <n v="0.40208350222942846"/>
    <n v="0.81574013157894742"/>
    <n v="0"/>
    <n v="0"/>
    <n v="0"/>
    <n v="1"/>
  </r>
  <r>
    <x v="19"/>
    <s v="FC"/>
    <x v="7"/>
    <n v="7.7304047149115416"/>
    <n v="19.302538898468395"/>
    <n v="19070.908431686774"/>
    <n v="2.4969635627530367"/>
    <n v="2467"/>
    <n v="988"/>
    <n v="0.61843237719292332"/>
    <n v="0.30921618859646166"/>
    <n v="1.9326011787278854"/>
    <n v="10"/>
    <n v="25"/>
    <n v="27775.9"/>
    <n v="2.5"/>
    <n v="2777.59"/>
    <n v="1111.0360000000001"/>
    <n v="0"/>
    <n v="0"/>
    <n v="0"/>
    <n v="1.2935933329222116"/>
    <n v="1.2951664095329802"/>
    <n v="1.4564539544351056"/>
    <n v="1.0012160518848803"/>
    <n v="1.12589785164167"/>
    <n v="1.1245303643724698"/>
    <n v="0"/>
    <n v="0"/>
    <n v="0"/>
    <n v="1"/>
  </r>
  <r>
    <x v="19"/>
    <s v="FC"/>
    <x v="8"/>
    <n v="7.7304047149115416"/>
    <n v="19.302538898468395"/>
    <n v="19070.908431686774"/>
    <n v="2.4969635627530367"/>
    <n v="2467"/>
    <n v="988"/>
    <n v="0.61843237719292332"/>
    <n v="0.30921618859646166"/>
    <n v="1.9326011787278854"/>
    <n v="12"/>
    <n v="28"/>
    <n v="28714.899999999998"/>
    <n v="2.3333333333333335"/>
    <n v="2392.9083333333333"/>
    <n v="1025.5321428571428"/>
    <n v="0"/>
    <n v="0"/>
    <n v="0"/>
    <n v="1.5523119995066539"/>
    <n v="1.450586378676938"/>
    <n v="1.5056912523521691"/>
    <n v="0.93446831509255501"/>
    <n v="0.96996689636535605"/>
    <n v="1.0379879988432621"/>
    <n v="0"/>
    <n v="0"/>
    <n v="0"/>
    <n v="1"/>
  </r>
  <r>
    <x v="19"/>
    <s v="Partner"/>
    <x v="9"/>
    <n v="6.957364243420388"/>
    <n v="17.372285008621557"/>
    <n v="17163.817588518097"/>
    <n v="2.4969635627530367"/>
    <n v="2467"/>
    <n v="988"/>
    <n v="0.55658913947363109"/>
    <n v="0.27829456973681554"/>
    <n v="1.739341060855097"/>
    <n v="8"/>
    <n v="22"/>
    <n v="28495.200000000001"/>
    <n v="2.75"/>
    <n v="3561.9"/>
    <n v="1295.2363636363636"/>
    <n v="0"/>
    <n v="0"/>
    <n v="0"/>
    <n v="1.1498607403752992"/>
    <n v="1.2663849337655806"/>
    <n v="1.6601900977473765"/>
    <n v="1.1013376570733684"/>
    <n v="1.4438184029185246"/>
    <n v="1.3109679793890321"/>
    <n v="0"/>
    <n v="0"/>
    <n v="0"/>
    <n v="1"/>
  </r>
  <r>
    <x v="19"/>
    <s v="Partner"/>
    <x v="10"/>
    <n v="6.957364243420388"/>
    <n v="17.372285008621557"/>
    <n v="17163.817588518097"/>
    <n v="2.4969635627530367"/>
    <n v="2467"/>
    <n v="988"/>
    <n v="0.55658913947363109"/>
    <n v="0.27829456973681554"/>
    <n v="1.739341060855097"/>
    <n v="6"/>
    <n v="25"/>
    <n v="20801.150000000001"/>
    <n v="4.166666666666667"/>
    <n v="3466.8583333333336"/>
    <n v="832.04600000000005"/>
    <n v="0"/>
    <n v="0"/>
    <n v="0"/>
    <n v="0.86239555528147438"/>
    <n v="1.439073788369978"/>
    <n v="1.2119186126701285"/>
    <n v="1.668693419808134"/>
    <n v="1.4052932036211323"/>
    <n v="0.84215182186234827"/>
    <n v="0"/>
    <n v="0"/>
    <n v="0"/>
    <n v="1"/>
  </r>
  <r>
    <x v="19"/>
    <s v="Partner"/>
    <x v="11"/>
    <n v="6.957364243420388"/>
    <n v="17.372285008621557"/>
    <n v="17163.817588518097"/>
    <n v="2.4969635627530367"/>
    <n v="2467"/>
    <n v="988"/>
    <n v="0.55658913947363109"/>
    <n v="0.27829456973681554"/>
    <n v="1.739341060855097"/>
    <n v="5"/>
    <n v="11"/>
    <n v="31505.149999999998"/>
    <n v="2.2000000000000002"/>
    <n v="6301.03"/>
    <n v="2864.1045454545451"/>
    <n v="0"/>
    <n v="0"/>
    <n v="0"/>
    <n v="0.71866296273456198"/>
    <n v="0.63319246688279029"/>
    <n v="1.8355560956949155"/>
    <n v="0.8810701256586948"/>
    <n v="2.5541264693960275"/>
    <n v="2.8988912403386085"/>
    <n v="0"/>
    <n v="0"/>
    <n v="0"/>
    <n v="1"/>
  </r>
  <r>
    <x v="19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9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19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SS"/>
    <x v="1"/>
    <n v="0.59713730005373311"/>
    <n v="1.4910300801948984"/>
    <n v="1473.1377192325597"/>
    <n v="2.4969635627530362"/>
    <n v="2467"/>
    <n v="988.00000000000011"/>
    <n v="4.7770984004298647E-2"/>
    <n v="2.3885492002149324E-2"/>
    <n v="0.14928432501343328"/>
    <n v="2"/>
    <n v="2"/>
    <n v="598"/>
    <n v="1"/>
    <n v="299"/>
    <n v="299"/>
    <n v="0"/>
    <n v="0"/>
    <n v="0"/>
    <n v="3.3493134657976165"/>
    <n v="1.341354561900302"/>
    <n v="0.405936248996144"/>
    <n v="0.40048642075395219"/>
    <n v="0.12119983785974868"/>
    <n v="0.30263157894736836"/>
    <n v="0"/>
    <n v="0"/>
    <n v="0"/>
    <n v="1"/>
  </r>
  <r>
    <x v="20"/>
    <s v="SS"/>
    <x v="2"/>
    <n v="3.5828238003223989"/>
    <n v="8.9461804811693906"/>
    <n v="8838.8263153953576"/>
    <n v="2.4969635627530362"/>
    <n v="2467"/>
    <n v="988"/>
    <n v="0.28662590402579191"/>
    <n v="0.14331295201289596"/>
    <n v="0.89570595008059972"/>
    <n v="3"/>
    <n v="6"/>
    <n v="5844"/>
    <n v="2"/>
    <n v="1948"/>
    <n v="974"/>
    <n v="0"/>
    <n v="0"/>
    <n v="0"/>
    <n v="0.837328366449404"/>
    <n v="0.670677280950151"/>
    <n v="0.66117375672616097"/>
    <n v="0.80097284150790438"/>
    <n v="0.78962302391568706"/>
    <n v="0.98582995951417007"/>
    <n v="0"/>
    <n v="0"/>
    <n v="0"/>
    <n v="1"/>
  </r>
  <r>
    <x v="20"/>
    <s v="FC"/>
    <x v="3"/>
    <n v="5.9713730005373318"/>
    <n v="14.910300801948985"/>
    <n v="14731.377192325597"/>
    <n v="2.4969635627530362"/>
    <n v="2467"/>
    <n v="988"/>
    <n v="0.47770984004298656"/>
    <n v="0.23885492002149328"/>
    <n v="1.4928432501343329"/>
    <n v="4"/>
    <n v="11"/>
    <n v="12712"/>
    <n v="2.75"/>
    <n v="3178"/>
    <n v="1155.6363636363637"/>
    <n v="0"/>
    <n v="0"/>
    <n v="0"/>
    <n v="0.66986269315952318"/>
    <n v="0.73774500904516604"/>
    <n v="0.86291999953829135"/>
    <n v="1.1013376570733686"/>
    <n v="1.2882042967166598"/>
    <n v="1.1696724328303276"/>
    <n v="0"/>
    <n v="0"/>
    <n v="0"/>
    <n v="1"/>
  </r>
  <r>
    <x v="20"/>
    <s v="FC"/>
    <x v="4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FC"/>
    <x v="5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FC"/>
    <x v="6"/>
    <n v="1.1942746001074662"/>
    <n v="2.9820601603897967"/>
    <n v="2946.2754384651194"/>
    <n v="2.4969635627530362"/>
    <n v="2467"/>
    <n v="988.00000000000011"/>
    <n v="9.5541968008597294E-2"/>
    <n v="4.7770984004298647E-2"/>
    <n v="0.29856865002686656"/>
    <n v="1"/>
    <n v="2"/>
    <n v="598"/>
    <n v="2"/>
    <n v="598"/>
    <n v="299"/>
    <n v="0"/>
    <n v="0"/>
    <n v="0"/>
    <n v="0.83732836644940412"/>
    <n v="0.670677280950151"/>
    <n v="0.202968124498072"/>
    <n v="0.80097284150790438"/>
    <n v="0.24239967571949736"/>
    <n v="0.30263157894736836"/>
    <n v="0"/>
    <n v="0"/>
    <n v="0"/>
    <n v="1"/>
  </r>
  <r>
    <x v="20"/>
    <s v="FC"/>
    <x v="7"/>
    <n v="5.9713730005373318"/>
    <n v="14.910300801948985"/>
    <n v="14731.377192325597"/>
    <n v="2.4969635627530362"/>
    <n v="2467"/>
    <n v="988"/>
    <n v="0.47770984004298656"/>
    <n v="0.23885492002149328"/>
    <n v="1.4928432501343329"/>
    <n v="9"/>
    <n v="18"/>
    <n v="24925.599999999999"/>
    <n v="2"/>
    <n v="2769.5111111111109"/>
    <n v="1384.7555555555555"/>
    <n v="0"/>
    <n v="0"/>
    <n v="0"/>
    <n v="1.5071910596089271"/>
    <n v="1.2072191057102717"/>
    <n v="1.6920074528391782"/>
    <n v="0.80097284150790438"/>
    <n v="1.1226230689546457"/>
    <n v="1.4015744489428699"/>
    <n v="0"/>
    <n v="0"/>
    <n v="0"/>
    <n v="1"/>
  </r>
  <r>
    <x v="20"/>
    <s v="FC"/>
    <x v="8"/>
    <n v="2.9856865002686659"/>
    <n v="7.4551504009744924"/>
    <n v="7365.6885961627986"/>
    <n v="2.4969635627530362"/>
    <n v="2467"/>
    <n v="988"/>
    <n v="0.23885492002149328"/>
    <n v="0.11942746001074664"/>
    <n v="0.74642162506716647"/>
    <n v="1"/>
    <n v="4"/>
    <n v="1718"/>
    <n v="4"/>
    <n v="1718"/>
    <n v="429.5"/>
    <n v="0"/>
    <n v="0"/>
    <n v="0"/>
    <n v="0.33493134657976159"/>
    <n v="0.53654182476012069"/>
    <n v="0.23324363738306869"/>
    <n v="1.6019456830158088"/>
    <n v="0.6963923794081881"/>
    <n v="0.43471659919028338"/>
    <n v="0"/>
    <n v="0"/>
    <n v="0"/>
    <n v="1"/>
  </r>
  <r>
    <x v="20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Partner"/>
    <x v="10"/>
    <n v="4.7770984004298649"/>
    <n v="11.928240641559187"/>
    <n v="11785.101753860477"/>
    <n v="2.4969635627530362"/>
    <n v="2467"/>
    <n v="988.00000000000011"/>
    <n v="0.38216787203438918"/>
    <n v="0.19108393601719459"/>
    <n v="1.1942746001074662"/>
    <n v="5"/>
    <n v="7"/>
    <n v="6939"/>
    <n v="1.4"/>
    <n v="1387.8"/>
    <n v="991.28571428571433"/>
    <n v="0"/>
    <n v="0"/>
    <n v="0"/>
    <n v="1.0466604580617551"/>
    <n v="0.58684262083138217"/>
    <n v="0.58879423741309433"/>
    <n v="0.5606809890555331"/>
    <n v="0.56254560194568304"/>
    <n v="1.0033256217466744"/>
    <n v="0"/>
    <n v="0"/>
    <n v="0"/>
    <n v="1"/>
  </r>
  <r>
    <x v="20"/>
    <s v="Partner"/>
    <x v="11"/>
    <n v="4.7770984004298649"/>
    <n v="11.928240641559187"/>
    <n v="11785.101753860477"/>
    <n v="2.4969635627530362"/>
    <n v="2467"/>
    <n v="988.00000000000011"/>
    <n v="0.38216787203438918"/>
    <n v="0.19108393601719459"/>
    <n v="1.1942746001074662"/>
    <n v="5"/>
    <n v="5"/>
    <n v="8177"/>
    <n v="1"/>
    <n v="1635.4"/>
    <n v="1635.4"/>
    <n v="0"/>
    <n v="0"/>
    <n v="0"/>
    <n v="1.0466604580617551"/>
    <n v="0.41917330059384439"/>
    <n v="0.69384212124612654"/>
    <n v="0.40048642075395219"/>
    <n v="0.66291041751114721"/>
    <n v="1.6552631578947368"/>
    <n v="0"/>
    <n v="0"/>
    <n v="0"/>
    <n v="1"/>
  </r>
  <r>
    <x v="2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0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SS"/>
    <x v="1"/>
    <n v="3.1790805681653946"/>
    <n v="7.938048341765211"/>
    <n v="7842.7917616640289"/>
    <n v="2.4969635627530362"/>
    <n v="2467"/>
    <n v="988"/>
    <n v="0.25432644545323158"/>
    <n v="0.12716322272661579"/>
    <n v="0.79477014204134866"/>
    <n v="9"/>
    <n v="20"/>
    <n v="12155.800000000001"/>
    <n v="2.2222222222222223"/>
    <n v="1350.6444444444446"/>
    <n v="607.79000000000008"/>
    <n v="0"/>
    <n v="0"/>
    <n v="0"/>
    <n v="2.8310072069654342"/>
    <n v="2.5195109854360664"/>
    <n v="1.5499327751398653"/>
    <n v="0.88996982389767165"/>
    <n v="0.54748457415664553"/>
    <n v="0.615172064777328"/>
    <n v="0"/>
    <n v="0"/>
    <n v="0"/>
    <n v="1"/>
  </r>
  <r>
    <x v="21"/>
    <s v="SS"/>
    <x v="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FC"/>
    <x v="3"/>
    <n v="6.3581611363307893"/>
    <n v="15.876096683530422"/>
    <n v="15685.583523328058"/>
    <n v="2.4969635627530362"/>
    <n v="2467"/>
    <n v="988"/>
    <n v="0.50865289090646315"/>
    <n v="0.25432644545323158"/>
    <n v="1.5895402840826973"/>
    <n v="8"/>
    <n v="15"/>
    <n v="27090"/>
    <n v="1.875"/>
    <n v="3386.25"/>
    <n v="1806"/>
    <n v="0"/>
    <n v="0"/>
    <n v="0"/>
    <n v="1.2582254253179708"/>
    <n v="0.94481661953852492"/>
    <n v="1.7270635778204211"/>
    <n v="0.75091203891366043"/>
    <n v="1.3726185650587759"/>
    <n v="1.8279352226720649"/>
    <n v="0"/>
    <n v="0"/>
    <n v="0"/>
    <n v="1"/>
  </r>
  <r>
    <x v="21"/>
    <s v="FC"/>
    <x v="4"/>
    <n v="1.9074483408992366"/>
    <n v="4.7628290050591264"/>
    <n v="4705.6750569984169"/>
    <n v="2.4969635627530367"/>
    <n v="2467"/>
    <n v="988"/>
    <n v="0.15259586727193894"/>
    <n v="7.629793363596947E-2"/>
    <n v="0.47686208522480916"/>
    <n v="4"/>
    <n v="13"/>
    <n v="4100"/>
    <n v="3.25"/>
    <n v="1025"/>
    <n v="315.38461538461536"/>
    <n v="0"/>
    <n v="0"/>
    <n v="0"/>
    <n v="2.0970423755299517"/>
    <n v="2.7294702342224055"/>
    <n v="0.87128838059108238"/>
    <n v="1.3015808674503444"/>
    <n v="0.41548439400081072"/>
    <n v="0.31921519775770785"/>
    <n v="0"/>
    <n v="0"/>
    <n v="0"/>
    <n v="1"/>
  </r>
  <r>
    <x v="21"/>
    <s v="FC"/>
    <x v="5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FC"/>
    <x v="6"/>
    <n v="3.1790805681653946"/>
    <n v="7.938048341765211"/>
    <n v="7842.7917616640289"/>
    <n v="2.4969635627530362"/>
    <n v="2467"/>
    <n v="988"/>
    <n v="0.25432644545323158"/>
    <n v="0.12716322272661579"/>
    <n v="0.79477014204134866"/>
    <n v="8"/>
    <n v="16"/>
    <n v="17655.96"/>
    <n v="2"/>
    <n v="2206.9949999999999"/>
    <n v="1103.4974999999999"/>
    <n v="0"/>
    <n v="0"/>
    <n v="0"/>
    <n v="2.5164508506359415"/>
    <n v="2.0156087883488532"/>
    <n v="2.2512340677337939"/>
    <n v="0.80097284150790438"/>
    <n v="0.8946068098905553"/>
    <n v="1.1169003036437246"/>
    <n v="0"/>
    <n v="0"/>
    <n v="0"/>
    <n v="1"/>
  </r>
  <r>
    <x v="21"/>
    <s v="FC"/>
    <x v="7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FC"/>
    <x v="8"/>
    <n v="6.3581611363307893"/>
    <n v="15.876096683530422"/>
    <n v="15685.583523328058"/>
    <n v="2.4969635627530362"/>
    <n v="2467"/>
    <n v="988"/>
    <n v="0.50865289090646315"/>
    <n v="0.25432644545323158"/>
    <n v="1.5895402840826973"/>
    <n v="5"/>
    <n v="13"/>
    <n v="19278.150000000001"/>
    <n v="2.6"/>
    <n v="3855.63"/>
    <n v="1482.9346153846154"/>
    <n v="0"/>
    <n v="0"/>
    <n v="0"/>
    <n v="0.78639089082373181"/>
    <n v="0.81884107026672159"/>
    <n v="1.2290362020213641"/>
    <n v="1.0412646939602759"/>
    <n v="1.5628820429671666"/>
    <n v="1.500945966988477"/>
    <n v="0"/>
    <n v="0"/>
    <n v="0"/>
    <n v="1"/>
  </r>
  <r>
    <x v="21"/>
    <s v="Partner"/>
    <x v="9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Partner"/>
    <x v="10"/>
    <n v="5.0865289090646311"/>
    <n v="12.700877346824337"/>
    <n v="12548.466818662444"/>
    <n v="2.4969635627530362"/>
    <n v="2467"/>
    <n v="988"/>
    <n v="0.40692231272517049"/>
    <n v="0.20346115636258524"/>
    <n v="1.2716322272661578"/>
    <n v="4"/>
    <n v="19"/>
    <n v="19714.7"/>
    <n v="4.75"/>
    <n v="4928.6750000000002"/>
    <n v="1037.6157894736843"/>
    <n v="0"/>
    <n v="0"/>
    <n v="0"/>
    <n v="0.78639089082373181"/>
    <n v="1.4959596476026646"/>
    <n v="1.5710843631255196"/>
    <n v="1.9023104985812729"/>
    <n v="1.9978415079043372"/>
    <n v="1.050218410398466"/>
    <n v="0"/>
    <n v="0"/>
    <n v="0"/>
    <n v="1"/>
  </r>
  <r>
    <x v="21"/>
    <s v="Partner"/>
    <x v="11"/>
    <n v="5.0865289090646311"/>
    <n v="12.700877346824337"/>
    <n v="12548.466818662444"/>
    <n v="2.4969635627530362"/>
    <n v="2467"/>
    <n v="988"/>
    <n v="0.40692231272517049"/>
    <n v="0.20346115636258524"/>
    <n v="1.2716322272661578"/>
    <n v="4"/>
    <n v="10"/>
    <n v="13386.600000000002"/>
    <n v="2.5"/>
    <n v="3346.6500000000005"/>
    <n v="1338.6600000000003"/>
    <n v="0"/>
    <n v="0"/>
    <n v="0"/>
    <n v="0.78639089082373181"/>
    <n v="0.78734718294877082"/>
    <n v="1.0667916800872488"/>
    <n v="1.0012160518848805"/>
    <n v="1.3565666801783545"/>
    <n v="1.3549190283400814"/>
    <n v="0"/>
    <n v="0"/>
    <n v="0"/>
    <n v="1"/>
  </r>
  <r>
    <x v="21"/>
    <s v="NA"/>
    <x v="12"/>
    <n v="0"/>
    <n v="0"/>
    <n v="0"/>
    <e v="#DIV/0!"/>
    <e v="#DIV/0!"/>
    <e v="#DIV/0!"/>
    <n v="0"/>
    <n v="0"/>
    <n v="0"/>
    <n v="1"/>
    <n v="-1"/>
    <n v="-1999.2"/>
    <n v="-1"/>
    <n v="-1999.2"/>
    <n v="1999.2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1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SS"/>
    <x v="2"/>
    <n v="6.1088214839256603"/>
    <n v="15.253504656725307"/>
    <n v="15070.462600844603"/>
    <n v="2.4969635627530362"/>
    <n v="2467"/>
    <n v="988"/>
    <n v="0.48870571871405283"/>
    <n v="0.24435285935702641"/>
    <n v="1.5272053709814151"/>
    <n v="11"/>
    <n v="23"/>
    <n v="20200.2"/>
    <n v="2.0909090909090908"/>
    <n v="1836.3818181818183"/>
    <n v="878.26956521739135"/>
    <n v="0"/>
    <n v="0"/>
    <n v="0"/>
    <n v="1.800674652049443"/>
    <n v="1.5078501968961766"/>
    <n v="1.3403835393127155"/>
    <n v="0.83738069794008185"/>
    <n v="0.74437852378671188"/>
    <n v="0.88893680690019372"/>
    <n v="0"/>
    <n v="0"/>
    <n v="0"/>
    <n v="1"/>
  </r>
  <r>
    <x v="22"/>
    <s v="FC"/>
    <x v="3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FC"/>
    <x v="4"/>
    <n v="1.8326464451776976"/>
    <n v="4.5760513970175909"/>
    <n v="4521.13878025338"/>
    <n v="2.4969635627530362"/>
    <n v="2467"/>
    <n v="988"/>
    <n v="0.14661171561421582"/>
    <n v="7.330585780710791E-2"/>
    <n v="0.4581616112944244"/>
    <n v="5"/>
    <n v="6"/>
    <n v="2921.2"/>
    <n v="1.2"/>
    <n v="584.24"/>
    <n v="486.86666666666662"/>
    <n v="0"/>
    <n v="0"/>
    <n v="0"/>
    <n v="2.7282949273476413"/>
    <n v="1.3111740842575452"/>
    <n v="0.64612040062974707"/>
    <n v="0.48058370490474261"/>
    <n v="0.23682205107417917"/>
    <n v="0.49278002699055323"/>
    <n v="0"/>
    <n v="0"/>
    <n v="0"/>
    <n v="1"/>
  </r>
  <r>
    <x v="22"/>
    <s v="FC"/>
    <x v="5"/>
    <n v="4.2761750387479616"/>
    <n v="10.677453259707715"/>
    <n v="10549.323820591222"/>
    <n v="2.4969635627530367"/>
    <n v="2467"/>
    <n v="988"/>
    <n v="0.34209400309983695"/>
    <n v="0.17104700154991848"/>
    <n v="1.0690437596869904"/>
    <n v="3"/>
    <n v="6"/>
    <n v="9034.4"/>
    <n v="2"/>
    <n v="3011.4666666666667"/>
    <n v="1505.7333333333333"/>
    <n v="0"/>
    <n v="0"/>
    <n v="0"/>
    <n v="0.70156155274653631"/>
    <n v="0.56193175039609067"/>
    <n v="0.856396121082733"/>
    <n v="0.80097284150790427"/>
    <n v="1.2206999054181868"/>
    <n v="1.524021592442645"/>
    <n v="0"/>
    <n v="0"/>
    <n v="0"/>
    <n v="1"/>
  </r>
  <r>
    <x v="22"/>
    <s v="FC"/>
    <x v="6"/>
    <n v="3.0544107419628301"/>
    <n v="7.6267523283626533"/>
    <n v="7535.2313004223015"/>
    <n v="2.4969635627530362"/>
    <n v="2467"/>
    <n v="988"/>
    <n v="0.24435285935702641"/>
    <n v="0.12217642967851321"/>
    <n v="0.76360268549070753"/>
    <n v="5"/>
    <n v="11"/>
    <n v="9446.51"/>
    <n v="2.2000000000000002"/>
    <n v="1889.3020000000001"/>
    <n v="858.77363636363634"/>
    <n v="0"/>
    <n v="0"/>
    <n v="0"/>
    <n v="1.6369769564085845"/>
    <n v="1.4422914926832993"/>
    <n v="1.2536456577611073"/>
    <n v="0.88107012565869491"/>
    <n v="0.76582975273611675"/>
    <n v="0.86920408538829586"/>
    <n v="0"/>
    <n v="0"/>
    <n v="0"/>
    <n v="1"/>
  </r>
  <r>
    <x v="22"/>
    <s v="FC"/>
    <x v="7"/>
    <n v="6.1088214839256603"/>
    <n v="15.253504656725307"/>
    <n v="15070.462600844603"/>
    <n v="2.4969635627530362"/>
    <n v="2467"/>
    <n v="988"/>
    <n v="0.48870571871405283"/>
    <n v="0.24435285935702641"/>
    <n v="1.5272053709814151"/>
    <n v="7"/>
    <n v="11"/>
    <n v="20266.300000000003"/>
    <n v="1.5714285714285714"/>
    <n v="2895.1857142857148"/>
    <n v="1842.3909090909094"/>
    <n v="0"/>
    <n v="0"/>
    <n v="0"/>
    <n v="1.1458838694860092"/>
    <n v="0.72114574634164963"/>
    <n v="1.3447696024184557"/>
    <n v="0.62933580404192491"/>
    <n v="1.1735653483120043"/>
    <n v="1.8647681266102323"/>
    <n v="0"/>
    <n v="0"/>
    <n v="0"/>
    <n v="1"/>
  </r>
  <r>
    <x v="22"/>
    <s v="FC"/>
    <x v="8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Partner"/>
    <x v="9"/>
    <n v="4.8870571871405275"/>
    <n v="12.202803725380246"/>
    <n v="12056.370080675682"/>
    <n v="2.4969635627530367"/>
    <n v="2467"/>
    <n v="988"/>
    <n v="0.39096457497124221"/>
    <n v="0.1954822874856211"/>
    <n v="1.2217642967851319"/>
    <n v="2"/>
    <n v="7"/>
    <n v="7993"/>
    <n v="3.5"/>
    <n v="3996.5"/>
    <n v="1141.8571428571429"/>
    <n v="0"/>
    <n v="0"/>
    <n v="0"/>
    <n v="0.40924423910214619"/>
    <n v="0.57363866186267587"/>
    <n v="0.66296903184909894"/>
    <n v="1.4017024726388325"/>
    <n v="1.6199837859748683"/>
    <n v="1.1557258530942742"/>
    <n v="0"/>
    <n v="0"/>
    <n v="0"/>
    <n v="1"/>
  </r>
  <r>
    <x v="22"/>
    <s v="Partner"/>
    <x v="1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Partner"/>
    <x v="11"/>
    <n v="4.8870571871405275"/>
    <n v="12.202803725380246"/>
    <n v="12056.370080675682"/>
    <n v="2.4969635627530367"/>
    <n v="2467"/>
    <n v="988"/>
    <n v="0.39096457497124221"/>
    <n v="0.1954822874856211"/>
    <n v="1.2217642967851319"/>
    <n v="4"/>
    <n v="5"/>
    <n v="9195"/>
    <n v="1.25"/>
    <n v="2298.75"/>
    <n v="1839"/>
    <n v="0"/>
    <n v="0"/>
    <n v="0"/>
    <n v="0.81848847820429238"/>
    <n v="0.40974190133048277"/>
    <n v="0.76266736492586817"/>
    <n v="0.50060802594244014"/>
    <n v="0.93179975678962301"/>
    <n v="1.8613360323886641"/>
    <n v="0"/>
    <n v="0"/>
    <n v="0"/>
    <n v="1"/>
  </r>
  <r>
    <x v="22"/>
    <s v="NA"/>
    <x v="12"/>
    <n v="0"/>
    <n v="0"/>
    <n v="0"/>
    <e v="#DIV/0!"/>
    <e v="#DIV/0!"/>
    <e v="#DIV/0!"/>
    <n v="0"/>
    <n v="0"/>
    <n v="0"/>
    <n v="2"/>
    <n v="0"/>
    <n v="-4806.1899999999996"/>
    <n v="0"/>
    <n v="-2403.0949999999998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2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3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3"/>
    <s v="SS"/>
    <x v="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3"/>
    <s v="SS"/>
    <x v="2"/>
    <n v="4.9791079218298178"/>
    <n v="12.432651055824049"/>
    <n v="12283.459243154161"/>
    <n v="2.4969635627530367"/>
    <n v="2467"/>
    <n v="988"/>
    <n v="0.39832863374638544"/>
    <n v="0.19916431687319272"/>
    <n v="1.2447769804574544"/>
    <n v="7"/>
    <n v="15"/>
    <n v="21476.51"/>
    <n v="2.1428571428571428"/>
    <n v="3068.0728571428567"/>
    <n v="1431.7673333333332"/>
    <n v="0"/>
    <n v="0"/>
    <n v="0"/>
    <n v="1.4058743272685494"/>
    <n v="1.2065005229092536"/>
    <n v="1.7484089436751562"/>
    <n v="0.85818518732989735"/>
    <n v="1.2436452602930104"/>
    <n v="1.4491572199730094"/>
    <n v="0"/>
    <n v="0"/>
    <n v="0"/>
    <n v="1"/>
  </r>
  <r>
    <x v="23"/>
    <s v="FC"/>
    <x v="3"/>
    <n v="4.9791079218298178"/>
    <n v="12.432651055824049"/>
    <n v="12283.459243154161"/>
    <n v="2.4969635627530367"/>
    <n v="2467"/>
    <n v="988"/>
    <n v="0.39832863374638544"/>
    <n v="0.19916431687319272"/>
    <n v="1.2447769804574544"/>
    <n v="11"/>
    <n v="25"/>
    <n v="26756.7"/>
    <n v="2.2727272727272729"/>
    <n v="2432.4272727272728"/>
    <n v="1070.268"/>
    <n v="0"/>
    <n v="0"/>
    <n v="0"/>
    <n v="2.2092310857077204"/>
    <n v="2.0108342048487562"/>
    <n v="2.1782707517763851"/>
    <n v="0.9101964108044367"/>
    <n v="0.98598592327818113"/>
    <n v="1.0832672064777329"/>
    <n v="0"/>
    <n v="0"/>
    <n v="0"/>
    <n v="1"/>
  </r>
  <r>
    <x v="23"/>
    <s v="FC"/>
    <x v="4"/>
    <n v="1.4937323765489454"/>
    <n v="3.7297953167472149"/>
    <n v="3685.0377729462484"/>
    <n v="2.4969635627530362"/>
    <n v="2467"/>
    <n v="988"/>
    <n v="0.11949859012391563"/>
    <n v="5.9749295061957815E-2"/>
    <n v="0.37343309413723635"/>
    <n v="4"/>
    <n v="8"/>
    <n v="6545.7999999999993"/>
    <n v="2"/>
    <n v="1636.4499999999998"/>
    <n v="818.22499999999991"/>
    <n v="0"/>
    <n v="0"/>
    <n v="0"/>
    <n v="2.6778558614639034"/>
    <n v="2.14488981850534"/>
    <n v="1.7763182912414286"/>
    <n v="0.80097284150790438"/>
    <n v="0.6633360356708552"/>
    <n v="0.82816295546558694"/>
    <n v="0"/>
    <n v="0"/>
    <n v="0"/>
    <n v="1"/>
  </r>
  <r>
    <x v="23"/>
    <s v="FC"/>
    <x v="5"/>
    <n v="3.4853755452808728"/>
    <n v="8.7028557390768349"/>
    <n v="8598.4214702079134"/>
    <n v="2.4969635627530362"/>
    <n v="2467"/>
    <n v="988.00000000000011"/>
    <n v="0.27883004362246983"/>
    <n v="0.13941502181123491"/>
    <n v="0.8713438863202182"/>
    <n v="9"/>
    <n v="14"/>
    <n v="6632.6"/>
    <n v="1.5555555555555556"/>
    <n v="736.95555555555563"/>
    <n v="473.75714285714287"/>
    <n v="0"/>
    <n v="0"/>
    <n v="0"/>
    <n v="2.5822181521259067"/>
    <n v="1.6086673638790048"/>
    <n v="0.77137414384498892"/>
    <n v="0.62297887672837016"/>
    <n v="0.29872539746881055"/>
    <n v="0.47951127819548867"/>
    <n v="0"/>
    <n v="0"/>
    <n v="0"/>
    <n v="1"/>
  </r>
  <r>
    <x v="23"/>
    <s v="FC"/>
    <x v="6"/>
    <n v="2.4895539609149089"/>
    <n v="6.2163255279120246"/>
    <n v="6141.7296215770803"/>
    <n v="2.4969635627530367"/>
    <n v="2467"/>
    <n v="988"/>
    <n v="0.19916431687319272"/>
    <n v="9.958215843659636E-2"/>
    <n v="0.62238849022872722"/>
    <n v="7"/>
    <n v="17"/>
    <n v="13550.199999999999"/>
    <n v="2.4285714285714284"/>
    <n v="1935.742857142857"/>
    <n v="797.07058823529405"/>
    <n v="0"/>
    <n v="0"/>
    <n v="0"/>
    <n v="2.8117486545370989"/>
    <n v="2.7347345185943084"/>
    <n v="2.2062514690317094"/>
    <n v="0.97260987897388362"/>
    <n v="0.7846545833574613"/>
    <n v="0.80675160752560127"/>
    <n v="0"/>
    <n v="0"/>
    <n v="0"/>
    <n v="1"/>
  </r>
  <r>
    <x v="23"/>
    <s v="FC"/>
    <x v="7"/>
    <n v="4.9791079218298178"/>
    <n v="12.432651055824049"/>
    <n v="12283.459243154161"/>
    <n v="2.4969635627530367"/>
    <n v="2467"/>
    <n v="988"/>
    <n v="0.39832863374638544"/>
    <n v="0.19916431687319272"/>
    <n v="1.2447769804574544"/>
    <n v="5"/>
    <n v="13"/>
    <n v="8803.6"/>
    <n v="2.6"/>
    <n v="1760.72"/>
    <n v="677.2"/>
    <n v="0"/>
    <n v="0"/>
    <n v="0"/>
    <n v="1.0041959480489639"/>
    <n v="1.0456337865213532"/>
    <n v="0.7167036439597777"/>
    <n v="1.0412646939602757"/>
    <n v="0.71370895824888525"/>
    <n v="0.68542510121457489"/>
    <n v="0"/>
    <n v="0"/>
    <n v="0"/>
    <n v="1"/>
  </r>
  <r>
    <x v="23"/>
    <s v="FC"/>
    <x v="8"/>
    <n v="4.9791079218298178"/>
    <n v="12.432651055824049"/>
    <n v="12283.459243154161"/>
    <n v="2.4969635627530367"/>
    <n v="2467"/>
    <n v="988"/>
    <n v="0.39832863374638544"/>
    <n v="0.19916431687319272"/>
    <n v="1.2447769804574544"/>
    <n v="8"/>
    <n v="16"/>
    <n v="19893.400000000001"/>
    <n v="2"/>
    <n v="2486.6750000000002"/>
    <n v="1243.3375000000001"/>
    <n v="0"/>
    <n v="0"/>
    <n v="0"/>
    <n v="1.6067135168783422"/>
    <n v="1.286933891103204"/>
    <n v="1.6195274967910223"/>
    <n v="0.80097284150790427"/>
    <n v="1.0079752736116743"/>
    <n v="1.2584387651821862"/>
    <n v="0"/>
    <n v="0"/>
    <n v="0"/>
    <n v="1"/>
  </r>
  <r>
    <x v="23"/>
    <s v="Partner"/>
    <x v="9"/>
    <n v="4.9791079218298178"/>
    <n v="12.432651055824049"/>
    <n v="12283.459243154161"/>
    <n v="2.4969635627530367"/>
    <n v="2467"/>
    <n v="988"/>
    <n v="0.39832863374638544"/>
    <n v="0.19916431687319272"/>
    <n v="1.2447769804574544"/>
    <n v="4"/>
    <n v="7"/>
    <n v="6705.75"/>
    <n v="1.75"/>
    <n v="1676.4375"/>
    <n v="957.96428571428567"/>
    <n v="0"/>
    <n v="0"/>
    <n v="0"/>
    <n v="0.80335675843917109"/>
    <n v="0.56303357735765169"/>
    <n v="0.54591706352892899"/>
    <n v="0.70085123631941626"/>
    <n v="0.67954499391974055"/>
    <n v="0.96959947946790048"/>
    <n v="0"/>
    <n v="0"/>
    <n v="0"/>
    <n v="1"/>
  </r>
  <r>
    <x v="23"/>
    <s v="Partner"/>
    <x v="10"/>
    <n v="3.9832863374638547"/>
    <n v="9.9461208446592408"/>
    <n v="9826.7673945233291"/>
    <n v="2.4969635627530367"/>
    <n v="2467"/>
    <n v="987.99999999999989"/>
    <n v="0.31866290699710836"/>
    <n v="0.15933145349855418"/>
    <n v="0.99582158436596369"/>
    <n v="3"/>
    <n v="12"/>
    <n v="10488"/>
    <n v="4"/>
    <n v="3496"/>
    <n v="874"/>
    <n v="0"/>
    <n v="0"/>
    <n v="0"/>
    <n v="0.75314696103672274"/>
    <n v="1.2065005229092536"/>
    <n v="1.067288924112032"/>
    <n v="1.6019456830158085"/>
    <n v="1.4171057965139846"/>
    <n v="0.88461538461538469"/>
    <n v="0"/>
    <n v="0"/>
    <n v="0"/>
    <n v="1"/>
  </r>
  <r>
    <x v="23"/>
    <s v="Partner"/>
    <x v="11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3"/>
    <s v="NA"/>
    <x v="12"/>
    <n v="0"/>
    <n v="0"/>
    <n v="0"/>
    <e v="#DIV/0!"/>
    <e v="#DIV/0!"/>
    <e v="#DIV/0!"/>
    <n v="0"/>
    <n v="0"/>
    <n v="0"/>
    <n v="2"/>
    <n v="0"/>
    <n v="-9800"/>
    <n v="0"/>
    <n v="-4900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3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3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4"/>
    <s v="DSM"/>
    <x v="0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4"/>
    <s v="SS"/>
    <x v="1"/>
    <n v="2.3746181073186623"/>
    <n v="5.9293348894282794"/>
    <n v="5858.1828707551404"/>
    <n v="2.4969635627530367"/>
    <n v="2467"/>
    <n v="988.00000000000011"/>
    <n v="0.189969448585493"/>
    <n v="9.49847242927465E-2"/>
    <n v="0.59365452682966557"/>
    <n v="1"/>
    <n v="1"/>
    <n v="699"/>
    <n v="1"/>
    <n v="699"/>
    <n v="699"/>
    <n v="0"/>
    <n v="0"/>
    <n v="0"/>
    <n v="0.42112034643295376"/>
    <n v="0.16865298024959802"/>
    <n v="0.11932027651262045"/>
    <n v="0.40048642075395213"/>
    <n v="0.28334008917713821"/>
    <n v="0.70748987854251"/>
    <n v="0"/>
    <n v="0"/>
    <n v="0"/>
    <n v="1"/>
  </r>
  <r>
    <x v="24"/>
    <s v="SS"/>
    <x v="2"/>
    <n v="4.7492362146373246"/>
    <n v="11.858669778856559"/>
    <n v="11716.365741510281"/>
    <n v="2.4969635627530367"/>
    <n v="2467"/>
    <n v="988.00000000000011"/>
    <n v="0.379938897170986"/>
    <n v="0.189969448585493"/>
    <n v="1.1873090536593311"/>
    <n v="5"/>
    <n v="15"/>
    <n v="14482"/>
    <n v="3"/>
    <n v="2896.4"/>
    <n v="965.4666666666667"/>
    <n v="0"/>
    <n v="0"/>
    <n v="0"/>
    <n v="1.0528008660823844"/>
    <n v="1.264897351871985"/>
    <n v="1.2360488157766589"/>
    <n v="1.2014592622618565"/>
    <n v="1.1740575597892178"/>
    <n v="0.97719298245614028"/>
    <n v="0"/>
    <n v="0"/>
    <n v="0"/>
    <n v="1"/>
  </r>
  <r>
    <x v="24"/>
    <s v="FC"/>
    <x v="3"/>
    <n v="4.7492362146373246"/>
    <n v="11.858669778856559"/>
    <n v="11716.365741510281"/>
    <n v="2.4969635627530367"/>
    <n v="2467"/>
    <n v="988.00000000000011"/>
    <n v="0.379938897170986"/>
    <n v="0.189969448585493"/>
    <n v="1.1873090536593311"/>
    <n v="6"/>
    <n v="10"/>
    <n v="13361"/>
    <n v="1.6666666666666667"/>
    <n v="2226.8333333333335"/>
    <n v="1336.1"/>
    <n v="0"/>
    <n v="0"/>
    <n v="0"/>
    <n v="1.2633610392988612"/>
    <n v="0.84326490124799003"/>
    <n v="1.1403706827504447"/>
    <n v="0.66747736792325363"/>
    <n v="0.90264829077151743"/>
    <n v="1.3523279352226718"/>
    <n v="0"/>
    <n v="0"/>
    <n v="0"/>
    <n v="1"/>
  </r>
  <r>
    <x v="24"/>
    <s v="FC"/>
    <x v="4"/>
    <n v="1.4247708643911976"/>
    <n v="3.5576009336569676"/>
    <n v="3514.9097224530842"/>
    <n v="2.4969635627530362"/>
    <n v="2467"/>
    <n v="988.00000000000011"/>
    <n v="0.11398166915129582"/>
    <n v="5.6990834575647908E-2"/>
    <n v="0.3561927160977994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n v="1"/>
  </r>
  <r>
    <x v="24"/>
    <s v="FC"/>
    <x v="5"/>
    <n v="3.3244653502461272"/>
    <n v="8.3010688451995911"/>
    <n v="8201.4560190571956"/>
    <n v="2.4969635627530367"/>
    <n v="2467"/>
    <n v="988"/>
    <n v="0.26595722801969018"/>
    <n v="0.13297861400984509"/>
    <n v="0.8311163375615318"/>
    <n v="3"/>
    <n v="4"/>
    <n v="2434.5"/>
    <n v="1.3333333333333333"/>
    <n v="811.5"/>
    <n v="608.625"/>
    <n v="0"/>
    <n v="0"/>
    <n v="0"/>
    <n v="0.9024007423563295"/>
    <n v="0.48186565785599433"/>
    <n v="0.2968375364500046"/>
    <n v="0.53398189433860277"/>
    <n v="0.32894203486015405"/>
    <n v="0.61601720647773284"/>
    <n v="0"/>
    <n v="0"/>
    <n v="0"/>
    <n v="1"/>
  </r>
  <r>
    <x v="24"/>
    <s v="FC"/>
    <x v="6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4"/>
    <s v="FC"/>
    <x v="7"/>
    <n v="4.7492362146373246"/>
    <n v="11.858669778856559"/>
    <n v="11716.365741510281"/>
    <n v="2.4969635627530367"/>
    <n v="2467"/>
    <n v="988.00000000000011"/>
    <n v="0.379938897170986"/>
    <n v="0.189969448585493"/>
    <n v="1.1873090536593311"/>
    <n v="9"/>
    <n v="26"/>
    <n v="17428.75"/>
    <n v="2.8888888888888888"/>
    <n v="1936.5277777777778"/>
    <n v="670.33653846153845"/>
    <n v="0"/>
    <n v="0"/>
    <n v="0"/>
    <n v="1.8950415589482918"/>
    <n v="2.1924887432447742"/>
    <n v="1.4875559866018124"/>
    <n v="1.1569607710669727"/>
    <n v="0.78497275142998701"/>
    <n v="0.6784782777950793"/>
    <n v="0"/>
    <n v="0"/>
    <n v="0"/>
    <n v="1"/>
  </r>
  <r>
    <x v="24"/>
    <s v="FC"/>
    <x v="8"/>
    <n v="4.7492362146373246"/>
    <n v="11.858669778856559"/>
    <n v="11716.365741510281"/>
    <n v="2.4969635627530367"/>
    <n v="2467"/>
    <n v="988.00000000000011"/>
    <n v="0.379938897170986"/>
    <n v="0.189969448585493"/>
    <n v="1.1873090536593311"/>
    <n v="8"/>
    <n v="19"/>
    <n v="21272.030000000002"/>
    <n v="2.375"/>
    <n v="2659.0037500000003"/>
    <n v="1119.5805263157897"/>
    <n v="0"/>
    <n v="0"/>
    <n v="0"/>
    <n v="1.6844813857318151"/>
    <n v="1.6022033123711812"/>
    <n v="1.8155826191593403"/>
    <n v="0.95115524929063633"/>
    <n v="1.0778288406972032"/>
    <n v="1.133178670360111"/>
    <n v="0"/>
    <n v="0"/>
    <n v="0"/>
    <n v="1"/>
  </r>
  <r>
    <x v="24"/>
    <s v="Partner"/>
    <x v="9"/>
    <n v="4.274312593173593"/>
    <n v="10.672802800970905"/>
    <n v="10544.729167359254"/>
    <n v="2.4969635627530362"/>
    <n v="2467"/>
    <n v="988"/>
    <n v="0.34194500745388745"/>
    <n v="0.17097250372694373"/>
    <n v="1.0685781482933983"/>
    <n v="4"/>
    <n v="6"/>
    <n v="3295"/>
    <n v="1.5"/>
    <n v="823.75"/>
    <n v="549.16666666666663"/>
    <n v="0"/>
    <n v="0"/>
    <n v="0"/>
    <n v="0.93582299207323039"/>
    <n v="0.56217660083199328"/>
    <n v="0.31247839064463862"/>
    <n v="0.60072963113092825"/>
    <n v="0.33390758005674909"/>
    <n v="0.55583670715249656"/>
    <n v="0"/>
    <n v="0"/>
    <n v="0"/>
    <n v="1"/>
  </r>
  <r>
    <x v="24"/>
    <s v="Partner"/>
    <x v="10"/>
    <n v="4.274312593173593"/>
    <n v="10.672802800970905"/>
    <n v="10544.729167359254"/>
    <n v="2.4969635627530362"/>
    <n v="2467"/>
    <n v="988"/>
    <n v="0.34194500745388745"/>
    <n v="0.17097250372694373"/>
    <n v="1.0685781482933983"/>
    <n v="6"/>
    <n v="12"/>
    <n v="12919.82"/>
    <n v="2"/>
    <n v="2153.3033333333333"/>
    <n v="1076.6516666666666"/>
    <n v="0"/>
    <n v="0"/>
    <n v="0"/>
    <n v="1.4037344881098455"/>
    <n v="1.1243532016639866"/>
    <n v="1.2252396239813097"/>
    <n v="0.80097284150790438"/>
    <n v="0.87284285907309822"/>
    <n v="1.089728407557355"/>
    <n v="0"/>
    <n v="0"/>
    <n v="0"/>
    <n v="1"/>
  </r>
  <r>
    <x v="24"/>
    <s v="Partner"/>
    <x v="11"/>
    <n v="4.274312593173593"/>
    <n v="10.672802800970905"/>
    <n v="10544.729167359254"/>
    <n v="2.4969635627530362"/>
    <n v="2467"/>
    <n v="988"/>
    <n v="0.34194500745388745"/>
    <n v="0.17097250372694373"/>
    <n v="1.0685781482933983"/>
    <n v="4"/>
    <n v="7"/>
    <n v="11952.74"/>
    <n v="1.75"/>
    <n v="2988.1849999999999"/>
    <n v="1707.5342857142857"/>
    <n v="0"/>
    <n v="0"/>
    <n v="0"/>
    <n v="0.93582299207323039"/>
    <n v="0.65587270097065886"/>
    <n v="1.1335274534123818"/>
    <n v="0.70085123631941637"/>
    <n v="1.211262667207134"/>
    <n v="1.7282735685367265"/>
    <n v="0"/>
    <n v="0"/>
    <n v="0"/>
    <n v="1"/>
  </r>
  <r>
    <x v="24"/>
    <s v="NA"/>
    <x v="12"/>
    <n v="0"/>
    <n v="0"/>
    <n v="0"/>
    <e v="#DIV/0!"/>
    <e v="#DIV/0!"/>
    <e v="#DIV/0!"/>
    <n v="0"/>
    <n v="0"/>
    <n v="0"/>
    <n v="2"/>
    <n v="0"/>
    <n v="-1106.19"/>
    <n v="0"/>
    <n v="-553.09500000000003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4"/>
    <s v="NA"/>
    <x v="12"/>
    <n v="0"/>
    <n v="0"/>
    <n v="0"/>
    <e v="#DIV/0!"/>
    <e v="#DIV/0!"/>
    <e v="#DIV/0!"/>
    <n v="0"/>
    <n v="0"/>
    <n v="0"/>
    <n v="0"/>
    <n v="0"/>
    <n v="0"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5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6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7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8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29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DSM"/>
    <x v="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SS"/>
    <x v="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SS"/>
    <x v="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FC"/>
    <x v="3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FC"/>
    <x v="4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FC"/>
    <x v="5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FC"/>
    <x v="6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FC"/>
    <x v="7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FC"/>
    <x v="8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Partner"/>
    <x v="9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Partner"/>
    <x v="10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Partner"/>
    <x v="11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0"/>
    <s v="NA"/>
    <x v="12"/>
    <n v="0"/>
    <n v="0"/>
    <m/>
    <e v="#DIV/0!"/>
    <e v="#DIV/0!"/>
    <e v="#DIV/0!"/>
    <n v="0"/>
    <n v="0"/>
    <n v="0"/>
    <m/>
    <m/>
    <m/>
    <e v="#DIV/0!"/>
    <e v="#DIV/0!"/>
    <e v="#DIV/0!"/>
    <n v="0"/>
    <n v="0"/>
    <n v="0"/>
    <e v="#DIV/0!"/>
    <e v="#DIV/0!"/>
    <e v="#DIV/0!"/>
    <e v="#DIV/0!"/>
    <e v="#DIV/0!"/>
    <e v="#DIV/0!"/>
    <e v="#DIV/0!"/>
    <e v="#DIV/0!"/>
    <e v="#DIV/0!"/>
    <n v="0"/>
  </r>
  <r>
    <x v="31"/>
    <m/>
    <x v="13"/>
    <n v="994.36341704599954"/>
    <n v="2482.88922049846"/>
    <n v="2453094.5498524797"/>
    <n v="2.496963562753034"/>
    <n v="2466.9999999999986"/>
    <n v="988.00000000000057"/>
    <n v="26.735135047970964"/>
    <n v="13.367567523985482"/>
    <n v="83.547297024909255"/>
    <n v="1021"/>
    <n v="2280"/>
    <n v="2386241.4999999991"/>
    <n v="2.2331047992164543"/>
    <n v="2337.1611165523987"/>
    <n v="1046.5971491228065"/>
    <n v="0"/>
    <n v="0"/>
    <n v="0"/>
    <n v="1.0267875733332297"/>
    <n v="0.9182850290607294"/>
    <n v="0.97274746305375759"/>
    <n v="0.89432814820667172"/>
    <n v="0.94736972701759214"/>
    <n v="1.0593088553874555"/>
    <n v="0"/>
    <n v="0"/>
    <n v="0"/>
    <n v="1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16" firstHeaderRow="0" firstDataRow="1" firstDataCol="1" rowPageCount="1" colPageCount="1"/>
  <pivotFields count="31">
    <pivotField axis="axisPage" multipleItemSelectionAllowed="1" showAll="0">
      <items count="187">
        <item m="1" x="140"/>
        <item m="1" x="102"/>
        <item m="1" x="63"/>
        <item m="1" x="177"/>
        <item m="1" x="137"/>
        <item m="1" x="99"/>
        <item m="1" x="60"/>
        <item m="1" x="174"/>
        <item m="1" x="135"/>
        <item m="1" x="97"/>
        <item m="1" x="58"/>
        <item m="1" x="172"/>
        <item m="1" x="133"/>
        <item m="1" x="95"/>
        <item m="1" x="56"/>
        <item m="1" x="170"/>
        <item m="1" x="131"/>
        <item m="1" x="92"/>
        <item m="1" x="53"/>
        <item m="1" x="166"/>
        <item m="1" x="127"/>
        <item m="1" x="88"/>
        <item m="1" x="49"/>
        <item m="1" x="162"/>
        <item m="1" x="123"/>
        <item m="1" x="84"/>
        <item m="1" x="45"/>
        <item m="1" x="158"/>
        <item m="1" x="120"/>
        <item m="1" x="81"/>
        <item m="1" x="42"/>
        <item x="31"/>
        <item m="1" x="168"/>
        <item m="1" x="129"/>
        <item m="1" x="90"/>
        <item m="1" x="51"/>
        <item m="1" x="164"/>
        <item m="1" x="125"/>
        <item m="1" x="86"/>
        <item m="1" x="47"/>
        <item m="1" x="160"/>
        <item m="1" x="121"/>
        <item m="1" x="82"/>
        <item m="1" x="43"/>
        <item m="1" x="156"/>
        <item m="1" x="118"/>
        <item m="1" x="79"/>
        <item m="1" x="40"/>
        <item m="1" x="154"/>
        <item m="1" x="115"/>
        <item m="1" x="76"/>
        <item m="1" x="36"/>
        <item m="1" x="151"/>
        <item m="1" x="112"/>
        <item m="1" x="73"/>
        <item m="1" x="33"/>
        <item m="1" x="148"/>
        <item m="1" x="109"/>
        <item m="1" x="70"/>
        <item m="1" x="184"/>
        <item m="1" x="145"/>
        <item m="1" x="107"/>
        <item m="1" x="38"/>
        <item m="1" x="67"/>
        <item m="1" x="181"/>
        <item m="1" x="142"/>
        <item m="1" x="104"/>
        <item m="1" x="65"/>
        <item m="1" x="179"/>
        <item m="1" x="139"/>
        <item m="1" x="101"/>
        <item m="1" x="62"/>
        <item m="1" x="176"/>
        <item m="1" x="136"/>
        <item m="1" x="98"/>
        <item m="1" x="59"/>
        <item m="1" x="173"/>
        <item m="1" x="134"/>
        <item m="1" x="96"/>
        <item m="1" x="57"/>
        <item m="1" x="171"/>
        <item m="1" x="132"/>
        <item m="1" x="93"/>
        <item m="1" x="54"/>
        <item m="1" x="167"/>
        <item m="1" x="128"/>
        <item m="1" x="89"/>
        <item m="1" x="50"/>
        <item m="1" x="163"/>
        <item m="1" x="124"/>
        <item m="1" x="85"/>
        <item m="1" x="46"/>
        <item m="1" x="159"/>
        <item m="1" x="94"/>
        <item m="1" x="55"/>
        <item m="1" x="169"/>
        <item m="1" x="130"/>
        <item m="1" x="91"/>
        <item m="1" x="52"/>
        <item m="1" x="165"/>
        <item m="1" x="126"/>
        <item m="1" x="87"/>
        <item m="1" x="48"/>
        <item m="1" x="161"/>
        <item m="1" x="122"/>
        <item m="1" x="83"/>
        <item m="1" x="44"/>
        <item m="1" x="157"/>
        <item m="1" x="119"/>
        <item m="1" x="80"/>
        <item m="1" x="41"/>
        <item m="1" x="155"/>
        <item m="1" x="116"/>
        <item m="1" x="77"/>
        <item m="1" x="37"/>
        <item m="1" x="152"/>
        <item m="1" x="113"/>
        <item m="1" x="74"/>
        <item m="1" x="34"/>
        <item m="1" x="149"/>
        <item m="1" x="110"/>
        <item m="1" x="71"/>
        <item m="1" x="185"/>
        <item m="1" x="146"/>
        <item m="1" x="117"/>
        <item m="1" x="78"/>
        <item m="1" x="39"/>
        <item m="1" x="153"/>
        <item m="1" x="114"/>
        <item m="1" x="75"/>
        <item m="1" x="35"/>
        <item m="1" x="150"/>
        <item m="1" x="111"/>
        <item m="1" x="72"/>
        <item m="1" x="32"/>
        <item m="1" x="147"/>
        <item m="1" x="108"/>
        <item m="1" x="69"/>
        <item m="1" x="183"/>
        <item m="1" x="144"/>
        <item m="1" x="106"/>
        <item m="1" x="68"/>
        <item m="1" x="182"/>
        <item m="1" x="143"/>
        <item m="1" x="105"/>
        <item m="1" x="66"/>
        <item m="1" x="180"/>
        <item m="1" x="141"/>
        <item m="1" x="103"/>
        <item m="1" x="64"/>
        <item m="1" x="178"/>
        <item m="1" x="138"/>
        <item m="1" x="100"/>
        <item m="1" x="61"/>
        <item m="1" x="1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17">
        <item x="6"/>
        <item x="4"/>
        <item x="7"/>
        <item x="8"/>
        <item h="1" x="0"/>
        <item x="11"/>
        <item x="3"/>
        <item x="12"/>
        <item x="5"/>
        <item x="1"/>
        <item x="10"/>
        <item m="1" x="14"/>
        <item m="1" x="15"/>
        <item h="1" x="13"/>
        <item x="9"/>
        <item x="2"/>
        <item t="default"/>
      </items>
    </pivotField>
    <pivotField dataField="1" numFmtId="1" showAll="0"/>
    <pivotField dataField="1" numFmtId="1" showAll="0"/>
    <pivotField dataField="1" showAll="0"/>
    <pivotField showAll="0"/>
    <pivotField showAll="0"/>
    <pivotField showAll="0"/>
    <pivotField numFmtId="1" showAll="0"/>
    <pivotField showAll="0"/>
    <pivotField numFmtI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0" hier="-1"/>
  </pageFields>
  <dataFields count="7">
    <dataField name="Sum of Qty" fld="4" baseField="0" baseItem="0" numFmtId="1"/>
    <dataField name="Sum of Bills" fld="3" baseField="0" baseItem="0" numFmtId="1"/>
    <dataField name="Sum of Sale" fld="5" baseField="0" baseItem="0" numFmtId="1"/>
    <dataField name="Sum of Qty2" fld="13" baseField="0" baseItem="0"/>
    <dataField name="Sum of Bills2" fld="12" baseField="0" baseItem="0"/>
    <dataField name="Sum of Sale2" fld="14" baseField="0" baseItem="0" numFmtId="1"/>
    <dataField name="Sum of Presnt Days" fld="30" baseField="0" baseItem="0"/>
  </dataFields>
  <formats count="11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6">
            <x v="0"/>
            <x v="2"/>
            <x v="3"/>
            <x v="4"/>
            <x v="5"/>
            <x v="6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E469"/>
  <sheetViews>
    <sheetView zoomScaleNormal="100" workbookViewId="0">
      <pane ySplit="3" topLeftCell="A349" activePane="bottomLeft" state="frozen"/>
      <selection activeCell="E8" sqref="E8"/>
      <selection pane="bottomLeft" activeCell="M364" sqref="M364:N378"/>
    </sheetView>
  </sheetViews>
  <sheetFormatPr defaultColWidth="8.7109375" defaultRowHeight="12.75" x14ac:dyDescent="0.2"/>
  <cols>
    <col min="1" max="1" width="11.28515625" style="3" bestFit="1" customWidth="1"/>
    <col min="2" max="2" width="10.28515625" style="3" bestFit="1" customWidth="1"/>
    <col min="3" max="3" width="12.28515625" style="3" bestFit="1" customWidth="1"/>
    <col min="4" max="5" width="8.7109375" style="3" customWidth="1"/>
    <col min="6" max="6" width="8.7109375" style="9" customWidth="1"/>
    <col min="7" max="12" width="8.7109375" style="3" customWidth="1"/>
    <col min="13" max="13" width="5" style="3" customWidth="1"/>
    <col min="14" max="14" width="8.7109375" style="3" customWidth="1"/>
    <col min="15" max="15" width="8.7109375" style="9" customWidth="1"/>
    <col min="16" max="16" width="8.7109375" style="3" customWidth="1"/>
    <col min="17" max="21" width="8.7109375" style="3"/>
    <col min="22" max="30" width="8.7109375" style="3" customWidth="1"/>
    <col min="31" max="31" width="10.140625" style="3" bestFit="1" customWidth="1"/>
    <col min="32" max="16384" width="8.7109375" style="3"/>
  </cols>
  <sheetData>
    <row r="1" spans="1:31" ht="13.5" thickBot="1" x14ac:dyDescent="0.25">
      <c r="A1" s="66"/>
      <c r="B1" s="67">
        <v>2467</v>
      </c>
      <c r="C1" s="67">
        <v>988</v>
      </c>
      <c r="D1" s="68" t="s">
        <v>4</v>
      </c>
      <c r="E1" s="68"/>
      <c r="F1" s="69"/>
      <c r="G1" s="68"/>
      <c r="H1" s="68"/>
      <c r="I1" s="68"/>
      <c r="J1" s="68"/>
      <c r="K1" s="68"/>
      <c r="L1" s="68"/>
      <c r="M1" s="68"/>
      <c r="N1" s="68"/>
      <c r="O1" s="69"/>
      <c r="P1" s="68"/>
      <c r="Q1" s="70"/>
      <c r="R1" s="70"/>
      <c r="S1" s="70"/>
      <c r="T1" s="70"/>
      <c r="U1" s="70"/>
      <c r="V1" s="71"/>
      <c r="W1" s="71"/>
      <c r="X1" s="71"/>
      <c r="Y1" s="71"/>
      <c r="Z1" s="71"/>
      <c r="AA1" s="71"/>
      <c r="AB1" s="71"/>
      <c r="AC1" s="71"/>
      <c r="AD1" s="71"/>
      <c r="AE1" s="72"/>
    </row>
    <row r="2" spans="1:31" ht="13.5" thickBot="1" x14ac:dyDescent="0.25">
      <c r="A2" s="73"/>
      <c r="B2" s="14"/>
      <c r="C2" s="13"/>
      <c r="D2" s="125" t="s">
        <v>17</v>
      </c>
      <c r="E2" s="126"/>
      <c r="F2" s="126"/>
      <c r="G2" s="126"/>
      <c r="H2" s="126"/>
      <c r="I2" s="126"/>
      <c r="J2" s="126"/>
      <c r="K2" s="126"/>
      <c r="L2" s="128"/>
      <c r="M2" s="125" t="s">
        <v>23</v>
      </c>
      <c r="N2" s="126"/>
      <c r="O2" s="126"/>
      <c r="P2" s="126"/>
      <c r="Q2" s="126"/>
      <c r="R2" s="126"/>
      <c r="S2" s="126"/>
      <c r="T2" s="126"/>
      <c r="U2" s="128"/>
      <c r="V2" s="125" t="s">
        <v>32</v>
      </c>
      <c r="W2" s="126"/>
      <c r="X2" s="126"/>
      <c r="Y2" s="126"/>
      <c r="Z2" s="126"/>
      <c r="AA2" s="126"/>
      <c r="AB2" s="126"/>
      <c r="AC2" s="126"/>
      <c r="AD2" s="127"/>
      <c r="AE2" s="65"/>
    </row>
    <row r="3" spans="1:31" x14ac:dyDescent="0.2">
      <c r="A3" s="16" t="s">
        <v>0</v>
      </c>
      <c r="B3" s="14" t="s">
        <v>5</v>
      </c>
      <c r="C3" s="13" t="s">
        <v>3</v>
      </c>
      <c r="D3" s="16" t="s">
        <v>1</v>
      </c>
      <c r="E3" s="14" t="s">
        <v>6</v>
      </c>
      <c r="F3" s="8" t="s">
        <v>24</v>
      </c>
      <c r="G3" s="14" t="s">
        <v>7</v>
      </c>
      <c r="H3" s="14" t="s">
        <v>18</v>
      </c>
      <c r="I3" s="14" t="s">
        <v>19</v>
      </c>
      <c r="J3" s="14" t="s">
        <v>20</v>
      </c>
      <c r="K3" s="14" t="s">
        <v>21</v>
      </c>
      <c r="L3" s="17" t="s">
        <v>22</v>
      </c>
      <c r="M3" s="16" t="s">
        <v>1</v>
      </c>
      <c r="N3" s="14" t="s">
        <v>6</v>
      </c>
      <c r="O3" s="8" t="s">
        <v>24</v>
      </c>
      <c r="P3" s="14" t="s">
        <v>7</v>
      </c>
      <c r="Q3" s="14" t="s">
        <v>18</v>
      </c>
      <c r="R3" s="14" t="s">
        <v>19</v>
      </c>
      <c r="S3" s="14" t="s">
        <v>20</v>
      </c>
      <c r="T3" s="14" t="s">
        <v>21</v>
      </c>
      <c r="U3" s="17" t="s">
        <v>22</v>
      </c>
      <c r="V3" s="16" t="s">
        <v>1</v>
      </c>
      <c r="W3" s="14" t="s">
        <v>6</v>
      </c>
      <c r="X3" s="8" t="s">
        <v>24</v>
      </c>
      <c r="Y3" s="14" t="s">
        <v>7</v>
      </c>
      <c r="Z3" s="14" t="s">
        <v>18</v>
      </c>
      <c r="AA3" s="14" t="s">
        <v>19</v>
      </c>
      <c r="AB3" s="14" t="s">
        <v>20</v>
      </c>
      <c r="AC3" s="14" t="s">
        <v>21</v>
      </c>
      <c r="AD3" s="13" t="s">
        <v>22</v>
      </c>
      <c r="AE3" s="74" t="s">
        <v>55</v>
      </c>
    </row>
    <row r="4" spans="1:31" x14ac:dyDescent="0.2">
      <c r="A4" s="75">
        <v>46266</v>
      </c>
      <c r="B4" s="2" t="s">
        <v>45</v>
      </c>
      <c r="C4" s="15" t="s">
        <v>54</v>
      </c>
      <c r="D4" s="18">
        <f>F4/$B$1</f>
        <v>0</v>
      </c>
      <c r="E4" s="4">
        <f>F4/$C$1</f>
        <v>0</v>
      </c>
      <c r="F4" s="4">
        <v>0</v>
      </c>
      <c r="G4" s="5" t="e">
        <f>E4/D4</f>
        <v>#DIV/0!</v>
      </c>
      <c r="H4" s="4" t="e">
        <f>F4/D4</f>
        <v>#DIV/0!</v>
      </c>
      <c r="I4" s="4" t="e">
        <f>F4/E4</f>
        <v>#DIV/0!</v>
      </c>
      <c r="J4" s="4">
        <f>D4*8%</f>
        <v>0</v>
      </c>
      <c r="K4" s="27">
        <f>D4*4%</f>
        <v>0</v>
      </c>
      <c r="L4" s="30">
        <f>D4*25%</f>
        <v>0</v>
      </c>
      <c r="M4" s="18">
        <v>0</v>
      </c>
      <c r="N4" s="4">
        <v>0</v>
      </c>
      <c r="O4" s="4">
        <v>0</v>
      </c>
      <c r="P4" s="5" t="e">
        <f>N4/M4</f>
        <v>#DIV/0!</v>
      </c>
      <c r="Q4" s="29" t="e">
        <f>O4/M4</f>
        <v>#DIV/0!</v>
      </c>
      <c r="R4" s="29" t="e">
        <f>O4/N4</f>
        <v>#DIV/0!</v>
      </c>
      <c r="S4" s="1">
        <v>0</v>
      </c>
      <c r="T4" s="1">
        <v>0</v>
      </c>
      <c r="U4" s="24">
        <v>0</v>
      </c>
      <c r="V4" s="25" t="e">
        <f>M4/D4</f>
        <v>#DIV/0!</v>
      </c>
      <c r="W4" s="25" t="e">
        <f t="shared" ref="W4:AD4" si="0">N4/E4</f>
        <v>#DIV/0!</v>
      </c>
      <c r="X4" s="25" t="e">
        <f t="shared" si="0"/>
        <v>#DIV/0!</v>
      </c>
      <c r="Y4" s="25" t="e">
        <f t="shared" si="0"/>
        <v>#DIV/0!</v>
      </c>
      <c r="Z4" s="25" t="e">
        <f t="shared" si="0"/>
        <v>#DIV/0!</v>
      </c>
      <c r="AA4" s="25" t="e">
        <f t="shared" si="0"/>
        <v>#DIV/0!</v>
      </c>
      <c r="AB4" s="25" t="e">
        <f t="shared" si="0"/>
        <v>#DIV/0!</v>
      </c>
      <c r="AC4" s="25" t="e">
        <f t="shared" si="0"/>
        <v>#DIV/0!</v>
      </c>
      <c r="AD4" s="63" t="e">
        <f t="shared" si="0"/>
        <v>#DIV/0!</v>
      </c>
      <c r="AE4" s="24">
        <f>IF(F4&gt;10,1,0)</f>
        <v>0</v>
      </c>
    </row>
    <row r="5" spans="1:31" x14ac:dyDescent="0.2">
      <c r="A5" s="75">
        <v>46266</v>
      </c>
      <c r="B5" s="2" t="s">
        <v>12</v>
      </c>
      <c r="C5" s="15" t="s">
        <v>25</v>
      </c>
      <c r="D5" s="18">
        <f t="shared" ref="D5:D70" si="1">F5/$B$1</f>
        <v>0</v>
      </c>
      <c r="E5" s="4">
        <f t="shared" ref="E5:E70" si="2">F5/$C$1</f>
        <v>0</v>
      </c>
      <c r="F5" s="4">
        <v>0</v>
      </c>
      <c r="G5" s="5" t="e">
        <f t="shared" ref="G5:G74" si="3">E5/D5</f>
        <v>#DIV/0!</v>
      </c>
      <c r="H5" s="4" t="e">
        <f t="shared" ref="H5:H74" si="4">F5/D5</f>
        <v>#DIV/0!</v>
      </c>
      <c r="I5" s="4" t="e">
        <f t="shared" ref="I5:I74" si="5">F5/E5</f>
        <v>#DIV/0!</v>
      </c>
      <c r="J5" s="4">
        <f t="shared" ref="J5:J74" si="6">D5*8%</f>
        <v>0</v>
      </c>
      <c r="K5" s="27">
        <f t="shared" ref="K5:K74" si="7">D5*4%</f>
        <v>0</v>
      </c>
      <c r="L5" s="30">
        <f t="shared" ref="L5:L74" si="8">D5*25%</f>
        <v>0</v>
      </c>
      <c r="M5" s="18">
        <v>0</v>
      </c>
      <c r="N5" s="4">
        <v>0</v>
      </c>
      <c r="O5" s="4">
        <v>0</v>
      </c>
      <c r="P5" s="5" t="e">
        <f t="shared" ref="P5:P74" si="9">N5/M5</f>
        <v>#DIV/0!</v>
      </c>
      <c r="Q5" s="29" t="e">
        <f t="shared" ref="Q5:Q74" si="10">O5/M5</f>
        <v>#DIV/0!</v>
      </c>
      <c r="R5" s="29" t="e">
        <f t="shared" ref="R5:R74" si="11">O5/N5</f>
        <v>#DIV/0!</v>
      </c>
      <c r="S5" s="1">
        <v>0</v>
      </c>
      <c r="T5" s="1">
        <v>0</v>
      </c>
      <c r="U5" s="24">
        <v>0</v>
      </c>
      <c r="V5" s="25" t="e">
        <f t="shared" ref="V5:V46" si="12">M5/D5</f>
        <v>#DIV/0!</v>
      </c>
      <c r="W5" s="25" t="e">
        <f t="shared" ref="W5:W46" si="13">N5/E5</f>
        <v>#DIV/0!</v>
      </c>
      <c r="X5" s="25" t="e">
        <f t="shared" ref="X5:X46" si="14">O5/F5</f>
        <v>#DIV/0!</v>
      </c>
      <c r="Y5" s="25" t="e">
        <f t="shared" ref="Y5:Y46" si="15">P5/G5</f>
        <v>#DIV/0!</v>
      </c>
      <c r="Z5" s="25" t="e">
        <f t="shared" ref="Z5:Z46" si="16">Q5/H5</f>
        <v>#DIV/0!</v>
      </c>
      <c r="AA5" s="25" t="e">
        <f t="shared" ref="AA5:AA46" si="17">R5/I5</f>
        <v>#DIV/0!</v>
      </c>
      <c r="AB5" s="25" t="e">
        <f t="shared" ref="AB5:AB46" si="18">S5/J5</f>
        <v>#DIV/0!</v>
      </c>
      <c r="AC5" s="25" t="e">
        <f t="shared" ref="AC5:AC46" si="19">T5/K5</f>
        <v>#DIV/0!</v>
      </c>
      <c r="AD5" s="63" t="e">
        <f t="shared" ref="AD5:AD46" si="20">U5/L5</f>
        <v>#DIV/0!</v>
      </c>
      <c r="AE5" s="24">
        <f t="shared" ref="AE5:AE68" si="21">IF(F5&gt;10,1,0)</f>
        <v>0</v>
      </c>
    </row>
    <row r="6" spans="1:31" x14ac:dyDescent="0.2">
      <c r="A6" s="75">
        <v>46266</v>
      </c>
      <c r="B6" s="2" t="s">
        <v>12</v>
      </c>
      <c r="C6" s="15" t="s">
        <v>67</v>
      </c>
      <c r="D6" s="18">
        <f t="shared" si="1"/>
        <v>0</v>
      </c>
      <c r="E6" s="4">
        <f t="shared" si="2"/>
        <v>0</v>
      </c>
      <c r="F6" s="4">
        <v>0</v>
      </c>
      <c r="G6" s="5" t="e">
        <f t="shared" si="3"/>
        <v>#DIV/0!</v>
      </c>
      <c r="H6" s="4" t="e">
        <f t="shared" si="4"/>
        <v>#DIV/0!</v>
      </c>
      <c r="I6" s="4" t="e">
        <f t="shared" si="5"/>
        <v>#DIV/0!</v>
      </c>
      <c r="J6" s="4">
        <f t="shared" si="6"/>
        <v>0</v>
      </c>
      <c r="K6" s="27">
        <f t="shared" si="7"/>
        <v>0</v>
      </c>
      <c r="L6" s="30">
        <f t="shared" si="8"/>
        <v>0</v>
      </c>
      <c r="M6" s="18">
        <v>0</v>
      </c>
      <c r="N6" s="4">
        <v>0</v>
      </c>
      <c r="O6" s="4">
        <v>0</v>
      </c>
      <c r="P6" s="5" t="e">
        <f t="shared" si="9"/>
        <v>#DIV/0!</v>
      </c>
      <c r="Q6" s="29" t="e">
        <f t="shared" si="10"/>
        <v>#DIV/0!</v>
      </c>
      <c r="R6" s="29" t="e">
        <f t="shared" si="11"/>
        <v>#DIV/0!</v>
      </c>
      <c r="S6" s="1">
        <v>0</v>
      </c>
      <c r="T6" s="1">
        <v>0</v>
      </c>
      <c r="U6" s="24">
        <v>0</v>
      </c>
      <c r="V6" s="25" t="e">
        <f t="shared" si="12"/>
        <v>#DIV/0!</v>
      </c>
      <c r="W6" s="25" t="e">
        <f t="shared" si="13"/>
        <v>#DIV/0!</v>
      </c>
      <c r="X6" s="25" t="e">
        <f t="shared" si="14"/>
        <v>#DIV/0!</v>
      </c>
      <c r="Y6" s="25" t="e">
        <f t="shared" si="15"/>
        <v>#DIV/0!</v>
      </c>
      <c r="Z6" s="25" t="e">
        <f t="shared" si="16"/>
        <v>#DIV/0!</v>
      </c>
      <c r="AA6" s="25" t="e">
        <f t="shared" si="17"/>
        <v>#DIV/0!</v>
      </c>
      <c r="AB6" s="25" t="e">
        <f t="shared" si="18"/>
        <v>#DIV/0!</v>
      </c>
      <c r="AC6" s="25" t="e">
        <f t="shared" si="19"/>
        <v>#DIV/0!</v>
      </c>
      <c r="AD6" s="63" t="e">
        <f t="shared" si="20"/>
        <v>#DIV/0!</v>
      </c>
      <c r="AE6" s="24">
        <f t="shared" si="21"/>
        <v>0</v>
      </c>
    </row>
    <row r="7" spans="1:31" x14ac:dyDescent="0.2">
      <c r="A7" s="75">
        <v>46266</v>
      </c>
      <c r="B7" s="2" t="s">
        <v>8</v>
      </c>
      <c r="C7" s="15" t="s">
        <v>63</v>
      </c>
      <c r="D7" s="18">
        <f t="shared" si="1"/>
        <v>0</v>
      </c>
      <c r="E7" s="4">
        <f t="shared" si="2"/>
        <v>0</v>
      </c>
      <c r="F7" s="4">
        <v>0</v>
      </c>
      <c r="G7" s="5" t="e">
        <f t="shared" si="3"/>
        <v>#DIV/0!</v>
      </c>
      <c r="H7" s="4" t="e">
        <f t="shared" si="4"/>
        <v>#DIV/0!</v>
      </c>
      <c r="I7" s="4" t="e">
        <f t="shared" si="5"/>
        <v>#DIV/0!</v>
      </c>
      <c r="J7" s="4">
        <f t="shared" si="6"/>
        <v>0</v>
      </c>
      <c r="K7" s="27">
        <f t="shared" si="7"/>
        <v>0</v>
      </c>
      <c r="L7" s="30">
        <f t="shared" si="8"/>
        <v>0</v>
      </c>
      <c r="M7" s="18">
        <v>0</v>
      </c>
      <c r="N7" s="4">
        <v>0</v>
      </c>
      <c r="O7" s="4">
        <v>0</v>
      </c>
      <c r="P7" s="5" t="e">
        <f t="shared" si="9"/>
        <v>#DIV/0!</v>
      </c>
      <c r="Q7" s="29" t="e">
        <f t="shared" si="10"/>
        <v>#DIV/0!</v>
      </c>
      <c r="R7" s="29" t="e">
        <f t="shared" si="11"/>
        <v>#DIV/0!</v>
      </c>
      <c r="S7" s="1">
        <v>0</v>
      </c>
      <c r="T7" s="1">
        <v>0</v>
      </c>
      <c r="U7" s="24">
        <v>0</v>
      </c>
      <c r="V7" s="25" t="e">
        <f t="shared" si="12"/>
        <v>#DIV/0!</v>
      </c>
      <c r="W7" s="25" t="e">
        <f t="shared" si="13"/>
        <v>#DIV/0!</v>
      </c>
      <c r="X7" s="25" t="e">
        <f t="shared" si="14"/>
        <v>#DIV/0!</v>
      </c>
      <c r="Y7" s="25" t="e">
        <f t="shared" si="15"/>
        <v>#DIV/0!</v>
      </c>
      <c r="Z7" s="25" t="e">
        <f t="shared" si="16"/>
        <v>#DIV/0!</v>
      </c>
      <c r="AA7" s="25" t="e">
        <f t="shared" si="17"/>
        <v>#DIV/0!</v>
      </c>
      <c r="AB7" s="25" t="e">
        <f t="shared" si="18"/>
        <v>#DIV/0!</v>
      </c>
      <c r="AC7" s="25" t="e">
        <f t="shared" si="19"/>
        <v>#DIV/0!</v>
      </c>
      <c r="AD7" s="63" t="e">
        <f t="shared" si="20"/>
        <v>#DIV/0!</v>
      </c>
      <c r="AE7" s="24">
        <f t="shared" si="21"/>
        <v>0</v>
      </c>
    </row>
    <row r="8" spans="1:31" x14ac:dyDescent="0.2">
      <c r="A8" s="75">
        <v>46266</v>
      </c>
      <c r="B8" s="2" t="s">
        <v>8</v>
      </c>
      <c r="C8" s="15" t="s">
        <v>53</v>
      </c>
      <c r="D8" s="18">
        <f t="shared" si="1"/>
        <v>1.7562861766286268</v>
      </c>
      <c r="E8" s="4">
        <f t="shared" si="2"/>
        <v>4.3853825888085245</v>
      </c>
      <c r="F8" s="4">
        <v>4332.7579977428222</v>
      </c>
      <c r="G8" s="5">
        <f t="shared" si="3"/>
        <v>2.4969635627530362</v>
      </c>
      <c r="H8" s="4">
        <f t="shared" si="4"/>
        <v>2467</v>
      </c>
      <c r="I8" s="4">
        <f t="shared" si="5"/>
        <v>988</v>
      </c>
      <c r="J8" s="4">
        <f t="shared" si="6"/>
        <v>0.14050289413029016</v>
      </c>
      <c r="K8" s="27">
        <f t="shared" si="7"/>
        <v>7.0251447065145078E-2</v>
      </c>
      <c r="L8" s="30">
        <f t="shared" si="8"/>
        <v>0.43907154415715671</v>
      </c>
      <c r="M8" s="18">
        <v>2</v>
      </c>
      <c r="N8" s="4">
        <v>2</v>
      </c>
      <c r="O8" s="4">
        <v>4698</v>
      </c>
      <c r="P8" s="5">
        <f t="shared" si="9"/>
        <v>1</v>
      </c>
      <c r="Q8" s="29">
        <f t="shared" si="10"/>
        <v>2349</v>
      </c>
      <c r="R8" s="29">
        <f t="shared" si="11"/>
        <v>2349</v>
      </c>
      <c r="S8" s="1">
        <v>0</v>
      </c>
      <c r="T8" s="1">
        <v>0</v>
      </c>
      <c r="U8" s="24">
        <v>0</v>
      </c>
      <c r="V8" s="25">
        <f t="shared" si="12"/>
        <v>1.1387665783711896</v>
      </c>
      <c r="W8" s="25">
        <f t="shared" si="13"/>
        <v>0.45606055104610266</v>
      </c>
      <c r="X8" s="25">
        <f t="shared" si="14"/>
        <v>1.0842978081045498</v>
      </c>
      <c r="Y8" s="25">
        <f t="shared" si="15"/>
        <v>0.40048642075395219</v>
      </c>
      <c r="Z8" s="25">
        <f t="shared" si="16"/>
        <v>0.95216862586137008</v>
      </c>
      <c r="AA8" s="25">
        <f t="shared" si="17"/>
        <v>2.3775303643724697</v>
      </c>
      <c r="AB8" s="25">
        <f t="shared" si="18"/>
        <v>0</v>
      </c>
      <c r="AC8" s="25">
        <f t="shared" si="19"/>
        <v>0</v>
      </c>
      <c r="AD8" s="63">
        <f t="shared" si="20"/>
        <v>0</v>
      </c>
      <c r="AE8" s="24">
        <f t="shared" si="21"/>
        <v>1</v>
      </c>
    </row>
    <row r="9" spans="1:31" x14ac:dyDescent="0.2">
      <c r="A9" s="75">
        <v>46266</v>
      </c>
      <c r="B9" s="2" t="s">
        <v>8</v>
      </c>
      <c r="C9" s="15" t="s">
        <v>26</v>
      </c>
      <c r="D9" s="18">
        <f t="shared" si="1"/>
        <v>5.2688585298858808</v>
      </c>
      <c r="E9" s="4">
        <f t="shared" si="2"/>
        <v>13.156147766425574</v>
      </c>
      <c r="F9" s="4">
        <v>12998.273993228468</v>
      </c>
      <c r="G9" s="5">
        <f t="shared" si="3"/>
        <v>2.4969635627530362</v>
      </c>
      <c r="H9" s="4">
        <f t="shared" si="4"/>
        <v>2467</v>
      </c>
      <c r="I9" s="4">
        <f t="shared" si="5"/>
        <v>988</v>
      </c>
      <c r="J9" s="4">
        <f t="shared" si="6"/>
        <v>0.42150868239087047</v>
      </c>
      <c r="K9" s="27">
        <f t="shared" si="7"/>
        <v>0.21075434119543524</v>
      </c>
      <c r="L9" s="30">
        <f t="shared" si="8"/>
        <v>1.3172146324714702</v>
      </c>
      <c r="M9" s="18">
        <v>5</v>
      </c>
      <c r="N9" s="4">
        <v>8</v>
      </c>
      <c r="O9" s="4">
        <v>10118</v>
      </c>
      <c r="P9" s="5">
        <f t="shared" si="9"/>
        <v>1.6</v>
      </c>
      <c r="Q9" s="29">
        <f t="shared" si="10"/>
        <v>2023.6</v>
      </c>
      <c r="R9" s="29">
        <f t="shared" si="11"/>
        <v>1264.75</v>
      </c>
      <c r="S9" s="1">
        <v>0</v>
      </c>
      <c r="T9" s="1">
        <v>0</v>
      </c>
      <c r="U9" s="24">
        <v>0</v>
      </c>
      <c r="V9" s="25">
        <f t="shared" si="12"/>
        <v>0.94897214864265789</v>
      </c>
      <c r="W9" s="25">
        <f t="shared" si="13"/>
        <v>0.60808073472813684</v>
      </c>
      <c r="X9" s="25">
        <f t="shared" si="14"/>
        <v>0.77841104174839182</v>
      </c>
      <c r="Y9" s="25">
        <f t="shared" si="15"/>
        <v>0.64077827320632352</v>
      </c>
      <c r="Z9" s="25">
        <f t="shared" si="16"/>
        <v>0.82026753141467368</v>
      </c>
      <c r="AA9" s="25">
        <f t="shared" si="17"/>
        <v>1.2801113360323886</v>
      </c>
      <c r="AB9" s="25">
        <f t="shared" si="18"/>
        <v>0</v>
      </c>
      <c r="AC9" s="25">
        <f t="shared" si="19"/>
        <v>0</v>
      </c>
      <c r="AD9" s="63">
        <f t="shared" si="20"/>
        <v>0</v>
      </c>
      <c r="AE9" s="24">
        <f t="shared" si="21"/>
        <v>1</v>
      </c>
    </row>
    <row r="10" spans="1:31" x14ac:dyDescent="0.2">
      <c r="A10" s="75">
        <v>46266</v>
      </c>
      <c r="B10" s="2" t="s">
        <v>8</v>
      </c>
      <c r="C10" s="15" t="s">
        <v>27</v>
      </c>
      <c r="D10" s="18">
        <f t="shared" si="1"/>
        <v>5.2688585298858808</v>
      </c>
      <c r="E10" s="4">
        <f t="shared" si="2"/>
        <v>13.156147766425574</v>
      </c>
      <c r="F10" s="4">
        <v>12998.273993228468</v>
      </c>
      <c r="G10" s="5">
        <f t="shared" si="3"/>
        <v>2.4969635627530362</v>
      </c>
      <c r="H10" s="4">
        <f t="shared" si="4"/>
        <v>2467</v>
      </c>
      <c r="I10" s="4">
        <f t="shared" si="5"/>
        <v>988</v>
      </c>
      <c r="J10" s="4">
        <f t="shared" si="6"/>
        <v>0.42150868239087047</v>
      </c>
      <c r="K10" s="27">
        <f t="shared" si="7"/>
        <v>0.21075434119543524</v>
      </c>
      <c r="L10" s="30">
        <f t="shared" si="8"/>
        <v>1.3172146324714702</v>
      </c>
      <c r="M10" s="18">
        <v>5</v>
      </c>
      <c r="N10" s="4">
        <v>9</v>
      </c>
      <c r="O10" s="4">
        <v>10887</v>
      </c>
      <c r="P10" s="5">
        <f t="shared" si="9"/>
        <v>1.8</v>
      </c>
      <c r="Q10" s="29">
        <f t="shared" si="10"/>
        <v>2177.4</v>
      </c>
      <c r="R10" s="29">
        <f t="shared" si="11"/>
        <v>1209.6666666666667</v>
      </c>
      <c r="S10" s="1">
        <v>0</v>
      </c>
      <c r="T10" s="1">
        <v>0</v>
      </c>
      <c r="U10" s="24">
        <v>0</v>
      </c>
      <c r="V10" s="25">
        <f t="shared" si="12"/>
        <v>0.94897214864265789</v>
      </c>
      <c r="W10" s="25">
        <f t="shared" si="13"/>
        <v>0.68409082656915399</v>
      </c>
      <c r="X10" s="25">
        <f t="shared" si="14"/>
        <v>0.83757274278659233</v>
      </c>
      <c r="Y10" s="25">
        <f t="shared" si="15"/>
        <v>0.72087555735711395</v>
      </c>
      <c r="Z10" s="25">
        <f t="shared" si="16"/>
        <v>0.88261045804620997</v>
      </c>
      <c r="AA10" s="25">
        <f t="shared" si="17"/>
        <v>1.2243589743589745</v>
      </c>
      <c r="AB10" s="25">
        <f t="shared" si="18"/>
        <v>0</v>
      </c>
      <c r="AC10" s="25">
        <f t="shared" si="19"/>
        <v>0</v>
      </c>
      <c r="AD10" s="63">
        <f t="shared" si="20"/>
        <v>0</v>
      </c>
      <c r="AE10" s="24">
        <f t="shared" si="21"/>
        <v>1</v>
      </c>
    </row>
    <row r="11" spans="1:31" x14ac:dyDescent="0.2">
      <c r="A11" s="75">
        <v>46266</v>
      </c>
      <c r="B11" s="2" t="s">
        <v>8</v>
      </c>
      <c r="C11" s="15" t="s">
        <v>64</v>
      </c>
      <c r="D11" s="18">
        <f t="shared" si="1"/>
        <v>5.8542872554287566</v>
      </c>
      <c r="E11" s="4">
        <f t="shared" si="2"/>
        <v>14.617941962695083</v>
      </c>
      <c r="F11" s="4">
        <v>14442.526659142743</v>
      </c>
      <c r="G11" s="5">
        <f t="shared" si="3"/>
        <v>2.4969635627530362</v>
      </c>
      <c r="H11" s="4">
        <f t="shared" si="4"/>
        <v>2467</v>
      </c>
      <c r="I11" s="4">
        <f t="shared" si="5"/>
        <v>988</v>
      </c>
      <c r="J11" s="4">
        <f t="shared" si="6"/>
        <v>0.46834298043430056</v>
      </c>
      <c r="K11" s="27">
        <f t="shared" si="7"/>
        <v>0.23417149021715028</v>
      </c>
      <c r="L11" s="30">
        <f t="shared" si="8"/>
        <v>1.4635718138571892</v>
      </c>
      <c r="M11" s="18">
        <v>4</v>
      </c>
      <c r="N11" s="4">
        <v>5</v>
      </c>
      <c r="O11" s="4">
        <v>5086</v>
      </c>
      <c r="P11" s="5">
        <f t="shared" si="9"/>
        <v>1.25</v>
      </c>
      <c r="Q11" s="29">
        <f t="shared" si="10"/>
        <v>1271.5</v>
      </c>
      <c r="R11" s="29">
        <f t="shared" si="11"/>
        <v>1017.2</v>
      </c>
      <c r="S11" s="1">
        <v>0</v>
      </c>
      <c r="T11" s="1">
        <v>0</v>
      </c>
      <c r="U11" s="24">
        <v>0</v>
      </c>
      <c r="V11" s="25">
        <f t="shared" si="12"/>
        <v>0.68325994702271364</v>
      </c>
      <c r="W11" s="25">
        <f t="shared" si="13"/>
        <v>0.34204541328457699</v>
      </c>
      <c r="X11" s="25">
        <f t="shared" si="14"/>
        <v>0.35215444776626686</v>
      </c>
      <c r="Y11" s="25">
        <f t="shared" si="15"/>
        <v>0.50060802594244025</v>
      </c>
      <c r="Z11" s="25">
        <f t="shared" si="16"/>
        <v>0.51540332387515198</v>
      </c>
      <c r="AA11" s="25">
        <f t="shared" si="17"/>
        <v>1.0295546558704454</v>
      </c>
      <c r="AB11" s="25">
        <f t="shared" si="18"/>
        <v>0</v>
      </c>
      <c r="AC11" s="25">
        <f t="shared" si="19"/>
        <v>0</v>
      </c>
      <c r="AD11" s="63">
        <f t="shared" si="20"/>
        <v>0</v>
      </c>
      <c r="AE11" s="24">
        <f t="shared" si="21"/>
        <v>1</v>
      </c>
    </row>
    <row r="12" spans="1:31" x14ac:dyDescent="0.2">
      <c r="A12" s="75">
        <v>46266</v>
      </c>
      <c r="B12" s="2" t="s">
        <v>8</v>
      </c>
      <c r="C12" s="15" t="s">
        <v>65</v>
      </c>
      <c r="D12" s="18">
        <f t="shared" si="1"/>
        <v>0</v>
      </c>
      <c r="E12" s="4">
        <f t="shared" si="2"/>
        <v>0</v>
      </c>
      <c r="F12" s="4">
        <v>0</v>
      </c>
      <c r="G12" s="5" t="e">
        <f t="shared" si="3"/>
        <v>#DIV/0!</v>
      </c>
      <c r="H12" s="4" t="e">
        <f t="shared" si="4"/>
        <v>#DIV/0!</v>
      </c>
      <c r="I12" s="4" t="e">
        <f t="shared" si="5"/>
        <v>#DIV/0!</v>
      </c>
      <c r="J12" s="4">
        <f t="shared" si="6"/>
        <v>0</v>
      </c>
      <c r="K12" s="27">
        <f t="shared" si="7"/>
        <v>0</v>
      </c>
      <c r="L12" s="30">
        <f t="shared" si="8"/>
        <v>0</v>
      </c>
      <c r="M12" s="18">
        <v>0</v>
      </c>
      <c r="N12" s="4">
        <v>0</v>
      </c>
      <c r="O12" s="4">
        <v>0</v>
      </c>
      <c r="P12" s="5" t="e">
        <f t="shared" si="9"/>
        <v>#DIV/0!</v>
      </c>
      <c r="Q12" s="29" t="e">
        <f t="shared" si="10"/>
        <v>#DIV/0!</v>
      </c>
      <c r="R12" s="29" t="e">
        <f t="shared" si="11"/>
        <v>#DIV/0!</v>
      </c>
      <c r="S12" s="1">
        <v>0</v>
      </c>
      <c r="T12" s="1">
        <v>0</v>
      </c>
      <c r="U12" s="24">
        <v>0</v>
      </c>
      <c r="V12" s="25" t="e">
        <f t="shared" si="12"/>
        <v>#DIV/0!</v>
      </c>
      <c r="W12" s="25" t="e">
        <f t="shared" si="13"/>
        <v>#DIV/0!</v>
      </c>
      <c r="X12" s="25" t="e">
        <f t="shared" si="14"/>
        <v>#DIV/0!</v>
      </c>
      <c r="Y12" s="25" t="e">
        <f t="shared" si="15"/>
        <v>#DIV/0!</v>
      </c>
      <c r="Z12" s="25" t="e">
        <f t="shared" si="16"/>
        <v>#DIV/0!</v>
      </c>
      <c r="AA12" s="25" t="e">
        <f t="shared" si="17"/>
        <v>#DIV/0!</v>
      </c>
      <c r="AB12" s="25" t="e">
        <f t="shared" si="18"/>
        <v>#DIV/0!</v>
      </c>
      <c r="AC12" s="25" t="e">
        <f t="shared" si="19"/>
        <v>#DIV/0!</v>
      </c>
      <c r="AD12" s="63" t="e">
        <f t="shared" si="20"/>
        <v>#DIV/0!</v>
      </c>
      <c r="AE12" s="24">
        <f t="shared" si="21"/>
        <v>0</v>
      </c>
    </row>
    <row r="13" spans="1:31" x14ac:dyDescent="0.2">
      <c r="A13" s="75">
        <v>46266</v>
      </c>
      <c r="B13" s="2" t="s">
        <v>30</v>
      </c>
      <c r="C13" s="15" t="s">
        <v>66</v>
      </c>
      <c r="D13" s="18">
        <f t="shared" si="1"/>
        <v>0</v>
      </c>
      <c r="E13" s="4">
        <f t="shared" si="2"/>
        <v>0</v>
      </c>
      <c r="F13" s="4">
        <v>0</v>
      </c>
      <c r="G13" s="5" t="e">
        <f t="shared" si="3"/>
        <v>#DIV/0!</v>
      </c>
      <c r="H13" s="4" t="e">
        <f t="shared" si="4"/>
        <v>#DIV/0!</v>
      </c>
      <c r="I13" s="4" t="e">
        <f t="shared" si="5"/>
        <v>#DIV/0!</v>
      </c>
      <c r="J13" s="4">
        <f t="shared" si="6"/>
        <v>0</v>
      </c>
      <c r="K13" s="27">
        <f t="shared" si="7"/>
        <v>0</v>
      </c>
      <c r="L13" s="30">
        <f t="shared" si="8"/>
        <v>0</v>
      </c>
      <c r="M13" s="18">
        <v>0</v>
      </c>
      <c r="N13" s="4">
        <v>0</v>
      </c>
      <c r="O13" s="4">
        <v>0</v>
      </c>
      <c r="P13" s="5" t="e">
        <f t="shared" si="9"/>
        <v>#DIV/0!</v>
      </c>
      <c r="Q13" s="29" t="e">
        <f t="shared" si="10"/>
        <v>#DIV/0!</v>
      </c>
      <c r="R13" s="29" t="e">
        <f t="shared" si="11"/>
        <v>#DIV/0!</v>
      </c>
      <c r="S13" s="1">
        <v>0</v>
      </c>
      <c r="T13" s="1">
        <v>0</v>
      </c>
      <c r="U13" s="24">
        <v>0</v>
      </c>
      <c r="V13" s="25" t="e">
        <f t="shared" si="12"/>
        <v>#DIV/0!</v>
      </c>
      <c r="W13" s="25" t="e">
        <f t="shared" si="13"/>
        <v>#DIV/0!</v>
      </c>
      <c r="X13" s="25" t="e">
        <f t="shared" si="14"/>
        <v>#DIV/0!</v>
      </c>
      <c r="Y13" s="25" t="e">
        <f t="shared" si="15"/>
        <v>#DIV/0!</v>
      </c>
      <c r="Z13" s="25" t="e">
        <f t="shared" si="16"/>
        <v>#DIV/0!</v>
      </c>
      <c r="AA13" s="25" t="e">
        <f t="shared" si="17"/>
        <v>#DIV/0!</v>
      </c>
      <c r="AB13" s="25" t="e">
        <f t="shared" si="18"/>
        <v>#DIV/0!</v>
      </c>
      <c r="AC13" s="25" t="e">
        <f t="shared" si="19"/>
        <v>#DIV/0!</v>
      </c>
      <c r="AD13" s="63" t="e">
        <f t="shared" si="20"/>
        <v>#DIV/0!</v>
      </c>
      <c r="AE13" s="24">
        <f t="shared" si="21"/>
        <v>0</v>
      </c>
    </row>
    <row r="14" spans="1:31" x14ac:dyDescent="0.2">
      <c r="A14" s="75">
        <v>46266</v>
      </c>
      <c r="B14" s="15" t="s">
        <v>30</v>
      </c>
      <c r="C14" s="15" t="s">
        <v>29</v>
      </c>
      <c r="D14" s="18">
        <f t="shared" si="1"/>
        <v>5.8542872554287566</v>
      </c>
      <c r="E14" s="4">
        <f t="shared" si="2"/>
        <v>14.617941962695083</v>
      </c>
      <c r="F14" s="4">
        <v>14442.526659142743</v>
      </c>
      <c r="G14" s="5">
        <f t="shared" si="3"/>
        <v>2.4969635627530362</v>
      </c>
      <c r="H14" s="4">
        <f t="shared" si="4"/>
        <v>2467</v>
      </c>
      <c r="I14" s="4">
        <f t="shared" si="5"/>
        <v>988</v>
      </c>
      <c r="J14" s="4">
        <f t="shared" si="6"/>
        <v>0.46834298043430056</v>
      </c>
      <c r="K14" s="27">
        <f t="shared" si="7"/>
        <v>0.23417149021715028</v>
      </c>
      <c r="L14" s="30">
        <f t="shared" si="8"/>
        <v>1.4635718138571892</v>
      </c>
      <c r="M14" s="18">
        <v>3</v>
      </c>
      <c r="N14" s="4">
        <v>7</v>
      </c>
      <c r="O14" s="4">
        <v>10710.65</v>
      </c>
      <c r="P14" s="5">
        <f t="shared" si="9"/>
        <v>2.3333333333333335</v>
      </c>
      <c r="Q14" s="29">
        <f t="shared" si="10"/>
        <v>3570.2166666666667</v>
      </c>
      <c r="R14" s="29">
        <f t="shared" si="11"/>
        <v>1530.0928571428572</v>
      </c>
      <c r="S14" s="1">
        <v>0</v>
      </c>
      <c r="T14" s="1">
        <v>0</v>
      </c>
      <c r="U14" s="24">
        <v>0</v>
      </c>
      <c r="V14" s="25">
        <f t="shared" si="12"/>
        <v>0.51244496026703523</v>
      </c>
      <c r="W14" s="25">
        <f t="shared" si="13"/>
        <v>0.47886357859840778</v>
      </c>
      <c r="X14" s="25">
        <f t="shared" si="14"/>
        <v>0.74160500117337125</v>
      </c>
      <c r="Y14" s="25">
        <f t="shared" si="15"/>
        <v>0.93446831509255524</v>
      </c>
      <c r="Z14" s="25">
        <f t="shared" si="16"/>
        <v>1.4471895689771652</v>
      </c>
      <c r="AA14" s="25">
        <f t="shared" si="17"/>
        <v>1.548676980913823</v>
      </c>
      <c r="AB14" s="25">
        <f t="shared" si="18"/>
        <v>0</v>
      </c>
      <c r="AC14" s="25">
        <f t="shared" si="19"/>
        <v>0</v>
      </c>
      <c r="AD14" s="63">
        <f t="shared" si="20"/>
        <v>0</v>
      </c>
      <c r="AE14" s="24">
        <f t="shared" si="21"/>
        <v>1</v>
      </c>
    </row>
    <row r="15" spans="1:31" x14ac:dyDescent="0.2">
      <c r="A15" s="75">
        <v>46266</v>
      </c>
      <c r="B15" s="15" t="s">
        <v>30</v>
      </c>
      <c r="C15" s="15" t="s">
        <v>51</v>
      </c>
      <c r="D15" s="18">
        <f t="shared" ref="D15" si="22">F15/$B$1</f>
        <v>5.8542872554287566</v>
      </c>
      <c r="E15" s="4">
        <f t="shared" ref="E15" si="23">F15/$C$1</f>
        <v>14.617941962695083</v>
      </c>
      <c r="F15" s="4">
        <v>14442.526659142743</v>
      </c>
      <c r="G15" s="5">
        <f t="shared" ref="G15" si="24">E15/D15</f>
        <v>2.4969635627530362</v>
      </c>
      <c r="H15" s="4">
        <f t="shared" ref="H15" si="25">F15/D15</f>
        <v>2467</v>
      </c>
      <c r="I15" s="4">
        <f t="shared" ref="I15" si="26">F15/E15</f>
        <v>988</v>
      </c>
      <c r="J15" s="4">
        <f t="shared" ref="J15" si="27">D15*8%</f>
        <v>0.46834298043430056</v>
      </c>
      <c r="K15" s="27">
        <f t="shared" ref="K15" si="28">D15*4%</f>
        <v>0.23417149021715028</v>
      </c>
      <c r="L15" s="30">
        <f t="shared" ref="L15" si="29">D15*25%</f>
        <v>1.4635718138571892</v>
      </c>
      <c r="M15" s="18">
        <v>8</v>
      </c>
      <c r="N15" s="4">
        <v>23</v>
      </c>
      <c r="O15" s="4">
        <v>23429.660000000003</v>
      </c>
      <c r="P15" s="5">
        <f t="shared" ref="P15" si="30">N15/M15</f>
        <v>2.875</v>
      </c>
      <c r="Q15" s="29">
        <f t="shared" ref="Q15" si="31">O15/M15</f>
        <v>2928.7075000000004</v>
      </c>
      <c r="R15" s="29">
        <f t="shared" ref="R15" si="32">O15/N15</f>
        <v>1018.6808695652176</v>
      </c>
      <c r="S15" s="1">
        <v>0</v>
      </c>
      <c r="T15" s="1">
        <v>0</v>
      </c>
      <c r="U15" s="24">
        <v>0</v>
      </c>
      <c r="V15" s="25">
        <f t="shared" ref="V15" si="33">M15/D15</f>
        <v>1.3665198940454273</v>
      </c>
      <c r="W15" s="25">
        <f t="shared" ref="W15" si="34">N15/E15</f>
        <v>1.5734089011090542</v>
      </c>
      <c r="X15" s="25">
        <f t="shared" ref="X15" si="35">O15/F15</f>
        <v>1.6222687728374743</v>
      </c>
      <c r="Y15" s="25">
        <f t="shared" ref="Y15" si="36">P15/G15</f>
        <v>1.1513984596676126</v>
      </c>
      <c r="Z15" s="25">
        <f t="shared" ref="Z15" si="37">Q15/H15</f>
        <v>1.1871534252128093</v>
      </c>
      <c r="AA15" s="25">
        <f t="shared" ref="AA15" si="38">R15/I15</f>
        <v>1.0310535117056858</v>
      </c>
      <c r="AB15" s="25">
        <f t="shared" ref="AB15" si="39">S15/J15</f>
        <v>0</v>
      </c>
      <c r="AC15" s="25">
        <f t="shared" ref="AC15" si="40">T15/K15</f>
        <v>0</v>
      </c>
      <c r="AD15" s="63">
        <f t="shared" ref="AD15" si="41">U15/L15</f>
        <v>0</v>
      </c>
      <c r="AE15" s="24">
        <f t="shared" si="21"/>
        <v>1</v>
      </c>
    </row>
    <row r="16" spans="1:31" x14ac:dyDescent="0.2">
      <c r="A16" s="75">
        <v>46266</v>
      </c>
      <c r="B16" s="15" t="s">
        <v>31</v>
      </c>
      <c r="C16" s="15" t="s">
        <v>31</v>
      </c>
      <c r="D16" s="18">
        <f t="shared" si="1"/>
        <v>0</v>
      </c>
      <c r="E16" s="4">
        <f t="shared" si="2"/>
        <v>0</v>
      </c>
      <c r="F16" s="4">
        <v>0</v>
      </c>
      <c r="G16" s="5" t="e">
        <f t="shared" si="3"/>
        <v>#DIV/0!</v>
      </c>
      <c r="H16" s="4" t="e">
        <f t="shared" si="4"/>
        <v>#DIV/0!</v>
      </c>
      <c r="I16" s="4" t="e">
        <f t="shared" si="5"/>
        <v>#DIV/0!</v>
      </c>
      <c r="J16" s="4">
        <f t="shared" si="6"/>
        <v>0</v>
      </c>
      <c r="K16" s="27">
        <f t="shared" si="7"/>
        <v>0</v>
      </c>
      <c r="L16" s="30">
        <f t="shared" si="8"/>
        <v>0</v>
      </c>
      <c r="M16" s="18">
        <v>0</v>
      </c>
      <c r="N16" s="4">
        <v>0</v>
      </c>
      <c r="O16" s="4">
        <v>0</v>
      </c>
      <c r="P16" s="5" t="e">
        <f t="shared" si="9"/>
        <v>#DIV/0!</v>
      </c>
      <c r="Q16" s="29" t="e">
        <f t="shared" si="10"/>
        <v>#DIV/0!</v>
      </c>
      <c r="R16" s="29" t="e">
        <f t="shared" si="11"/>
        <v>#DIV/0!</v>
      </c>
      <c r="S16" s="1">
        <v>0</v>
      </c>
      <c r="T16" s="1">
        <v>0</v>
      </c>
      <c r="U16" s="24">
        <v>0</v>
      </c>
      <c r="V16" s="25" t="e">
        <f t="shared" si="12"/>
        <v>#DIV/0!</v>
      </c>
      <c r="W16" s="25" t="e">
        <f t="shared" si="13"/>
        <v>#DIV/0!</v>
      </c>
      <c r="X16" s="25" t="e">
        <f t="shared" si="14"/>
        <v>#DIV/0!</v>
      </c>
      <c r="Y16" s="25" t="e">
        <f t="shared" si="15"/>
        <v>#DIV/0!</v>
      </c>
      <c r="Z16" s="25" t="e">
        <f t="shared" si="16"/>
        <v>#DIV/0!</v>
      </c>
      <c r="AA16" s="25" t="e">
        <f t="shared" si="17"/>
        <v>#DIV/0!</v>
      </c>
      <c r="AB16" s="25" t="e">
        <f t="shared" si="18"/>
        <v>#DIV/0!</v>
      </c>
      <c r="AC16" s="25" t="e">
        <f t="shared" si="19"/>
        <v>#DIV/0!</v>
      </c>
      <c r="AD16" s="63" t="e">
        <f t="shared" si="20"/>
        <v>#DIV/0!</v>
      </c>
      <c r="AE16" s="24">
        <f t="shared" si="21"/>
        <v>0</v>
      </c>
    </row>
    <row r="17" spans="1:31" x14ac:dyDescent="0.2">
      <c r="A17" s="75">
        <v>46266</v>
      </c>
      <c r="B17" s="15" t="s">
        <v>31</v>
      </c>
      <c r="C17" s="15" t="s">
        <v>31</v>
      </c>
      <c r="D17" s="18">
        <f t="shared" si="1"/>
        <v>0</v>
      </c>
      <c r="E17" s="4">
        <f t="shared" si="2"/>
        <v>0</v>
      </c>
      <c r="F17" s="4">
        <v>0</v>
      </c>
      <c r="G17" s="5" t="e">
        <f t="shared" si="3"/>
        <v>#DIV/0!</v>
      </c>
      <c r="H17" s="4" t="e">
        <f t="shared" si="4"/>
        <v>#DIV/0!</v>
      </c>
      <c r="I17" s="4" t="e">
        <f t="shared" si="5"/>
        <v>#DIV/0!</v>
      </c>
      <c r="J17" s="4">
        <f t="shared" si="6"/>
        <v>0</v>
      </c>
      <c r="K17" s="27">
        <f t="shared" si="7"/>
        <v>0</v>
      </c>
      <c r="L17" s="30">
        <f t="shared" si="8"/>
        <v>0</v>
      </c>
      <c r="M17" s="18">
        <v>0</v>
      </c>
      <c r="N17" s="4">
        <v>0</v>
      </c>
      <c r="O17" s="4">
        <v>0</v>
      </c>
      <c r="P17" s="5" t="e">
        <f t="shared" si="9"/>
        <v>#DIV/0!</v>
      </c>
      <c r="Q17" s="29" t="e">
        <f t="shared" si="10"/>
        <v>#DIV/0!</v>
      </c>
      <c r="R17" s="29" t="e">
        <f t="shared" si="11"/>
        <v>#DIV/0!</v>
      </c>
      <c r="S17" s="1">
        <v>0</v>
      </c>
      <c r="T17" s="1">
        <v>0</v>
      </c>
      <c r="U17" s="24">
        <v>0</v>
      </c>
      <c r="V17" s="25" t="e">
        <f t="shared" si="12"/>
        <v>#DIV/0!</v>
      </c>
      <c r="W17" s="25" t="e">
        <f t="shared" si="13"/>
        <v>#DIV/0!</v>
      </c>
      <c r="X17" s="25" t="e">
        <f t="shared" si="14"/>
        <v>#DIV/0!</v>
      </c>
      <c r="Y17" s="25" t="e">
        <f t="shared" si="15"/>
        <v>#DIV/0!</v>
      </c>
      <c r="Z17" s="25" t="e">
        <f t="shared" si="16"/>
        <v>#DIV/0!</v>
      </c>
      <c r="AA17" s="25" t="e">
        <f t="shared" si="17"/>
        <v>#DIV/0!</v>
      </c>
      <c r="AB17" s="25" t="e">
        <f t="shared" si="18"/>
        <v>#DIV/0!</v>
      </c>
      <c r="AC17" s="25" t="e">
        <f t="shared" si="19"/>
        <v>#DIV/0!</v>
      </c>
      <c r="AD17" s="63" t="e">
        <f t="shared" si="20"/>
        <v>#DIV/0!</v>
      </c>
      <c r="AE17" s="24">
        <f t="shared" si="21"/>
        <v>0</v>
      </c>
    </row>
    <row r="18" spans="1:31" x14ac:dyDescent="0.2">
      <c r="A18" s="75">
        <v>46266</v>
      </c>
      <c r="B18" s="15" t="s">
        <v>31</v>
      </c>
      <c r="C18" s="15" t="s">
        <v>31</v>
      </c>
      <c r="D18" s="18">
        <f t="shared" si="1"/>
        <v>0</v>
      </c>
      <c r="E18" s="4">
        <f t="shared" si="2"/>
        <v>0</v>
      </c>
      <c r="F18" s="4">
        <v>0</v>
      </c>
      <c r="G18" s="5" t="e">
        <f t="shared" ref="G18" si="42">E18/D18</f>
        <v>#DIV/0!</v>
      </c>
      <c r="H18" s="4" t="e">
        <f t="shared" ref="H18" si="43">F18/D18</f>
        <v>#DIV/0!</v>
      </c>
      <c r="I18" s="4" t="e">
        <f t="shared" ref="I18" si="44">F18/E18</f>
        <v>#DIV/0!</v>
      </c>
      <c r="J18" s="4">
        <f t="shared" ref="J18" si="45">D18*8%</f>
        <v>0</v>
      </c>
      <c r="K18" s="27">
        <f t="shared" ref="K18" si="46">D18*4%</f>
        <v>0</v>
      </c>
      <c r="L18" s="30">
        <f t="shared" ref="L18" si="47">D18*25%</f>
        <v>0</v>
      </c>
      <c r="M18" s="18">
        <v>0</v>
      </c>
      <c r="N18" s="4">
        <v>0</v>
      </c>
      <c r="O18" s="4">
        <v>0</v>
      </c>
      <c r="P18" s="5" t="e">
        <f t="shared" ref="P18" si="48">N18/M18</f>
        <v>#DIV/0!</v>
      </c>
      <c r="Q18" s="29" t="e">
        <f t="shared" ref="Q18" si="49">O18/M18</f>
        <v>#DIV/0!</v>
      </c>
      <c r="R18" s="29" t="e">
        <f t="shared" ref="R18" si="50">O18/N18</f>
        <v>#DIV/0!</v>
      </c>
      <c r="S18" s="1">
        <v>0</v>
      </c>
      <c r="T18" s="1">
        <v>0</v>
      </c>
      <c r="U18" s="24">
        <v>0</v>
      </c>
      <c r="V18" s="25" t="e">
        <f t="shared" ref="V18" si="51">M18/D18</f>
        <v>#DIV/0!</v>
      </c>
      <c r="W18" s="25" t="e">
        <f t="shared" ref="W18" si="52">N18/E18</f>
        <v>#DIV/0!</v>
      </c>
      <c r="X18" s="25" t="e">
        <f t="shared" ref="X18" si="53">O18/F18</f>
        <v>#DIV/0!</v>
      </c>
      <c r="Y18" s="25" t="e">
        <f t="shared" ref="Y18" si="54">P18/G18</f>
        <v>#DIV/0!</v>
      </c>
      <c r="Z18" s="25" t="e">
        <f t="shared" ref="Z18" si="55">Q18/H18</f>
        <v>#DIV/0!</v>
      </c>
      <c r="AA18" s="25" t="e">
        <f t="shared" ref="AA18" si="56">R18/I18</f>
        <v>#DIV/0!</v>
      </c>
      <c r="AB18" s="25" t="e">
        <f t="shared" ref="AB18" si="57">S18/J18</f>
        <v>#DIV/0!</v>
      </c>
      <c r="AC18" s="25" t="e">
        <f t="shared" ref="AC18" si="58">T18/K18</f>
        <v>#DIV/0!</v>
      </c>
      <c r="AD18" s="63" t="e">
        <f t="shared" ref="AD18" si="59">U18/L18</f>
        <v>#DIV/0!</v>
      </c>
      <c r="AE18" s="24">
        <f t="shared" si="21"/>
        <v>0</v>
      </c>
    </row>
    <row r="19" spans="1:31" x14ac:dyDescent="0.2">
      <c r="A19" s="75">
        <f t="shared" ref="A19:A82" si="60">A4+1</f>
        <v>46267</v>
      </c>
      <c r="B19" s="15" t="str">
        <f>$B$4</f>
        <v>DSM</v>
      </c>
      <c r="C19" s="15" t="str">
        <f>$C$4</f>
        <v xml:space="preserve">komal  </v>
      </c>
      <c r="D19" s="18">
        <f t="shared" si="1"/>
        <v>0</v>
      </c>
      <c r="E19" s="4">
        <f t="shared" si="2"/>
        <v>0</v>
      </c>
      <c r="F19" s="4">
        <v>0</v>
      </c>
      <c r="G19" s="5" t="e">
        <f t="shared" si="3"/>
        <v>#DIV/0!</v>
      </c>
      <c r="H19" s="4" t="e">
        <f t="shared" si="4"/>
        <v>#DIV/0!</v>
      </c>
      <c r="I19" s="4" t="e">
        <f t="shared" si="5"/>
        <v>#DIV/0!</v>
      </c>
      <c r="J19" s="4">
        <f t="shared" si="6"/>
        <v>0</v>
      </c>
      <c r="K19" s="27">
        <f t="shared" si="7"/>
        <v>0</v>
      </c>
      <c r="L19" s="30">
        <f t="shared" si="8"/>
        <v>0</v>
      </c>
      <c r="M19" s="18">
        <v>0</v>
      </c>
      <c r="N19" s="4">
        <v>0</v>
      </c>
      <c r="O19" s="4">
        <v>0</v>
      </c>
      <c r="P19" s="5" t="e">
        <f t="shared" si="9"/>
        <v>#DIV/0!</v>
      </c>
      <c r="Q19" s="29" t="e">
        <f t="shared" si="10"/>
        <v>#DIV/0!</v>
      </c>
      <c r="R19" s="29" t="e">
        <f t="shared" si="11"/>
        <v>#DIV/0!</v>
      </c>
      <c r="S19" s="1">
        <v>0</v>
      </c>
      <c r="T19" s="1">
        <v>0</v>
      </c>
      <c r="U19" s="24">
        <v>0</v>
      </c>
      <c r="V19" s="25" t="e">
        <f t="shared" si="12"/>
        <v>#DIV/0!</v>
      </c>
      <c r="W19" s="25" t="e">
        <f t="shared" si="13"/>
        <v>#DIV/0!</v>
      </c>
      <c r="X19" s="25" t="e">
        <f t="shared" si="14"/>
        <v>#DIV/0!</v>
      </c>
      <c r="Y19" s="25" t="e">
        <f t="shared" si="15"/>
        <v>#DIV/0!</v>
      </c>
      <c r="Z19" s="25" t="e">
        <f t="shared" si="16"/>
        <v>#DIV/0!</v>
      </c>
      <c r="AA19" s="25" t="e">
        <f t="shared" si="17"/>
        <v>#DIV/0!</v>
      </c>
      <c r="AB19" s="25" t="e">
        <f t="shared" si="18"/>
        <v>#DIV/0!</v>
      </c>
      <c r="AC19" s="25" t="e">
        <f t="shared" si="19"/>
        <v>#DIV/0!</v>
      </c>
      <c r="AD19" s="63" t="e">
        <f t="shared" si="20"/>
        <v>#DIV/0!</v>
      </c>
      <c r="AE19" s="24">
        <f t="shared" si="21"/>
        <v>0</v>
      </c>
    </row>
    <row r="20" spans="1:31" x14ac:dyDescent="0.2">
      <c r="A20" s="75">
        <f t="shared" si="60"/>
        <v>46267</v>
      </c>
      <c r="B20" s="15" t="str">
        <f>$B$5</f>
        <v>SS</v>
      </c>
      <c r="C20" s="15" t="str">
        <f>$C$5</f>
        <v>Prem</v>
      </c>
      <c r="D20" s="18">
        <f t="shared" si="1"/>
        <v>2.3366242176015644</v>
      </c>
      <c r="E20" s="4">
        <f t="shared" si="2"/>
        <v>5.8344655311974289</v>
      </c>
      <c r="F20" s="4">
        <v>5764.4519448230594</v>
      </c>
      <c r="G20" s="5">
        <f t="shared" si="3"/>
        <v>2.4969635627530367</v>
      </c>
      <c r="H20" s="4">
        <f t="shared" si="4"/>
        <v>2467</v>
      </c>
      <c r="I20" s="4">
        <f t="shared" si="5"/>
        <v>987.99999999999989</v>
      </c>
      <c r="J20" s="4">
        <f t="shared" si="6"/>
        <v>0.18692993740812516</v>
      </c>
      <c r="K20" s="27">
        <f t="shared" si="7"/>
        <v>9.3464968704062582E-2</v>
      </c>
      <c r="L20" s="30">
        <f t="shared" si="8"/>
        <v>0.58415605440039109</v>
      </c>
      <c r="M20" s="18">
        <v>3</v>
      </c>
      <c r="N20" s="4">
        <v>4</v>
      </c>
      <c r="O20" s="4">
        <v>5046</v>
      </c>
      <c r="P20" s="5">
        <f t="shared" si="9"/>
        <v>1.3333333333333333</v>
      </c>
      <c r="Q20" s="29">
        <f t="shared" si="10"/>
        <v>1682</v>
      </c>
      <c r="R20" s="29">
        <f t="shared" si="11"/>
        <v>1261.5</v>
      </c>
      <c r="S20" s="1">
        <v>0</v>
      </c>
      <c r="T20" s="1">
        <v>0</v>
      </c>
      <c r="U20" s="24">
        <v>0</v>
      </c>
      <c r="V20" s="25">
        <f t="shared" si="12"/>
        <v>1.2839034952224195</v>
      </c>
      <c r="W20" s="25">
        <f t="shared" si="13"/>
        <v>0.68558122052682091</v>
      </c>
      <c r="X20" s="25">
        <f t="shared" si="14"/>
        <v>0.87536509078399261</v>
      </c>
      <c r="Y20" s="25">
        <f t="shared" si="15"/>
        <v>0.53398189433860277</v>
      </c>
      <c r="Z20" s="25">
        <f t="shared" si="16"/>
        <v>0.68179975678962301</v>
      </c>
      <c r="AA20" s="25">
        <f t="shared" si="17"/>
        <v>1.2768218623481782</v>
      </c>
      <c r="AB20" s="25">
        <f t="shared" si="18"/>
        <v>0</v>
      </c>
      <c r="AC20" s="25">
        <f t="shared" si="19"/>
        <v>0</v>
      </c>
      <c r="AD20" s="63">
        <f t="shared" si="20"/>
        <v>0</v>
      </c>
      <c r="AE20" s="24">
        <f t="shared" si="21"/>
        <v>1</v>
      </c>
    </row>
    <row r="21" spans="1:31" x14ac:dyDescent="0.2">
      <c r="A21" s="75">
        <f t="shared" si="60"/>
        <v>46267</v>
      </c>
      <c r="B21" s="15" t="str">
        <f>$B$6</f>
        <v>SS</v>
      </c>
      <c r="C21" s="15" t="str">
        <f>$C$6</f>
        <v>Anuj</v>
      </c>
      <c r="D21" s="18">
        <f t="shared" si="1"/>
        <v>7.7887473920052157</v>
      </c>
      <c r="E21" s="4">
        <f t="shared" si="2"/>
        <v>19.448218437324762</v>
      </c>
      <c r="F21" s="4">
        <v>19214.839816076867</v>
      </c>
      <c r="G21" s="5">
        <f t="shared" si="3"/>
        <v>2.4969635627530362</v>
      </c>
      <c r="H21" s="4">
        <f t="shared" si="4"/>
        <v>2467</v>
      </c>
      <c r="I21" s="4">
        <f t="shared" si="5"/>
        <v>988.00000000000011</v>
      </c>
      <c r="J21" s="4">
        <f t="shared" si="6"/>
        <v>0.62309979136041727</v>
      </c>
      <c r="K21" s="27">
        <f t="shared" si="7"/>
        <v>0.31154989568020863</v>
      </c>
      <c r="L21" s="30">
        <f t="shared" si="8"/>
        <v>1.9471868480013039</v>
      </c>
      <c r="M21" s="18">
        <v>5</v>
      </c>
      <c r="N21" s="4">
        <v>13</v>
      </c>
      <c r="O21" s="4">
        <v>24179</v>
      </c>
      <c r="P21" s="5">
        <f t="shared" si="9"/>
        <v>2.6</v>
      </c>
      <c r="Q21" s="29">
        <f t="shared" si="10"/>
        <v>4835.8</v>
      </c>
      <c r="R21" s="29">
        <f t="shared" si="11"/>
        <v>1859.9230769230769</v>
      </c>
      <c r="S21" s="1">
        <v>0</v>
      </c>
      <c r="T21" s="1">
        <v>0</v>
      </c>
      <c r="U21" s="24">
        <v>0</v>
      </c>
      <c r="V21" s="25">
        <f t="shared" si="12"/>
        <v>0.64195174761120966</v>
      </c>
      <c r="W21" s="25">
        <f t="shared" si="13"/>
        <v>0.6684416900136505</v>
      </c>
      <c r="X21" s="25">
        <f t="shared" si="14"/>
        <v>1.2583503287792006</v>
      </c>
      <c r="Y21" s="25">
        <f t="shared" si="15"/>
        <v>1.0412646939602759</v>
      </c>
      <c r="Z21" s="25">
        <f t="shared" si="16"/>
        <v>1.9601945683015809</v>
      </c>
      <c r="AA21" s="25">
        <f t="shared" si="17"/>
        <v>1.8825132357521019</v>
      </c>
      <c r="AB21" s="25">
        <f t="shared" si="18"/>
        <v>0</v>
      </c>
      <c r="AC21" s="25">
        <f t="shared" si="19"/>
        <v>0</v>
      </c>
      <c r="AD21" s="63">
        <f t="shared" si="20"/>
        <v>0</v>
      </c>
      <c r="AE21" s="24">
        <f t="shared" si="21"/>
        <v>1</v>
      </c>
    </row>
    <row r="22" spans="1:31" x14ac:dyDescent="0.2">
      <c r="A22" s="75">
        <f t="shared" si="60"/>
        <v>46267</v>
      </c>
      <c r="B22" s="15" t="str">
        <f>$B$7</f>
        <v>FC</v>
      </c>
      <c r="C22" s="15" t="str">
        <f>$C$7</f>
        <v>Muskan</v>
      </c>
      <c r="D22" s="18">
        <f t="shared" si="1"/>
        <v>0</v>
      </c>
      <c r="E22" s="4">
        <f t="shared" si="2"/>
        <v>0</v>
      </c>
      <c r="F22" s="4">
        <v>0</v>
      </c>
      <c r="G22" s="5" t="e">
        <f t="shared" si="3"/>
        <v>#DIV/0!</v>
      </c>
      <c r="H22" s="4" t="e">
        <f t="shared" si="4"/>
        <v>#DIV/0!</v>
      </c>
      <c r="I22" s="4" t="e">
        <f t="shared" si="5"/>
        <v>#DIV/0!</v>
      </c>
      <c r="J22" s="4">
        <f t="shared" si="6"/>
        <v>0</v>
      </c>
      <c r="K22" s="27">
        <f t="shared" si="7"/>
        <v>0</v>
      </c>
      <c r="L22" s="30">
        <f t="shared" si="8"/>
        <v>0</v>
      </c>
      <c r="M22" s="18">
        <v>0</v>
      </c>
      <c r="N22" s="4">
        <v>0</v>
      </c>
      <c r="O22" s="4">
        <v>0</v>
      </c>
      <c r="P22" s="5" t="e">
        <f t="shared" si="9"/>
        <v>#DIV/0!</v>
      </c>
      <c r="Q22" s="29" t="e">
        <f t="shared" si="10"/>
        <v>#DIV/0!</v>
      </c>
      <c r="R22" s="29" t="e">
        <f t="shared" si="11"/>
        <v>#DIV/0!</v>
      </c>
      <c r="S22" s="1">
        <v>0</v>
      </c>
      <c r="T22" s="1">
        <v>0</v>
      </c>
      <c r="U22" s="24">
        <v>0</v>
      </c>
      <c r="V22" s="25" t="e">
        <f t="shared" si="12"/>
        <v>#DIV/0!</v>
      </c>
      <c r="W22" s="25" t="e">
        <f t="shared" si="13"/>
        <v>#DIV/0!</v>
      </c>
      <c r="X22" s="25" t="e">
        <f t="shared" si="14"/>
        <v>#DIV/0!</v>
      </c>
      <c r="Y22" s="25" t="e">
        <f t="shared" si="15"/>
        <v>#DIV/0!</v>
      </c>
      <c r="Z22" s="25" t="e">
        <f t="shared" si="16"/>
        <v>#DIV/0!</v>
      </c>
      <c r="AA22" s="25" t="e">
        <f t="shared" si="17"/>
        <v>#DIV/0!</v>
      </c>
      <c r="AB22" s="25" t="e">
        <f t="shared" si="18"/>
        <v>#DIV/0!</v>
      </c>
      <c r="AC22" s="25" t="e">
        <f t="shared" si="19"/>
        <v>#DIV/0!</v>
      </c>
      <c r="AD22" s="63" t="e">
        <f t="shared" si="20"/>
        <v>#DIV/0!</v>
      </c>
      <c r="AE22" s="24">
        <f t="shared" si="21"/>
        <v>0</v>
      </c>
    </row>
    <row r="23" spans="1:31" x14ac:dyDescent="0.2">
      <c r="A23" s="75">
        <f t="shared" si="60"/>
        <v>46267</v>
      </c>
      <c r="B23" s="15" t="str">
        <f>$B$8</f>
        <v>FC</v>
      </c>
      <c r="C23" s="15" t="str">
        <f>$C$8</f>
        <v xml:space="preserve">Kajal  </v>
      </c>
      <c r="D23" s="18">
        <f t="shared" si="1"/>
        <v>0</v>
      </c>
      <c r="E23" s="4">
        <f t="shared" si="2"/>
        <v>0</v>
      </c>
      <c r="F23" s="4">
        <v>0</v>
      </c>
      <c r="G23" s="5" t="e">
        <f t="shared" si="3"/>
        <v>#DIV/0!</v>
      </c>
      <c r="H23" s="4" t="e">
        <f t="shared" si="4"/>
        <v>#DIV/0!</v>
      </c>
      <c r="I23" s="4" t="e">
        <f t="shared" si="5"/>
        <v>#DIV/0!</v>
      </c>
      <c r="J23" s="4">
        <f t="shared" si="6"/>
        <v>0</v>
      </c>
      <c r="K23" s="27">
        <f t="shared" si="7"/>
        <v>0</v>
      </c>
      <c r="L23" s="30">
        <f t="shared" si="8"/>
        <v>0</v>
      </c>
      <c r="M23" s="18">
        <v>0</v>
      </c>
      <c r="N23" s="4">
        <v>0</v>
      </c>
      <c r="O23" s="4">
        <v>0</v>
      </c>
      <c r="P23" s="5" t="e">
        <f t="shared" si="9"/>
        <v>#DIV/0!</v>
      </c>
      <c r="Q23" s="29" t="e">
        <f t="shared" si="10"/>
        <v>#DIV/0!</v>
      </c>
      <c r="R23" s="29" t="e">
        <f t="shared" si="11"/>
        <v>#DIV/0!</v>
      </c>
      <c r="S23" s="1">
        <v>0</v>
      </c>
      <c r="T23" s="1">
        <v>0</v>
      </c>
      <c r="U23" s="24">
        <v>0</v>
      </c>
      <c r="V23" s="25" t="e">
        <f t="shared" si="12"/>
        <v>#DIV/0!</v>
      </c>
      <c r="W23" s="25" t="e">
        <f t="shared" si="13"/>
        <v>#DIV/0!</v>
      </c>
      <c r="X23" s="25" t="e">
        <f t="shared" si="14"/>
        <v>#DIV/0!</v>
      </c>
      <c r="Y23" s="25" t="e">
        <f t="shared" si="15"/>
        <v>#DIV/0!</v>
      </c>
      <c r="Z23" s="25" t="e">
        <f t="shared" si="16"/>
        <v>#DIV/0!</v>
      </c>
      <c r="AA23" s="25" t="e">
        <f t="shared" si="17"/>
        <v>#DIV/0!</v>
      </c>
      <c r="AB23" s="25" t="e">
        <f t="shared" si="18"/>
        <v>#DIV/0!</v>
      </c>
      <c r="AC23" s="25" t="e">
        <f t="shared" si="19"/>
        <v>#DIV/0!</v>
      </c>
      <c r="AD23" s="63" t="e">
        <f t="shared" si="20"/>
        <v>#DIV/0!</v>
      </c>
      <c r="AE23" s="24">
        <f t="shared" si="21"/>
        <v>0</v>
      </c>
    </row>
    <row r="24" spans="1:31" x14ac:dyDescent="0.2">
      <c r="A24" s="75">
        <f t="shared" si="60"/>
        <v>46267</v>
      </c>
      <c r="B24" s="15" t="str">
        <f>$B$9</f>
        <v>FC</v>
      </c>
      <c r="C24" s="15" t="str">
        <f>$C$9</f>
        <v>Pradeep</v>
      </c>
      <c r="D24" s="18">
        <f t="shared" si="1"/>
        <v>6.2309979136041722</v>
      </c>
      <c r="E24" s="4">
        <f t="shared" si="2"/>
        <v>15.558574749859812</v>
      </c>
      <c r="F24" s="4">
        <v>15371.871852861494</v>
      </c>
      <c r="G24" s="5">
        <f t="shared" si="3"/>
        <v>2.4969635627530367</v>
      </c>
      <c r="H24" s="4">
        <f t="shared" si="4"/>
        <v>2467</v>
      </c>
      <c r="I24" s="4">
        <f t="shared" si="5"/>
        <v>988</v>
      </c>
      <c r="J24" s="4">
        <f t="shared" si="6"/>
        <v>0.49847983308833377</v>
      </c>
      <c r="K24" s="27">
        <f t="shared" si="7"/>
        <v>0.24923991654416688</v>
      </c>
      <c r="L24" s="30">
        <f t="shared" si="8"/>
        <v>1.5577494784010431</v>
      </c>
      <c r="M24" s="18">
        <v>7</v>
      </c>
      <c r="N24" s="4">
        <v>18</v>
      </c>
      <c r="O24" s="4">
        <v>20477</v>
      </c>
      <c r="P24" s="5">
        <f t="shared" si="9"/>
        <v>2.5714285714285716</v>
      </c>
      <c r="Q24" s="29">
        <f t="shared" si="10"/>
        <v>2925.2857142857142</v>
      </c>
      <c r="R24" s="29">
        <f t="shared" si="11"/>
        <v>1137.6111111111111</v>
      </c>
      <c r="S24" s="1">
        <v>0</v>
      </c>
      <c r="T24" s="1">
        <v>0</v>
      </c>
      <c r="U24" s="24">
        <v>0</v>
      </c>
      <c r="V24" s="25">
        <f t="shared" si="12"/>
        <v>1.123415558319617</v>
      </c>
      <c r="W24" s="25">
        <f t="shared" si="13"/>
        <v>1.1569183096390103</v>
      </c>
      <c r="X24" s="25">
        <f t="shared" si="14"/>
        <v>1.3321084247907116</v>
      </c>
      <c r="Y24" s="25">
        <f t="shared" si="15"/>
        <v>1.029822224795877</v>
      </c>
      <c r="Z24" s="25">
        <f t="shared" si="16"/>
        <v>1.1857664022236376</v>
      </c>
      <c r="AA24" s="25">
        <f t="shared" si="17"/>
        <v>1.1514282501124606</v>
      </c>
      <c r="AB24" s="25">
        <f t="shared" si="18"/>
        <v>0</v>
      </c>
      <c r="AC24" s="25">
        <f t="shared" si="19"/>
        <v>0</v>
      </c>
      <c r="AD24" s="63">
        <f t="shared" si="20"/>
        <v>0</v>
      </c>
      <c r="AE24" s="24">
        <f t="shared" si="21"/>
        <v>1</v>
      </c>
    </row>
    <row r="25" spans="1:31" x14ac:dyDescent="0.2">
      <c r="A25" s="75">
        <f t="shared" si="60"/>
        <v>46267</v>
      </c>
      <c r="B25" s="15" t="str">
        <f>$B$10</f>
        <v>FC</v>
      </c>
      <c r="C25" s="15" t="str">
        <f>$C$10</f>
        <v>Aftab</v>
      </c>
      <c r="D25" s="18">
        <f t="shared" si="1"/>
        <v>0</v>
      </c>
      <c r="E25" s="4">
        <f t="shared" si="2"/>
        <v>0</v>
      </c>
      <c r="F25" s="4">
        <v>0</v>
      </c>
      <c r="G25" s="5" t="e">
        <f t="shared" si="3"/>
        <v>#DIV/0!</v>
      </c>
      <c r="H25" s="4" t="e">
        <f t="shared" si="4"/>
        <v>#DIV/0!</v>
      </c>
      <c r="I25" s="4" t="e">
        <f t="shared" si="5"/>
        <v>#DIV/0!</v>
      </c>
      <c r="J25" s="4">
        <f t="shared" si="6"/>
        <v>0</v>
      </c>
      <c r="K25" s="27">
        <f t="shared" si="7"/>
        <v>0</v>
      </c>
      <c r="L25" s="30">
        <f t="shared" si="8"/>
        <v>0</v>
      </c>
      <c r="M25" s="18">
        <v>0</v>
      </c>
      <c r="N25" s="4">
        <v>0</v>
      </c>
      <c r="O25" s="4">
        <v>0</v>
      </c>
      <c r="P25" s="5" t="e">
        <f t="shared" si="9"/>
        <v>#DIV/0!</v>
      </c>
      <c r="Q25" s="29" t="e">
        <f t="shared" si="10"/>
        <v>#DIV/0!</v>
      </c>
      <c r="R25" s="29" t="e">
        <f t="shared" si="11"/>
        <v>#DIV/0!</v>
      </c>
      <c r="S25" s="1">
        <v>0</v>
      </c>
      <c r="T25" s="1">
        <v>0</v>
      </c>
      <c r="U25" s="24">
        <v>0</v>
      </c>
      <c r="V25" s="25" t="e">
        <f t="shared" si="12"/>
        <v>#DIV/0!</v>
      </c>
      <c r="W25" s="25" t="e">
        <f t="shared" si="13"/>
        <v>#DIV/0!</v>
      </c>
      <c r="X25" s="25" t="e">
        <f t="shared" si="14"/>
        <v>#DIV/0!</v>
      </c>
      <c r="Y25" s="25" t="e">
        <f t="shared" si="15"/>
        <v>#DIV/0!</v>
      </c>
      <c r="Z25" s="25" t="e">
        <f t="shared" si="16"/>
        <v>#DIV/0!</v>
      </c>
      <c r="AA25" s="25" t="e">
        <f t="shared" si="17"/>
        <v>#DIV/0!</v>
      </c>
      <c r="AB25" s="25" t="e">
        <f t="shared" si="18"/>
        <v>#DIV/0!</v>
      </c>
      <c r="AC25" s="25" t="e">
        <f t="shared" si="19"/>
        <v>#DIV/0!</v>
      </c>
      <c r="AD25" s="63" t="e">
        <f t="shared" si="20"/>
        <v>#DIV/0!</v>
      </c>
      <c r="AE25" s="24">
        <f t="shared" si="21"/>
        <v>0</v>
      </c>
    </row>
    <row r="26" spans="1:31" x14ac:dyDescent="0.2">
      <c r="A26" s="75">
        <f t="shared" si="60"/>
        <v>46267</v>
      </c>
      <c r="B26" s="15" t="str">
        <f>$B$11</f>
        <v>FC</v>
      </c>
      <c r="C26" s="15" t="str">
        <f>$C$11</f>
        <v>Khushi</v>
      </c>
      <c r="D26" s="18">
        <f t="shared" si="1"/>
        <v>7.7887473920052157</v>
      </c>
      <c r="E26" s="4">
        <f t="shared" si="2"/>
        <v>19.448218437324762</v>
      </c>
      <c r="F26" s="4">
        <v>19214.839816076867</v>
      </c>
      <c r="G26" s="5">
        <f t="shared" si="3"/>
        <v>2.4969635627530362</v>
      </c>
      <c r="H26" s="4">
        <f t="shared" si="4"/>
        <v>2467</v>
      </c>
      <c r="I26" s="4">
        <f t="shared" si="5"/>
        <v>988.00000000000011</v>
      </c>
      <c r="J26" s="4">
        <f t="shared" si="6"/>
        <v>0.62309979136041727</v>
      </c>
      <c r="K26" s="27">
        <f t="shared" si="7"/>
        <v>0.31154989568020863</v>
      </c>
      <c r="L26" s="30">
        <f t="shared" si="8"/>
        <v>1.9471868480013039</v>
      </c>
      <c r="M26" s="18">
        <v>8</v>
      </c>
      <c r="N26" s="4">
        <v>15</v>
      </c>
      <c r="O26" s="4">
        <v>21268.200000000004</v>
      </c>
      <c r="P26" s="5">
        <f t="shared" si="9"/>
        <v>1.875</v>
      </c>
      <c r="Q26" s="29">
        <f t="shared" si="10"/>
        <v>2658.5250000000005</v>
      </c>
      <c r="R26" s="29">
        <f t="shared" si="11"/>
        <v>1417.8800000000003</v>
      </c>
      <c r="S26" s="1">
        <v>0</v>
      </c>
      <c r="T26" s="1">
        <v>0</v>
      </c>
      <c r="U26" s="24">
        <v>0</v>
      </c>
      <c r="V26" s="25">
        <f t="shared" si="12"/>
        <v>1.0271227961779354</v>
      </c>
      <c r="W26" s="25">
        <f t="shared" si="13"/>
        <v>0.77127887309267362</v>
      </c>
      <c r="X26" s="25">
        <f t="shared" si="14"/>
        <v>1.1068632475512552</v>
      </c>
      <c r="Y26" s="25">
        <f t="shared" si="15"/>
        <v>0.75091203891366043</v>
      </c>
      <c r="Z26" s="25">
        <f t="shared" si="16"/>
        <v>1.0776347790839078</v>
      </c>
      <c r="AA26" s="25">
        <f t="shared" si="17"/>
        <v>1.4351012145748989</v>
      </c>
      <c r="AB26" s="25">
        <f t="shared" si="18"/>
        <v>0</v>
      </c>
      <c r="AC26" s="25">
        <f t="shared" si="19"/>
        <v>0</v>
      </c>
      <c r="AD26" s="63">
        <f t="shared" si="20"/>
        <v>0</v>
      </c>
      <c r="AE26" s="24">
        <f t="shared" si="21"/>
        <v>1</v>
      </c>
    </row>
    <row r="27" spans="1:31" x14ac:dyDescent="0.2">
      <c r="A27" s="75">
        <f t="shared" si="60"/>
        <v>46267</v>
      </c>
      <c r="B27" s="15" t="str">
        <f>$B$12</f>
        <v>FC</v>
      </c>
      <c r="C27" s="15" t="str">
        <f>$C$12</f>
        <v>Kishan</v>
      </c>
      <c r="D27" s="18">
        <f t="shared" si="1"/>
        <v>0</v>
      </c>
      <c r="E27" s="4">
        <f t="shared" si="2"/>
        <v>0</v>
      </c>
      <c r="F27" s="4">
        <v>0</v>
      </c>
      <c r="G27" s="5" t="e">
        <f t="shared" si="3"/>
        <v>#DIV/0!</v>
      </c>
      <c r="H27" s="4" t="e">
        <f t="shared" si="4"/>
        <v>#DIV/0!</v>
      </c>
      <c r="I27" s="4" t="e">
        <f t="shared" si="5"/>
        <v>#DIV/0!</v>
      </c>
      <c r="J27" s="4">
        <f t="shared" si="6"/>
        <v>0</v>
      </c>
      <c r="K27" s="27">
        <f t="shared" si="7"/>
        <v>0</v>
      </c>
      <c r="L27" s="30">
        <f t="shared" si="8"/>
        <v>0</v>
      </c>
      <c r="M27" s="18">
        <v>0</v>
      </c>
      <c r="N27" s="4">
        <v>0</v>
      </c>
      <c r="O27" s="4">
        <v>0</v>
      </c>
      <c r="P27" s="5" t="e">
        <f t="shared" si="9"/>
        <v>#DIV/0!</v>
      </c>
      <c r="Q27" s="29" t="e">
        <f t="shared" si="10"/>
        <v>#DIV/0!</v>
      </c>
      <c r="R27" s="29" t="e">
        <f t="shared" si="11"/>
        <v>#DIV/0!</v>
      </c>
      <c r="S27" s="1">
        <v>0</v>
      </c>
      <c r="T27" s="1">
        <v>0</v>
      </c>
      <c r="U27" s="24">
        <v>0</v>
      </c>
      <c r="V27" s="25" t="e">
        <f t="shared" si="12"/>
        <v>#DIV/0!</v>
      </c>
      <c r="W27" s="25" t="e">
        <f t="shared" si="13"/>
        <v>#DIV/0!</v>
      </c>
      <c r="X27" s="25" t="e">
        <f t="shared" si="14"/>
        <v>#DIV/0!</v>
      </c>
      <c r="Y27" s="25" t="e">
        <f t="shared" si="15"/>
        <v>#DIV/0!</v>
      </c>
      <c r="Z27" s="25" t="e">
        <f t="shared" si="16"/>
        <v>#DIV/0!</v>
      </c>
      <c r="AA27" s="25" t="e">
        <f t="shared" si="17"/>
        <v>#DIV/0!</v>
      </c>
      <c r="AB27" s="25" t="e">
        <f t="shared" si="18"/>
        <v>#DIV/0!</v>
      </c>
      <c r="AC27" s="25" t="e">
        <f t="shared" si="19"/>
        <v>#DIV/0!</v>
      </c>
      <c r="AD27" s="63" t="e">
        <f t="shared" si="20"/>
        <v>#DIV/0!</v>
      </c>
      <c r="AE27" s="24">
        <f t="shared" si="21"/>
        <v>0</v>
      </c>
    </row>
    <row r="28" spans="1:31" x14ac:dyDescent="0.2">
      <c r="A28" s="75">
        <f t="shared" si="60"/>
        <v>46267</v>
      </c>
      <c r="B28" s="15" t="str">
        <f>$B$13</f>
        <v>Partner</v>
      </c>
      <c r="C28" s="15" t="str">
        <f>$C$13</f>
        <v>Rahul</v>
      </c>
      <c r="D28" s="18">
        <f t="shared" si="1"/>
        <v>0</v>
      </c>
      <c r="E28" s="4">
        <f t="shared" si="2"/>
        <v>0</v>
      </c>
      <c r="F28" s="4">
        <v>0</v>
      </c>
      <c r="G28" s="5" t="e">
        <f t="shared" si="3"/>
        <v>#DIV/0!</v>
      </c>
      <c r="H28" s="4" t="e">
        <f t="shared" si="4"/>
        <v>#DIV/0!</v>
      </c>
      <c r="I28" s="4" t="e">
        <f t="shared" si="5"/>
        <v>#DIV/0!</v>
      </c>
      <c r="J28" s="4">
        <f t="shared" si="6"/>
        <v>0</v>
      </c>
      <c r="K28" s="27">
        <f t="shared" si="7"/>
        <v>0</v>
      </c>
      <c r="L28" s="30">
        <f t="shared" si="8"/>
        <v>0</v>
      </c>
      <c r="M28" s="18">
        <v>0</v>
      </c>
      <c r="N28" s="4">
        <v>0</v>
      </c>
      <c r="O28" s="4">
        <v>0</v>
      </c>
      <c r="P28" s="5" t="e">
        <f t="shared" si="9"/>
        <v>#DIV/0!</v>
      </c>
      <c r="Q28" s="29" t="e">
        <f t="shared" si="10"/>
        <v>#DIV/0!</v>
      </c>
      <c r="R28" s="29" t="e">
        <f t="shared" si="11"/>
        <v>#DIV/0!</v>
      </c>
      <c r="S28" s="1">
        <v>0</v>
      </c>
      <c r="T28" s="1">
        <v>0</v>
      </c>
      <c r="U28" s="24">
        <v>0</v>
      </c>
      <c r="V28" s="25" t="e">
        <f t="shared" si="12"/>
        <v>#DIV/0!</v>
      </c>
      <c r="W28" s="25" t="e">
        <f t="shared" si="13"/>
        <v>#DIV/0!</v>
      </c>
      <c r="X28" s="25" t="e">
        <f t="shared" si="14"/>
        <v>#DIV/0!</v>
      </c>
      <c r="Y28" s="25" t="e">
        <f t="shared" si="15"/>
        <v>#DIV/0!</v>
      </c>
      <c r="Z28" s="25" t="e">
        <f t="shared" si="16"/>
        <v>#DIV/0!</v>
      </c>
      <c r="AA28" s="25" t="e">
        <f t="shared" si="17"/>
        <v>#DIV/0!</v>
      </c>
      <c r="AB28" s="25" t="e">
        <f t="shared" si="18"/>
        <v>#DIV/0!</v>
      </c>
      <c r="AC28" s="25" t="e">
        <f t="shared" si="19"/>
        <v>#DIV/0!</v>
      </c>
      <c r="AD28" s="63" t="e">
        <f t="shared" si="20"/>
        <v>#DIV/0!</v>
      </c>
      <c r="AE28" s="24">
        <f t="shared" si="21"/>
        <v>0</v>
      </c>
    </row>
    <row r="29" spans="1:31" x14ac:dyDescent="0.2">
      <c r="A29" s="75">
        <f t="shared" si="60"/>
        <v>46267</v>
      </c>
      <c r="B29" s="15" t="str">
        <f>$B$14</f>
        <v>Partner</v>
      </c>
      <c r="C29" s="15" t="str">
        <f>$C$14</f>
        <v>Prince</v>
      </c>
      <c r="D29" s="18">
        <f t="shared" si="1"/>
        <v>0</v>
      </c>
      <c r="E29" s="4">
        <f t="shared" si="2"/>
        <v>0</v>
      </c>
      <c r="F29" s="4">
        <v>0</v>
      </c>
      <c r="G29" s="5" t="e">
        <f t="shared" si="3"/>
        <v>#DIV/0!</v>
      </c>
      <c r="H29" s="4" t="e">
        <f t="shared" si="4"/>
        <v>#DIV/0!</v>
      </c>
      <c r="I29" s="4" t="e">
        <f t="shared" si="5"/>
        <v>#DIV/0!</v>
      </c>
      <c r="J29" s="4">
        <f t="shared" si="6"/>
        <v>0</v>
      </c>
      <c r="K29" s="27">
        <f t="shared" si="7"/>
        <v>0</v>
      </c>
      <c r="L29" s="30">
        <f t="shared" si="8"/>
        <v>0</v>
      </c>
      <c r="M29" s="18">
        <v>0</v>
      </c>
      <c r="N29" s="4">
        <v>0</v>
      </c>
      <c r="O29" s="4">
        <v>0</v>
      </c>
      <c r="P29" s="5" t="e">
        <f t="shared" si="9"/>
        <v>#DIV/0!</v>
      </c>
      <c r="Q29" s="29" t="e">
        <f t="shared" si="10"/>
        <v>#DIV/0!</v>
      </c>
      <c r="R29" s="29" t="e">
        <f t="shared" si="11"/>
        <v>#DIV/0!</v>
      </c>
      <c r="S29" s="1">
        <v>0</v>
      </c>
      <c r="T29" s="1">
        <v>0</v>
      </c>
      <c r="U29" s="24">
        <v>0</v>
      </c>
      <c r="V29" s="25" t="e">
        <f t="shared" si="12"/>
        <v>#DIV/0!</v>
      </c>
      <c r="W29" s="25" t="e">
        <f t="shared" si="13"/>
        <v>#DIV/0!</v>
      </c>
      <c r="X29" s="25" t="e">
        <f t="shared" si="14"/>
        <v>#DIV/0!</v>
      </c>
      <c r="Y29" s="25" t="e">
        <f t="shared" si="15"/>
        <v>#DIV/0!</v>
      </c>
      <c r="Z29" s="25" t="e">
        <f t="shared" si="16"/>
        <v>#DIV/0!</v>
      </c>
      <c r="AA29" s="25" t="e">
        <f t="shared" si="17"/>
        <v>#DIV/0!</v>
      </c>
      <c r="AB29" s="25" t="e">
        <f t="shared" si="18"/>
        <v>#DIV/0!</v>
      </c>
      <c r="AC29" s="25" t="e">
        <f t="shared" si="19"/>
        <v>#DIV/0!</v>
      </c>
      <c r="AD29" s="63" t="e">
        <f t="shared" si="20"/>
        <v>#DIV/0!</v>
      </c>
      <c r="AE29" s="24">
        <f t="shared" si="21"/>
        <v>0</v>
      </c>
    </row>
    <row r="30" spans="1:31" x14ac:dyDescent="0.2">
      <c r="A30" s="75">
        <f t="shared" si="60"/>
        <v>46267</v>
      </c>
      <c r="B30" s="15" t="str">
        <f>$B$15</f>
        <v>Partner</v>
      </c>
      <c r="C30" s="15" t="str">
        <f>$C$15</f>
        <v>Kunal</v>
      </c>
      <c r="D30" s="18">
        <f t="shared" ref="D30" si="61">F30/$B$1</f>
        <v>7.0098726528046944</v>
      </c>
      <c r="E30" s="4">
        <f t="shared" ref="E30" si="62">F30/$C$1</f>
        <v>17.503396593592289</v>
      </c>
      <c r="F30" s="4">
        <v>17293.355834469181</v>
      </c>
      <c r="G30" s="5">
        <f t="shared" ref="G30" si="63">E30/D30</f>
        <v>2.4969635627530367</v>
      </c>
      <c r="H30" s="4">
        <f t="shared" ref="H30" si="64">F30/D30</f>
        <v>2467</v>
      </c>
      <c r="I30" s="4">
        <f t="shared" ref="I30" si="65">F30/E30</f>
        <v>988</v>
      </c>
      <c r="J30" s="4">
        <f t="shared" ref="J30" si="66">D30*8%</f>
        <v>0.56078981222437552</v>
      </c>
      <c r="K30" s="27">
        <f t="shared" ref="K30" si="67">D30*4%</f>
        <v>0.28039490611218776</v>
      </c>
      <c r="L30" s="30">
        <f t="shared" ref="L30" si="68">D30*25%</f>
        <v>1.7524681632011736</v>
      </c>
      <c r="M30" s="18">
        <v>5</v>
      </c>
      <c r="N30" s="4">
        <v>9</v>
      </c>
      <c r="O30" s="4">
        <v>49965.200000000004</v>
      </c>
      <c r="P30" s="5">
        <f t="shared" ref="P30" si="69">N30/M30</f>
        <v>1.8</v>
      </c>
      <c r="Q30" s="29">
        <f t="shared" ref="Q30" si="70">O30/M30</f>
        <v>9993.0400000000009</v>
      </c>
      <c r="R30" s="29">
        <f t="shared" ref="R30" si="71">O30/N30</f>
        <v>5551.6888888888898</v>
      </c>
      <c r="S30" s="1">
        <v>0</v>
      </c>
      <c r="T30" s="1">
        <v>0</v>
      </c>
      <c r="U30" s="24">
        <v>0</v>
      </c>
      <c r="V30" s="25">
        <f t="shared" ref="V30" si="72">M30/D30</f>
        <v>0.71327971956801073</v>
      </c>
      <c r="W30" s="25">
        <f t="shared" ref="W30" si="73">N30/E30</f>
        <v>0.5141859153951156</v>
      </c>
      <c r="X30" s="25">
        <f t="shared" ref="X30" si="74">O30/F30</f>
        <v>2.889271491216828</v>
      </c>
      <c r="Y30" s="25">
        <f t="shared" ref="Y30" si="75">P30/G30</f>
        <v>0.72087555735711384</v>
      </c>
      <c r="Z30" s="25">
        <f t="shared" ref="Z30" si="76">Q30/H30</f>
        <v>4.0506850425618159</v>
      </c>
      <c r="AA30" s="25">
        <f t="shared" ref="AA30" si="77">R30/I30</f>
        <v>5.619118308591994</v>
      </c>
      <c r="AB30" s="25">
        <f t="shared" ref="AB30" si="78">S30/J30</f>
        <v>0</v>
      </c>
      <c r="AC30" s="25">
        <f t="shared" ref="AC30" si="79">T30/K30</f>
        <v>0</v>
      </c>
      <c r="AD30" s="63">
        <f t="shared" ref="AD30" si="80">U30/L30</f>
        <v>0</v>
      </c>
      <c r="AE30" s="24">
        <f t="shared" si="21"/>
        <v>1</v>
      </c>
    </row>
    <row r="31" spans="1:31" x14ac:dyDescent="0.2">
      <c r="A31" s="75">
        <f t="shared" si="60"/>
        <v>46267</v>
      </c>
      <c r="B31" s="15" t="str">
        <f>$B$16</f>
        <v>NA</v>
      </c>
      <c r="C31" s="15" t="str">
        <f>$C$16</f>
        <v>NA</v>
      </c>
      <c r="D31" s="18">
        <f t="shared" si="1"/>
        <v>0</v>
      </c>
      <c r="E31" s="4">
        <f t="shared" si="2"/>
        <v>0</v>
      </c>
      <c r="F31" s="4">
        <v>0</v>
      </c>
      <c r="G31" s="5" t="e">
        <f t="shared" si="3"/>
        <v>#DIV/0!</v>
      </c>
      <c r="H31" s="4" t="e">
        <f t="shared" si="4"/>
        <v>#DIV/0!</v>
      </c>
      <c r="I31" s="4" t="e">
        <f t="shared" si="5"/>
        <v>#DIV/0!</v>
      </c>
      <c r="J31" s="4">
        <f t="shared" si="6"/>
        <v>0</v>
      </c>
      <c r="K31" s="27">
        <f t="shared" si="7"/>
        <v>0</v>
      </c>
      <c r="L31" s="30">
        <f t="shared" si="8"/>
        <v>0</v>
      </c>
      <c r="M31" s="18">
        <v>1</v>
      </c>
      <c r="N31" s="4">
        <v>-1</v>
      </c>
      <c r="O31" s="4">
        <v>-1175</v>
      </c>
      <c r="P31" s="5">
        <f t="shared" si="9"/>
        <v>-1</v>
      </c>
      <c r="Q31" s="29">
        <f t="shared" si="10"/>
        <v>-1175</v>
      </c>
      <c r="R31" s="29">
        <f t="shared" si="11"/>
        <v>1175</v>
      </c>
      <c r="S31" s="1">
        <v>0</v>
      </c>
      <c r="T31" s="1">
        <v>0</v>
      </c>
      <c r="U31" s="24">
        <v>0</v>
      </c>
      <c r="V31" s="25" t="e">
        <f t="shared" si="12"/>
        <v>#DIV/0!</v>
      </c>
      <c r="W31" s="25" t="e">
        <f t="shared" si="13"/>
        <v>#DIV/0!</v>
      </c>
      <c r="X31" s="25" t="e">
        <f t="shared" si="14"/>
        <v>#DIV/0!</v>
      </c>
      <c r="Y31" s="25" t="e">
        <f t="shared" si="15"/>
        <v>#DIV/0!</v>
      </c>
      <c r="Z31" s="25" t="e">
        <f t="shared" si="16"/>
        <v>#DIV/0!</v>
      </c>
      <c r="AA31" s="25" t="e">
        <f t="shared" si="17"/>
        <v>#DIV/0!</v>
      </c>
      <c r="AB31" s="25" t="e">
        <f t="shared" si="18"/>
        <v>#DIV/0!</v>
      </c>
      <c r="AC31" s="25" t="e">
        <f t="shared" si="19"/>
        <v>#DIV/0!</v>
      </c>
      <c r="AD31" s="63" t="e">
        <f t="shared" si="20"/>
        <v>#DIV/0!</v>
      </c>
      <c r="AE31" s="24">
        <f t="shared" si="21"/>
        <v>0</v>
      </c>
    </row>
    <row r="32" spans="1:31" x14ac:dyDescent="0.2">
      <c r="A32" s="75">
        <f t="shared" si="60"/>
        <v>46267</v>
      </c>
      <c r="B32" s="15" t="str">
        <f>$B$17</f>
        <v>NA</v>
      </c>
      <c r="C32" s="15" t="str">
        <f>$C$17</f>
        <v>NA</v>
      </c>
      <c r="D32" s="18">
        <f t="shared" si="1"/>
        <v>0</v>
      </c>
      <c r="E32" s="4">
        <f t="shared" si="2"/>
        <v>0</v>
      </c>
      <c r="F32" s="4">
        <v>0</v>
      </c>
      <c r="G32" s="5" t="e">
        <f t="shared" si="3"/>
        <v>#DIV/0!</v>
      </c>
      <c r="H32" s="4" t="e">
        <f t="shared" si="4"/>
        <v>#DIV/0!</v>
      </c>
      <c r="I32" s="4" t="e">
        <f t="shared" si="5"/>
        <v>#DIV/0!</v>
      </c>
      <c r="J32" s="4">
        <f t="shared" si="6"/>
        <v>0</v>
      </c>
      <c r="K32" s="27">
        <f t="shared" si="7"/>
        <v>0</v>
      </c>
      <c r="L32" s="30">
        <f t="shared" si="8"/>
        <v>0</v>
      </c>
      <c r="M32" s="18">
        <v>0</v>
      </c>
      <c r="N32" s="4">
        <v>0</v>
      </c>
      <c r="O32" s="4">
        <v>0</v>
      </c>
      <c r="P32" s="5" t="e">
        <f t="shared" si="9"/>
        <v>#DIV/0!</v>
      </c>
      <c r="Q32" s="29" t="e">
        <f t="shared" si="10"/>
        <v>#DIV/0!</v>
      </c>
      <c r="R32" s="29" t="e">
        <f t="shared" si="11"/>
        <v>#DIV/0!</v>
      </c>
      <c r="S32" s="1">
        <v>0</v>
      </c>
      <c r="T32" s="1">
        <v>0</v>
      </c>
      <c r="U32" s="24">
        <v>0</v>
      </c>
      <c r="V32" s="25" t="e">
        <f t="shared" si="12"/>
        <v>#DIV/0!</v>
      </c>
      <c r="W32" s="25" t="e">
        <f t="shared" si="13"/>
        <v>#DIV/0!</v>
      </c>
      <c r="X32" s="25" t="e">
        <f t="shared" si="14"/>
        <v>#DIV/0!</v>
      </c>
      <c r="Y32" s="25" t="e">
        <f t="shared" si="15"/>
        <v>#DIV/0!</v>
      </c>
      <c r="Z32" s="25" t="e">
        <f t="shared" si="16"/>
        <v>#DIV/0!</v>
      </c>
      <c r="AA32" s="25" t="e">
        <f t="shared" si="17"/>
        <v>#DIV/0!</v>
      </c>
      <c r="AB32" s="25" t="e">
        <f t="shared" si="18"/>
        <v>#DIV/0!</v>
      </c>
      <c r="AC32" s="25" t="e">
        <f t="shared" si="19"/>
        <v>#DIV/0!</v>
      </c>
      <c r="AD32" s="63" t="e">
        <f t="shared" si="20"/>
        <v>#DIV/0!</v>
      </c>
      <c r="AE32" s="24">
        <f t="shared" si="21"/>
        <v>0</v>
      </c>
    </row>
    <row r="33" spans="1:31" x14ac:dyDescent="0.2">
      <c r="A33" s="75">
        <f t="shared" si="60"/>
        <v>46267</v>
      </c>
      <c r="B33" s="15" t="str">
        <f>$B$18</f>
        <v>NA</v>
      </c>
      <c r="C33" s="15" t="str">
        <f>$C$18</f>
        <v>NA</v>
      </c>
      <c r="D33" s="18">
        <f t="shared" si="1"/>
        <v>0</v>
      </c>
      <c r="E33" s="4">
        <f t="shared" si="2"/>
        <v>0</v>
      </c>
      <c r="F33" s="4">
        <v>0</v>
      </c>
      <c r="G33" s="5" t="e">
        <f t="shared" si="3"/>
        <v>#DIV/0!</v>
      </c>
      <c r="H33" s="4" t="e">
        <f t="shared" si="4"/>
        <v>#DIV/0!</v>
      </c>
      <c r="I33" s="4" t="e">
        <f t="shared" si="5"/>
        <v>#DIV/0!</v>
      </c>
      <c r="J33" s="4">
        <f t="shared" si="6"/>
        <v>0</v>
      </c>
      <c r="K33" s="27">
        <f t="shared" si="7"/>
        <v>0</v>
      </c>
      <c r="L33" s="30">
        <f t="shared" si="8"/>
        <v>0</v>
      </c>
      <c r="M33" s="18">
        <v>0</v>
      </c>
      <c r="N33" s="4">
        <v>0</v>
      </c>
      <c r="O33" s="4">
        <v>0</v>
      </c>
      <c r="P33" s="5" t="e">
        <f t="shared" si="9"/>
        <v>#DIV/0!</v>
      </c>
      <c r="Q33" s="29" t="e">
        <f t="shared" si="10"/>
        <v>#DIV/0!</v>
      </c>
      <c r="R33" s="29" t="e">
        <f t="shared" si="11"/>
        <v>#DIV/0!</v>
      </c>
      <c r="S33" s="1">
        <v>0</v>
      </c>
      <c r="T33" s="1">
        <v>0</v>
      </c>
      <c r="U33" s="24">
        <v>0</v>
      </c>
      <c r="V33" s="25" t="e">
        <f t="shared" ref="V33" si="81">M33/D33</f>
        <v>#DIV/0!</v>
      </c>
      <c r="W33" s="25" t="e">
        <f t="shared" ref="W33" si="82">N33/E33</f>
        <v>#DIV/0!</v>
      </c>
      <c r="X33" s="25" t="e">
        <f t="shared" ref="X33" si="83">O33/F33</f>
        <v>#DIV/0!</v>
      </c>
      <c r="Y33" s="25" t="e">
        <f t="shared" ref="Y33" si="84">P33/G33</f>
        <v>#DIV/0!</v>
      </c>
      <c r="Z33" s="25" t="e">
        <f t="shared" ref="Z33" si="85">Q33/H33</f>
        <v>#DIV/0!</v>
      </c>
      <c r="AA33" s="25" t="e">
        <f t="shared" ref="AA33" si="86">R33/I33</f>
        <v>#DIV/0!</v>
      </c>
      <c r="AB33" s="25" t="e">
        <f t="shared" ref="AB33" si="87">S33/J33</f>
        <v>#DIV/0!</v>
      </c>
      <c r="AC33" s="25" t="e">
        <f t="shared" ref="AC33" si="88">T33/K33</f>
        <v>#DIV/0!</v>
      </c>
      <c r="AD33" s="63" t="e">
        <f t="shared" ref="AD33" si="89">U33/L33</f>
        <v>#DIV/0!</v>
      </c>
      <c r="AE33" s="24">
        <f t="shared" si="21"/>
        <v>0</v>
      </c>
    </row>
    <row r="34" spans="1:31" x14ac:dyDescent="0.2">
      <c r="A34" s="75">
        <f t="shared" si="60"/>
        <v>46268</v>
      </c>
      <c r="B34" s="15" t="str">
        <f>$B$4</f>
        <v>DSM</v>
      </c>
      <c r="C34" s="15" t="str">
        <f>$C$4</f>
        <v xml:space="preserve">komal  </v>
      </c>
      <c r="D34" s="18">
        <f t="shared" si="1"/>
        <v>0</v>
      </c>
      <c r="E34" s="4">
        <f t="shared" si="2"/>
        <v>0</v>
      </c>
      <c r="F34" s="4">
        <v>0</v>
      </c>
      <c r="G34" s="5" t="e">
        <f t="shared" si="3"/>
        <v>#DIV/0!</v>
      </c>
      <c r="H34" s="4" t="e">
        <f t="shared" si="4"/>
        <v>#DIV/0!</v>
      </c>
      <c r="I34" s="4" t="e">
        <f t="shared" si="5"/>
        <v>#DIV/0!</v>
      </c>
      <c r="J34" s="4">
        <f t="shared" si="6"/>
        <v>0</v>
      </c>
      <c r="K34" s="27">
        <f t="shared" si="7"/>
        <v>0</v>
      </c>
      <c r="L34" s="30">
        <f t="shared" si="8"/>
        <v>0</v>
      </c>
      <c r="M34" s="18">
        <v>0</v>
      </c>
      <c r="N34" s="4">
        <v>0</v>
      </c>
      <c r="O34" s="4">
        <v>0</v>
      </c>
      <c r="P34" s="5" t="e">
        <f t="shared" si="9"/>
        <v>#DIV/0!</v>
      </c>
      <c r="Q34" s="29" t="e">
        <f t="shared" si="10"/>
        <v>#DIV/0!</v>
      </c>
      <c r="R34" s="29" t="e">
        <f t="shared" si="11"/>
        <v>#DIV/0!</v>
      </c>
      <c r="S34" s="1">
        <v>0</v>
      </c>
      <c r="T34" s="1">
        <v>0</v>
      </c>
      <c r="U34" s="24">
        <v>0</v>
      </c>
      <c r="V34" s="25" t="e">
        <f t="shared" si="12"/>
        <v>#DIV/0!</v>
      </c>
      <c r="W34" s="25" t="e">
        <f t="shared" si="13"/>
        <v>#DIV/0!</v>
      </c>
      <c r="X34" s="25" t="e">
        <f t="shared" si="14"/>
        <v>#DIV/0!</v>
      </c>
      <c r="Y34" s="25" t="e">
        <f t="shared" si="15"/>
        <v>#DIV/0!</v>
      </c>
      <c r="Z34" s="25" t="e">
        <f t="shared" si="16"/>
        <v>#DIV/0!</v>
      </c>
      <c r="AA34" s="25" t="e">
        <f t="shared" si="17"/>
        <v>#DIV/0!</v>
      </c>
      <c r="AB34" s="25" t="e">
        <f t="shared" si="18"/>
        <v>#DIV/0!</v>
      </c>
      <c r="AC34" s="25" t="e">
        <f t="shared" si="19"/>
        <v>#DIV/0!</v>
      </c>
      <c r="AD34" s="63" t="e">
        <f t="shared" si="20"/>
        <v>#DIV/0!</v>
      </c>
      <c r="AE34" s="24">
        <f t="shared" si="21"/>
        <v>0</v>
      </c>
    </row>
    <row r="35" spans="1:31" x14ac:dyDescent="0.2">
      <c r="A35" s="75">
        <f t="shared" si="60"/>
        <v>46268</v>
      </c>
      <c r="B35" s="15" t="str">
        <f>$B$5</f>
        <v>SS</v>
      </c>
      <c r="C35" s="15" t="str">
        <f>$C$5</f>
        <v>Prem</v>
      </c>
      <c r="D35" s="18">
        <f t="shared" si="1"/>
        <v>6.3608103701375933</v>
      </c>
      <c r="E35" s="4">
        <f t="shared" si="2"/>
        <v>15.882711723815227</v>
      </c>
      <c r="F35" s="4">
        <v>15692.119183129444</v>
      </c>
      <c r="G35" s="5">
        <f t="shared" si="3"/>
        <v>2.4969635627530367</v>
      </c>
      <c r="H35" s="4">
        <f t="shared" si="4"/>
        <v>2467</v>
      </c>
      <c r="I35" s="4">
        <f t="shared" si="5"/>
        <v>988</v>
      </c>
      <c r="J35" s="4">
        <f t="shared" si="6"/>
        <v>0.50886482961100743</v>
      </c>
      <c r="K35" s="27">
        <f t="shared" si="7"/>
        <v>0.25443241480550371</v>
      </c>
      <c r="L35" s="30">
        <f t="shared" si="8"/>
        <v>1.5902025925343983</v>
      </c>
      <c r="M35" s="18">
        <v>8</v>
      </c>
      <c r="N35" s="4">
        <v>12</v>
      </c>
      <c r="O35" s="4">
        <v>13485.2</v>
      </c>
      <c r="P35" s="5">
        <f t="shared" si="9"/>
        <v>1.5</v>
      </c>
      <c r="Q35" s="29">
        <f t="shared" si="10"/>
        <v>1685.65</v>
      </c>
      <c r="R35" s="29">
        <f t="shared" si="11"/>
        <v>1123.7666666666667</v>
      </c>
      <c r="S35" s="1">
        <v>0</v>
      </c>
      <c r="T35" s="1">
        <v>0</v>
      </c>
      <c r="U35" s="24">
        <v>0</v>
      </c>
      <c r="V35" s="25">
        <f t="shared" si="12"/>
        <v>1.257701383075023</v>
      </c>
      <c r="W35" s="25">
        <f t="shared" si="13"/>
        <v>0.75553848792751677</v>
      </c>
      <c r="X35" s="25">
        <f t="shared" si="14"/>
        <v>0.85936130376182107</v>
      </c>
      <c r="Y35" s="25">
        <f t="shared" si="15"/>
        <v>0.60072963113092825</v>
      </c>
      <c r="Z35" s="25">
        <f t="shared" si="16"/>
        <v>0.68327928658289427</v>
      </c>
      <c r="AA35" s="25">
        <f t="shared" si="17"/>
        <v>1.1374156545209178</v>
      </c>
      <c r="AB35" s="25">
        <f t="shared" si="18"/>
        <v>0</v>
      </c>
      <c r="AC35" s="25">
        <f t="shared" si="19"/>
        <v>0</v>
      </c>
      <c r="AD35" s="63">
        <f t="shared" si="20"/>
        <v>0</v>
      </c>
      <c r="AE35" s="24">
        <f t="shared" si="21"/>
        <v>1</v>
      </c>
    </row>
    <row r="36" spans="1:31" x14ac:dyDescent="0.2">
      <c r="A36" s="75">
        <f t="shared" si="60"/>
        <v>46268</v>
      </c>
      <c r="B36" s="15" t="str">
        <f>$B$6</f>
        <v>SS</v>
      </c>
      <c r="C36" s="15" t="str">
        <f>$C$6</f>
        <v>Anuj</v>
      </c>
      <c r="D36" s="18">
        <f t="shared" si="1"/>
        <v>9.0868719573394188</v>
      </c>
      <c r="E36" s="4">
        <f t="shared" si="2"/>
        <v>22.689588176878893</v>
      </c>
      <c r="F36" s="4">
        <v>22417.313118756345</v>
      </c>
      <c r="G36" s="5">
        <f t="shared" si="3"/>
        <v>2.4969635627530362</v>
      </c>
      <c r="H36" s="4">
        <f t="shared" si="4"/>
        <v>2467</v>
      </c>
      <c r="I36" s="4">
        <f t="shared" si="5"/>
        <v>988</v>
      </c>
      <c r="J36" s="4">
        <f t="shared" si="6"/>
        <v>0.72694975658715355</v>
      </c>
      <c r="K36" s="27">
        <f t="shared" si="7"/>
        <v>0.36347487829357678</v>
      </c>
      <c r="L36" s="30">
        <f t="shared" si="8"/>
        <v>2.2717179893348547</v>
      </c>
      <c r="M36" s="18">
        <v>4</v>
      </c>
      <c r="N36" s="4">
        <v>13</v>
      </c>
      <c r="O36" s="4">
        <v>13681.000000000004</v>
      </c>
      <c r="P36" s="5">
        <f t="shared" si="9"/>
        <v>3.25</v>
      </c>
      <c r="Q36" s="29">
        <f t="shared" si="10"/>
        <v>3420.2500000000009</v>
      </c>
      <c r="R36" s="29">
        <f t="shared" si="11"/>
        <v>1052.3846153846157</v>
      </c>
      <c r="S36" s="1">
        <v>0</v>
      </c>
      <c r="T36" s="1">
        <v>0</v>
      </c>
      <c r="U36" s="24">
        <v>0</v>
      </c>
      <c r="V36" s="25">
        <f t="shared" si="12"/>
        <v>0.44019548407625808</v>
      </c>
      <c r="W36" s="25">
        <f t="shared" si="13"/>
        <v>0.57295002001170026</v>
      </c>
      <c r="X36" s="25">
        <f t="shared" si="14"/>
        <v>0.61028723324354361</v>
      </c>
      <c r="Y36" s="25">
        <f t="shared" si="15"/>
        <v>1.3015808674503446</v>
      </c>
      <c r="Z36" s="25">
        <f t="shared" si="16"/>
        <v>1.3864004864207544</v>
      </c>
      <c r="AA36" s="25">
        <f t="shared" si="17"/>
        <v>1.0651666147617569</v>
      </c>
      <c r="AB36" s="25">
        <f t="shared" si="18"/>
        <v>0</v>
      </c>
      <c r="AC36" s="25">
        <f t="shared" si="19"/>
        <v>0</v>
      </c>
      <c r="AD36" s="63">
        <f t="shared" si="20"/>
        <v>0</v>
      </c>
      <c r="AE36" s="24">
        <f t="shared" si="21"/>
        <v>1</v>
      </c>
    </row>
    <row r="37" spans="1:31" x14ac:dyDescent="0.2">
      <c r="A37" s="75">
        <f t="shared" si="60"/>
        <v>46268</v>
      </c>
      <c r="B37" s="15" t="str">
        <f>$B$7</f>
        <v>FC</v>
      </c>
      <c r="C37" s="15" t="str">
        <f>$C$7</f>
        <v>Muskan</v>
      </c>
      <c r="D37" s="18">
        <f t="shared" si="1"/>
        <v>0</v>
      </c>
      <c r="E37" s="4">
        <f t="shared" si="2"/>
        <v>0</v>
      </c>
      <c r="F37" s="4">
        <v>0</v>
      </c>
      <c r="G37" s="5" t="e">
        <f t="shared" si="3"/>
        <v>#DIV/0!</v>
      </c>
      <c r="H37" s="4" t="e">
        <f t="shared" si="4"/>
        <v>#DIV/0!</v>
      </c>
      <c r="I37" s="4" t="e">
        <f t="shared" si="5"/>
        <v>#DIV/0!</v>
      </c>
      <c r="J37" s="4">
        <f t="shared" si="6"/>
        <v>0</v>
      </c>
      <c r="K37" s="27">
        <f t="shared" si="7"/>
        <v>0</v>
      </c>
      <c r="L37" s="30">
        <f t="shared" si="8"/>
        <v>0</v>
      </c>
      <c r="M37" s="18">
        <v>0</v>
      </c>
      <c r="N37" s="4">
        <v>0</v>
      </c>
      <c r="O37" s="4">
        <v>0</v>
      </c>
      <c r="P37" s="5" t="e">
        <f t="shared" si="9"/>
        <v>#DIV/0!</v>
      </c>
      <c r="Q37" s="29" t="e">
        <f t="shared" si="10"/>
        <v>#DIV/0!</v>
      </c>
      <c r="R37" s="29" t="e">
        <f t="shared" si="11"/>
        <v>#DIV/0!</v>
      </c>
      <c r="S37" s="1">
        <v>0</v>
      </c>
      <c r="T37" s="1">
        <v>0</v>
      </c>
      <c r="U37" s="24">
        <v>0</v>
      </c>
      <c r="V37" s="25" t="e">
        <f t="shared" si="12"/>
        <v>#DIV/0!</v>
      </c>
      <c r="W37" s="25" t="e">
        <f t="shared" si="13"/>
        <v>#DIV/0!</v>
      </c>
      <c r="X37" s="25" t="e">
        <f t="shared" si="14"/>
        <v>#DIV/0!</v>
      </c>
      <c r="Y37" s="25" t="e">
        <f t="shared" si="15"/>
        <v>#DIV/0!</v>
      </c>
      <c r="Z37" s="25" t="e">
        <f t="shared" si="16"/>
        <v>#DIV/0!</v>
      </c>
      <c r="AA37" s="25" t="e">
        <f t="shared" si="17"/>
        <v>#DIV/0!</v>
      </c>
      <c r="AB37" s="25" t="e">
        <f t="shared" si="18"/>
        <v>#DIV/0!</v>
      </c>
      <c r="AC37" s="25" t="e">
        <f t="shared" si="19"/>
        <v>#DIV/0!</v>
      </c>
      <c r="AD37" s="63" t="e">
        <f t="shared" si="20"/>
        <v>#DIV/0!</v>
      </c>
      <c r="AE37" s="24">
        <f t="shared" si="21"/>
        <v>0</v>
      </c>
    </row>
    <row r="38" spans="1:31" x14ac:dyDescent="0.2">
      <c r="A38" s="75">
        <f t="shared" si="60"/>
        <v>46268</v>
      </c>
      <c r="B38" s="15" t="str">
        <f>$B$8</f>
        <v>FC</v>
      </c>
      <c r="C38" s="15" t="str">
        <f>$C$8</f>
        <v xml:space="preserve">Kajal  </v>
      </c>
      <c r="D38" s="18">
        <f t="shared" si="1"/>
        <v>0</v>
      </c>
      <c r="E38" s="4">
        <f t="shared" si="2"/>
        <v>0</v>
      </c>
      <c r="F38" s="4">
        <v>0</v>
      </c>
      <c r="G38" s="5" t="e">
        <f t="shared" si="3"/>
        <v>#DIV/0!</v>
      </c>
      <c r="H38" s="4" t="e">
        <f t="shared" si="4"/>
        <v>#DIV/0!</v>
      </c>
      <c r="I38" s="4" t="e">
        <f t="shared" si="5"/>
        <v>#DIV/0!</v>
      </c>
      <c r="J38" s="4">
        <f t="shared" si="6"/>
        <v>0</v>
      </c>
      <c r="K38" s="27">
        <f t="shared" si="7"/>
        <v>0</v>
      </c>
      <c r="L38" s="30">
        <f t="shared" si="8"/>
        <v>0</v>
      </c>
      <c r="M38" s="18">
        <v>0</v>
      </c>
      <c r="N38" s="4">
        <v>0</v>
      </c>
      <c r="O38" s="4">
        <v>0</v>
      </c>
      <c r="P38" s="5" t="e">
        <f t="shared" si="9"/>
        <v>#DIV/0!</v>
      </c>
      <c r="Q38" s="29" t="e">
        <f t="shared" si="10"/>
        <v>#DIV/0!</v>
      </c>
      <c r="R38" s="29" t="e">
        <f t="shared" si="11"/>
        <v>#DIV/0!</v>
      </c>
      <c r="S38" s="1">
        <v>0</v>
      </c>
      <c r="T38" s="1">
        <v>0</v>
      </c>
      <c r="U38" s="24">
        <v>0</v>
      </c>
      <c r="V38" s="25" t="e">
        <f t="shared" si="12"/>
        <v>#DIV/0!</v>
      </c>
      <c r="W38" s="25" t="e">
        <f t="shared" si="13"/>
        <v>#DIV/0!</v>
      </c>
      <c r="X38" s="25" t="e">
        <f t="shared" si="14"/>
        <v>#DIV/0!</v>
      </c>
      <c r="Y38" s="25" t="e">
        <f t="shared" si="15"/>
        <v>#DIV/0!</v>
      </c>
      <c r="Z38" s="25" t="e">
        <f t="shared" si="16"/>
        <v>#DIV/0!</v>
      </c>
      <c r="AA38" s="25" t="e">
        <f t="shared" si="17"/>
        <v>#DIV/0!</v>
      </c>
      <c r="AB38" s="25" t="e">
        <f t="shared" si="18"/>
        <v>#DIV/0!</v>
      </c>
      <c r="AC38" s="25" t="e">
        <f t="shared" si="19"/>
        <v>#DIV/0!</v>
      </c>
      <c r="AD38" s="63" t="e">
        <f t="shared" si="20"/>
        <v>#DIV/0!</v>
      </c>
      <c r="AE38" s="24">
        <f t="shared" si="21"/>
        <v>0</v>
      </c>
    </row>
    <row r="39" spans="1:31" x14ac:dyDescent="0.2">
      <c r="A39" s="75">
        <f t="shared" si="60"/>
        <v>46268</v>
      </c>
      <c r="B39" s="15" t="str">
        <f>$B$9</f>
        <v>FC</v>
      </c>
      <c r="C39" s="15" t="str">
        <f>$C$9</f>
        <v>Pradeep</v>
      </c>
      <c r="D39" s="18">
        <f t="shared" si="1"/>
        <v>6.3608103701375933</v>
      </c>
      <c r="E39" s="4">
        <f t="shared" si="2"/>
        <v>15.882711723815227</v>
      </c>
      <c r="F39" s="4">
        <v>15692.119183129444</v>
      </c>
      <c r="G39" s="5">
        <f t="shared" si="3"/>
        <v>2.4969635627530367</v>
      </c>
      <c r="H39" s="4">
        <f t="shared" si="4"/>
        <v>2467</v>
      </c>
      <c r="I39" s="4">
        <f t="shared" si="5"/>
        <v>988</v>
      </c>
      <c r="J39" s="4">
        <f t="shared" si="6"/>
        <v>0.50886482961100743</v>
      </c>
      <c r="K39" s="27">
        <f t="shared" si="7"/>
        <v>0.25443241480550371</v>
      </c>
      <c r="L39" s="30">
        <f t="shared" si="8"/>
        <v>1.5902025925343983</v>
      </c>
      <c r="M39" s="18">
        <v>4</v>
      </c>
      <c r="N39" s="4">
        <v>9</v>
      </c>
      <c r="O39" s="4">
        <v>6429</v>
      </c>
      <c r="P39" s="5">
        <f t="shared" si="9"/>
        <v>2.25</v>
      </c>
      <c r="Q39" s="29">
        <f t="shared" si="10"/>
        <v>1607.25</v>
      </c>
      <c r="R39" s="29">
        <f t="shared" si="11"/>
        <v>714.33333333333337</v>
      </c>
      <c r="S39" s="1">
        <v>0</v>
      </c>
      <c r="T39" s="1">
        <v>0</v>
      </c>
      <c r="U39" s="24">
        <v>0</v>
      </c>
      <c r="V39" s="25">
        <f t="shared" si="12"/>
        <v>0.6288506915375115</v>
      </c>
      <c r="W39" s="25">
        <f t="shared" si="13"/>
        <v>0.5666538659456376</v>
      </c>
      <c r="X39" s="25">
        <f t="shared" si="14"/>
        <v>0.40969609808417723</v>
      </c>
      <c r="Y39" s="25">
        <f t="shared" si="15"/>
        <v>0.90109444669639227</v>
      </c>
      <c r="Z39" s="25">
        <f t="shared" si="16"/>
        <v>0.65149979732468588</v>
      </c>
      <c r="AA39" s="25">
        <f t="shared" si="17"/>
        <v>0.7230094466936573</v>
      </c>
      <c r="AB39" s="25">
        <f t="shared" si="18"/>
        <v>0</v>
      </c>
      <c r="AC39" s="25">
        <f t="shared" si="19"/>
        <v>0</v>
      </c>
      <c r="AD39" s="63">
        <f t="shared" si="20"/>
        <v>0</v>
      </c>
      <c r="AE39" s="24">
        <f t="shared" si="21"/>
        <v>1</v>
      </c>
    </row>
    <row r="40" spans="1:31" x14ac:dyDescent="0.2">
      <c r="A40" s="75">
        <f t="shared" si="60"/>
        <v>46268</v>
      </c>
      <c r="B40" s="15" t="str">
        <f>$B$10</f>
        <v>FC</v>
      </c>
      <c r="C40" s="15" t="str">
        <f>$C$10</f>
        <v>Aftab</v>
      </c>
      <c r="D40" s="18">
        <f t="shared" si="1"/>
        <v>0</v>
      </c>
      <c r="E40" s="4">
        <f t="shared" si="2"/>
        <v>0</v>
      </c>
      <c r="F40" s="4">
        <v>0</v>
      </c>
      <c r="G40" s="5" t="e">
        <f t="shared" si="3"/>
        <v>#DIV/0!</v>
      </c>
      <c r="H40" s="4" t="e">
        <f t="shared" si="4"/>
        <v>#DIV/0!</v>
      </c>
      <c r="I40" s="4" t="e">
        <f t="shared" si="5"/>
        <v>#DIV/0!</v>
      </c>
      <c r="J40" s="4">
        <f t="shared" si="6"/>
        <v>0</v>
      </c>
      <c r="K40" s="27">
        <f t="shared" si="7"/>
        <v>0</v>
      </c>
      <c r="L40" s="30">
        <f t="shared" si="8"/>
        <v>0</v>
      </c>
      <c r="M40" s="18">
        <v>8</v>
      </c>
      <c r="N40" s="4">
        <v>14</v>
      </c>
      <c r="O40" s="4">
        <v>15237.449999999999</v>
      </c>
      <c r="P40" s="5">
        <f t="shared" si="9"/>
        <v>1.75</v>
      </c>
      <c r="Q40" s="29">
        <f t="shared" si="10"/>
        <v>1904.6812499999999</v>
      </c>
      <c r="R40" s="29">
        <f t="shared" si="11"/>
        <v>1088.3892857142857</v>
      </c>
      <c r="S40" s="1">
        <v>0</v>
      </c>
      <c r="T40" s="1">
        <v>0</v>
      </c>
      <c r="U40" s="24">
        <v>0</v>
      </c>
      <c r="V40" s="25" t="e">
        <f t="shared" si="12"/>
        <v>#DIV/0!</v>
      </c>
      <c r="W40" s="25" t="e">
        <f t="shared" si="13"/>
        <v>#DIV/0!</v>
      </c>
      <c r="X40" s="25" t="e">
        <f t="shared" si="14"/>
        <v>#DIV/0!</v>
      </c>
      <c r="Y40" s="25" t="e">
        <f t="shared" si="15"/>
        <v>#DIV/0!</v>
      </c>
      <c r="Z40" s="25" t="e">
        <f t="shared" si="16"/>
        <v>#DIV/0!</v>
      </c>
      <c r="AA40" s="25" t="e">
        <f t="shared" si="17"/>
        <v>#DIV/0!</v>
      </c>
      <c r="AB40" s="25" t="e">
        <f t="shared" si="18"/>
        <v>#DIV/0!</v>
      </c>
      <c r="AC40" s="25" t="e">
        <f t="shared" si="19"/>
        <v>#DIV/0!</v>
      </c>
      <c r="AD40" s="63" t="e">
        <f t="shared" si="20"/>
        <v>#DIV/0!</v>
      </c>
      <c r="AE40" s="24">
        <f t="shared" si="21"/>
        <v>0</v>
      </c>
    </row>
    <row r="41" spans="1:31" x14ac:dyDescent="0.2">
      <c r="A41" s="75">
        <f t="shared" si="60"/>
        <v>46268</v>
      </c>
      <c r="B41" s="15" t="str">
        <f>$B$11</f>
        <v>FC</v>
      </c>
      <c r="C41" s="15" t="str">
        <f>$C$11</f>
        <v>Khushi</v>
      </c>
      <c r="D41" s="18">
        <f t="shared" si="1"/>
        <v>6.3608103701375933</v>
      </c>
      <c r="E41" s="4">
        <f t="shared" si="2"/>
        <v>15.882711723815227</v>
      </c>
      <c r="F41" s="4">
        <v>15692.119183129444</v>
      </c>
      <c r="G41" s="5">
        <f t="shared" si="3"/>
        <v>2.4969635627530367</v>
      </c>
      <c r="H41" s="4">
        <f t="shared" si="4"/>
        <v>2467</v>
      </c>
      <c r="I41" s="4">
        <f t="shared" si="5"/>
        <v>988</v>
      </c>
      <c r="J41" s="4">
        <f t="shared" si="6"/>
        <v>0.50886482961100743</v>
      </c>
      <c r="K41" s="27">
        <f t="shared" si="7"/>
        <v>0.25443241480550371</v>
      </c>
      <c r="L41" s="30">
        <f t="shared" si="8"/>
        <v>1.5902025925343983</v>
      </c>
      <c r="M41" s="18">
        <v>3</v>
      </c>
      <c r="N41" s="4">
        <v>11</v>
      </c>
      <c r="O41" s="4">
        <v>11839</v>
      </c>
      <c r="P41" s="5">
        <f t="shared" si="9"/>
        <v>3.6666666666666665</v>
      </c>
      <c r="Q41" s="29">
        <f t="shared" si="10"/>
        <v>3946.3333333333335</v>
      </c>
      <c r="R41" s="29">
        <f t="shared" si="11"/>
        <v>1076.2727272727273</v>
      </c>
      <c r="S41" s="1">
        <v>0</v>
      </c>
      <c r="T41" s="1">
        <v>0</v>
      </c>
      <c r="U41" s="24">
        <v>0</v>
      </c>
      <c r="V41" s="25">
        <f t="shared" si="12"/>
        <v>0.47163801865313359</v>
      </c>
      <c r="W41" s="25">
        <f t="shared" si="13"/>
        <v>0.69257694726689034</v>
      </c>
      <c r="X41" s="25">
        <f t="shared" si="14"/>
        <v>0.75445514158011739</v>
      </c>
      <c r="Y41" s="25">
        <f t="shared" si="15"/>
        <v>1.4684502094311578</v>
      </c>
      <c r="Z41" s="25">
        <f t="shared" si="16"/>
        <v>1.5996486961221457</v>
      </c>
      <c r="AA41" s="25">
        <f t="shared" si="17"/>
        <v>1.089344865660655</v>
      </c>
      <c r="AB41" s="25">
        <f t="shared" si="18"/>
        <v>0</v>
      </c>
      <c r="AC41" s="25">
        <f t="shared" si="19"/>
        <v>0</v>
      </c>
      <c r="AD41" s="63">
        <f t="shared" si="20"/>
        <v>0</v>
      </c>
      <c r="AE41" s="24">
        <f t="shared" si="21"/>
        <v>1</v>
      </c>
    </row>
    <row r="42" spans="1:31" x14ac:dyDescent="0.2">
      <c r="A42" s="75">
        <f t="shared" si="60"/>
        <v>46268</v>
      </c>
      <c r="B42" s="15" t="str">
        <f>$B$12</f>
        <v>FC</v>
      </c>
      <c r="C42" s="15" t="str">
        <f>$C$12</f>
        <v>Kishan</v>
      </c>
      <c r="D42" s="18">
        <f t="shared" si="1"/>
        <v>0</v>
      </c>
      <c r="E42" s="4">
        <f t="shared" si="2"/>
        <v>0</v>
      </c>
      <c r="F42" s="4">
        <v>0</v>
      </c>
      <c r="G42" s="5" t="e">
        <f t="shared" si="3"/>
        <v>#DIV/0!</v>
      </c>
      <c r="H42" s="4" t="e">
        <f t="shared" si="4"/>
        <v>#DIV/0!</v>
      </c>
      <c r="I42" s="4" t="e">
        <f t="shared" si="5"/>
        <v>#DIV/0!</v>
      </c>
      <c r="J42" s="4">
        <f t="shared" si="6"/>
        <v>0</v>
      </c>
      <c r="K42" s="27">
        <f t="shared" si="7"/>
        <v>0</v>
      </c>
      <c r="L42" s="30">
        <f t="shared" si="8"/>
        <v>0</v>
      </c>
      <c r="M42" s="18">
        <v>0</v>
      </c>
      <c r="N42" s="4">
        <v>0</v>
      </c>
      <c r="O42" s="4">
        <v>0</v>
      </c>
      <c r="P42" s="5" t="e">
        <f t="shared" si="9"/>
        <v>#DIV/0!</v>
      </c>
      <c r="Q42" s="29" t="e">
        <f t="shared" si="10"/>
        <v>#DIV/0!</v>
      </c>
      <c r="R42" s="29" t="e">
        <f t="shared" si="11"/>
        <v>#DIV/0!</v>
      </c>
      <c r="S42" s="1">
        <v>0</v>
      </c>
      <c r="T42" s="1">
        <v>0</v>
      </c>
      <c r="U42" s="24">
        <v>0</v>
      </c>
      <c r="V42" s="25" t="e">
        <f t="shared" si="12"/>
        <v>#DIV/0!</v>
      </c>
      <c r="W42" s="25" t="e">
        <f t="shared" si="13"/>
        <v>#DIV/0!</v>
      </c>
      <c r="X42" s="25" t="e">
        <f t="shared" si="14"/>
        <v>#DIV/0!</v>
      </c>
      <c r="Y42" s="25" t="e">
        <f t="shared" si="15"/>
        <v>#DIV/0!</v>
      </c>
      <c r="Z42" s="25" t="e">
        <f t="shared" si="16"/>
        <v>#DIV/0!</v>
      </c>
      <c r="AA42" s="25" t="e">
        <f t="shared" si="17"/>
        <v>#DIV/0!</v>
      </c>
      <c r="AB42" s="25" t="e">
        <f t="shared" si="18"/>
        <v>#DIV/0!</v>
      </c>
      <c r="AC42" s="25" t="e">
        <f t="shared" si="19"/>
        <v>#DIV/0!</v>
      </c>
      <c r="AD42" s="63" t="e">
        <f t="shared" si="20"/>
        <v>#DIV/0!</v>
      </c>
      <c r="AE42" s="24">
        <f t="shared" si="21"/>
        <v>0</v>
      </c>
    </row>
    <row r="43" spans="1:31" x14ac:dyDescent="0.2">
      <c r="A43" s="75">
        <f t="shared" si="60"/>
        <v>46268</v>
      </c>
      <c r="B43" s="15" t="str">
        <f>$B$13</f>
        <v>Partner</v>
      </c>
      <c r="C43" s="15" t="str">
        <f>$C$13</f>
        <v>Rahul</v>
      </c>
      <c r="D43" s="18">
        <f t="shared" si="1"/>
        <v>0</v>
      </c>
      <c r="E43" s="4">
        <f t="shared" si="2"/>
        <v>0</v>
      </c>
      <c r="F43" s="4">
        <v>0</v>
      </c>
      <c r="G43" s="5" t="e">
        <f t="shared" si="3"/>
        <v>#DIV/0!</v>
      </c>
      <c r="H43" s="4" t="e">
        <f t="shared" si="4"/>
        <v>#DIV/0!</v>
      </c>
      <c r="I43" s="4" t="e">
        <f t="shared" si="5"/>
        <v>#DIV/0!</v>
      </c>
      <c r="J43" s="4">
        <f t="shared" si="6"/>
        <v>0</v>
      </c>
      <c r="K43" s="27">
        <f t="shared" si="7"/>
        <v>0</v>
      </c>
      <c r="L43" s="30">
        <f t="shared" si="8"/>
        <v>0</v>
      </c>
      <c r="M43" s="18">
        <v>0</v>
      </c>
      <c r="N43" s="4">
        <v>0</v>
      </c>
      <c r="O43" s="4">
        <v>0</v>
      </c>
      <c r="P43" s="5" t="e">
        <f t="shared" si="9"/>
        <v>#DIV/0!</v>
      </c>
      <c r="Q43" s="29" t="e">
        <f t="shared" si="10"/>
        <v>#DIV/0!</v>
      </c>
      <c r="R43" s="29" t="e">
        <f t="shared" si="11"/>
        <v>#DIV/0!</v>
      </c>
      <c r="S43" s="1">
        <v>0</v>
      </c>
      <c r="T43" s="1">
        <v>0</v>
      </c>
      <c r="U43" s="24">
        <v>0</v>
      </c>
      <c r="V43" s="25" t="e">
        <f t="shared" si="12"/>
        <v>#DIV/0!</v>
      </c>
      <c r="W43" s="25" t="e">
        <f t="shared" si="13"/>
        <v>#DIV/0!</v>
      </c>
      <c r="X43" s="25" t="e">
        <f t="shared" si="14"/>
        <v>#DIV/0!</v>
      </c>
      <c r="Y43" s="25" t="e">
        <f t="shared" si="15"/>
        <v>#DIV/0!</v>
      </c>
      <c r="Z43" s="25" t="e">
        <f t="shared" si="16"/>
        <v>#DIV/0!</v>
      </c>
      <c r="AA43" s="25" t="e">
        <f t="shared" si="17"/>
        <v>#DIV/0!</v>
      </c>
      <c r="AB43" s="25" t="e">
        <f t="shared" si="18"/>
        <v>#DIV/0!</v>
      </c>
      <c r="AC43" s="25" t="e">
        <f t="shared" si="19"/>
        <v>#DIV/0!</v>
      </c>
      <c r="AD43" s="63" t="e">
        <f t="shared" si="20"/>
        <v>#DIV/0!</v>
      </c>
      <c r="AE43" s="24">
        <f t="shared" si="21"/>
        <v>0</v>
      </c>
    </row>
    <row r="44" spans="1:31" x14ac:dyDescent="0.2">
      <c r="A44" s="75">
        <f t="shared" si="60"/>
        <v>46268</v>
      </c>
      <c r="B44" s="15" t="str">
        <f>$B$14</f>
        <v>Partner</v>
      </c>
      <c r="C44" s="15" t="str">
        <f>$C$14</f>
        <v>Prince</v>
      </c>
      <c r="D44" s="18">
        <f t="shared" si="1"/>
        <v>8.1781847616054772</v>
      </c>
      <c r="E44" s="4">
        <f t="shared" si="2"/>
        <v>20.420629359191004</v>
      </c>
      <c r="F44" s="4">
        <v>20175.581806880713</v>
      </c>
      <c r="G44" s="5">
        <f t="shared" si="3"/>
        <v>2.4969635627530362</v>
      </c>
      <c r="H44" s="4">
        <f t="shared" si="4"/>
        <v>2467</v>
      </c>
      <c r="I44" s="4">
        <f t="shared" si="5"/>
        <v>988</v>
      </c>
      <c r="J44" s="4">
        <f t="shared" si="6"/>
        <v>0.65425478092843814</v>
      </c>
      <c r="K44" s="27">
        <f t="shared" si="7"/>
        <v>0.32712739046421907</v>
      </c>
      <c r="L44" s="30">
        <f t="shared" si="8"/>
        <v>2.0445461904013693</v>
      </c>
      <c r="M44" s="18">
        <v>5</v>
      </c>
      <c r="N44" s="4">
        <v>15</v>
      </c>
      <c r="O44" s="4">
        <v>14641.15</v>
      </c>
      <c r="P44" s="5">
        <f t="shared" si="9"/>
        <v>3</v>
      </c>
      <c r="Q44" s="29">
        <f t="shared" si="10"/>
        <v>2928.23</v>
      </c>
      <c r="R44" s="29">
        <f t="shared" si="11"/>
        <v>976.0766666666666</v>
      </c>
      <c r="S44" s="1">
        <v>0</v>
      </c>
      <c r="T44" s="1">
        <v>0</v>
      </c>
      <c r="U44" s="24">
        <v>0</v>
      </c>
      <c r="V44" s="25">
        <f t="shared" si="12"/>
        <v>0.61138261677258066</v>
      </c>
      <c r="W44" s="25">
        <f t="shared" si="13"/>
        <v>0.73455130770730803</v>
      </c>
      <c r="X44" s="25">
        <f t="shared" si="14"/>
        <v>0.72568663150059731</v>
      </c>
      <c r="Y44" s="25">
        <f t="shared" si="15"/>
        <v>1.2014592622618565</v>
      </c>
      <c r="Z44" s="25">
        <f t="shared" si="16"/>
        <v>1.186959870287799</v>
      </c>
      <c r="AA44" s="25">
        <f t="shared" si="17"/>
        <v>0.98793184885290142</v>
      </c>
      <c r="AB44" s="25">
        <f t="shared" si="18"/>
        <v>0</v>
      </c>
      <c r="AC44" s="25">
        <f t="shared" si="19"/>
        <v>0</v>
      </c>
      <c r="AD44" s="63">
        <f t="shared" si="20"/>
        <v>0</v>
      </c>
      <c r="AE44" s="24">
        <f t="shared" si="21"/>
        <v>1</v>
      </c>
    </row>
    <row r="45" spans="1:31" x14ac:dyDescent="0.2">
      <c r="A45" s="75">
        <f t="shared" si="60"/>
        <v>46268</v>
      </c>
      <c r="B45" s="15" t="str">
        <f>$B$15</f>
        <v>Partner</v>
      </c>
      <c r="C45" s="15" t="str">
        <f>$C$15</f>
        <v>Kunal</v>
      </c>
      <c r="D45" s="18">
        <f t="shared" si="1"/>
        <v>0</v>
      </c>
      <c r="E45" s="4">
        <f t="shared" si="2"/>
        <v>0</v>
      </c>
      <c r="F45" s="4">
        <v>0</v>
      </c>
      <c r="G45" s="5" t="e">
        <f t="shared" si="3"/>
        <v>#DIV/0!</v>
      </c>
      <c r="H45" s="4" t="e">
        <f t="shared" si="4"/>
        <v>#DIV/0!</v>
      </c>
      <c r="I45" s="4" t="e">
        <f t="shared" si="5"/>
        <v>#DIV/0!</v>
      </c>
      <c r="J45" s="4">
        <f t="shared" si="6"/>
        <v>0</v>
      </c>
      <c r="K45" s="27">
        <f t="shared" si="7"/>
        <v>0</v>
      </c>
      <c r="L45" s="30">
        <f t="shared" si="8"/>
        <v>0</v>
      </c>
      <c r="M45" s="18">
        <v>0</v>
      </c>
      <c r="N45" s="4">
        <v>0</v>
      </c>
      <c r="O45" s="4">
        <v>0</v>
      </c>
      <c r="P45" s="5" t="e">
        <f t="shared" si="9"/>
        <v>#DIV/0!</v>
      </c>
      <c r="Q45" s="29" t="e">
        <f t="shared" si="10"/>
        <v>#DIV/0!</v>
      </c>
      <c r="R45" s="29" t="e">
        <f t="shared" si="11"/>
        <v>#DIV/0!</v>
      </c>
      <c r="S45" s="1">
        <v>0</v>
      </c>
      <c r="T45" s="1">
        <v>0</v>
      </c>
      <c r="U45" s="24">
        <v>0</v>
      </c>
      <c r="V45" s="25" t="e">
        <f t="shared" si="12"/>
        <v>#DIV/0!</v>
      </c>
      <c r="W45" s="25" t="e">
        <f t="shared" si="13"/>
        <v>#DIV/0!</v>
      </c>
      <c r="X45" s="25" t="e">
        <f t="shared" si="14"/>
        <v>#DIV/0!</v>
      </c>
      <c r="Y45" s="25" t="e">
        <f t="shared" si="15"/>
        <v>#DIV/0!</v>
      </c>
      <c r="Z45" s="25" t="e">
        <f t="shared" si="16"/>
        <v>#DIV/0!</v>
      </c>
      <c r="AA45" s="25" t="e">
        <f t="shared" si="17"/>
        <v>#DIV/0!</v>
      </c>
      <c r="AB45" s="25" t="e">
        <f t="shared" si="18"/>
        <v>#DIV/0!</v>
      </c>
      <c r="AC45" s="25" t="e">
        <f t="shared" si="19"/>
        <v>#DIV/0!</v>
      </c>
      <c r="AD45" s="63" t="e">
        <f t="shared" si="20"/>
        <v>#DIV/0!</v>
      </c>
      <c r="AE45" s="24">
        <f t="shared" si="21"/>
        <v>0</v>
      </c>
    </row>
    <row r="46" spans="1:31" x14ac:dyDescent="0.2">
      <c r="A46" s="75">
        <f t="shared" si="60"/>
        <v>46268</v>
      </c>
      <c r="B46" s="15" t="str">
        <f>$B$16</f>
        <v>NA</v>
      </c>
      <c r="C46" s="15" t="str">
        <f>$C$16</f>
        <v>NA</v>
      </c>
      <c r="D46" s="18">
        <f t="shared" si="1"/>
        <v>0</v>
      </c>
      <c r="E46" s="4">
        <f t="shared" si="2"/>
        <v>0</v>
      </c>
      <c r="F46" s="4">
        <v>0</v>
      </c>
      <c r="G46" s="5" t="e">
        <f t="shared" si="3"/>
        <v>#DIV/0!</v>
      </c>
      <c r="H46" s="4" t="e">
        <f t="shared" si="4"/>
        <v>#DIV/0!</v>
      </c>
      <c r="I46" s="4" t="e">
        <f t="shared" si="5"/>
        <v>#DIV/0!</v>
      </c>
      <c r="J46" s="4">
        <f t="shared" si="6"/>
        <v>0</v>
      </c>
      <c r="K46" s="27">
        <f t="shared" si="7"/>
        <v>0</v>
      </c>
      <c r="L46" s="30">
        <f t="shared" si="8"/>
        <v>0</v>
      </c>
      <c r="M46" s="18">
        <v>5</v>
      </c>
      <c r="N46" s="4">
        <v>1</v>
      </c>
      <c r="O46" s="4">
        <v>-4729</v>
      </c>
      <c r="P46" s="5">
        <f t="shared" si="9"/>
        <v>0.2</v>
      </c>
      <c r="Q46" s="29">
        <f t="shared" si="10"/>
        <v>-945.8</v>
      </c>
      <c r="R46" s="29">
        <f t="shared" si="11"/>
        <v>-4729</v>
      </c>
      <c r="S46" s="1">
        <v>0</v>
      </c>
      <c r="T46" s="1">
        <v>0</v>
      </c>
      <c r="U46" s="24">
        <v>0</v>
      </c>
      <c r="V46" s="25" t="e">
        <f t="shared" si="12"/>
        <v>#DIV/0!</v>
      </c>
      <c r="W46" s="25" t="e">
        <f t="shared" si="13"/>
        <v>#DIV/0!</v>
      </c>
      <c r="X46" s="25" t="e">
        <f t="shared" si="14"/>
        <v>#DIV/0!</v>
      </c>
      <c r="Y46" s="25" t="e">
        <f t="shared" si="15"/>
        <v>#DIV/0!</v>
      </c>
      <c r="Z46" s="25" t="e">
        <f t="shared" si="16"/>
        <v>#DIV/0!</v>
      </c>
      <c r="AA46" s="25" t="e">
        <f t="shared" si="17"/>
        <v>#DIV/0!</v>
      </c>
      <c r="AB46" s="25" t="e">
        <f t="shared" si="18"/>
        <v>#DIV/0!</v>
      </c>
      <c r="AC46" s="25" t="e">
        <f t="shared" si="19"/>
        <v>#DIV/0!</v>
      </c>
      <c r="AD46" s="63" t="e">
        <f t="shared" si="20"/>
        <v>#DIV/0!</v>
      </c>
      <c r="AE46" s="24">
        <f t="shared" si="21"/>
        <v>0</v>
      </c>
    </row>
    <row r="47" spans="1:31" x14ac:dyDescent="0.2">
      <c r="A47" s="75">
        <f t="shared" si="60"/>
        <v>46268</v>
      </c>
      <c r="B47" s="15" t="str">
        <f>$B$17</f>
        <v>NA</v>
      </c>
      <c r="C47" s="15" t="str">
        <f>$C$17</f>
        <v>NA</v>
      </c>
      <c r="D47" s="18">
        <f t="shared" si="1"/>
        <v>0</v>
      </c>
      <c r="E47" s="4">
        <f t="shared" si="2"/>
        <v>0</v>
      </c>
      <c r="F47" s="4">
        <v>0</v>
      </c>
      <c r="G47" s="5" t="e">
        <f t="shared" si="3"/>
        <v>#DIV/0!</v>
      </c>
      <c r="H47" s="4" t="e">
        <f t="shared" si="4"/>
        <v>#DIV/0!</v>
      </c>
      <c r="I47" s="4" t="e">
        <f t="shared" si="5"/>
        <v>#DIV/0!</v>
      </c>
      <c r="J47" s="4">
        <f t="shared" si="6"/>
        <v>0</v>
      </c>
      <c r="K47" s="27">
        <f t="shared" si="7"/>
        <v>0</v>
      </c>
      <c r="L47" s="30">
        <f t="shared" si="8"/>
        <v>0</v>
      </c>
      <c r="M47" s="18">
        <v>0</v>
      </c>
      <c r="N47" s="4">
        <v>0</v>
      </c>
      <c r="O47" s="4">
        <v>0</v>
      </c>
      <c r="P47" s="5" t="e">
        <f t="shared" si="9"/>
        <v>#DIV/0!</v>
      </c>
      <c r="Q47" s="29" t="e">
        <f t="shared" si="10"/>
        <v>#DIV/0!</v>
      </c>
      <c r="R47" s="29" t="e">
        <f t="shared" si="11"/>
        <v>#DIV/0!</v>
      </c>
      <c r="S47" s="1">
        <v>0</v>
      </c>
      <c r="T47" s="1">
        <v>0</v>
      </c>
      <c r="U47" s="24">
        <v>0</v>
      </c>
      <c r="V47" s="25" t="e">
        <f t="shared" ref="V47" si="90">M47/D47</f>
        <v>#DIV/0!</v>
      </c>
      <c r="W47" s="25" t="e">
        <f t="shared" ref="W47" si="91">N47/E47</f>
        <v>#DIV/0!</v>
      </c>
      <c r="X47" s="25" t="e">
        <f t="shared" ref="X47" si="92">O47/F47</f>
        <v>#DIV/0!</v>
      </c>
      <c r="Y47" s="25" t="e">
        <f t="shared" ref="Y47" si="93">P47/G47</f>
        <v>#DIV/0!</v>
      </c>
      <c r="Z47" s="25" t="e">
        <f t="shared" ref="Z47" si="94">Q47/H47</f>
        <v>#DIV/0!</v>
      </c>
      <c r="AA47" s="25" t="e">
        <f t="shared" ref="AA47" si="95">R47/I47</f>
        <v>#DIV/0!</v>
      </c>
      <c r="AB47" s="25" t="e">
        <f t="shared" ref="AB47" si="96">S47/J47</f>
        <v>#DIV/0!</v>
      </c>
      <c r="AC47" s="25" t="e">
        <f t="shared" ref="AC47" si="97">T47/K47</f>
        <v>#DIV/0!</v>
      </c>
      <c r="AD47" s="63" t="e">
        <f t="shared" ref="AD47" si="98">U47/L47</f>
        <v>#DIV/0!</v>
      </c>
      <c r="AE47" s="24">
        <f t="shared" si="21"/>
        <v>0</v>
      </c>
    </row>
    <row r="48" spans="1:31" x14ac:dyDescent="0.2">
      <c r="A48" s="75">
        <f t="shared" si="60"/>
        <v>46268</v>
      </c>
      <c r="B48" s="15" t="str">
        <f>$B$18</f>
        <v>NA</v>
      </c>
      <c r="C48" s="15" t="str">
        <f>$C$18</f>
        <v>NA</v>
      </c>
      <c r="D48" s="18">
        <f t="shared" si="1"/>
        <v>0</v>
      </c>
      <c r="E48" s="4">
        <f t="shared" si="2"/>
        <v>0</v>
      </c>
      <c r="F48" s="4">
        <v>0</v>
      </c>
      <c r="G48" s="5" t="e">
        <f t="shared" si="3"/>
        <v>#DIV/0!</v>
      </c>
      <c r="H48" s="4" t="e">
        <f t="shared" si="4"/>
        <v>#DIV/0!</v>
      </c>
      <c r="I48" s="4" t="e">
        <f t="shared" si="5"/>
        <v>#DIV/0!</v>
      </c>
      <c r="J48" s="4">
        <f t="shared" si="6"/>
        <v>0</v>
      </c>
      <c r="K48" s="27">
        <f t="shared" si="7"/>
        <v>0</v>
      </c>
      <c r="L48" s="30">
        <f t="shared" si="8"/>
        <v>0</v>
      </c>
      <c r="M48" s="18">
        <v>0</v>
      </c>
      <c r="N48" s="4">
        <v>0</v>
      </c>
      <c r="O48" s="4">
        <v>0</v>
      </c>
      <c r="P48" s="5" t="e">
        <f t="shared" si="9"/>
        <v>#DIV/0!</v>
      </c>
      <c r="Q48" s="29" t="e">
        <f t="shared" si="10"/>
        <v>#DIV/0!</v>
      </c>
      <c r="R48" s="29" t="e">
        <f t="shared" si="11"/>
        <v>#DIV/0!</v>
      </c>
      <c r="S48" s="1">
        <v>0</v>
      </c>
      <c r="T48" s="1">
        <v>0</v>
      </c>
      <c r="U48" s="24">
        <v>0</v>
      </c>
      <c r="V48" s="25" t="e">
        <f t="shared" ref="V48:V111" si="99">M48/D48</f>
        <v>#DIV/0!</v>
      </c>
      <c r="W48" s="25" t="e">
        <f t="shared" ref="W48:W111" si="100">N48/E48</f>
        <v>#DIV/0!</v>
      </c>
      <c r="X48" s="25" t="e">
        <f t="shared" ref="X48:X111" si="101">O48/F48</f>
        <v>#DIV/0!</v>
      </c>
      <c r="Y48" s="25" t="e">
        <f t="shared" ref="Y48:Y111" si="102">P48/G48</f>
        <v>#DIV/0!</v>
      </c>
      <c r="Z48" s="25" t="e">
        <f t="shared" ref="Z48:Z111" si="103">Q48/H48</f>
        <v>#DIV/0!</v>
      </c>
      <c r="AA48" s="25" t="e">
        <f t="shared" ref="AA48:AA111" si="104">R48/I48</f>
        <v>#DIV/0!</v>
      </c>
      <c r="AB48" s="25" t="e">
        <f t="shared" ref="AB48:AB111" si="105">S48/J48</f>
        <v>#DIV/0!</v>
      </c>
      <c r="AC48" s="25" t="e">
        <f t="shared" ref="AC48:AC111" si="106">T48/K48</f>
        <v>#DIV/0!</v>
      </c>
      <c r="AD48" s="63" t="e">
        <f t="shared" ref="AD48:AD111" si="107">U48/L48</f>
        <v>#DIV/0!</v>
      </c>
      <c r="AE48" s="24">
        <f t="shared" si="21"/>
        <v>0</v>
      </c>
    </row>
    <row r="49" spans="1:31" x14ac:dyDescent="0.2">
      <c r="A49" s="75">
        <f t="shared" si="60"/>
        <v>46269</v>
      </c>
      <c r="B49" s="15" t="str">
        <f>$B$4</f>
        <v>DSM</v>
      </c>
      <c r="C49" s="15" t="str">
        <f>$C$4</f>
        <v xml:space="preserve">komal  </v>
      </c>
      <c r="D49" s="18">
        <f t="shared" si="1"/>
        <v>0</v>
      </c>
      <c r="E49" s="4">
        <f t="shared" si="2"/>
        <v>0</v>
      </c>
      <c r="F49" s="4">
        <v>0</v>
      </c>
      <c r="G49" s="5" t="e">
        <f t="shared" si="3"/>
        <v>#DIV/0!</v>
      </c>
      <c r="H49" s="4" t="e">
        <f t="shared" si="4"/>
        <v>#DIV/0!</v>
      </c>
      <c r="I49" s="4" t="e">
        <f t="shared" si="5"/>
        <v>#DIV/0!</v>
      </c>
      <c r="J49" s="4">
        <f t="shared" si="6"/>
        <v>0</v>
      </c>
      <c r="K49" s="27">
        <f t="shared" si="7"/>
        <v>0</v>
      </c>
      <c r="L49" s="30">
        <f t="shared" si="8"/>
        <v>0</v>
      </c>
      <c r="M49" s="18">
        <v>0</v>
      </c>
      <c r="N49" s="4">
        <v>0</v>
      </c>
      <c r="O49" s="4">
        <v>0</v>
      </c>
      <c r="P49" s="5" t="e">
        <f t="shared" si="9"/>
        <v>#DIV/0!</v>
      </c>
      <c r="Q49" s="29" t="e">
        <f t="shared" si="10"/>
        <v>#DIV/0!</v>
      </c>
      <c r="R49" s="29" t="e">
        <f t="shared" si="11"/>
        <v>#DIV/0!</v>
      </c>
      <c r="S49" s="1">
        <v>0</v>
      </c>
      <c r="T49" s="1">
        <v>0</v>
      </c>
      <c r="U49" s="24">
        <v>0</v>
      </c>
      <c r="V49" s="25" t="e">
        <f t="shared" si="99"/>
        <v>#DIV/0!</v>
      </c>
      <c r="W49" s="25" t="e">
        <f t="shared" si="100"/>
        <v>#DIV/0!</v>
      </c>
      <c r="X49" s="25" t="e">
        <f t="shared" si="101"/>
        <v>#DIV/0!</v>
      </c>
      <c r="Y49" s="25" t="e">
        <f t="shared" si="102"/>
        <v>#DIV/0!</v>
      </c>
      <c r="Z49" s="25" t="e">
        <f t="shared" si="103"/>
        <v>#DIV/0!</v>
      </c>
      <c r="AA49" s="25" t="e">
        <f t="shared" si="104"/>
        <v>#DIV/0!</v>
      </c>
      <c r="AB49" s="25" t="e">
        <f t="shared" si="105"/>
        <v>#DIV/0!</v>
      </c>
      <c r="AC49" s="25" t="e">
        <f t="shared" si="106"/>
        <v>#DIV/0!</v>
      </c>
      <c r="AD49" s="63" t="e">
        <f t="shared" si="107"/>
        <v>#DIV/0!</v>
      </c>
      <c r="AE49" s="24">
        <f t="shared" si="21"/>
        <v>0</v>
      </c>
    </row>
    <row r="50" spans="1:31" x14ac:dyDescent="0.2">
      <c r="A50" s="75">
        <f t="shared" si="60"/>
        <v>46269</v>
      </c>
      <c r="B50" s="15" t="str">
        <f>$B$5</f>
        <v>SS</v>
      </c>
      <c r="C50" s="15" t="str">
        <f>$C$5</f>
        <v>Prem</v>
      </c>
      <c r="D50" s="18">
        <f t="shared" si="1"/>
        <v>2.4151154703892135</v>
      </c>
      <c r="E50" s="4">
        <f t="shared" si="2"/>
        <v>6.0304553294030265</v>
      </c>
      <c r="F50" s="4">
        <v>5958.0898654501898</v>
      </c>
      <c r="G50" s="5">
        <f t="shared" si="3"/>
        <v>2.4969635627530367</v>
      </c>
      <c r="H50" s="4">
        <f t="shared" si="4"/>
        <v>2467</v>
      </c>
      <c r="I50" s="4">
        <f t="shared" si="5"/>
        <v>987.99999999999989</v>
      </c>
      <c r="J50" s="4">
        <f t="shared" si="6"/>
        <v>0.19320923763113709</v>
      </c>
      <c r="K50" s="27">
        <f t="shared" si="7"/>
        <v>9.6604618815568546E-2</v>
      </c>
      <c r="L50" s="30">
        <f t="shared" si="8"/>
        <v>0.60377886759730337</v>
      </c>
      <c r="M50" s="18">
        <v>1</v>
      </c>
      <c r="N50" s="4">
        <v>1</v>
      </c>
      <c r="O50" s="4">
        <v>599</v>
      </c>
      <c r="P50" s="5">
        <f t="shared" si="9"/>
        <v>1</v>
      </c>
      <c r="Q50" s="29">
        <f t="shared" si="10"/>
        <v>599</v>
      </c>
      <c r="R50" s="29">
        <f t="shared" si="11"/>
        <v>599</v>
      </c>
      <c r="S50" s="1">
        <v>0</v>
      </c>
      <c r="T50" s="1">
        <v>0</v>
      </c>
      <c r="U50" s="24">
        <v>0</v>
      </c>
      <c r="V50" s="25">
        <f t="shared" si="99"/>
        <v>0.41405887720923035</v>
      </c>
      <c r="W50" s="25">
        <f t="shared" si="100"/>
        <v>0.16582495771492484</v>
      </c>
      <c r="X50" s="25">
        <f t="shared" si="101"/>
        <v>0.10053557659032387</v>
      </c>
      <c r="Y50" s="25">
        <f t="shared" si="102"/>
        <v>0.40048642075395213</v>
      </c>
      <c r="Z50" s="25">
        <f t="shared" si="103"/>
        <v>0.24280502634779083</v>
      </c>
      <c r="AA50" s="25">
        <f t="shared" si="104"/>
        <v>0.60627530364372473</v>
      </c>
      <c r="AB50" s="25">
        <f t="shared" si="105"/>
        <v>0</v>
      </c>
      <c r="AC50" s="25">
        <f t="shared" si="106"/>
        <v>0</v>
      </c>
      <c r="AD50" s="63">
        <f t="shared" si="107"/>
        <v>0</v>
      </c>
      <c r="AE50" s="24">
        <f t="shared" si="21"/>
        <v>1</v>
      </c>
    </row>
    <row r="51" spans="1:31" x14ac:dyDescent="0.2">
      <c r="A51" s="75">
        <f t="shared" si="60"/>
        <v>46269</v>
      </c>
      <c r="B51" s="15" t="str">
        <f>$B$6</f>
        <v>SS</v>
      </c>
      <c r="C51" s="15" t="str">
        <f>$C$6</f>
        <v>Anuj</v>
      </c>
      <c r="D51" s="18">
        <f t="shared" si="1"/>
        <v>6.0377886759730339</v>
      </c>
      <c r="E51" s="4">
        <f t="shared" si="2"/>
        <v>15.076138323507566</v>
      </c>
      <c r="F51" s="4">
        <v>14895.224663625475</v>
      </c>
      <c r="G51" s="5">
        <f t="shared" si="3"/>
        <v>2.4969635627530367</v>
      </c>
      <c r="H51" s="4">
        <f t="shared" si="4"/>
        <v>2467</v>
      </c>
      <c r="I51" s="4">
        <f t="shared" si="5"/>
        <v>988</v>
      </c>
      <c r="J51" s="4">
        <f t="shared" si="6"/>
        <v>0.48302309407784272</v>
      </c>
      <c r="K51" s="27">
        <f t="shared" si="7"/>
        <v>0.24151154703892136</v>
      </c>
      <c r="L51" s="30">
        <f t="shared" si="8"/>
        <v>1.5094471689932585</v>
      </c>
      <c r="M51" s="18">
        <v>4</v>
      </c>
      <c r="N51" s="4">
        <v>11</v>
      </c>
      <c r="O51" s="4">
        <v>12405.94</v>
      </c>
      <c r="P51" s="5">
        <f t="shared" si="9"/>
        <v>2.75</v>
      </c>
      <c r="Q51" s="29">
        <f t="shared" si="10"/>
        <v>3101.4850000000001</v>
      </c>
      <c r="R51" s="29">
        <f t="shared" si="11"/>
        <v>1127.8127272727272</v>
      </c>
      <c r="S51" s="1">
        <v>0</v>
      </c>
      <c r="T51" s="1">
        <v>0</v>
      </c>
      <c r="U51" s="24">
        <v>0</v>
      </c>
      <c r="V51" s="25">
        <f t="shared" si="99"/>
        <v>0.66249420353476862</v>
      </c>
      <c r="W51" s="25">
        <f t="shared" si="100"/>
        <v>0.72962981394566928</v>
      </c>
      <c r="X51" s="25">
        <f t="shared" si="101"/>
        <v>0.83288035462101007</v>
      </c>
      <c r="Y51" s="25">
        <f t="shared" si="102"/>
        <v>1.1013376570733684</v>
      </c>
      <c r="Z51" s="25">
        <f t="shared" si="103"/>
        <v>1.2571888933927848</v>
      </c>
      <c r="AA51" s="25">
        <f t="shared" si="104"/>
        <v>1.1415108575634891</v>
      </c>
      <c r="AB51" s="25">
        <f t="shared" si="105"/>
        <v>0</v>
      </c>
      <c r="AC51" s="25">
        <f t="shared" si="106"/>
        <v>0</v>
      </c>
      <c r="AD51" s="63">
        <f t="shared" si="107"/>
        <v>0</v>
      </c>
      <c r="AE51" s="24">
        <f t="shared" si="21"/>
        <v>1</v>
      </c>
    </row>
    <row r="52" spans="1:31" x14ac:dyDescent="0.2">
      <c r="A52" s="75">
        <f t="shared" si="60"/>
        <v>46269</v>
      </c>
      <c r="B52" s="15" t="str">
        <f>$B$7</f>
        <v>FC</v>
      </c>
      <c r="C52" s="15" t="str">
        <f>$C$7</f>
        <v>Muskan</v>
      </c>
      <c r="D52" s="18">
        <f t="shared" si="1"/>
        <v>0</v>
      </c>
      <c r="E52" s="4">
        <f t="shared" si="2"/>
        <v>0</v>
      </c>
      <c r="F52" s="4">
        <v>0</v>
      </c>
      <c r="G52" s="5" t="e">
        <f t="shared" si="3"/>
        <v>#DIV/0!</v>
      </c>
      <c r="H52" s="4" t="e">
        <f t="shared" si="4"/>
        <v>#DIV/0!</v>
      </c>
      <c r="I52" s="4" t="e">
        <f t="shared" si="5"/>
        <v>#DIV/0!</v>
      </c>
      <c r="J52" s="4">
        <f t="shared" si="6"/>
        <v>0</v>
      </c>
      <c r="K52" s="27">
        <f t="shared" si="7"/>
        <v>0</v>
      </c>
      <c r="L52" s="30">
        <f t="shared" si="8"/>
        <v>0</v>
      </c>
      <c r="M52" s="18">
        <v>0</v>
      </c>
      <c r="N52" s="4">
        <v>0</v>
      </c>
      <c r="O52" s="4">
        <v>0</v>
      </c>
      <c r="P52" s="5" t="e">
        <f t="shared" si="9"/>
        <v>#DIV/0!</v>
      </c>
      <c r="Q52" s="29" t="e">
        <f t="shared" si="10"/>
        <v>#DIV/0!</v>
      </c>
      <c r="R52" s="29" t="e">
        <f t="shared" si="11"/>
        <v>#DIV/0!</v>
      </c>
      <c r="S52" s="1">
        <v>0</v>
      </c>
      <c r="T52" s="1">
        <v>0</v>
      </c>
      <c r="U52" s="24">
        <v>0</v>
      </c>
      <c r="V52" s="25" t="e">
        <f t="shared" si="99"/>
        <v>#DIV/0!</v>
      </c>
      <c r="W52" s="25" t="e">
        <f t="shared" si="100"/>
        <v>#DIV/0!</v>
      </c>
      <c r="X52" s="25" t="e">
        <f t="shared" si="101"/>
        <v>#DIV/0!</v>
      </c>
      <c r="Y52" s="25" t="e">
        <f t="shared" si="102"/>
        <v>#DIV/0!</v>
      </c>
      <c r="Z52" s="25" t="e">
        <f t="shared" si="103"/>
        <v>#DIV/0!</v>
      </c>
      <c r="AA52" s="25" t="e">
        <f t="shared" si="104"/>
        <v>#DIV/0!</v>
      </c>
      <c r="AB52" s="25" t="e">
        <f t="shared" si="105"/>
        <v>#DIV/0!</v>
      </c>
      <c r="AC52" s="25" t="e">
        <f t="shared" si="106"/>
        <v>#DIV/0!</v>
      </c>
      <c r="AD52" s="63" t="e">
        <f t="shared" si="107"/>
        <v>#DIV/0!</v>
      </c>
      <c r="AE52" s="24">
        <f t="shared" si="21"/>
        <v>0</v>
      </c>
    </row>
    <row r="53" spans="1:31" x14ac:dyDescent="0.2">
      <c r="A53" s="75">
        <f t="shared" si="60"/>
        <v>46269</v>
      </c>
      <c r="B53" s="15" t="str">
        <f>$B$8</f>
        <v>FC</v>
      </c>
      <c r="C53" s="15" t="str">
        <f>$C$8</f>
        <v xml:space="preserve">Kajal  </v>
      </c>
      <c r="D53" s="18">
        <f t="shared" si="1"/>
        <v>6.0377886759730339</v>
      </c>
      <c r="E53" s="4">
        <f t="shared" si="2"/>
        <v>15.076138323507566</v>
      </c>
      <c r="F53" s="4">
        <v>14895.224663625475</v>
      </c>
      <c r="G53" s="5">
        <f t="shared" si="3"/>
        <v>2.4969635627530367</v>
      </c>
      <c r="H53" s="4">
        <f t="shared" si="4"/>
        <v>2467</v>
      </c>
      <c r="I53" s="4">
        <f t="shared" si="5"/>
        <v>988</v>
      </c>
      <c r="J53" s="4">
        <f t="shared" si="6"/>
        <v>0.48302309407784272</v>
      </c>
      <c r="K53" s="27">
        <f t="shared" si="7"/>
        <v>0.24151154703892136</v>
      </c>
      <c r="L53" s="30">
        <f t="shared" si="8"/>
        <v>1.5094471689932585</v>
      </c>
      <c r="M53" s="18">
        <v>7</v>
      </c>
      <c r="N53" s="4">
        <v>11</v>
      </c>
      <c r="O53" s="4">
        <v>10704.310000000001</v>
      </c>
      <c r="P53" s="5">
        <f t="shared" si="9"/>
        <v>1.5714285714285714</v>
      </c>
      <c r="Q53" s="29">
        <f t="shared" si="10"/>
        <v>1529.187142857143</v>
      </c>
      <c r="R53" s="29">
        <f t="shared" si="11"/>
        <v>973.11909090909103</v>
      </c>
      <c r="S53" s="1">
        <v>0</v>
      </c>
      <c r="T53" s="1">
        <v>0</v>
      </c>
      <c r="U53" s="24">
        <v>0</v>
      </c>
      <c r="V53" s="25">
        <f t="shared" si="99"/>
        <v>1.1593648561858449</v>
      </c>
      <c r="W53" s="25">
        <f t="shared" si="100"/>
        <v>0.72962981394566928</v>
      </c>
      <c r="X53" s="25">
        <f t="shared" si="101"/>
        <v>0.718640385877509</v>
      </c>
      <c r="Y53" s="25">
        <f t="shared" si="102"/>
        <v>0.6293358040419248</v>
      </c>
      <c r="Z53" s="25">
        <f t="shared" si="103"/>
        <v>0.61985696913544508</v>
      </c>
      <c r="AA53" s="25">
        <f t="shared" si="104"/>
        <v>0.98493835112256178</v>
      </c>
      <c r="AB53" s="25">
        <f t="shared" si="105"/>
        <v>0</v>
      </c>
      <c r="AC53" s="25">
        <f t="shared" si="106"/>
        <v>0</v>
      </c>
      <c r="AD53" s="63">
        <f t="shared" si="107"/>
        <v>0</v>
      </c>
      <c r="AE53" s="24">
        <f t="shared" si="21"/>
        <v>1</v>
      </c>
    </row>
    <row r="54" spans="1:31" x14ac:dyDescent="0.2">
      <c r="A54" s="75">
        <f t="shared" si="60"/>
        <v>46269</v>
      </c>
      <c r="B54" s="15" t="str">
        <f>$B$9</f>
        <v>FC</v>
      </c>
      <c r="C54" s="15" t="str">
        <f>$C$9</f>
        <v>Pradeep</v>
      </c>
      <c r="D54" s="18">
        <f t="shared" si="1"/>
        <v>0</v>
      </c>
      <c r="E54" s="4">
        <f t="shared" si="2"/>
        <v>0</v>
      </c>
      <c r="F54" s="4">
        <v>0</v>
      </c>
      <c r="G54" s="5" t="e">
        <f t="shared" si="3"/>
        <v>#DIV/0!</v>
      </c>
      <c r="H54" s="4" t="e">
        <f t="shared" si="4"/>
        <v>#DIV/0!</v>
      </c>
      <c r="I54" s="4" t="e">
        <f t="shared" si="5"/>
        <v>#DIV/0!</v>
      </c>
      <c r="J54" s="4">
        <f t="shared" si="6"/>
        <v>0</v>
      </c>
      <c r="K54" s="27">
        <f t="shared" si="7"/>
        <v>0</v>
      </c>
      <c r="L54" s="30">
        <f t="shared" si="8"/>
        <v>0</v>
      </c>
      <c r="M54" s="18">
        <v>0</v>
      </c>
      <c r="N54" s="4">
        <v>0</v>
      </c>
      <c r="O54" s="4">
        <v>0</v>
      </c>
      <c r="P54" s="5" t="e">
        <f t="shared" si="9"/>
        <v>#DIV/0!</v>
      </c>
      <c r="Q54" s="29" t="e">
        <f t="shared" si="10"/>
        <v>#DIV/0!</v>
      </c>
      <c r="R54" s="29" t="e">
        <f t="shared" si="11"/>
        <v>#DIV/0!</v>
      </c>
      <c r="S54" s="1">
        <v>0</v>
      </c>
      <c r="T54" s="1">
        <v>0</v>
      </c>
      <c r="U54" s="24">
        <v>0</v>
      </c>
      <c r="V54" s="25" t="e">
        <f t="shared" si="99"/>
        <v>#DIV/0!</v>
      </c>
      <c r="W54" s="25" t="e">
        <f t="shared" si="100"/>
        <v>#DIV/0!</v>
      </c>
      <c r="X54" s="25" t="e">
        <f t="shared" si="101"/>
        <v>#DIV/0!</v>
      </c>
      <c r="Y54" s="25" t="e">
        <f t="shared" si="102"/>
        <v>#DIV/0!</v>
      </c>
      <c r="Z54" s="25" t="e">
        <f t="shared" si="103"/>
        <v>#DIV/0!</v>
      </c>
      <c r="AA54" s="25" t="e">
        <f t="shared" si="104"/>
        <v>#DIV/0!</v>
      </c>
      <c r="AB54" s="25" t="e">
        <f t="shared" si="105"/>
        <v>#DIV/0!</v>
      </c>
      <c r="AC54" s="25" t="e">
        <f t="shared" si="106"/>
        <v>#DIV/0!</v>
      </c>
      <c r="AD54" s="63" t="e">
        <f t="shared" si="107"/>
        <v>#DIV/0!</v>
      </c>
      <c r="AE54" s="24">
        <f t="shared" si="21"/>
        <v>0</v>
      </c>
    </row>
    <row r="55" spans="1:31" x14ac:dyDescent="0.2">
      <c r="A55" s="75">
        <f t="shared" si="60"/>
        <v>46269</v>
      </c>
      <c r="B55" s="15" t="str">
        <f>$B$10</f>
        <v>FC</v>
      </c>
      <c r="C55" s="15" t="str">
        <f>$C$10</f>
        <v>Aftab</v>
      </c>
      <c r="D55" s="18">
        <f t="shared" si="1"/>
        <v>6.0377886759730339</v>
      </c>
      <c r="E55" s="4">
        <f t="shared" si="2"/>
        <v>15.076138323507566</v>
      </c>
      <c r="F55" s="4">
        <v>14895.224663625475</v>
      </c>
      <c r="G55" s="5">
        <f t="shared" si="3"/>
        <v>2.4969635627530367</v>
      </c>
      <c r="H55" s="4">
        <f t="shared" si="4"/>
        <v>2467</v>
      </c>
      <c r="I55" s="4">
        <f t="shared" si="5"/>
        <v>988</v>
      </c>
      <c r="J55" s="4">
        <f t="shared" si="6"/>
        <v>0.48302309407784272</v>
      </c>
      <c r="K55" s="27">
        <f t="shared" si="7"/>
        <v>0.24151154703892136</v>
      </c>
      <c r="L55" s="30">
        <f t="shared" si="8"/>
        <v>1.5094471689932585</v>
      </c>
      <c r="M55" s="18">
        <v>6</v>
      </c>
      <c r="N55" s="4">
        <v>17</v>
      </c>
      <c r="O55" s="4">
        <v>7271.76</v>
      </c>
      <c r="P55" s="5">
        <f t="shared" si="9"/>
        <v>2.8333333333333335</v>
      </c>
      <c r="Q55" s="29">
        <f t="shared" si="10"/>
        <v>1211.96</v>
      </c>
      <c r="R55" s="29">
        <f t="shared" si="11"/>
        <v>427.75058823529412</v>
      </c>
      <c r="S55" s="1">
        <v>0</v>
      </c>
      <c r="T55" s="1">
        <v>0</v>
      </c>
      <c r="U55" s="24">
        <v>0</v>
      </c>
      <c r="V55" s="25">
        <f t="shared" si="99"/>
        <v>0.99374130530215288</v>
      </c>
      <c r="W55" s="25">
        <f t="shared" si="100"/>
        <v>1.127609712461489</v>
      </c>
      <c r="X55" s="25">
        <f t="shared" si="101"/>
        <v>0.4881940463615716</v>
      </c>
      <c r="Y55" s="25">
        <f t="shared" si="102"/>
        <v>1.134711525469531</v>
      </c>
      <c r="Z55" s="25">
        <f t="shared" si="103"/>
        <v>0.49126874746655858</v>
      </c>
      <c r="AA55" s="25">
        <f t="shared" si="104"/>
        <v>0.43294593950940702</v>
      </c>
      <c r="AB55" s="25">
        <f t="shared" si="105"/>
        <v>0</v>
      </c>
      <c r="AC55" s="25">
        <f t="shared" si="106"/>
        <v>0</v>
      </c>
      <c r="AD55" s="63">
        <f t="shared" si="107"/>
        <v>0</v>
      </c>
      <c r="AE55" s="24">
        <f t="shared" si="21"/>
        <v>1</v>
      </c>
    </row>
    <row r="56" spans="1:31" x14ac:dyDescent="0.2">
      <c r="A56" s="75">
        <f t="shared" si="60"/>
        <v>46269</v>
      </c>
      <c r="B56" s="15" t="str">
        <f>$B$11</f>
        <v>FC</v>
      </c>
      <c r="C56" s="15" t="str">
        <f>$C$11</f>
        <v>Khushi</v>
      </c>
      <c r="D56" s="18">
        <f t="shared" si="1"/>
        <v>12.075577351946068</v>
      </c>
      <c r="E56" s="4">
        <f t="shared" si="2"/>
        <v>30.152276647015132</v>
      </c>
      <c r="F56" s="4">
        <v>29790.44932725095</v>
      </c>
      <c r="G56" s="5">
        <f t="shared" si="3"/>
        <v>2.4969635627530367</v>
      </c>
      <c r="H56" s="4">
        <f t="shared" si="4"/>
        <v>2467</v>
      </c>
      <c r="I56" s="4">
        <f t="shared" si="5"/>
        <v>988</v>
      </c>
      <c r="J56" s="4">
        <f t="shared" si="6"/>
        <v>0.96604618815568544</v>
      </c>
      <c r="K56" s="27">
        <f t="shared" si="7"/>
        <v>0.48302309407784272</v>
      </c>
      <c r="L56" s="30">
        <f t="shared" si="8"/>
        <v>3.018894337986517</v>
      </c>
      <c r="M56" s="18">
        <v>6</v>
      </c>
      <c r="N56" s="4">
        <v>22</v>
      </c>
      <c r="O56" s="4">
        <v>20444</v>
      </c>
      <c r="P56" s="5">
        <f t="shared" si="9"/>
        <v>3.6666666666666665</v>
      </c>
      <c r="Q56" s="29">
        <f t="shared" si="10"/>
        <v>3407.3333333333335</v>
      </c>
      <c r="R56" s="29">
        <f t="shared" si="11"/>
        <v>929.27272727272725</v>
      </c>
      <c r="S56" s="1">
        <v>0</v>
      </c>
      <c r="T56" s="1">
        <v>0</v>
      </c>
      <c r="U56" s="24">
        <v>0</v>
      </c>
      <c r="V56" s="25">
        <f t="shared" si="99"/>
        <v>0.49687065265107644</v>
      </c>
      <c r="W56" s="25">
        <f t="shared" si="100"/>
        <v>0.72962981394566928</v>
      </c>
      <c r="X56" s="25">
        <f t="shared" si="101"/>
        <v>0.68626020962022738</v>
      </c>
      <c r="Y56" s="25">
        <f t="shared" si="102"/>
        <v>1.4684502094311578</v>
      </c>
      <c r="Z56" s="25">
        <f t="shared" si="103"/>
        <v>1.3811647074719633</v>
      </c>
      <c r="AA56" s="25">
        <f t="shared" si="104"/>
        <v>0.94055944055944052</v>
      </c>
      <c r="AB56" s="25">
        <f t="shared" si="105"/>
        <v>0</v>
      </c>
      <c r="AC56" s="25">
        <f t="shared" si="106"/>
        <v>0</v>
      </c>
      <c r="AD56" s="63">
        <f t="shared" si="107"/>
        <v>0</v>
      </c>
      <c r="AE56" s="24">
        <f t="shared" si="21"/>
        <v>1</v>
      </c>
    </row>
    <row r="57" spans="1:31" x14ac:dyDescent="0.2">
      <c r="A57" s="75">
        <f t="shared" si="60"/>
        <v>46269</v>
      </c>
      <c r="B57" s="15" t="str">
        <f>$B$12</f>
        <v>FC</v>
      </c>
      <c r="C57" s="15" t="str">
        <f>$C$12</f>
        <v>Kishan</v>
      </c>
      <c r="D57" s="18">
        <f t="shared" si="1"/>
        <v>0</v>
      </c>
      <c r="E57" s="4">
        <f t="shared" si="2"/>
        <v>0</v>
      </c>
      <c r="F57" s="4">
        <v>0</v>
      </c>
      <c r="G57" s="5" t="e">
        <f t="shared" si="3"/>
        <v>#DIV/0!</v>
      </c>
      <c r="H57" s="4" t="e">
        <f t="shared" si="4"/>
        <v>#DIV/0!</v>
      </c>
      <c r="I57" s="4" t="e">
        <f t="shared" si="5"/>
        <v>#DIV/0!</v>
      </c>
      <c r="J57" s="4">
        <f t="shared" si="6"/>
        <v>0</v>
      </c>
      <c r="K57" s="27">
        <f t="shared" si="7"/>
        <v>0</v>
      </c>
      <c r="L57" s="30">
        <f t="shared" si="8"/>
        <v>0</v>
      </c>
      <c r="M57" s="18">
        <v>0</v>
      </c>
      <c r="N57" s="4">
        <v>0</v>
      </c>
      <c r="O57" s="4">
        <v>0</v>
      </c>
      <c r="P57" s="5" t="e">
        <f t="shared" si="9"/>
        <v>#DIV/0!</v>
      </c>
      <c r="Q57" s="29" t="e">
        <f t="shared" si="10"/>
        <v>#DIV/0!</v>
      </c>
      <c r="R57" s="29" t="e">
        <f t="shared" si="11"/>
        <v>#DIV/0!</v>
      </c>
      <c r="S57" s="1">
        <v>0</v>
      </c>
      <c r="T57" s="1">
        <v>0</v>
      </c>
      <c r="U57" s="24">
        <v>0</v>
      </c>
      <c r="V57" s="25" t="e">
        <f t="shared" si="99"/>
        <v>#DIV/0!</v>
      </c>
      <c r="W57" s="25" t="e">
        <f t="shared" si="100"/>
        <v>#DIV/0!</v>
      </c>
      <c r="X57" s="25" t="e">
        <f t="shared" si="101"/>
        <v>#DIV/0!</v>
      </c>
      <c r="Y57" s="25" t="e">
        <f t="shared" si="102"/>
        <v>#DIV/0!</v>
      </c>
      <c r="Z57" s="25" t="e">
        <f t="shared" si="103"/>
        <v>#DIV/0!</v>
      </c>
      <c r="AA57" s="25" t="e">
        <f t="shared" si="104"/>
        <v>#DIV/0!</v>
      </c>
      <c r="AB57" s="25" t="e">
        <f t="shared" si="105"/>
        <v>#DIV/0!</v>
      </c>
      <c r="AC57" s="25" t="e">
        <f t="shared" si="106"/>
        <v>#DIV/0!</v>
      </c>
      <c r="AD57" s="63" t="e">
        <f t="shared" si="107"/>
        <v>#DIV/0!</v>
      </c>
      <c r="AE57" s="24">
        <f t="shared" si="21"/>
        <v>0</v>
      </c>
    </row>
    <row r="58" spans="1:31" x14ac:dyDescent="0.2">
      <c r="A58" s="75">
        <f t="shared" si="60"/>
        <v>46269</v>
      </c>
      <c r="B58" s="15" t="str">
        <f>$B$13</f>
        <v>Partner</v>
      </c>
      <c r="C58" s="15" t="str">
        <f>$C$13</f>
        <v>Rahul</v>
      </c>
      <c r="D58" s="18">
        <f t="shared" si="1"/>
        <v>0</v>
      </c>
      <c r="E58" s="4">
        <f t="shared" si="2"/>
        <v>0</v>
      </c>
      <c r="F58" s="4">
        <v>0</v>
      </c>
      <c r="G58" s="5" t="e">
        <f t="shared" si="3"/>
        <v>#DIV/0!</v>
      </c>
      <c r="H58" s="4" t="e">
        <f t="shared" si="4"/>
        <v>#DIV/0!</v>
      </c>
      <c r="I58" s="4" t="e">
        <f t="shared" si="5"/>
        <v>#DIV/0!</v>
      </c>
      <c r="J58" s="4">
        <f t="shared" si="6"/>
        <v>0</v>
      </c>
      <c r="K58" s="27">
        <f t="shared" si="7"/>
        <v>0</v>
      </c>
      <c r="L58" s="30">
        <f t="shared" si="8"/>
        <v>0</v>
      </c>
      <c r="M58" s="18">
        <v>0</v>
      </c>
      <c r="N58" s="4">
        <v>0</v>
      </c>
      <c r="O58" s="4">
        <v>0</v>
      </c>
      <c r="P58" s="5" t="e">
        <f t="shared" si="9"/>
        <v>#DIV/0!</v>
      </c>
      <c r="Q58" s="29" t="e">
        <f t="shared" si="10"/>
        <v>#DIV/0!</v>
      </c>
      <c r="R58" s="29" t="e">
        <f t="shared" si="11"/>
        <v>#DIV/0!</v>
      </c>
      <c r="S58" s="1">
        <v>0</v>
      </c>
      <c r="T58" s="1">
        <v>0</v>
      </c>
      <c r="U58" s="24">
        <v>0</v>
      </c>
      <c r="V58" s="25" t="e">
        <f t="shared" si="99"/>
        <v>#DIV/0!</v>
      </c>
      <c r="W58" s="25" t="e">
        <f t="shared" si="100"/>
        <v>#DIV/0!</v>
      </c>
      <c r="X58" s="25" t="e">
        <f t="shared" si="101"/>
        <v>#DIV/0!</v>
      </c>
      <c r="Y58" s="25" t="e">
        <f t="shared" si="102"/>
        <v>#DIV/0!</v>
      </c>
      <c r="Z58" s="25" t="e">
        <f t="shared" si="103"/>
        <v>#DIV/0!</v>
      </c>
      <c r="AA58" s="25" t="e">
        <f t="shared" si="104"/>
        <v>#DIV/0!</v>
      </c>
      <c r="AB58" s="25" t="e">
        <f t="shared" si="105"/>
        <v>#DIV/0!</v>
      </c>
      <c r="AC58" s="25" t="e">
        <f t="shared" si="106"/>
        <v>#DIV/0!</v>
      </c>
      <c r="AD58" s="63" t="e">
        <f t="shared" si="107"/>
        <v>#DIV/0!</v>
      </c>
      <c r="AE58" s="24">
        <f t="shared" si="21"/>
        <v>0</v>
      </c>
    </row>
    <row r="59" spans="1:31" x14ac:dyDescent="0.2">
      <c r="A59" s="75">
        <f t="shared" si="60"/>
        <v>46269</v>
      </c>
      <c r="B59" s="15" t="str">
        <f>$B$14</f>
        <v>Partner</v>
      </c>
      <c r="C59" s="15" t="str">
        <f>$C$14</f>
        <v>Prince</v>
      </c>
      <c r="D59" s="18">
        <f t="shared" si="1"/>
        <v>8.452904146362247</v>
      </c>
      <c r="E59" s="4">
        <f t="shared" si="2"/>
        <v>21.10659365291059</v>
      </c>
      <c r="F59" s="4">
        <v>20853.314529075662</v>
      </c>
      <c r="G59" s="5">
        <f t="shared" si="3"/>
        <v>2.4969635627530362</v>
      </c>
      <c r="H59" s="4">
        <f t="shared" si="4"/>
        <v>2467</v>
      </c>
      <c r="I59" s="4">
        <f t="shared" si="5"/>
        <v>988</v>
      </c>
      <c r="J59" s="4">
        <f t="shared" si="6"/>
        <v>0.67623233170897978</v>
      </c>
      <c r="K59" s="27">
        <f t="shared" si="7"/>
        <v>0.33811616585448989</v>
      </c>
      <c r="L59" s="30">
        <f t="shared" si="8"/>
        <v>2.1132260365905617</v>
      </c>
      <c r="M59" s="18">
        <v>1</v>
      </c>
      <c r="N59" s="4">
        <v>9</v>
      </c>
      <c r="O59" s="4">
        <v>6413</v>
      </c>
      <c r="P59" s="5">
        <f t="shared" si="9"/>
        <v>9</v>
      </c>
      <c r="Q59" s="29">
        <f t="shared" si="10"/>
        <v>6413</v>
      </c>
      <c r="R59" s="29">
        <f t="shared" si="11"/>
        <v>712.55555555555554</v>
      </c>
      <c r="S59" s="1">
        <v>0</v>
      </c>
      <c r="T59" s="1">
        <v>0</v>
      </c>
      <c r="U59" s="24">
        <v>0</v>
      </c>
      <c r="V59" s="25">
        <f t="shared" si="99"/>
        <v>0.1183025363454944</v>
      </c>
      <c r="W59" s="25">
        <f t="shared" si="100"/>
        <v>0.42640703412409248</v>
      </c>
      <c r="X59" s="25">
        <f t="shared" si="101"/>
        <v>0.30752904968936184</v>
      </c>
      <c r="Y59" s="25">
        <f t="shared" si="102"/>
        <v>3.60437778678557</v>
      </c>
      <c r="Z59" s="25">
        <f t="shared" si="103"/>
        <v>2.599513579246048</v>
      </c>
      <c r="AA59" s="25">
        <f t="shared" si="104"/>
        <v>0.72121007647323432</v>
      </c>
      <c r="AB59" s="25">
        <f t="shared" si="105"/>
        <v>0</v>
      </c>
      <c r="AC59" s="25">
        <f t="shared" si="106"/>
        <v>0</v>
      </c>
      <c r="AD59" s="63">
        <f t="shared" si="107"/>
        <v>0</v>
      </c>
      <c r="AE59" s="24">
        <f t="shared" si="21"/>
        <v>1</v>
      </c>
    </row>
    <row r="60" spans="1:31" x14ac:dyDescent="0.2">
      <c r="A60" s="75">
        <f t="shared" si="60"/>
        <v>46269</v>
      </c>
      <c r="B60" s="15" t="str">
        <f>$B$15</f>
        <v>Partner</v>
      </c>
      <c r="C60" s="15" t="str">
        <f>$C$15</f>
        <v>Kunal</v>
      </c>
      <c r="D60" s="18">
        <f t="shared" si="1"/>
        <v>10.868019616751463</v>
      </c>
      <c r="E60" s="4">
        <f t="shared" si="2"/>
        <v>27.137048982313619</v>
      </c>
      <c r="F60" s="4">
        <v>26811.404394525856</v>
      </c>
      <c r="G60" s="5">
        <f t="shared" si="3"/>
        <v>2.4969635627530362</v>
      </c>
      <c r="H60" s="4">
        <f t="shared" si="4"/>
        <v>2467</v>
      </c>
      <c r="I60" s="4">
        <f t="shared" si="5"/>
        <v>988</v>
      </c>
      <c r="J60" s="4">
        <f t="shared" si="6"/>
        <v>0.86944156934011707</v>
      </c>
      <c r="K60" s="27">
        <f t="shared" si="7"/>
        <v>0.43472078467005854</v>
      </c>
      <c r="L60" s="30">
        <f t="shared" si="8"/>
        <v>2.7170049041878657</v>
      </c>
      <c r="M60" s="18">
        <v>5</v>
      </c>
      <c r="N60" s="4">
        <v>10</v>
      </c>
      <c r="O60" s="4">
        <v>8626</v>
      </c>
      <c r="P60" s="5">
        <f t="shared" si="9"/>
        <v>2</v>
      </c>
      <c r="Q60" s="29">
        <f t="shared" si="10"/>
        <v>1725.2</v>
      </c>
      <c r="R60" s="29">
        <f t="shared" si="11"/>
        <v>862.6</v>
      </c>
      <c r="S60" s="1">
        <v>0</v>
      </c>
      <c r="T60" s="1">
        <v>0</v>
      </c>
      <c r="U60" s="24">
        <v>0</v>
      </c>
      <c r="V60" s="25">
        <f t="shared" si="99"/>
        <v>0.460065419121367</v>
      </c>
      <c r="W60" s="25">
        <f t="shared" si="100"/>
        <v>0.36849990603316629</v>
      </c>
      <c r="X60" s="25">
        <f t="shared" si="101"/>
        <v>0.3217287641135721</v>
      </c>
      <c r="Y60" s="25">
        <f t="shared" si="102"/>
        <v>0.80097284150790438</v>
      </c>
      <c r="Z60" s="25">
        <f t="shared" si="103"/>
        <v>0.6993109039319011</v>
      </c>
      <c r="AA60" s="25">
        <f t="shared" si="104"/>
        <v>0.87307692307692308</v>
      </c>
      <c r="AB60" s="25">
        <f t="shared" si="105"/>
        <v>0</v>
      </c>
      <c r="AC60" s="25">
        <f t="shared" si="106"/>
        <v>0</v>
      </c>
      <c r="AD60" s="63">
        <f t="shared" si="107"/>
        <v>0</v>
      </c>
      <c r="AE60" s="24">
        <f t="shared" si="21"/>
        <v>1</v>
      </c>
    </row>
    <row r="61" spans="1:31" x14ac:dyDescent="0.2">
      <c r="A61" s="75">
        <f t="shared" si="60"/>
        <v>46269</v>
      </c>
      <c r="B61" s="15" t="str">
        <f>$B$16</f>
        <v>NA</v>
      </c>
      <c r="C61" s="15" t="str">
        <f>$C$16</f>
        <v>NA</v>
      </c>
      <c r="D61" s="18">
        <f t="shared" si="1"/>
        <v>0</v>
      </c>
      <c r="E61" s="4">
        <f t="shared" si="2"/>
        <v>0</v>
      </c>
      <c r="F61" s="4">
        <v>0</v>
      </c>
      <c r="G61" s="5" t="e">
        <f t="shared" si="3"/>
        <v>#DIV/0!</v>
      </c>
      <c r="H61" s="4" t="e">
        <f t="shared" si="4"/>
        <v>#DIV/0!</v>
      </c>
      <c r="I61" s="4" t="e">
        <f t="shared" si="5"/>
        <v>#DIV/0!</v>
      </c>
      <c r="J61" s="4">
        <f t="shared" si="6"/>
        <v>0</v>
      </c>
      <c r="K61" s="27">
        <f t="shared" si="7"/>
        <v>0</v>
      </c>
      <c r="L61" s="30">
        <f t="shared" si="8"/>
        <v>0</v>
      </c>
      <c r="M61" s="18">
        <v>4</v>
      </c>
      <c r="N61" s="4">
        <v>-6</v>
      </c>
      <c r="O61" s="4">
        <v>-14498</v>
      </c>
      <c r="P61" s="5">
        <f t="shared" si="9"/>
        <v>-1.5</v>
      </c>
      <c r="Q61" s="29">
        <f t="shared" si="10"/>
        <v>-3624.5</v>
      </c>
      <c r="R61" s="29">
        <f t="shared" si="11"/>
        <v>2416.3333333333335</v>
      </c>
      <c r="S61" s="1">
        <v>0</v>
      </c>
      <c r="T61" s="1">
        <v>0</v>
      </c>
      <c r="U61" s="24">
        <v>0</v>
      </c>
      <c r="V61" s="25" t="e">
        <f t="shared" si="99"/>
        <v>#DIV/0!</v>
      </c>
      <c r="W61" s="25" t="e">
        <f t="shared" si="100"/>
        <v>#DIV/0!</v>
      </c>
      <c r="X61" s="25" t="e">
        <f t="shared" si="101"/>
        <v>#DIV/0!</v>
      </c>
      <c r="Y61" s="25" t="e">
        <f t="shared" si="102"/>
        <v>#DIV/0!</v>
      </c>
      <c r="Z61" s="25" t="e">
        <f t="shared" si="103"/>
        <v>#DIV/0!</v>
      </c>
      <c r="AA61" s="25" t="e">
        <f t="shared" si="104"/>
        <v>#DIV/0!</v>
      </c>
      <c r="AB61" s="25" t="e">
        <f t="shared" si="105"/>
        <v>#DIV/0!</v>
      </c>
      <c r="AC61" s="25" t="e">
        <f t="shared" si="106"/>
        <v>#DIV/0!</v>
      </c>
      <c r="AD61" s="63" t="e">
        <f t="shared" si="107"/>
        <v>#DIV/0!</v>
      </c>
      <c r="AE61" s="24">
        <f t="shared" si="21"/>
        <v>0</v>
      </c>
    </row>
    <row r="62" spans="1:31" x14ac:dyDescent="0.2">
      <c r="A62" s="75">
        <f t="shared" si="60"/>
        <v>46269</v>
      </c>
      <c r="B62" s="15" t="str">
        <f>$B$17</f>
        <v>NA</v>
      </c>
      <c r="C62" s="15" t="str">
        <f>$C$17</f>
        <v>NA</v>
      </c>
      <c r="D62" s="18">
        <f t="shared" si="1"/>
        <v>0</v>
      </c>
      <c r="E62" s="4">
        <f t="shared" si="2"/>
        <v>0</v>
      </c>
      <c r="F62" s="4">
        <v>0</v>
      </c>
      <c r="G62" s="5" t="e">
        <f t="shared" si="3"/>
        <v>#DIV/0!</v>
      </c>
      <c r="H62" s="4" t="e">
        <f t="shared" si="4"/>
        <v>#DIV/0!</v>
      </c>
      <c r="I62" s="4" t="e">
        <f t="shared" si="5"/>
        <v>#DIV/0!</v>
      </c>
      <c r="J62" s="4">
        <f t="shared" si="6"/>
        <v>0</v>
      </c>
      <c r="K62" s="27">
        <f t="shared" si="7"/>
        <v>0</v>
      </c>
      <c r="L62" s="30">
        <f t="shared" si="8"/>
        <v>0</v>
      </c>
      <c r="M62" s="18">
        <v>0</v>
      </c>
      <c r="N62" s="4">
        <v>0</v>
      </c>
      <c r="O62" s="4">
        <v>0</v>
      </c>
      <c r="P62" s="5" t="e">
        <f t="shared" si="9"/>
        <v>#DIV/0!</v>
      </c>
      <c r="Q62" s="29" t="e">
        <f t="shared" si="10"/>
        <v>#DIV/0!</v>
      </c>
      <c r="R62" s="29" t="e">
        <f t="shared" si="11"/>
        <v>#DIV/0!</v>
      </c>
      <c r="S62" s="1">
        <v>0</v>
      </c>
      <c r="T62" s="1">
        <v>0</v>
      </c>
      <c r="U62" s="24">
        <v>0</v>
      </c>
      <c r="V62" s="25" t="e">
        <f t="shared" si="99"/>
        <v>#DIV/0!</v>
      </c>
      <c r="W62" s="25" t="e">
        <f t="shared" si="100"/>
        <v>#DIV/0!</v>
      </c>
      <c r="X62" s="25" t="e">
        <f t="shared" si="101"/>
        <v>#DIV/0!</v>
      </c>
      <c r="Y62" s="25" t="e">
        <f t="shared" si="102"/>
        <v>#DIV/0!</v>
      </c>
      <c r="Z62" s="25" t="e">
        <f t="shared" si="103"/>
        <v>#DIV/0!</v>
      </c>
      <c r="AA62" s="25" t="e">
        <f t="shared" si="104"/>
        <v>#DIV/0!</v>
      </c>
      <c r="AB62" s="25" t="e">
        <f t="shared" si="105"/>
        <v>#DIV/0!</v>
      </c>
      <c r="AC62" s="25" t="e">
        <f t="shared" si="106"/>
        <v>#DIV/0!</v>
      </c>
      <c r="AD62" s="63" t="e">
        <f t="shared" si="107"/>
        <v>#DIV/0!</v>
      </c>
      <c r="AE62" s="24">
        <f t="shared" si="21"/>
        <v>0</v>
      </c>
    </row>
    <row r="63" spans="1:31" x14ac:dyDescent="0.2">
      <c r="A63" s="75">
        <f t="shared" si="60"/>
        <v>46269</v>
      </c>
      <c r="B63" s="15" t="str">
        <f>$B$18</f>
        <v>NA</v>
      </c>
      <c r="C63" s="15" t="str">
        <f>$C$18</f>
        <v>NA</v>
      </c>
      <c r="D63" s="18">
        <f t="shared" si="1"/>
        <v>0</v>
      </c>
      <c r="E63" s="4">
        <f t="shared" si="2"/>
        <v>0</v>
      </c>
      <c r="F63" s="4">
        <v>0</v>
      </c>
      <c r="G63" s="5" t="e">
        <f t="shared" si="3"/>
        <v>#DIV/0!</v>
      </c>
      <c r="H63" s="4" t="e">
        <f t="shared" si="4"/>
        <v>#DIV/0!</v>
      </c>
      <c r="I63" s="4" t="e">
        <f t="shared" si="5"/>
        <v>#DIV/0!</v>
      </c>
      <c r="J63" s="4">
        <f t="shared" si="6"/>
        <v>0</v>
      </c>
      <c r="K63" s="27">
        <f t="shared" si="7"/>
        <v>0</v>
      </c>
      <c r="L63" s="30">
        <f t="shared" si="8"/>
        <v>0</v>
      </c>
      <c r="M63" s="18">
        <v>0</v>
      </c>
      <c r="N63" s="4">
        <v>0</v>
      </c>
      <c r="O63" s="4">
        <v>0</v>
      </c>
      <c r="P63" s="5" t="e">
        <f t="shared" si="9"/>
        <v>#DIV/0!</v>
      </c>
      <c r="Q63" s="29" t="e">
        <f t="shared" si="10"/>
        <v>#DIV/0!</v>
      </c>
      <c r="R63" s="29" t="e">
        <f t="shared" si="11"/>
        <v>#DIV/0!</v>
      </c>
      <c r="S63" s="1">
        <v>0</v>
      </c>
      <c r="T63" s="1">
        <v>0</v>
      </c>
      <c r="U63" s="24">
        <v>0</v>
      </c>
      <c r="V63" s="25" t="e">
        <f t="shared" si="99"/>
        <v>#DIV/0!</v>
      </c>
      <c r="W63" s="25" t="e">
        <f t="shared" si="100"/>
        <v>#DIV/0!</v>
      </c>
      <c r="X63" s="25" t="e">
        <f t="shared" si="101"/>
        <v>#DIV/0!</v>
      </c>
      <c r="Y63" s="25" t="e">
        <f t="shared" si="102"/>
        <v>#DIV/0!</v>
      </c>
      <c r="Z63" s="25" t="e">
        <f t="shared" si="103"/>
        <v>#DIV/0!</v>
      </c>
      <c r="AA63" s="25" t="e">
        <f t="shared" si="104"/>
        <v>#DIV/0!</v>
      </c>
      <c r="AB63" s="25" t="e">
        <f t="shared" si="105"/>
        <v>#DIV/0!</v>
      </c>
      <c r="AC63" s="25" t="e">
        <f t="shared" si="106"/>
        <v>#DIV/0!</v>
      </c>
      <c r="AD63" s="63" t="e">
        <f t="shared" si="107"/>
        <v>#DIV/0!</v>
      </c>
      <c r="AE63" s="24">
        <f t="shared" si="21"/>
        <v>0</v>
      </c>
    </row>
    <row r="64" spans="1:31" x14ac:dyDescent="0.2">
      <c r="A64" s="75">
        <f t="shared" si="60"/>
        <v>46270</v>
      </c>
      <c r="B64" s="15" t="str">
        <f>$B$4</f>
        <v>DSM</v>
      </c>
      <c r="C64" s="15" t="str">
        <f>$C$4</f>
        <v xml:space="preserve">komal  </v>
      </c>
      <c r="D64" s="18">
        <f t="shared" si="1"/>
        <v>0</v>
      </c>
      <c r="E64" s="4">
        <f t="shared" si="2"/>
        <v>0</v>
      </c>
      <c r="F64" s="4">
        <v>0</v>
      </c>
      <c r="G64" s="5" t="e">
        <f t="shared" si="3"/>
        <v>#DIV/0!</v>
      </c>
      <c r="H64" s="4" t="e">
        <f t="shared" si="4"/>
        <v>#DIV/0!</v>
      </c>
      <c r="I64" s="4" t="e">
        <f t="shared" si="5"/>
        <v>#DIV/0!</v>
      </c>
      <c r="J64" s="4">
        <f t="shared" si="6"/>
        <v>0</v>
      </c>
      <c r="K64" s="27">
        <f t="shared" si="7"/>
        <v>0</v>
      </c>
      <c r="L64" s="30">
        <f t="shared" si="8"/>
        <v>0</v>
      </c>
      <c r="M64" s="18">
        <v>0</v>
      </c>
      <c r="N64" s="4">
        <v>0</v>
      </c>
      <c r="O64" s="4">
        <v>0</v>
      </c>
      <c r="P64" s="5" t="e">
        <f t="shared" si="9"/>
        <v>#DIV/0!</v>
      </c>
      <c r="Q64" s="29" t="e">
        <f t="shared" si="10"/>
        <v>#DIV/0!</v>
      </c>
      <c r="R64" s="29" t="e">
        <f t="shared" si="11"/>
        <v>#DIV/0!</v>
      </c>
      <c r="S64" s="1">
        <v>0</v>
      </c>
      <c r="T64" s="1">
        <v>0</v>
      </c>
      <c r="U64" s="24">
        <v>0</v>
      </c>
      <c r="V64" s="25" t="e">
        <f t="shared" si="99"/>
        <v>#DIV/0!</v>
      </c>
      <c r="W64" s="25" t="e">
        <f t="shared" si="100"/>
        <v>#DIV/0!</v>
      </c>
      <c r="X64" s="25" t="e">
        <f t="shared" si="101"/>
        <v>#DIV/0!</v>
      </c>
      <c r="Y64" s="25" t="e">
        <f t="shared" si="102"/>
        <v>#DIV/0!</v>
      </c>
      <c r="Z64" s="25" t="e">
        <f t="shared" si="103"/>
        <v>#DIV/0!</v>
      </c>
      <c r="AA64" s="25" t="e">
        <f t="shared" si="104"/>
        <v>#DIV/0!</v>
      </c>
      <c r="AB64" s="25" t="e">
        <f t="shared" si="105"/>
        <v>#DIV/0!</v>
      </c>
      <c r="AC64" s="25" t="e">
        <f t="shared" si="106"/>
        <v>#DIV/0!</v>
      </c>
      <c r="AD64" s="63" t="e">
        <f t="shared" si="107"/>
        <v>#DIV/0!</v>
      </c>
      <c r="AE64" s="24">
        <f t="shared" si="21"/>
        <v>0</v>
      </c>
    </row>
    <row r="65" spans="1:31" x14ac:dyDescent="0.2">
      <c r="A65" s="75">
        <f t="shared" si="60"/>
        <v>46270</v>
      </c>
      <c r="B65" s="15" t="str">
        <f>$B$5</f>
        <v>SS</v>
      </c>
      <c r="C65" s="15" t="str">
        <f>$C$5</f>
        <v>Prem</v>
      </c>
      <c r="D65" s="18">
        <f t="shared" si="1"/>
        <v>3.000110106550157</v>
      </c>
      <c r="E65" s="4">
        <f t="shared" si="2"/>
        <v>7.4911656203028709</v>
      </c>
      <c r="F65" s="4">
        <v>7401.2716328592369</v>
      </c>
      <c r="G65" s="5">
        <f t="shared" si="3"/>
        <v>2.4969635627530362</v>
      </c>
      <c r="H65" s="4">
        <f t="shared" si="4"/>
        <v>2467</v>
      </c>
      <c r="I65" s="4">
        <f t="shared" si="5"/>
        <v>988</v>
      </c>
      <c r="J65" s="4">
        <f t="shared" si="6"/>
        <v>0.24000880852401257</v>
      </c>
      <c r="K65" s="27">
        <f t="shared" si="7"/>
        <v>0.12000440426200629</v>
      </c>
      <c r="L65" s="30">
        <f t="shared" si="8"/>
        <v>0.75002752663753924</v>
      </c>
      <c r="M65" s="18">
        <v>5</v>
      </c>
      <c r="N65" s="4">
        <v>9</v>
      </c>
      <c r="O65" s="4">
        <v>3190</v>
      </c>
      <c r="P65" s="5">
        <f t="shared" si="9"/>
        <v>1.8</v>
      </c>
      <c r="Q65" s="29">
        <f t="shared" si="10"/>
        <v>638</v>
      </c>
      <c r="R65" s="29">
        <f t="shared" si="11"/>
        <v>354.44444444444446</v>
      </c>
      <c r="S65" s="1">
        <v>0</v>
      </c>
      <c r="T65" s="1">
        <v>0</v>
      </c>
      <c r="U65" s="24">
        <v>0</v>
      </c>
      <c r="V65" s="25">
        <f t="shared" si="99"/>
        <v>1.6666054986060252</v>
      </c>
      <c r="W65" s="25">
        <f t="shared" si="100"/>
        <v>1.2014151677020493</v>
      </c>
      <c r="X65" s="25">
        <f t="shared" si="101"/>
        <v>0.43100701585352419</v>
      </c>
      <c r="Y65" s="25">
        <f t="shared" si="102"/>
        <v>0.72087555735711395</v>
      </c>
      <c r="Z65" s="25">
        <f t="shared" si="103"/>
        <v>0.25861370085123631</v>
      </c>
      <c r="AA65" s="25">
        <f t="shared" si="104"/>
        <v>0.35874943769680612</v>
      </c>
      <c r="AB65" s="25">
        <f t="shared" si="105"/>
        <v>0</v>
      </c>
      <c r="AC65" s="25">
        <f t="shared" si="106"/>
        <v>0</v>
      </c>
      <c r="AD65" s="63">
        <f t="shared" si="107"/>
        <v>0</v>
      </c>
      <c r="AE65" s="24">
        <f t="shared" si="21"/>
        <v>1</v>
      </c>
    </row>
    <row r="66" spans="1:31" x14ac:dyDescent="0.2">
      <c r="A66" s="75">
        <f t="shared" si="60"/>
        <v>46270</v>
      </c>
      <c r="B66" s="15" t="str">
        <f>$B$6</f>
        <v>SS</v>
      </c>
      <c r="C66" s="15" t="str">
        <f>$C$6</f>
        <v>Anuj</v>
      </c>
      <c r="D66" s="18">
        <f t="shared" si="1"/>
        <v>3.000110106550157</v>
      </c>
      <c r="E66" s="4">
        <f t="shared" si="2"/>
        <v>7.4911656203028709</v>
      </c>
      <c r="F66" s="4">
        <v>7401.2716328592369</v>
      </c>
      <c r="G66" s="5">
        <f t="shared" si="3"/>
        <v>2.4969635627530362</v>
      </c>
      <c r="H66" s="4">
        <f t="shared" si="4"/>
        <v>2467</v>
      </c>
      <c r="I66" s="4">
        <f t="shared" si="5"/>
        <v>988</v>
      </c>
      <c r="J66" s="4">
        <f t="shared" si="6"/>
        <v>0.24000880852401257</v>
      </c>
      <c r="K66" s="27">
        <f t="shared" si="7"/>
        <v>0.12000440426200629</v>
      </c>
      <c r="L66" s="30">
        <f t="shared" si="8"/>
        <v>0.75002752663753924</v>
      </c>
      <c r="M66" s="18">
        <v>0</v>
      </c>
      <c r="N66" s="4">
        <v>1</v>
      </c>
      <c r="O66" s="4">
        <v>449.5</v>
      </c>
      <c r="P66" s="5" t="e">
        <f t="shared" si="9"/>
        <v>#DIV/0!</v>
      </c>
      <c r="Q66" s="29" t="e">
        <f t="shared" si="10"/>
        <v>#DIV/0!</v>
      </c>
      <c r="R66" s="29">
        <f t="shared" si="11"/>
        <v>449.5</v>
      </c>
      <c r="S66" s="1">
        <v>0</v>
      </c>
      <c r="T66" s="1">
        <v>0</v>
      </c>
      <c r="U66" s="24">
        <v>0</v>
      </c>
      <c r="V66" s="25">
        <f t="shared" si="99"/>
        <v>0</v>
      </c>
      <c r="W66" s="25">
        <f t="shared" si="100"/>
        <v>0.13349057418911658</v>
      </c>
      <c r="X66" s="25">
        <f t="shared" si="101"/>
        <v>6.0732806779360229E-2</v>
      </c>
      <c r="Y66" s="25" t="e">
        <f t="shared" si="102"/>
        <v>#DIV/0!</v>
      </c>
      <c r="Z66" s="25" t="e">
        <f t="shared" si="103"/>
        <v>#DIV/0!</v>
      </c>
      <c r="AA66" s="25">
        <f t="shared" si="104"/>
        <v>0.45495951417004049</v>
      </c>
      <c r="AB66" s="25">
        <f t="shared" si="105"/>
        <v>0</v>
      </c>
      <c r="AC66" s="25">
        <f t="shared" si="106"/>
        <v>0</v>
      </c>
      <c r="AD66" s="63">
        <f t="shared" si="107"/>
        <v>0</v>
      </c>
      <c r="AE66" s="24">
        <f t="shared" si="21"/>
        <v>1</v>
      </c>
    </row>
    <row r="67" spans="1:31" x14ac:dyDescent="0.2">
      <c r="A67" s="75">
        <f t="shared" si="60"/>
        <v>46270</v>
      </c>
      <c r="B67" s="15" t="str">
        <f>$B$7</f>
        <v>FC</v>
      </c>
      <c r="C67" s="15" t="str">
        <f>$C$7</f>
        <v>Muskan</v>
      </c>
      <c r="D67" s="18">
        <f t="shared" si="1"/>
        <v>0</v>
      </c>
      <c r="E67" s="4">
        <f t="shared" si="2"/>
        <v>0</v>
      </c>
      <c r="F67" s="4">
        <v>0</v>
      </c>
      <c r="G67" s="5" t="e">
        <f t="shared" si="3"/>
        <v>#DIV/0!</v>
      </c>
      <c r="H67" s="4" t="e">
        <f t="shared" si="4"/>
        <v>#DIV/0!</v>
      </c>
      <c r="I67" s="4" t="e">
        <f t="shared" si="5"/>
        <v>#DIV/0!</v>
      </c>
      <c r="J67" s="4">
        <f t="shared" si="6"/>
        <v>0</v>
      </c>
      <c r="K67" s="27">
        <f t="shared" si="7"/>
        <v>0</v>
      </c>
      <c r="L67" s="30">
        <f t="shared" si="8"/>
        <v>0</v>
      </c>
      <c r="M67" s="18">
        <v>0</v>
      </c>
      <c r="N67" s="4">
        <v>0</v>
      </c>
      <c r="O67" s="4">
        <v>0</v>
      </c>
      <c r="P67" s="5" t="e">
        <f t="shared" si="9"/>
        <v>#DIV/0!</v>
      </c>
      <c r="Q67" s="29" t="e">
        <f t="shared" si="10"/>
        <v>#DIV/0!</v>
      </c>
      <c r="R67" s="29" t="e">
        <f t="shared" si="11"/>
        <v>#DIV/0!</v>
      </c>
      <c r="S67" s="1">
        <v>0</v>
      </c>
      <c r="T67" s="1">
        <v>0</v>
      </c>
      <c r="U67" s="24">
        <v>0</v>
      </c>
      <c r="V67" s="25" t="e">
        <f t="shared" si="99"/>
        <v>#DIV/0!</v>
      </c>
      <c r="W67" s="25" t="e">
        <f t="shared" si="100"/>
        <v>#DIV/0!</v>
      </c>
      <c r="X67" s="25" t="e">
        <f t="shared" si="101"/>
        <v>#DIV/0!</v>
      </c>
      <c r="Y67" s="25" t="e">
        <f t="shared" si="102"/>
        <v>#DIV/0!</v>
      </c>
      <c r="Z67" s="25" t="e">
        <f t="shared" si="103"/>
        <v>#DIV/0!</v>
      </c>
      <c r="AA67" s="25" t="e">
        <f t="shared" si="104"/>
        <v>#DIV/0!</v>
      </c>
      <c r="AB67" s="25" t="e">
        <f t="shared" si="105"/>
        <v>#DIV/0!</v>
      </c>
      <c r="AC67" s="25" t="e">
        <f t="shared" si="106"/>
        <v>#DIV/0!</v>
      </c>
      <c r="AD67" s="63" t="e">
        <f t="shared" si="107"/>
        <v>#DIV/0!</v>
      </c>
      <c r="AE67" s="24">
        <f t="shared" si="21"/>
        <v>0</v>
      </c>
    </row>
    <row r="68" spans="1:31" x14ac:dyDescent="0.2">
      <c r="A68" s="75">
        <f t="shared" si="60"/>
        <v>46270</v>
      </c>
      <c r="B68" s="15" t="str">
        <f>$B$8</f>
        <v>FC</v>
      </c>
      <c r="C68" s="15" t="str">
        <f>$C$8</f>
        <v xml:space="preserve">Kajal  </v>
      </c>
      <c r="D68" s="18">
        <f t="shared" si="1"/>
        <v>7.5002752663753913</v>
      </c>
      <c r="E68" s="4">
        <f t="shared" si="2"/>
        <v>18.727914050757175</v>
      </c>
      <c r="F68" s="4">
        <v>18503.17908214809</v>
      </c>
      <c r="G68" s="5">
        <f t="shared" si="3"/>
        <v>2.4969635627530362</v>
      </c>
      <c r="H68" s="4">
        <f t="shared" si="4"/>
        <v>2467</v>
      </c>
      <c r="I68" s="4">
        <f t="shared" si="5"/>
        <v>988.00000000000011</v>
      </c>
      <c r="J68" s="4">
        <f t="shared" si="6"/>
        <v>0.60002202131003135</v>
      </c>
      <c r="K68" s="27">
        <f t="shared" si="7"/>
        <v>0.30001101065501568</v>
      </c>
      <c r="L68" s="30">
        <f t="shared" si="8"/>
        <v>1.8750688165938478</v>
      </c>
      <c r="M68" s="18">
        <v>16</v>
      </c>
      <c r="N68" s="4">
        <v>36</v>
      </c>
      <c r="O68" s="4">
        <v>20241</v>
      </c>
      <c r="P68" s="5">
        <f t="shared" si="9"/>
        <v>2.25</v>
      </c>
      <c r="Q68" s="29">
        <f t="shared" si="10"/>
        <v>1265.0625</v>
      </c>
      <c r="R68" s="29">
        <f t="shared" si="11"/>
        <v>562.25</v>
      </c>
      <c r="S68" s="1">
        <v>0</v>
      </c>
      <c r="T68" s="1">
        <v>0</v>
      </c>
      <c r="U68" s="24">
        <v>0</v>
      </c>
      <c r="V68" s="25">
        <f t="shared" si="99"/>
        <v>2.1332550382157125</v>
      </c>
      <c r="W68" s="25">
        <f t="shared" si="100"/>
        <v>1.9222642683232791</v>
      </c>
      <c r="X68" s="25">
        <f t="shared" si="101"/>
        <v>1.0939201263813396</v>
      </c>
      <c r="Y68" s="25">
        <f t="shared" si="102"/>
        <v>0.90109444669639249</v>
      </c>
      <c r="Z68" s="25">
        <f t="shared" si="103"/>
        <v>0.51279387920551278</v>
      </c>
      <c r="AA68" s="25">
        <f t="shared" si="104"/>
        <v>0.56907894736842102</v>
      </c>
      <c r="AB68" s="25">
        <f t="shared" si="105"/>
        <v>0</v>
      </c>
      <c r="AC68" s="25">
        <f t="shared" si="106"/>
        <v>0</v>
      </c>
      <c r="AD68" s="63">
        <f t="shared" si="107"/>
        <v>0</v>
      </c>
      <c r="AE68" s="24">
        <f t="shared" si="21"/>
        <v>1</v>
      </c>
    </row>
    <row r="69" spans="1:31" x14ac:dyDescent="0.2">
      <c r="A69" s="75">
        <f t="shared" si="60"/>
        <v>46270</v>
      </c>
      <c r="B69" s="15" t="str">
        <f>$B$9</f>
        <v>FC</v>
      </c>
      <c r="C69" s="15" t="str">
        <f>$C$9</f>
        <v>Pradeep</v>
      </c>
      <c r="D69" s="18">
        <f t="shared" si="1"/>
        <v>7.5002752663753913</v>
      </c>
      <c r="E69" s="4">
        <f t="shared" si="2"/>
        <v>18.727914050757175</v>
      </c>
      <c r="F69" s="4">
        <v>18503.17908214809</v>
      </c>
      <c r="G69" s="5">
        <f t="shared" si="3"/>
        <v>2.4969635627530362</v>
      </c>
      <c r="H69" s="4">
        <f t="shared" si="4"/>
        <v>2467</v>
      </c>
      <c r="I69" s="4">
        <f t="shared" si="5"/>
        <v>988.00000000000011</v>
      </c>
      <c r="J69" s="4">
        <f t="shared" si="6"/>
        <v>0.60002202131003135</v>
      </c>
      <c r="K69" s="27">
        <f t="shared" si="7"/>
        <v>0.30001101065501568</v>
      </c>
      <c r="L69" s="30">
        <f t="shared" si="8"/>
        <v>1.8750688165938478</v>
      </c>
      <c r="M69" s="18">
        <v>5</v>
      </c>
      <c r="N69" s="4">
        <v>8</v>
      </c>
      <c r="O69" s="4">
        <v>16493</v>
      </c>
      <c r="P69" s="5">
        <f t="shared" si="9"/>
        <v>1.6</v>
      </c>
      <c r="Q69" s="29">
        <f t="shared" si="10"/>
        <v>3298.6</v>
      </c>
      <c r="R69" s="29">
        <f t="shared" si="11"/>
        <v>2061.625</v>
      </c>
      <c r="S69" s="1">
        <v>0</v>
      </c>
      <c r="T69" s="1">
        <v>0</v>
      </c>
      <c r="U69" s="24">
        <v>0</v>
      </c>
      <c r="V69" s="25">
        <f t="shared" si="99"/>
        <v>0.66664219944241021</v>
      </c>
      <c r="W69" s="25">
        <f t="shared" si="100"/>
        <v>0.42716983740517317</v>
      </c>
      <c r="X69" s="25">
        <f t="shared" si="101"/>
        <v>0.89136034012190291</v>
      </c>
      <c r="Y69" s="25">
        <f t="shared" si="102"/>
        <v>0.64077827320632352</v>
      </c>
      <c r="Z69" s="25">
        <f t="shared" si="103"/>
        <v>1.3370895824888529</v>
      </c>
      <c r="AA69" s="25">
        <f t="shared" si="104"/>
        <v>2.0866649797570846</v>
      </c>
      <c r="AB69" s="25">
        <f t="shared" si="105"/>
        <v>0</v>
      </c>
      <c r="AC69" s="25">
        <f t="shared" si="106"/>
        <v>0</v>
      </c>
      <c r="AD69" s="63">
        <f t="shared" si="107"/>
        <v>0</v>
      </c>
      <c r="AE69" s="24">
        <f t="shared" ref="AE69:AE132" si="108">IF(F69&gt;10,1,0)</f>
        <v>1</v>
      </c>
    </row>
    <row r="70" spans="1:31" x14ac:dyDescent="0.2">
      <c r="A70" s="75">
        <f t="shared" si="60"/>
        <v>46270</v>
      </c>
      <c r="B70" s="15" t="str">
        <f>$B$10</f>
        <v>FC</v>
      </c>
      <c r="C70" s="15" t="str">
        <f>$C$10</f>
        <v>Aftab</v>
      </c>
      <c r="D70" s="18">
        <f t="shared" si="1"/>
        <v>7.5002752663753913</v>
      </c>
      <c r="E70" s="4">
        <f t="shared" si="2"/>
        <v>18.727914050757175</v>
      </c>
      <c r="F70" s="4">
        <v>18503.17908214809</v>
      </c>
      <c r="G70" s="5">
        <f t="shared" si="3"/>
        <v>2.4969635627530362</v>
      </c>
      <c r="H70" s="4">
        <f t="shared" si="4"/>
        <v>2467</v>
      </c>
      <c r="I70" s="4">
        <f t="shared" si="5"/>
        <v>988.00000000000011</v>
      </c>
      <c r="J70" s="4">
        <f t="shared" si="6"/>
        <v>0.60002202131003135</v>
      </c>
      <c r="K70" s="27">
        <f t="shared" si="7"/>
        <v>0.30001101065501568</v>
      </c>
      <c r="L70" s="30">
        <f t="shared" si="8"/>
        <v>1.8750688165938478</v>
      </c>
      <c r="M70" s="18">
        <v>9</v>
      </c>
      <c r="N70" s="4">
        <v>15</v>
      </c>
      <c r="O70" s="4">
        <v>16517.5</v>
      </c>
      <c r="P70" s="5">
        <f t="shared" si="9"/>
        <v>1.6666666666666667</v>
      </c>
      <c r="Q70" s="29">
        <f t="shared" si="10"/>
        <v>1835.2777777777778</v>
      </c>
      <c r="R70" s="29">
        <f t="shared" si="11"/>
        <v>1101.1666666666667</v>
      </c>
      <c r="S70" s="1">
        <v>0</v>
      </c>
      <c r="T70" s="1">
        <v>0</v>
      </c>
      <c r="U70" s="24">
        <v>0</v>
      </c>
      <c r="V70" s="25">
        <f t="shared" si="99"/>
        <v>1.1999559589963384</v>
      </c>
      <c r="W70" s="25">
        <f t="shared" si="100"/>
        <v>0.80094344513469962</v>
      </c>
      <c r="X70" s="25">
        <f t="shared" si="101"/>
        <v>0.89268443691041843</v>
      </c>
      <c r="Y70" s="25">
        <f t="shared" si="102"/>
        <v>0.66747736792325374</v>
      </c>
      <c r="Z70" s="25">
        <f t="shared" si="103"/>
        <v>0.74393100031527271</v>
      </c>
      <c r="AA70" s="25">
        <f t="shared" si="104"/>
        <v>1.114541160593792</v>
      </c>
      <c r="AB70" s="25">
        <f t="shared" si="105"/>
        <v>0</v>
      </c>
      <c r="AC70" s="25">
        <f t="shared" si="106"/>
        <v>0</v>
      </c>
      <c r="AD70" s="63">
        <f t="shared" si="107"/>
        <v>0</v>
      </c>
      <c r="AE70" s="24">
        <f t="shared" si="108"/>
        <v>1</v>
      </c>
    </row>
    <row r="71" spans="1:31" x14ac:dyDescent="0.2">
      <c r="A71" s="75">
        <f t="shared" si="60"/>
        <v>46270</v>
      </c>
      <c r="B71" s="15" t="str">
        <f>$B$11</f>
        <v>FC</v>
      </c>
      <c r="C71" s="15" t="str">
        <f>$C$11</f>
        <v>Khushi</v>
      </c>
      <c r="D71" s="18">
        <f t="shared" ref="D71:D134" si="109">F71/$B$1</f>
        <v>15.000550532750783</v>
      </c>
      <c r="E71" s="4">
        <f t="shared" ref="E71:E134" si="110">F71/$C$1</f>
        <v>37.455828101514349</v>
      </c>
      <c r="F71" s="4">
        <v>37006.35816429618</v>
      </c>
      <c r="G71" s="5">
        <f t="shared" si="3"/>
        <v>2.4969635627530362</v>
      </c>
      <c r="H71" s="4">
        <f t="shared" si="4"/>
        <v>2467</v>
      </c>
      <c r="I71" s="4">
        <f t="shared" si="5"/>
        <v>988.00000000000011</v>
      </c>
      <c r="J71" s="4">
        <f t="shared" si="6"/>
        <v>1.2000440426200627</v>
      </c>
      <c r="K71" s="27">
        <f t="shared" si="7"/>
        <v>0.60002202131003135</v>
      </c>
      <c r="L71" s="30">
        <f t="shared" si="8"/>
        <v>3.7501376331876957</v>
      </c>
      <c r="M71" s="18">
        <v>7</v>
      </c>
      <c r="N71" s="4">
        <v>25</v>
      </c>
      <c r="O71" s="4">
        <v>23789</v>
      </c>
      <c r="P71" s="5">
        <f t="shared" si="9"/>
        <v>3.5714285714285716</v>
      </c>
      <c r="Q71" s="29">
        <f t="shared" si="10"/>
        <v>3398.4285714285716</v>
      </c>
      <c r="R71" s="29">
        <f t="shared" si="11"/>
        <v>951.56</v>
      </c>
      <c r="S71" s="1">
        <v>0</v>
      </c>
      <c r="T71" s="1">
        <v>0</v>
      </c>
      <c r="U71" s="24">
        <v>0</v>
      </c>
      <c r="V71" s="25">
        <f t="shared" si="99"/>
        <v>0.46664953960968714</v>
      </c>
      <c r="W71" s="25">
        <f t="shared" si="100"/>
        <v>0.66745287094558303</v>
      </c>
      <c r="X71" s="25">
        <f t="shared" si="101"/>
        <v>0.64283547963256982</v>
      </c>
      <c r="Y71" s="25">
        <f t="shared" si="102"/>
        <v>1.4303086455498293</v>
      </c>
      <c r="Z71" s="25">
        <f t="shared" si="103"/>
        <v>1.3775551566390642</v>
      </c>
      <c r="AA71" s="25">
        <f t="shared" si="104"/>
        <v>0.96311740890688247</v>
      </c>
      <c r="AB71" s="25">
        <f t="shared" si="105"/>
        <v>0</v>
      </c>
      <c r="AC71" s="25">
        <f t="shared" si="106"/>
        <v>0</v>
      </c>
      <c r="AD71" s="63">
        <f t="shared" si="107"/>
        <v>0</v>
      </c>
      <c r="AE71" s="24">
        <f t="shared" si="108"/>
        <v>1</v>
      </c>
    </row>
    <row r="72" spans="1:31" x14ac:dyDescent="0.2">
      <c r="A72" s="75">
        <f t="shared" si="60"/>
        <v>46270</v>
      </c>
      <c r="B72" s="15" t="str">
        <f>$B$12</f>
        <v>FC</v>
      </c>
      <c r="C72" s="15" t="str">
        <f>$C$12</f>
        <v>Kishan</v>
      </c>
      <c r="D72" s="18">
        <f t="shared" si="109"/>
        <v>0</v>
      </c>
      <c r="E72" s="4">
        <f t="shared" si="110"/>
        <v>0</v>
      </c>
      <c r="F72" s="4">
        <v>0</v>
      </c>
      <c r="G72" s="5" t="e">
        <f t="shared" si="3"/>
        <v>#DIV/0!</v>
      </c>
      <c r="H72" s="4" t="e">
        <f t="shared" si="4"/>
        <v>#DIV/0!</v>
      </c>
      <c r="I72" s="4" t="e">
        <f t="shared" si="5"/>
        <v>#DIV/0!</v>
      </c>
      <c r="J72" s="4">
        <f t="shared" si="6"/>
        <v>0</v>
      </c>
      <c r="K72" s="27">
        <f t="shared" si="7"/>
        <v>0</v>
      </c>
      <c r="L72" s="30">
        <f t="shared" si="8"/>
        <v>0</v>
      </c>
      <c r="M72" s="18">
        <v>0</v>
      </c>
      <c r="N72" s="4">
        <v>0</v>
      </c>
      <c r="O72" s="4">
        <v>0</v>
      </c>
      <c r="P72" s="5" t="e">
        <f t="shared" si="9"/>
        <v>#DIV/0!</v>
      </c>
      <c r="Q72" s="29" t="e">
        <f t="shared" si="10"/>
        <v>#DIV/0!</v>
      </c>
      <c r="R72" s="29" t="e">
        <f t="shared" si="11"/>
        <v>#DIV/0!</v>
      </c>
      <c r="S72" s="1">
        <v>0</v>
      </c>
      <c r="T72" s="1">
        <v>0</v>
      </c>
      <c r="U72" s="24">
        <v>0</v>
      </c>
      <c r="V72" s="25" t="e">
        <f t="shared" si="99"/>
        <v>#DIV/0!</v>
      </c>
      <c r="W72" s="25" t="e">
        <f t="shared" si="100"/>
        <v>#DIV/0!</v>
      </c>
      <c r="X72" s="25" t="e">
        <f t="shared" si="101"/>
        <v>#DIV/0!</v>
      </c>
      <c r="Y72" s="25" t="e">
        <f t="shared" si="102"/>
        <v>#DIV/0!</v>
      </c>
      <c r="Z72" s="25" t="e">
        <f t="shared" si="103"/>
        <v>#DIV/0!</v>
      </c>
      <c r="AA72" s="25" t="e">
        <f t="shared" si="104"/>
        <v>#DIV/0!</v>
      </c>
      <c r="AB72" s="25" t="e">
        <f t="shared" si="105"/>
        <v>#DIV/0!</v>
      </c>
      <c r="AC72" s="25" t="e">
        <f t="shared" si="106"/>
        <v>#DIV/0!</v>
      </c>
      <c r="AD72" s="63" t="e">
        <f t="shared" si="107"/>
        <v>#DIV/0!</v>
      </c>
      <c r="AE72" s="24">
        <f t="shared" si="108"/>
        <v>0</v>
      </c>
    </row>
    <row r="73" spans="1:31" x14ac:dyDescent="0.2">
      <c r="A73" s="75">
        <f t="shared" si="60"/>
        <v>46270</v>
      </c>
      <c r="B73" s="15" t="str">
        <f>$B$13</f>
        <v>Partner</v>
      </c>
      <c r="C73" s="15" t="str">
        <f>$C$13</f>
        <v>Rahul</v>
      </c>
      <c r="D73" s="18">
        <f t="shared" si="109"/>
        <v>0</v>
      </c>
      <c r="E73" s="4">
        <f t="shared" si="110"/>
        <v>0</v>
      </c>
      <c r="F73" s="4">
        <v>0</v>
      </c>
      <c r="G73" s="5" t="e">
        <f t="shared" si="3"/>
        <v>#DIV/0!</v>
      </c>
      <c r="H73" s="4" t="e">
        <f t="shared" si="4"/>
        <v>#DIV/0!</v>
      </c>
      <c r="I73" s="4" t="e">
        <f t="shared" si="5"/>
        <v>#DIV/0!</v>
      </c>
      <c r="J73" s="4">
        <f t="shared" si="6"/>
        <v>0</v>
      </c>
      <c r="K73" s="27">
        <f t="shared" si="7"/>
        <v>0</v>
      </c>
      <c r="L73" s="30">
        <f t="shared" si="8"/>
        <v>0</v>
      </c>
      <c r="M73" s="18">
        <v>0</v>
      </c>
      <c r="N73" s="4">
        <v>0</v>
      </c>
      <c r="O73" s="4">
        <v>0</v>
      </c>
      <c r="P73" s="5" t="e">
        <f t="shared" si="9"/>
        <v>#DIV/0!</v>
      </c>
      <c r="Q73" s="29" t="e">
        <f t="shared" si="10"/>
        <v>#DIV/0!</v>
      </c>
      <c r="R73" s="29" t="e">
        <f t="shared" si="11"/>
        <v>#DIV/0!</v>
      </c>
      <c r="S73" s="1">
        <v>0</v>
      </c>
      <c r="T73" s="1">
        <v>0</v>
      </c>
      <c r="U73" s="24">
        <v>0</v>
      </c>
      <c r="V73" s="25" t="e">
        <f t="shared" si="99"/>
        <v>#DIV/0!</v>
      </c>
      <c r="W73" s="25" t="e">
        <f t="shared" si="100"/>
        <v>#DIV/0!</v>
      </c>
      <c r="X73" s="25" t="e">
        <f t="shared" si="101"/>
        <v>#DIV/0!</v>
      </c>
      <c r="Y73" s="25" t="e">
        <f t="shared" si="102"/>
        <v>#DIV/0!</v>
      </c>
      <c r="Z73" s="25" t="e">
        <f t="shared" si="103"/>
        <v>#DIV/0!</v>
      </c>
      <c r="AA73" s="25" t="e">
        <f t="shared" si="104"/>
        <v>#DIV/0!</v>
      </c>
      <c r="AB73" s="25" t="e">
        <f t="shared" si="105"/>
        <v>#DIV/0!</v>
      </c>
      <c r="AC73" s="25" t="e">
        <f t="shared" si="106"/>
        <v>#DIV/0!</v>
      </c>
      <c r="AD73" s="63" t="e">
        <f t="shared" si="107"/>
        <v>#DIV/0!</v>
      </c>
      <c r="AE73" s="24">
        <f t="shared" si="108"/>
        <v>0</v>
      </c>
    </row>
    <row r="74" spans="1:31" x14ac:dyDescent="0.2">
      <c r="A74" s="75">
        <f t="shared" si="60"/>
        <v>46270</v>
      </c>
      <c r="B74" s="15" t="str">
        <f>$B$14</f>
        <v>Partner</v>
      </c>
      <c r="C74" s="15" t="str">
        <f>$C$14</f>
        <v>Prince</v>
      </c>
      <c r="D74" s="18">
        <f t="shared" si="109"/>
        <v>10.500385372925548</v>
      </c>
      <c r="E74" s="4">
        <f t="shared" si="110"/>
        <v>26.219079671060047</v>
      </c>
      <c r="F74" s="4">
        <v>25904.450715007326</v>
      </c>
      <c r="G74" s="5">
        <f t="shared" si="3"/>
        <v>2.4969635627530367</v>
      </c>
      <c r="H74" s="4">
        <f t="shared" si="4"/>
        <v>2467</v>
      </c>
      <c r="I74" s="4">
        <f t="shared" si="5"/>
        <v>988</v>
      </c>
      <c r="J74" s="4">
        <f t="shared" si="6"/>
        <v>0.84003082983404387</v>
      </c>
      <c r="K74" s="27">
        <f t="shared" si="7"/>
        <v>0.42001541491702193</v>
      </c>
      <c r="L74" s="30">
        <f t="shared" si="8"/>
        <v>2.625096343231387</v>
      </c>
      <c r="M74" s="18">
        <v>7</v>
      </c>
      <c r="N74" s="4">
        <v>14</v>
      </c>
      <c r="O74" s="4">
        <v>12757</v>
      </c>
      <c r="P74" s="5">
        <f t="shared" si="9"/>
        <v>2</v>
      </c>
      <c r="Q74" s="29">
        <f t="shared" si="10"/>
        <v>1822.4285714285713</v>
      </c>
      <c r="R74" s="29">
        <f t="shared" si="11"/>
        <v>911.21428571428567</v>
      </c>
      <c r="S74" s="1">
        <v>0</v>
      </c>
      <c r="T74" s="1">
        <v>0</v>
      </c>
      <c r="U74" s="24">
        <v>0</v>
      </c>
      <c r="V74" s="25">
        <f t="shared" si="99"/>
        <v>0.66664219944241021</v>
      </c>
      <c r="W74" s="25">
        <f t="shared" si="100"/>
        <v>0.53396229675646634</v>
      </c>
      <c r="X74" s="25">
        <f t="shared" si="101"/>
        <v>0.49246363647500302</v>
      </c>
      <c r="Y74" s="25">
        <f t="shared" si="102"/>
        <v>0.80097284150790427</v>
      </c>
      <c r="Z74" s="25">
        <f t="shared" si="103"/>
        <v>0.73872256644854939</v>
      </c>
      <c r="AA74" s="25">
        <f t="shared" si="104"/>
        <v>0.9222816657027183</v>
      </c>
      <c r="AB74" s="25">
        <f t="shared" si="105"/>
        <v>0</v>
      </c>
      <c r="AC74" s="25">
        <f t="shared" si="106"/>
        <v>0</v>
      </c>
      <c r="AD74" s="63">
        <f t="shared" si="107"/>
        <v>0</v>
      </c>
      <c r="AE74" s="24">
        <f t="shared" si="108"/>
        <v>1</v>
      </c>
    </row>
    <row r="75" spans="1:31" x14ac:dyDescent="0.2">
      <c r="A75" s="75">
        <f t="shared" si="60"/>
        <v>46270</v>
      </c>
      <c r="B75" s="15" t="str">
        <f>$B$15</f>
        <v>Partner</v>
      </c>
      <c r="C75" s="15" t="str">
        <f>$C$15</f>
        <v>Kunal</v>
      </c>
      <c r="D75" s="18">
        <f t="shared" si="109"/>
        <v>13.500495479475704</v>
      </c>
      <c r="E75" s="4">
        <f t="shared" si="110"/>
        <v>33.710245291362916</v>
      </c>
      <c r="F75" s="4">
        <v>33305.722347866562</v>
      </c>
      <c r="G75" s="5">
        <f t="shared" ref="G75" si="111">E75/D75</f>
        <v>2.4969635627530362</v>
      </c>
      <c r="H75" s="4">
        <f t="shared" ref="H75" si="112">F75/D75</f>
        <v>2467</v>
      </c>
      <c r="I75" s="4">
        <f t="shared" ref="I75" si="113">F75/E75</f>
        <v>988</v>
      </c>
      <c r="J75" s="4">
        <f t="shared" ref="J75" si="114">D75*8%</f>
        <v>1.0800396383580564</v>
      </c>
      <c r="K75" s="27">
        <f t="shared" ref="K75" si="115">D75*4%</f>
        <v>0.54001981917902819</v>
      </c>
      <c r="L75" s="30">
        <f t="shared" ref="L75" si="116">D75*25%</f>
        <v>3.3751238698689261</v>
      </c>
      <c r="M75" s="18">
        <v>8</v>
      </c>
      <c r="N75" s="4">
        <v>69</v>
      </c>
      <c r="O75" s="4">
        <v>66146.649999999994</v>
      </c>
      <c r="P75" s="5">
        <f t="shared" ref="P75" si="117">N75/M75</f>
        <v>8.625</v>
      </c>
      <c r="Q75" s="29">
        <f t="shared" ref="Q75" si="118">O75/M75</f>
        <v>8268.3312499999993</v>
      </c>
      <c r="R75" s="29">
        <f t="shared" ref="R75" si="119">O75/N75</f>
        <v>958.64710144927528</v>
      </c>
      <c r="S75" s="1">
        <v>0</v>
      </c>
      <c r="T75" s="1">
        <v>0</v>
      </c>
      <c r="U75" s="24">
        <v>0</v>
      </c>
      <c r="V75" s="25">
        <f t="shared" si="99"/>
        <v>0.5925708439488091</v>
      </c>
      <c r="W75" s="25">
        <f t="shared" si="100"/>
        <v>2.0468554708997879</v>
      </c>
      <c r="X75" s="25">
        <f t="shared" si="101"/>
        <v>1.9860445994571589</v>
      </c>
      <c r="Y75" s="25">
        <f t="shared" si="102"/>
        <v>3.4541953790028379</v>
      </c>
      <c r="Z75" s="25">
        <f t="shared" si="103"/>
        <v>3.3515732671260636</v>
      </c>
      <c r="AA75" s="25">
        <f t="shared" si="104"/>
        <v>0.97029058851141226</v>
      </c>
      <c r="AB75" s="25">
        <f t="shared" si="105"/>
        <v>0</v>
      </c>
      <c r="AC75" s="25">
        <f t="shared" si="106"/>
        <v>0</v>
      </c>
      <c r="AD75" s="63">
        <f t="shared" si="107"/>
        <v>0</v>
      </c>
      <c r="AE75" s="24">
        <f t="shared" si="108"/>
        <v>1</v>
      </c>
    </row>
    <row r="76" spans="1:31" x14ac:dyDescent="0.2">
      <c r="A76" s="75">
        <f t="shared" si="60"/>
        <v>46270</v>
      </c>
      <c r="B76" s="15" t="str">
        <f>$B$16</f>
        <v>NA</v>
      </c>
      <c r="C76" s="15" t="str">
        <f>$C$16</f>
        <v>NA</v>
      </c>
      <c r="D76" s="18">
        <f t="shared" si="109"/>
        <v>0</v>
      </c>
      <c r="E76" s="4">
        <f t="shared" si="110"/>
        <v>0</v>
      </c>
      <c r="F76" s="4">
        <v>0</v>
      </c>
      <c r="G76" s="5" t="e">
        <f t="shared" ref="G76:G143" si="120">E76/D76</f>
        <v>#DIV/0!</v>
      </c>
      <c r="H76" s="4" t="e">
        <f t="shared" ref="H76:H143" si="121">F76/D76</f>
        <v>#DIV/0!</v>
      </c>
      <c r="I76" s="4" t="e">
        <f t="shared" ref="I76:I143" si="122">F76/E76</f>
        <v>#DIV/0!</v>
      </c>
      <c r="J76" s="4">
        <f t="shared" ref="J76:J143" si="123">D76*8%</f>
        <v>0</v>
      </c>
      <c r="K76" s="27">
        <f t="shared" ref="K76:K143" si="124">D76*4%</f>
        <v>0</v>
      </c>
      <c r="L76" s="30">
        <f t="shared" ref="L76:L143" si="125">D76*25%</f>
        <v>0</v>
      </c>
      <c r="M76" s="18">
        <v>9</v>
      </c>
      <c r="N76" s="4">
        <v>1</v>
      </c>
      <c r="O76" s="4">
        <v>-5807.15</v>
      </c>
      <c r="P76" s="5">
        <f t="shared" ref="P76:P143" si="126">N76/M76</f>
        <v>0.1111111111111111</v>
      </c>
      <c r="Q76" s="29">
        <f t="shared" ref="Q76:Q143" si="127">O76/M76</f>
        <v>-645.23888888888882</v>
      </c>
      <c r="R76" s="29">
        <f t="shared" ref="R76:R143" si="128">O76/N76</f>
        <v>-5807.15</v>
      </c>
      <c r="S76" s="1">
        <v>0</v>
      </c>
      <c r="T76" s="1">
        <v>0</v>
      </c>
      <c r="U76" s="24">
        <v>0</v>
      </c>
      <c r="V76" s="25" t="e">
        <f t="shared" si="99"/>
        <v>#DIV/0!</v>
      </c>
      <c r="W76" s="25" t="e">
        <f t="shared" si="100"/>
        <v>#DIV/0!</v>
      </c>
      <c r="X76" s="25" t="e">
        <f t="shared" si="101"/>
        <v>#DIV/0!</v>
      </c>
      <c r="Y76" s="25" t="e">
        <f t="shared" si="102"/>
        <v>#DIV/0!</v>
      </c>
      <c r="Z76" s="25" t="e">
        <f t="shared" si="103"/>
        <v>#DIV/0!</v>
      </c>
      <c r="AA76" s="25" t="e">
        <f t="shared" si="104"/>
        <v>#DIV/0!</v>
      </c>
      <c r="AB76" s="25" t="e">
        <f t="shared" si="105"/>
        <v>#DIV/0!</v>
      </c>
      <c r="AC76" s="25" t="e">
        <f t="shared" si="106"/>
        <v>#DIV/0!</v>
      </c>
      <c r="AD76" s="63" t="e">
        <f t="shared" si="107"/>
        <v>#DIV/0!</v>
      </c>
      <c r="AE76" s="24">
        <f t="shared" si="108"/>
        <v>0</v>
      </c>
    </row>
    <row r="77" spans="1:31" x14ac:dyDescent="0.2">
      <c r="A77" s="75">
        <f t="shared" si="60"/>
        <v>46270</v>
      </c>
      <c r="B77" s="15" t="str">
        <f>$B$17</f>
        <v>NA</v>
      </c>
      <c r="C77" s="15" t="str">
        <f>$C$17</f>
        <v>NA</v>
      </c>
      <c r="D77" s="18">
        <f t="shared" si="109"/>
        <v>0</v>
      </c>
      <c r="E77" s="4">
        <f t="shared" si="110"/>
        <v>0</v>
      </c>
      <c r="F77" s="4">
        <v>0</v>
      </c>
      <c r="G77" s="5" t="e">
        <f t="shared" si="120"/>
        <v>#DIV/0!</v>
      </c>
      <c r="H77" s="4" t="e">
        <f t="shared" si="121"/>
        <v>#DIV/0!</v>
      </c>
      <c r="I77" s="4" t="e">
        <f t="shared" si="122"/>
        <v>#DIV/0!</v>
      </c>
      <c r="J77" s="4">
        <f t="shared" si="123"/>
        <v>0</v>
      </c>
      <c r="K77" s="27">
        <f t="shared" si="124"/>
        <v>0</v>
      </c>
      <c r="L77" s="30">
        <f t="shared" si="125"/>
        <v>0</v>
      </c>
      <c r="M77" s="18">
        <v>0</v>
      </c>
      <c r="N77" s="4">
        <v>0</v>
      </c>
      <c r="O77" s="4">
        <v>0</v>
      </c>
      <c r="P77" s="5" t="e">
        <f t="shared" si="126"/>
        <v>#DIV/0!</v>
      </c>
      <c r="Q77" s="29" t="e">
        <f t="shared" si="127"/>
        <v>#DIV/0!</v>
      </c>
      <c r="R77" s="29" t="e">
        <f t="shared" si="128"/>
        <v>#DIV/0!</v>
      </c>
      <c r="S77" s="1">
        <v>0</v>
      </c>
      <c r="T77" s="1">
        <v>0</v>
      </c>
      <c r="U77" s="24">
        <v>0</v>
      </c>
      <c r="V77" s="25" t="e">
        <f t="shared" si="99"/>
        <v>#DIV/0!</v>
      </c>
      <c r="W77" s="25" t="e">
        <f t="shared" si="100"/>
        <v>#DIV/0!</v>
      </c>
      <c r="X77" s="25" t="e">
        <f t="shared" si="101"/>
        <v>#DIV/0!</v>
      </c>
      <c r="Y77" s="25" t="e">
        <f t="shared" si="102"/>
        <v>#DIV/0!</v>
      </c>
      <c r="Z77" s="25" t="e">
        <f t="shared" si="103"/>
        <v>#DIV/0!</v>
      </c>
      <c r="AA77" s="25" t="e">
        <f t="shared" si="104"/>
        <v>#DIV/0!</v>
      </c>
      <c r="AB77" s="25" t="e">
        <f t="shared" si="105"/>
        <v>#DIV/0!</v>
      </c>
      <c r="AC77" s="25" t="e">
        <f t="shared" si="106"/>
        <v>#DIV/0!</v>
      </c>
      <c r="AD77" s="63" t="e">
        <f t="shared" si="107"/>
        <v>#DIV/0!</v>
      </c>
      <c r="AE77" s="24">
        <f t="shared" si="108"/>
        <v>0</v>
      </c>
    </row>
    <row r="78" spans="1:31" x14ac:dyDescent="0.2">
      <c r="A78" s="75">
        <f t="shared" si="60"/>
        <v>46270</v>
      </c>
      <c r="B78" s="15" t="str">
        <f>$B$18</f>
        <v>NA</v>
      </c>
      <c r="C78" s="15" t="str">
        <f>$C$18</f>
        <v>NA</v>
      </c>
      <c r="D78" s="18">
        <f t="shared" si="109"/>
        <v>0</v>
      </c>
      <c r="E78" s="4">
        <f t="shared" si="110"/>
        <v>0</v>
      </c>
      <c r="F78" s="4">
        <v>0</v>
      </c>
      <c r="G78" s="5" t="e">
        <f t="shared" si="120"/>
        <v>#DIV/0!</v>
      </c>
      <c r="H78" s="4" t="e">
        <f t="shared" si="121"/>
        <v>#DIV/0!</v>
      </c>
      <c r="I78" s="4" t="e">
        <f t="shared" si="122"/>
        <v>#DIV/0!</v>
      </c>
      <c r="J78" s="4">
        <f t="shared" si="123"/>
        <v>0</v>
      </c>
      <c r="K78" s="27">
        <f t="shared" si="124"/>
        <v>0</v>
      </c>
      <c r="L78" s="30">
        <f t="shared" si="125"/>
        <v>0</v>
      </c>
      <c r="M78" s="18">
        <v>0</v>
      </c>
      <c r="N78" s="4">
        <v>0</v>
      </c>
      <c r="O78" s="4">
        <v>0</v>
      </c>
      <c r="P78" s="5" t="e">
        <f t="shared" si="126"/>
        <v>#DIV/0!</v>
      </c>
      <c r="Q78" s="29" t="e">
        <f t="shared" si="127"/>
        <v>#DIV/0!</v>
      </c>
      <c r="R78" s="29" t="e">
        <f t="shared" si="128"/>
        <v>#DIV/0!</v>
      </c>
      <c r="S78" s="1">
        <v>0</v>
      </c>
      <c r="T78" s="1">
        <v>0</v>
      </c>
      <c r="U78" s="24">
        <v>0</v>
      </c>
      <c r="V78" s="25" t="e">
        <f t="shared" si="99"/>
        <v>#DIV/0!</v>
      </c>
      <c r="W78" s="25" t="e">
        <f t="shared" si="100"/>
        <v>#DIV/0!</v>
      </c>
      <c r="X78" s="25" t="e">
        <f t="shared" si="101"/>
        <v>#DIV/0!</v>
      </c>
      <c r="Y78" s="25" t="e">
        <f t="shared" si="102"/>
        <v>#DIV/0!</v>
      </c>
      <c r="Z78" s="25" t="e">
        <f t="shared" si="103"/>
        <v>#DIV/0!</v>
      </c>
      <c r="AA78" s="25" t="e">
        <f t="shared" si="104"/>
        <v>#DIV/0!</v>
      </c>
      <c r="AB78" s="25" t="e">
        <f t="shared" si="105"/>
        <v>#DIV/0!</v>
      </c>
      <c r="AC78" s="25" t="e">
        <f t="shared" si="106"/>
        <v>#DIV/0!</v>
      </c>
      <c r="AD78" s="63" t="e">
        <f t="shared" si="107"/>
        <v>#DIV/0!</v>
      </c>
      <c r="AE78" s="24">
        <f t="shared" si="108"/>
        <v>0</v>
      </c>
    </row>
    <row r="79" spans="1:31" x14ac:dyDescent="0.2">
      <c r="A79" s="75">
        <f t="shared" si="60"/>
        <v>46271</v>
      </c>
      <c r="B79" s="15" t="str">
        <f>$B$4</f>
        <v>DSM</v>
      </c>
      <c r="C79" s="15" t="str">
        <f>$C$4</f>
        <v xml:space="preserve">komal  </v>
      </c>
      <c r="D79" s="18">
        <f t="shared" si="109"/>
        <v>0</v>
      </c>
      <c r="E79" s="4">
        <f t="shared" si="110"/>
        <v>0</v>
      </c>
      <c r="F79" s="4"/>
      <c r="G79" s="5" t="e">
        <f t="shared" si="120"/>
        <v>#DIV/0!</v>
      </c>
      <c r="H79" s="4" t="e">
        <f t="shared" si="121"/>
        <v>#DIV/0!</v>
      </c>
      <c r="I79" s="4" t="e">
        <f t="shared" si="122"/>
        <v>#DIV/0!</v>
      </c>
      <c r="J79" s="4">
        <f t="shared" si="123"/>
        <v>0</v>
      </c>
      <c r="K79" s="27">
        <f t="shared" si="124"/>
        <v>0</v>
      </c>
      <c r="L79" s="30">
        <f t="shared" si="125"/>
        <v>0</v>
      </c>
      <c r="M79" s="18"/>
      <c r="N79" s="4"/>
      <c r="O79" s="4"/>
      <c r="P79" s="5" t="e">
        <f t="shared" si="126"/>
        <v>#DIV/0!</v>
      </c>
      <c r="Q79" s="29" t="e">
        <f t="shared" si="127"/>
        <v>#DIV/0!</v>
      </c>
      <c r="R79" s="29" t="e">
        <f t="shared" si="128"/>
        <v>#DIV/0!</v>
      </c>
      <c r="S79" s="1">
        <v>0</v>
      </c>
      <c r="T79" s="1">
        <v>0</v>
      </c>
      <c r="U79" s="24">
        <v>0</v>
      </c>
      <c r="V79" s="25" t="e">
        <f t="shared" si="99"/>
        <v>#DIV/0!</v>
      </c>
      <c r="W79" s="25" t="e">
        <f t="shared" si="100"/>
        <v>#DIV/0!</v>
      </c>
      <c r="X79" s="25" t="e">
        <f t="shared" si="101"/>
        <v>#DIV/0!</v>
      </c>
      <c r="Y79" s="25" t="e">
        <f t="shared" si="102"/>
        <v>#DIV/0!</v>
      </c>
      <c r="Z79" s="25" t="e">
        <f t="shared" si="103"/>
        <v>#DIV/0!</v>
      </c>
      <c r="AA79" s="25" t="e">
        <f t="shared" si="104"/>
        <v>#DIV/0!</v>
      </c>
      <c r="AB79" s="25" t="e">
        <f t="shared" si="105"/>
        <v>#DIV/0!</v>
      </c>
      <c r="AC79" s="25" t="e">
        <f t="shared" si="106"/>
        <v>#DIV/0!</v>
      </c>
      <c r="AD79" s="63" t="e">
        <f t="shared" si="107"/>
        <v>#DIV/0!</v>
      </c>
      <c r="AE79" s="24">
        <f t="shared" si="108"/>
        <v>0</v>
      </c>
    </row>
    <row r="80" spans="1:31" x14ac:dyDescent="0.2">
      <c r="A80" s="75">
        <f t="shared" si="60"/>
        <v>46271</v>
      </c>
      <c r="B80" s="15" t="str">
        <f>$B$5</f>
        <v>SS</v>
      </c>
      <c r="C80" s="15" t="str">
        <f>$C$5</f>
        <v>Prem</v>
      </c>
      <c r="D80" s="18">
        <f t="shared" si="109"/>
        <v>0</v>
      </c>
      <c r="E80" s="4">
        <f t="shared" si="110"/>
        <v>0</v>
      </c>
      <c r="F80" s="4"/>
      <c r="G80" s="5" t="e">
        <f t="shared" si="120"/>
        <v>#DIV/0!</v>
      </c>
      <c r="H80" s="4" t="e">
        <f t="shared" si="121"/>
        <v>#DIV/0!</v>
      </c>
      <c r="I80" s="4" t="e">
        <f t="shared" si="122"/>
        <v>#DIV/0!</v>
      </c>
      <c r="J80" s="4">
        <f t="shared" si="123"/>
        <v>0</v>
      </c>
      <c r="K80" s="27">
        <f t="shared" si="124"/>
        <v>0</v>
      </c>
      <c r="L80" s="30">
        <f t="shared" si="125"/>
        <v>0</v>
      </c>
      <c r="M80" s="18"/>
      <c r="N80" s="4"/>
      <c r="O80" s="4"/>
      <c r="P80" s="5" t="e">
        <f t="shared" si="126"/>
        <v>#DIV/0!</v>
      </c>
      <c r="Q80" s="29" t="e">
        <f t="shared" si="127"/>
        <v>#DIV/0!</v>
      </c>
      <c r="R80" s="29" t="e">
        <f t="shared" si="128"/>
        <v>#DIV/0!</v>
      </c>
      <c r="S80" s="1">
        <v>0</v>
      </c>
      <c r="T80" s="1">
        <v>0</v>
      </c>
      <c r="U80" s="24">
        <v>0</v>
      </c>
      <c r="V80" s="25" t="e">
        <f t="shared" si="99"/>
        <v>#DIV/0!</v>
      </c>
      <c r="W80" s="25" t="e">
        <f t="shared" si="100"/>
        <v>#DIV/0!</v>
      </c>
      <c r="X80" s="25" t="e">
        <f t="shared" si="101"/>
        <v>#DIV/0!</v>
      </c>
      <c r="Y80" s="25" t="e">
        <f t="shared" si="102"/>
        <v>#DIV/0!</v>
      </c>
      <c r="Z80" s="25" t="e">
        <f t="shared" si="103"/>
        <v>#DIV/0!</v>
      </c>
      <c r="AA80" s="25" t="e">
        <f t="shared" si="104"/>
        <v>#DIV/0!</v>
      </c>
      <c r="AB80" s="25" t="e">
        <f t="shared" si="105"/>
        <v>#DIV/0!</v>
      </c>
      <c r="AC80" s="25" t="e">
        <f t="shared" si="106"/>
        <v>#DIV/0!</v>
      </c>
      <c r="AD80" s="63" t="e">
        <f t="shared" si="107"/>
        <v>#DIV/0!</v>
      </c>
      <c r="AE80" s="24">
        <f t="shared" si="108"/>
        <v>0</v>
      </c>
    </row>
    <row r="81" spans="1:31" x14ac:dyDescent="0.2">
      <c r="A81" s="75">
        <f t="shared" si="60"/>
        <v>46271</v>
      </c>
      <c r="B81" s="15" t="str">
        <f>$B$6</f>
        <v>SS</v>
      </c>
      <c r="C81" s="15" t="str">
        <f>$C$6</f>
        <v>Anuj</v>
      </c>
      <c r="D81" s="18">
        <f t="shared" si="109"/>
        <v>0</v>
      </c>
      <c r="E81" s="4">
        <f t="shared" si="110"/>
        <v>0</v>
      </c>
      <c r="F81" s="4"/>
      <c r="G81" s="5" t="e">
        <f t="shared" si="120"/>
        <v>#DIV/0!</v>
      </c>
      <c r="H81" s="4" t="e">
        <f t="shared" si="121"/>
        <v>#DIV/0!</v>
      </c>
      <c r="I81" s="4" t="e">
        <f t="shared" si="122"/>
        <v>#DIV/0!</v>
      </c>
      <c r="J81" s="4">
        <f t="shared" si="123"/>
        <v>0</v>
      </c>
      <c r="K81" s="27">
        <f t="shared" si="124"/>
        <v>0</v>
      </c>
      <c r="L81" s="30">
        <f t="shared" si="125"/>
        <v>0</v>
      </c>
      <c r="M81" s="18"/>
      <c r="N81" s="4"/>
      <c r="O81" s="4"/>
      <c r="P81" s="5" t="e">
        <f t="shared" si="126"/>
        <v>#DIV/0!</v>
      </c>
      <c r="Q81" s="29" t="e">
        <f t="shared" si="127"/>
        <v>#DIV/0!</v>
      </c>
      <c r="R81" s="29" t="e">
        <f t="shared" si="128"/>
        <v>#DIV/0!</v>
      </c>
      <c r="S81" s="1">
        <v>0</v>
      </c>
      <c r="T81" s="1">
        <v>0</v>
      </c>
      <c r="U81" s="24">
        <v>0</v>
      </c>
      <c r="V81" s="25" t="e">
        <f t="shared" si="99"/>
        <v>#DIV/0!</v>
      </c>
      <c r="W81" s="25" t="e">
        <f t="shared" si="100"/>
        <v>#DIV/0!</v>
      </c>
      <c r="X81" s="25" t="e">
        <f t="shared" si="101"/>
        <v>#DIV/0!</v>
      </c>
      <c r="Y81" s="25" t="e">
        <f t="shared" si="102"/>
        <v>#DIV/0!</v>
      </c>
      <c r="Z81" s="25" t="e">
        <f t="shared" si="103"/>
        <v>#DIV/0!</v>
      </c>
      <c r="AA81" s="25" t="e">
        <f t="shared" si="104"/>
        <v>#DIV/0!</v>
      </c>
      <c r="AB81" s="25" t="e">
        <f t="shared" si="105"/>
        <v>#DIV/0!</v>
      </c>
      <c r="AC81" s="25" t="e">
        <f t="shared" si="106"/>
        <v>#DIV/0!</v>
      </c>
      <c r="AD81" s="63" t="e">
        <f t="shared" si="107"/>
        <v>#DIV/0!</v>
      </c>
      <c r="AE81" s="24">
        <f t="shared" si="108"/>
        <v>0</v>
      </c>
    </row>
    <row r="82" spans="1:31" x14ac:dyDescent="0.2">
      <c r="A82" s="75">
        <f t="shared" si="60"/>
        <v>46271</v>
      </c>
      <c r="B82" s="15" t="str">
        <f>$B$7</f>
        <v>FC</v>
      </c>
      <c r="C82" s="15" t="str">
        <f>$C$7</f>
        <v>Muskan</v>
      </c>
      <c r="D82" s="18">
        <f t="shared" si="109"/>
        <v>0</v>
      </c>
      <c r="E82" s="4">
        <f t="shared" si="110"/>
        <v>0</v>
      </c>
      <c r="F82" s="4"/>
      <c r="G82" s="5" t="e">
        <f t="shared" si="120"/>
        <v>#DIV/0!</v>
      </c>
      <c r="H82" s="4" t="e">
        <f t="shared" si="121"/>
        <v>#DIV/0!</v>
      </c>
      <c r="I82" s="4" t="e">
        <f t="shared" si="122"/>
        <v>#DIV/0!</v>
      </c>
      <c r="J82" s="4">
        <f t="shared" si="123"/>
        <v>0</v>
      </c>
      <c r="K82" s="27">
        <f t="shared" si="124"/>
        <v>0</v>
      </c>
      <c r="L82" s="30">
        <f t="shared" si="125"/>
        <v>0</v>
      </c>
      <c r="M82" s="18"/>
      <c r="N82" s="4"/>
      <c r="O82" s="4"/>
      <c r="P82" s="5" t="e">
        <f t="shared" si="126"/>
        <v>#DIV/0!</v>
      </c>
      <c r="Q82" s="29" t="e">
        <f t="shared" si="127"/>
        <v>#DIV/0!</v>
      </c>
      <c r="R82" s="29" t="e">
        <f t="shared" si="128"/>
        <v>#DIV/0!</v>
      </c>
      <c r="S82" s="1">
        <v>0</v>
      </c>
      <c r="T82" s="1">
        <v>0</v>
      </c>
      <c r="U82" s="24">
        <v>0</v>
      </c>
      <c r="V82" s="25" t="e">
        <f t="shared" si="99"/>
        <v>#DIV/0!</v>
      </c>
      <c r="W82" s="25" t="e">
        <f t="shared" si="100"/>
        <v>#DIV/0!</v>
      </c>
      <c r="X82" s="25" t="e">
        <f t="shared" si="101"/>
        <v>#DIV/0!</v>
      </c>
      <c r="Y82" s="25" t="e">
        <f t="shared" si="102"/>
        <v>#DIV/0!</v>
      </c>
      <c r="Z82" s="25" t="e">
        <f t="shared" si="103"/>
        <v>#DIV/0!</v>
      </c>
      <c r="AA82" s="25" t="e">
        <f t="shared" si="104"/>
        <v>#DIV/0!</v>
      </c>
      <c r="AB82" s="25" t="e">
        <f t="shared" si="105"/>
        <v>#DIV/0!</v>
      </c>
      <c r="AC82" s="25" t="e">
        <f t="shared" si="106"/>
        <v>#DIV/0!</v>
      </c>
      <c r="AD82" s="63" t="e">
        <f t="shared" si="107"/>
        <v>#DIV/0!</v>
      </c>
      <c r="AE82" s="24">
        <f t="shared" si="108"/>
        <v>0</v>
      </c>
    </row>
    <row r="83" spans="1:31" x14ac:dyDescent="0.2">
      <c r="A83" s="75">
        <f t="shared" ref="A83:A146" si="129">A68+1</f>
        <v>46271</v>
      </c>
      <c r="B83" s="15" t="str">
        <f>$B$8</f>
        <v>FC</v>
      </c>
      <c r="C83" s="15" t="str">
        <f>$C$8</f>
        <v xml:space="preserve">Kajal  </v>
      </c>
      <c r="D83" s="18">
        <f t="shared" si="109"/>
        <v>0</v>
      </c>
      <c r="E83" s="4">
        <f t="shared" si="110"/>
        <v>0</v>
      </c>
      <c r="F83" s="4"/>
      <c r="G83" s="5" t="e">
        <f t="shared" si="120"/>
        <v>#DIV/0!</v>
      </c>
      <c r="H83" s="4" t="e">
        <f t="shared" si="121"/>
        <v>#DIV/0!</v>
      </c>
      <c r="I83" s="4" t="e">
        <f t="shared" si="122"/>
        <v>#DIV/0!</v>
      </c>
      <c r="J83" s="4">
        <f t="shared" si="123"/>
        <v>0</v>
      </c>
      <c r="K83" s="27">
        <f t="shared" si="124"/>
        <v>0</v>
      </c>
      <c r="L83" s="30">
        <f t="shared" si="125"/>
        <v>0</v>
      </c>
      <c r="M83" s="18"/>
      <c r="N83" s="4"/>
      <c r="O83" s="4"/>
      <c r="P83" s="5" t="e">
        <f t="shared" si="126"/>
        <v>#DIV/0!</v>
      </c>
      <c r="Q83" s="29" t="e">
        <f t="shared" si="127"/>
        <v>#DIV/0!</v>
      </c>
      <c r="R83" s="29" t="e">
        <f t="shared" si="128"/>
        <v>#DIV/0!</v>
      </c>
      <c r="S83" s="1">
        <v>0</v>
      </c>
      <c r="T83" s="1">
        <v>0</v>
      </c>
      <c r="U83" s="24">
        <v>0</v>
      </c>
      <c r="V83" s="25" t="e">
        <f t="shared" si="99"/>
        <v>#DIV/0!</v>
      </c>
      <c r="W83" s="25" t="e">
        <f t="shared" si="100"/>
        <v>#DIV/0!</v>
      </c>
      <c r="X83" s="25" t="e">
        <f t="shared" si="101"/>
        <v>#DIV/0!</v>
      </c>
      <c r="Y83" s="25" t="e">
        <f t="shared" si="102"/>
        <v>#DIV/0!</v>
      </c>
      <c r="Z83" s="25" t="e">
        <f t="shared" si="103"/>
        <v>#DIV/0!</v>
      </c>
      <c r="AA83" s="25" t="e">
        <f t="shared" si="104"/>
        <v>#DIV/0!</v>
      </c>
      <c r="AB83" s="25" t="e">
        <f t="shared" si="105"/>
        <v>#DIV/0!</v>
      </c>
      <c r="AC83" s="25" t="e">
        <f t="shared" si="106"/>
        <v>#DIV/0!</v>
      </c>
      <c r="AD83" s="63" t="e">
        <f t="shared" si="107"/>
        <v>#DIV/0!</v>
      </c>
      <c r="AE83" s="24">
        <f t="shared" si="108"/>
        <v>0</v>
      </c>
    </row>
    <row r="84" spans="1:31" x14ac:dyDescent="0.2">
      <c r="A84" s="75">
        <f t="shared" si="129"/>
        <v>46271</v>
      </c>
      <c r="B84" s="15" t="str">
        <f>$B$9</f>
        <v>FC</v>
      </c>
      <c r="C84" s="15" t="str">
        <f>$C$9</f>
        <v>Pradeep</v>
      </c>
      <c r="D84" s="18">
        <f t="shared" si="109"/>
        <v>0</v>
      </c>
      <c r="E84" s="4">
        <f t="shared" si="110"/>
        <v>0</v>
      </c>
      <c r="F84" s="4"/>
      <c r="G84" s="5" t="e">
        <f t="shared" si="120"/>
        <v>#DIV/0!</v>
      </c>
      <c r="H84" s="4" t="e">
        <f t="shared" si="121"/>
        <v>#DIV/0!</v>
      </c>
      <c r="I84" s="4" t="e">
        <f t="shared" si="122"/>
        <v>#DIV/0!</v>
      </c>
      <c r="J84" s="4">
        <f t="shared" si="123"/>
        <v>0</v>
      </c>
      <c r="K84" s="27">
        <f t="shared" si="124"/>
        <v>0</v>
      </c>
      <c r="L84" s="30">
        <f t="shared" si="125"/>
        <v>0</v>
      </c>
      <c r="M84" s="18"/>
      <c r="N84" s="4"/>
      <c r="O84" s="4"/>
      <c r="P84" s="5" t="e">
        <f t="shared" si="126"/>
        <v>#DIV/0!</v>
      </c>
      <c r="Q84" s="29" t="e">
        <f t="shared" si="127"/>
        <v>#DIV/0!</v>
      </c>
      <c r="R84" s="29" t="e">
        <f t="shared" si="128"/>
        <v>#DIV/0!</v>
      </c>
      <c r="S84" s="1">
        <v>0</v>
      </c>
      <c r="T84" s="1">
        <v>0</v>
      </c>
      <c r="U84" s="24">
        <v>0</v>
      </c>
      <c r="V84" s="25" t="e">
        <f t="shared" si="99"/>
        <v>#DIV/0!</v>
      </c>
      <c r="W84" s="25" t="e">
        <f t="shared" si="100"/>
        <v>#DIV/0!</v>
      </c>
      <c r="X84" s="25" t="e">
        <f t="shared" si="101"/>
        <v>#DIV/0!</v>
      </c>
      <c r="Y84" s="25" t="e">
        <f t="shared" si="102"/>
        <v>#DIV/0!</v>
      </c>
      <c r="Z84" s="25" t="e">
        <f t="shared" si="103"/>
        <v>#DIV/0!</v>
      </c>
      <c r="AA84" s="25" t="e">
        <f t="shared" si="104"/>
        <v>#DIV/0!</v>
      </c>
      <c r="AB84" s="25" t="e">
        <f t="shared" si="105"/>
        <v>#DIV/0!</v>
      </c>
      <c r="AC84" s="25" t="e">
        <f t="shared" si="106"/>
        <v>#DIV/0!</v>
      </c>
      <c r="AD84" s="63" t="e">
        <f t="shared" si="107"/>
        <v>#DIV/0!</v>
      </c>
      <c r="AE84" s="24">
        <f t="shared" si="108"/>
        <v>0</v>
      </c>
    </row>
    <row r="85" spans="1:31" x14ac:dyDescent="0.2">
      <c r="A85" s="75">
        <f t="shared" si="129"/>
        <v>46271</v>
      </c>
      <c r="B85" s="15" t="str">
        <f>$B$10</f>
        <v>FC</v>
      </c>
      <c r="C85" s="15" t="str">
        <f>$C$10</f>
        <v>Aftab</v>
      </c>
      <c r="D85" s="18">
        <f t="shared" si="109"/>
        <v>0</v>
      </c>
      <c r="E85" s="4">
        <f t="shared" si="110"/>
        <v>0</v>
      </c>
      <c r="F85" s="4"/>
      <c r="G85" s="5" t="e">
        <f t="shared" si="120"/>
        <v>#DIV/0!</v>
      </c>
      <c r="H85" s="4" t="e">
        <f t="shared" si="121"/>
        <v>#DIV/0!</v>
      </c>
      <c r="I85" s="4" t="e">
        <f t="shared" si="122"/>
        <v>#DIV/0!</v>
      </c>
      <c r="J85" s="4">
        <f t="shared" si="123"/>
        <v>0</v>
      </c>
      <c r="K85" s="27">
        <f t="shared" si="124"/>
        <v>0</v>
      </c>
      <c r="L85" s="30">
        <f t="shared" si="125"/>
        <v>0</v>
      </c>
      <c r="M85" s="18"/>
      <c r="N85" s="4"/>
      <c r="O85" s="4"/>
      <c r="P85" s="5" t="e">
        <f t="shared" si="126"/>
        <v>#DIV/0!</v>
      </c>
      <c r="Q85" s="29" t="e">
        <f t="shared" si="127"/>
        <v>#DIV/0!</v>
      </c>
      <c r="R85" s="29" t="e">
        <f t="shared" si="128"/>
        <v>#DIV/0!</v>
      </c>
      <c r="S85" s="1">
        <v>0</v>
      </c>
      <c r="T85" s="1">
        <v>0</v>
      </c>
      <c r="U85" s="24">
        <v>0</v>
      </c>
      <c r="V85" s="25" t="e">
        <f t="shared" si="99"/>
        <v>#DIV/0!</v>
      </c>
      <c r="W85" s="25" t="e">
        <f t="shared" si="100"/>
        <v>#DIV/0!</v>
      </c>
      <c r="X85" s="25" t="e">
        <f t="shared" si="101"/>
        <v>#DIV/0!</v>
      </c>
      <c r="Y85" s="25" t="e">
        <f t="shared" si="102"/>
        <v>#DIV/0!</v>
      </c>
      <c r="Z85" s="25" t="e">
        <f t="shared" si="103"/>
        <v>#DIV/0!</v>
      </c>
      <c r="AA85" s="25" t="e">
        <f t="shared" si="104"/>
        <v>#DIV/0!</v>
      </c>
      <c r="AB85" s="25" t="e">
        <f t="shared" si="105"/>
        <v>#DIV/0!</v>
      </c>
      <c r="AC85" s="25" t="e">
        <f t="shared" si="106"/>
        <v>#DIV/0!</v>
      </c>
      <c r="AD85" s="63" t="e">
        <f t="shared" si="107"/>
        <v>#DIV/0!</v>
      </c>
      <c r="AE85" s="24">
        <f t="shared" si="108"/>
        <v>0</v>
      </c>
    </row>
    <row r="86" spans="1:31" x14ac:dyDescent="0.2">
      <c r="A86" s="75">
        <f t="shared" si="129"/>
        <v>46271</v>
      </c>
      <c r="B86" s="15" t="str">
        <f>$B$11</f>
        <v>FC</v>
      </c>
      <c r="C86" s="15" t="str">
        <f>$C$11</f>
        <v>Khushi</v>
      </c>
      <c r="D86" s="18">
        <f t="shared" si="109"/>
        <v>0</v>
      </c>
      <c r="E86" s="4">
        <f t="shared" si="110"/>
        <v>0</v>
      </c>
      <c r="F86" s="4"/>
      <c r="G86" s="5" t="e">
        <f t="shared" si="120"/>
        <v>#DIV/0!</v>
      </c>
      <c r="H86" s="4" t="e">
        <f t="shared" si="121"/>
        <v>#DIV/0!</v>
      </c>
      <c r="I86" s="4" t="e">
        <f t="shared" si="122"/>
        <v>#DIV/0!</v>
      </c>
      <c r="J86" s="4">
        <f t="shared" si="123"/>
        <v>0</v>
      </c>
      <c r="K86" s="27">
        <f t="shared" si="124"/>
        <v>0</v>
      </c>
      <c r="L86" s="30">
        <f t="shared" si="125"/>
        <v>0</v>
      </c>
      <c r="M86" s="18"/>
      <c r="N86" s="4"/>
      <c r="O86" s="4"/>
      <c r="P86" s="5" t="e">
        <f t="shared" si="126"/>
        <v>#DIV/0!</v>
      </c>
      <c r="Q86" s="29" t="e">
        <f t="shared" si="127"/>
        <v>#DIV/0!</v>
      </c>
      <c r="R86" s="29" t="e">
        <f t="shared" si="128"/>
        <v>#DIV/0!</v>
      </c>
      <c r="S86" s="1">
        <v>0</v>
      </c>
      <c r="T86" s="1">
        <v>0</v>
      </c>
      <c r="U86" s="24">
        <v>0</v>
      </c>
      <c r="V86" s="25" t="e">
        <f t="shared" si="99"/>
        <v>#DIV/0!</v>
      </c>
      <c r="W86" s="25" t="e">
        <f t="shared" si="100"/>
        <v>#DIV/0!</v>
      </c>
      <c r="X86" s="25" t="e">
        <f t="shared" si="101"/>
        <v>#DIV/0!</v>
      </c>
      <c r="Y86" s="25" t="e">
        <f t="shared" si="102"/>
        <v>#DIV/0!</v>
      </c>
      <c r="Z86" s="25" t="e">
        <f t="shared" si="103"/>
        <v>#DIV/0!</v>
      </c>
      <c r="AA86" s="25" t="e">
        <f t="shared" si="104"/>
        <v>#DIV/0!</v>
      </c>
      <c r="AB86" s="25" t="e">
        <f t="shared" si="105"/>
        <v>#DIV/0!</v>
      </c>
      <c r="AC86" s="25" t="e">
        <f t="shared" si="106"/>
        <v>#DIV/0!</v>
      </c>
      <c r="AD86" s="63" t="e">
        <f t="shared" si="107"/>
        <v>#DIV/0!</v>
      </c>
      <c r="AE86" s="24">
        <f t="shared" si="108"/>
        <v>0</v>
      </c>
    </row>
    <row r="87" spans="1:31" x14ac:dyDescent="0.2">
      <c r="A87" s="75">
        <f t="shared" si="129"/>
        <v>46271</v>
      </c>
      <c r="B87" s="15" t="str">
        <f>$B$12</f>
        <v>FC</v>
      </c>
      <c r="C87" s="15" t="str">
        <f>$C$12</f>
        <v>Kishan</v>
      </c>
      <c r="D87" s="18">
        <f t="shared" si="109"/>
        <v>0</v>
      </c>
      <c r="E87" s="4">
        <f t="shared" si="110"/>
        <v>0</v>
      </c>
      <c r="F87" s="4"/>
      <c r="G87" s="5" t="e">
        <f t="shared" si="120"/>
        <v>#DIV/0!</v>
      </c>
      <c r="H87" s="4" t="e">
        <f t="shared" si="121"/>
        <v>#DIV/0!</v>
      </c>
      <c r="I87" s="4" t="e">
        <f t="shared" si="122"/>
        <v>#DIV/0!</v>
      </c>
      <c r="J87" s="4">
        <f t="shared" si="123"/>
        <v>0</v>
      </c>
      <c r="K87" s="27">
        <f t="shared" si="124"/>
        <v>0</v>
      </c>
      <c r="L87" s="30">
        <f t="shared" si="125"/>
        <v>0</v>
      </c>
      <c r="M87" s="18"/>
      <c r="N87" s="4"/>
      <c r="O87" s="4"/>
      <c r="P87" s="5" t="e">
        <f t="shared" si="126"/>
        <v>#DIV/0!</v>
      </c>
      <c r="Q87" s="29" t="e">
        <f t="shared" si="127"/>
        <v>#DIV/0!</v>
      </c>
      <c r="R87" s="29" t="e">
        <f t="shared" si="128"/>
        <v>#DIV/0!</v>
      </c>
      <c r="S87" s="1">
        <v>0</v>
      </c>
      <c r="T87" s="1">
        <v>0</v>
      </c>
      <c r="U87" s="24">
        <v>0</v>
      </c>
      <c r="V87" s="25" t="e">
        <f t="shared" si="99"/>
        <v>#DIV/0!</v>
      </c>
      <c r="W87" s="25" t="e">
        <f t="shared" si="100"/>
        <v>#DIV/0!</v>
      </c>
      <c r="X87" s="25" t="e">
        <f t="shared" si="101"/>
        <v>#DIV/0!</v>
      </c>
      <c r="Y87" s="25" t="e">
        <f t="shared" si="102"/>
        <v>#DIV/0!</v>
      </c>
      <c r="Z87" s="25" t="e">
        <f t="shared" si="103"/>
        <v>#DIV/0!</v>
      </c>
      <c r="AA87" s="25" t="e">
        <f t="shared" si="104"/>
        <v>#DIV/0!</v>
      </c>
      <c r="AB87" s="25" t="e">
        <f t="shared" si="105"/>
        <v>#DIV/0!</v>
      </c>
      <c r="AC87" s="25" t="e">
        <f t="shared" si="106"/>
        <v>#DIV/0!</v>
      </c>
      <c r="AD87" s="63" t="e">
        <f t="shared" si="107"/>
        <v>#DIV/0!</v>
      </c>
      <c r="AE87" s="24">
        <f t="shared" si="108"/>
        <v>0</v>
      </c>
    </row>
    <row r="88" spans="1:31" x14ac:dyDescent="0.2">
      <c r="A88" s="75">
        <f t="shared" si="129"/>
        <v>46271</v>
      </c>
      <c r="B88" s="15" t="str">
        <f>$B$13</f>
        <v>Partner</v>
      </c>
      <c r="C88" s="15" t="str">
        <f>$C$13</f>
        <v>Rahul</v>
      </c>
      <c r="D88" s="18">
        <f t="shared" si="109"/>
        <v>0</v>
      </c>
      <c r="E88" s="4">
        <f t="shared" si="110"/>
        <v>0</v>
      </c>
      <c r="F88" s="4"/>
      <c r="G88" s="5" t="e">
        <f t="shared" si="120"/>
        <v>#DIV/0!</v>
      </c>
      <c r="H88" s="4" t="e">
        <f t="shared" si="121"/>
        <v>#DIV/0!</v>
      </c>
      <c r="I88" s="4" t="e">
        <f t="shared" si="122"/>
        <v>#DIV/0!</v>
      </c>
      <c r="J88" s="4">
        <f t="shared" si="123"/>
        <v>0</v>
      </c>
      <c r="K88" s="27">
        <f t="shared" si="124"/>
        <v>0</v>
      </c>
      <c r="L88" s="30">
        <f t="shared" si="125"/>
        <v>0</v>
      </c>
      <c r="M88" s="18"/>
      <c r="N88" s="4"/>
      <c r="O88" s="4"/>
      <c r="P88" s="5" t="e">
        <f t="shared" si="126"/>
        <v>#DIV/0!</v>
      </c>
      <c r="Q88" s="29" t="e">
        <f t="shared" si="127"/>
        <v>#DIV/0!</v>
      </c>
      <c r="R88" s="29" t="e">
        <f t="shared" si="128"/>
        <v>#DIV/0!</v>
      </c>
      <c r="S88" s="1">
        <v>0</v>
      </c>
      <c r="T88" s="1">
        <v>0</v>
      </c>
      <c r="U88" s="24">
        <v>0</v>
      </c>
      <c r="V88" s="25" t="e">
        <f t="shared" si="99"/>
        <v>#DIV/0!</v>
      </c>
      <c r="W88" s="25" t="e">
        <f t="shared" si="100"/>
        <v>#DIV/0!</v>
      </c>
      <c r="X88" s="25" t="e">
        <f t="shared" si="101"/>
        <v>#DIV/0!</v>
      </c>
      <c r="Y88" s="25" t="e">
        <f t="shared" si="102"/>
        <v>#DIV/0!</v>
      </c>
      <c r="Z88" s="25" t="e">
        <f t="shared" si="103"/>
        <v>#DIV/0!</v>
      </c>
      <c r="AA88" s="25" t="e">
        <f t="shared" si="104"/>
        <v>#DIV/0!</v>
      </c>
      <c r="AB88" s="25" t="e">
        <f t="shared" si="105"/>
        <v>#DIV/0!</v>
      </c>
      <c r="AC88" s="25" t="e">
        <f t="shared" si="106"/>
        <v>#DIV/0!</v>
      </c>
      <c r="AD88" s="63" t="e">
        <f t="shared" si="107"/>
        <v>#DIV/0!</v>
      </c>
      <c r="AE88" s="24">
        <f t="shared" si="108"/>
        <v>0</v>
      </c>
    </row>
    <row r="89" spans="1:31" x14ac:dyDescent="0.2">
      <c r="A89" s="75">
        <f t="shared" si="129"/>
        <v>46271</v>
      </c>
      <c r="B89" s="15" t="str">
        <f>$B$14</f>
        <v>Partner</v>
      </c>
      <c r="C89" s="15" t="str">
        <f>$C$14</f>
        <v>Prince</v>
      </c>
      <c r="D89" s="18">
        <f t="shared" si="109"/>
        <v>0</v>
      </c>
      <c r="E89" s="4">
        <f t="shared" si="110"/>
        <v>0</v>
      </c>
      <c r="F89" s="4"/>
      <c r="G89" s="5" t="e">
        <f t="shared" si="120"/>
        <v>#DIV/0!</v>
      </c>
      <c r="H89" s="4" t="e">
        <f t="shared" si="121"/>
        <v>#DIV/0!</v>
      </c>
      <c r="I89" s="4" t="e">
        <f t="shared" si="122"/>
        <v>#DIV/0!</v>
      </c>
      <c r="J89" s="4">
        <f t="shared" si="123"/>
        <v>0</v>
      </c>
      <c r="K89" s="27">
        <f t="shared" si="124"/>
        <v>0</v>
      </c>
      <c r="L89" s="30">
        <f t="shared" si="125"/>
        <v>0</v>
      </c>
      <c r="M89" s="18"/>
      <c r="N89" s="4"/>
      <c r="O89" s="4"/>
      <c r="P89" s="5" t="e">
        <f t="shared" si="126"/>
        <v>#DIV/0!</v>
      </c>
      <c r="Q89" s="29" t="e">
        <f t="shared" si="127"/>
        <v>#DIV/0!</v>
      </c>
      <c r="R89" s="29" t="e">
        <f t="shared" si="128"/>
        <v>#DIV/0!</v>
      </c>
      <c r="S89" s="1">
        <v>0</v>
      </c>
      <c r="T89" s="1">
        <v>0</v>
      </c>
      <c r="U89" s="24">
        <v>0</v>
      </c>
      <c r="V89" s="25" t="e">
        <f t="shared" si="99"/>
        <v>#DIV/0!</v>
      </c>
      <c r="W89" s="25" t="e">
        <f t="shared" si="100"/>
        <v>#DIV/0!</v>
      </c>
      <c r="X89" s="25" t="e">
        <f t="shared" si="101"/>
        <v>#DIV/0!</v>
      </c>
      <c r="Y89" s="25" t="e">
        <f t="shared" si="102"/>
        <v>#DIV/0!</v>
      </c>
      <c r="Z89" s="25" t="e">
        <f t="shared" si="103"/>
        <v>#DIV/0!</v>
      </c>
      <c r="AA89" s="25" t="e">
        <f t="shared" si="104"/>
        <v>#DIV/0!</v>
      </c>
      <c r="AB89" s="25" t="e">
        <f t="shared" si="105"/>
        <v>#DIV/0!</v>
      </c>
      <c r="AC89" s="25" t="e">
        <f t="shared" si="106"/>
        <v>#DIV/0!</v>
      </c>
      <c r="AD89" s="63" t="e">
        <f t="shared" si="107"/>
        <v>#DIV/0!</v>
      </c>
      <c r="AE89" s="24">
        <f t="shared" si="108"/>
        <v>0</v>
      </c>
    </row>
    <row r="90" spans="1:31" x14ac:dyDescent="0.2">
      <c r="A90" s="75">
        <f t="shared" si="129"/>
        <v>46271</v>
      </c>
      <c r="B90" s="15" t="str">
        <f>$B$15</f>
        <v>Partner</v>
      </c>
      <c r="C90" s="15" t="str">
        <f>$C$15</f>
        <v>Kunal</v>
      </c>
      <c r="D90" s="18">
        <f t="shared" si="109"/>
        <v>0</v>
      </c>
      <c r="E90" s="4">
        <f t="shared" si="110"/>
        <v>0</v>
      </c>
      <c r="F90" s="4"/>
      <c r="G90" s="5" t="e">
        <f t="shared" si="120"/>
        <v>#DIV/0!</v>
      </c>
      <c r="H90" s="4" t="e">
        <f t="shared" si="121"/>
        <v>#DIV/0!</v>
      </c>
      <c r="I90" s="4" t="e">
        <f t="shared" si="122"/>
        <v>#DIV/0!</v>
      </c>
      <c r="J90" s="4">
        <f t="shared" si="123"/>
        <v>0</v>
      </c>
      <c r="K90" s="27">
        <f t="shared" si="124"/>
        <v>0</v>
      </c>
      <c r="L90" s="30">
        <f t="shared" si="125"/>
        <v>0</v>
      </c>
      <c r="M90" s="18"/>
      <c r="N90" s="4"/>
      <c r="O90" s="4"/>
      <c r="P90" s="5" t="e">
        <f t="shared" si="126"/>
        <v>#DIV/0!</v>
      </c>
      <c r="Q90" s="29" t="e">
        <f t="shared" si="127"/>
        <v>#DIV/0!</v>
      </c>
      <c r="R90" s="29" t="e">
        <f t="shared" si="128"/>
        <v>#DIV/0!</v>
      </c>
      <c r="S90" s="1">
        <v>0</v>
      </c>
      <c r="T90" s="1">
        <v>0</v>
      </c>
      <c r="U90" s="24">
        <v>0</v>
      </c>
      <c r="V90" s="25" t="e">
        <f t="shared" si="99"/>
        <v>#DIV/0!</v>
      </c>
      <c r="W90" s="25" t="e">
        <f t="shared" si="100"/>
        <v>#DIV/0!</v>
      </c>
      <c r="X90" s="25" t="e">
        <f t="shared" si="101"/>
        <v>#DIV/0!</v>
      </c>
      <c r="Y90" s="25" t="e">
        <f t="shared" si="102"/>
        <v>#DIV/0!</v>
      </c>
      <c r="Z90" s="25" t="e">
        <f t="shared" si="103"/>
        <v>#DIV/0!</v>
      </c>
      <c r="AA90" s="25" t="e">
        <f t="shared" si="104"/>
        <v>#DIV/0!</v>
      </c>
      <c r="AB90" s="25" t="e">
        <f t="shared" si="105"/>
        <v>#DIV/0!</v>
      </c>
      <c r="AC90" s="25" t="e">
        <f t="shared" si="106"/>
        <v>#DIV/0!</v>
      </c>
      <c r="AD90" s="63" t="e">
        <f t="shared" si="107"/>
        <v>#DIV/0!</v>
      </c>
      <c r="AE90" s="24">
        <f t="shared" si="108"/>
        <v>0</v>
      </c>
    </row>
    <row r="91" spans="1:31" x14ac:dyDescent="0.2">
      <c r="A91" s="75">
        <f t="shared" si="129"/>
        <v>46271</v>
      </c>
      <c r="B91" s="15" t="str">
        <f>$B$16</f>
        <v>NA</v>
      </c>
      <c r="C91" s="15" t="str">
        <f>$C$16</f>
        <v>NA</v>
      </c>
      <c r="D91" s="18">
        <f t="shared" si="109"/>
        <v>0</v>
      </c>
      <c r="E91" s="4">
        <f t="shared" si="110"/>
        <v>0</v>
      </c>
      <c r="F91" s="4"/>
      <c r="G91" s="5" t="e">
        <f t="shared" si="120"/>
        <v>#DIV/0!</v>
      </c>
      <c r="H91" s="4" t="e">
        <f t="shared" si="121"/>
        <v>#DIV/0!</v>
      </c>
      <c r="I91" s="4" t="e">
        <f t="shared" si="122"/>
        <v>#DIV/0!</v>
      </c>
      <c r="J91" s="4">
        <f t="shared" si="123"/>
        <v>0</v>
      </c>
      <c r="K91" s="27">
        <f t="shared" si="124"/>
        <v>0</v>
      </c>
      <c r="L91" s="30">
        <f t="shared" si="125"/>
        <v>0</v>
      </c>
      <c r="M91" s="18"/>
      <c r="N91" s="4"/>
      <c r="O91" s="4"/>
      <c r="P91" s="5" t="e">
        <f t="shared" si="126"/>
        <v>#DIV/0!</v>
      </c>
      <c r="Q91" s="29" t="e">
        <f t="shared" si="127"/>
        <v>#DIV/0!</v>
      </c>
      <c r="R91" s="29" t="e">
        <f t="shared" si="128"/>
        <v>#DIV/0!</v>
      </c>
      <c r="S91" s="1">
        <v>0</v>
      </c>
      <c r="T91" s="1">
        <v>0</v>
      </c>
      <c r="U91" s="24">
        <v>0</v>
      </c>
      <c r="V91" s="25" t="e">
        <f t="shared" si="99"/>
        <v>#DIV/0!</v>
      </c>
      <c r="W91" s="25" t="e">
        <f t="shared" si="100"/>
        <v>#DIV/0!</v>
      </c>
      <c r="X91" s="25" t="e">
        <f t="shared" si="101"/>
        <v>#DIV/0!</v>
      </c>
      <c r="Y91" s="25" t="e">
        <f t="shared" si="102"/>
        <v>#DIV/0!</v>
      </c>
      <c r="Z91" s="25" t="e">
        <f t="shared" si="103"/>
        <v>#DIV/0!</v>
      </c>
      <c r="AA91" s="25" t="e">
        <f t="shared" si="104"/>
        <v>#DIV/0!</v>
      </c>
      <c r="AB91" s="25" t="e">
        <f t="shared" si="105"/>
        <v>#DIV/0!</v>
      </c>
      <c r="AC91" s="25" t="e">
        <f t="shared" si="106"/>
        <v>#DIV/0!</v>
      </c>
      <c r="AD91" s="63" t="e">
        <f t="shared" si="107"/>
        <v>#DIV/0!</v>
      </c>
      <c r="AE91" s="24">
        <f t="shared" si="108"/>
        <v>0</v>
      </c>
    </row>
    <row r="92" spans="1:31" x14ac:dyDescent="0.2">
      <c r="A92" s="75">
        <f t="shared" si="129"/>
        <v>46271</v>
      </c>
      <c r="B92" s="15" t="str">
        <f>$B$17</f>
        <v>NA</v>
      </c>
      <c r="C92" s="15" t="str">
        <f>$C$17</f>
        <v>NA</v>
      </c>
      <c r="D92" s="18">
        <f t="shared" si="109"/>
        <v>0</v>
      </c>
      <c r="E92" s="4">
        <f t="shared" si="110"/>
        <v>0</v>
      </c>
      <c r="F92" s="4"/>
      <c r="G92" s="5" t="e">
        <f t="shared" si="120"/>
        <v>#DIV/0!</v>
      </c>
      <c r="H92" s="4" t="e">
        <f t="shared" si="121"/>
        <v>#DIV/0!</v>
      </c>
      <c r="I92" s="4" t="e">
        <f t="shared" si="122"/>
        <v>#DIV/0!</v>
      </c>
      <c r="J92" s="4">
        <f t="shared" si="123"/>
        <v>0</v>
      </c>
      <c r="K92" s="27">
        <f t="shared" si="124"/>
        <v>0</v>
      </c>
      <c r="L92" s="30">
        <f t="shared" si="125"/>
        <v>0</v>
      </c>
      <c r="M92" s="18"/>
      <c r="N92" s="4"/>
      <c r="O92" s="4"/>
      <c r="P92" s="5" t="e">
        <f t="shared" si="126"/>
        <v>#DIV/0!</v>
      </c>
      <c r="Q92" s="29" t="e">
        <f t="shared" si="127"/>
        <v>#DIV/0!</v>
      </c>
      <c r="R92" s="29" t="e">
        <f t="shared" si="128"/>
        <v>#DIV/0!</v>
      </c>
      <c r="S92" s="1">
        <v>0</v>
      </c>
      <c r="T92" s="1">
        <v>0</v>
      </c>
      <c r="U92" s="24">
        <v>0</v>
      </c>
      <c r="V92" s="25" t="e">
        <f t="shared" si="99"/>
        <v>#DIV/0!</v>
      </c>
      <c r="W92" s="25" t="e">
        <f t="shared" si="100"/>
        <v>#DIV/0!</v>
      </c>
      <c r="X92" s="25" t="e">
        <f t="shared" si="101"/>
        <v>#DIV/0!</v>
      </c>
      <c r="Y92" s="25" t="e">
        <f t="shared" si="102"/>
        <v>#DIV/0!</v>
      </c>
      <c r="Z92" s="25" t="e">
        <f t="shared" si="103"/>
        <v>#DIV/0!</v>
      </c>
      <c r="AA92" s="25" t="e">
        <f t="shared" si="104"/>
        <v>#DIV/0!</v>
      </c>
      <c r="AB92" s="25" t="e">
        <f t="shared" si="105"/>
        <v>#DIV/0!</v>
      </c>
      <c r="AC92" s="25" t="e">
        <f t="shared" si="106"/>
        <v>#DIV/0!</v>
      </c>
      <c r="AD92" s="63" t="e">
        <f t="shared" si="107"/>
        <v>#DIV/0!</v>
      </c>
      <c r="AE92" s="24">
        <f t="shared" si="108"/>
        <v>0</v>
      </c>
    </row>
    <row r="93" spans="1:31" x14ac:dyDescent="0.2">
      <c r="A93" s="75">
        <f t="shared" si="129"/>
        <v>46271</v>
      </c>
      <c r="B93" s="15" t="str">
        <f>$B$18</f>
        <v>NA</v>
      </c>
      <c r="C93" s="15" t="str">
        <f>$C$18</f>
        <v>NA</v>
      </c>
      <c r="D93" s="18">
        <f t="shared" si="109"/>
        <v>0</v>
      </c>
      <c r="E93" s="4">
        <f t="shared" si="110"/>
        <v>0</v>
      </c>
      <c r="F93" s="4"/>
      <c r="G93" s="5" t="e">
        <f t="shared" si="120"/>
        <v>#DIV/0!</v>
      </c>
      <c r="H93" s="4" t="e">
        <f t="shared" si="121"/>
        <v>#DIV/0!</v>
      </c>
      <c r="I93" s="4" t="e">
        <f t="shared" si="122"/>
        <v>#DIV/0!</v>
      </c>
      <c r="J93" s="4">
        <f t="shared" si="123"/>
        <v>0</v>
      </c>
      <c r="K93" s="27">
        <f t="shared" si="124"/>
        <v>0</v>
      </c>
      <c r="L93" s="30">
        <f t="shared" si="125"/>
        <v>0</v>
      </c>
      <c r="M93" s="18"/>
      <c r="N93" s="4"/>
      <c r="O93" s="4"/>
      <c r="P93" s="5" t="e">
        <f t="shared" si="126"/>
        <v>#DIV/0!</v>
      </c>
      <c r="Q93" s="29" t="e">
        <f t="shared" si="127"/>
        <v>#DIV/0!</v>
      </c>
      <c r="R93" s="29" t="e">
        <f t="shared" si="128"/>
        <v>#DIV/0!</v>
      </c>
      <c r="S93" s="1">
        <v>0</v>
      </c>
      <c r="T93" s="1">
        <v>0</v>
      </c>
      <c r="U93" s="24">
        <v>0</v>
      </c>
      <c r="V93" s="25" t="e">
        <f t="shared" si="99"/>
        <v>#DIV/0!</v>
      </c>
      <c r="W93" s="25" t="e">
        <f t="shared" si="100"/>
        <v>#DIV/0!</v>
      </c>
      <c r="X93" s="25" t="e">
        <f t="shared" si="101"/>
        <v>#DIV/0!</v>
      </c>
      <c r="Y93" s="25" t="e">
        <f t="shared" si="102"/>
        <v>#DIV/0!</v>
      </c>
      <c r="Z93" s="25" t="e">
        <f t="shared" si="103"/>
        <v>#DIV/0!</v>
      </c>
      <c r="AA93" s="25" t="e">
        <f t="shared" si="104"/>
        <v>#DIV/0!</v>
      </c>
      <c r="AB93" s="25" t="e">
        <f t="shared" si="105"/>
        <v>#DIV/0!</v>
      </c>
      <c r="AC93" s="25" t="e">
        <f t="shared" si="106"/>
        <v>#DIV/0!</v>
      </c>
      <c r="AD93" s="63" t="e">
        <f t="shared" si="107"/>
        <v>#DIV/0!</v>
      </c>
      <c r="AE93" s="24">
        <f t="shared" si="108"/>
        <v>0</v>
      </c>
    </row>
    <row r="94" spans="1:31" x14ac:dyDescent="0.2">
      <c r="A94" s="75">
        <f t="shared" si="129"/>
        <v>46272</v>
      </c>
      <c r="B94" s="15" t="str">
        <f>$B$4</f>
        <v>DSM</v>
      </c>
      <c r="C94" s="15" t="str">
        <f>$C$4</f>
        <v xml:space="preserve">komal  </v>
      </c>
      <c r="D94" s="18">
        <f t="shared" si="109"/>
        <v>0</v>
      </c>
      <c r="E94" s="4">
        <f t="shared" si="110"/>
        <v>0</v>
      </c>
      <c r="F94" s="4">
        <v>0</v>
      </c>
      <c r="G94" s="5" t="e">
        <f t="shared" si="120"/>
        <v>#DIV/0!</v>
      </c>
      <c r="H94" s="4" t="e">
        <f t="shared" si="121"/>
        <v>#DIV/0!</v>
      </c>
      <c r="I94" s="4" t="e">
        <f t="shared" si="122"/>
        <v>#DIV/0!</v>
      </c>
      <c r="J94" s="4">
        <f t="shared" si="123"/>
        <v>0</v>
      </c>
      <c r="K94" s="27">
        <f t="shared" si="124"/>
        <v>0</v>
      </c>
      <c r="L94" s="30">
        <f t="shared" si="125"/>
        <v>0</v>
      </c>
      <c r="M94" s="18">
        <v>0</v>
      </c>
      <c r="N94" s="4">
        <v>0</v>
      </c>
      <c r="O94" s="4">
        <v>0</v>
      </c>
      <c r="P94" s="5" t="e">
        <f t="shared" si="126"/>
        <v>#DIV/0!</v>
      </c>
      <c r="Q94" s="29" t="e">
        <f t="shared" si="127"/>
        <v>#DIV/0!</v>
      </c>
      <c r="R94" s="29" t="e">
        <f t="shared" si="128"/>
        <v>#DIV/0!</v>
      </c>
      <c r="S94" s="1">
        <v>0</v>
      </c>
      <c r="T94" s="1">
        <v>0</v>
      </c>
      <c r="U94" s="24">
        <v>0</v>
      </c>
      <c r="V94" s="25" t="e">
        <f t="shared" si="99"/>
        <v>#DIV/0!</v>
      </c>
      <c r="W94" s="25" t="e">
        <f t="shared" si="100"/>
        <v>#DIV/0!</v>
      </c>
      <c r="X94" s="25" t="e">
        <f t="shared" si="101"/>
        <v>#DIV/0!</v>
      </c>
      <c r="Y94" s="25" t="e">
        <f t="shared" si="102"/>
        <v>#DIV/0!</v>
      </c>
      <c r="Z94" s="25" t="e">
        <f t="shared" si="103"/>
        <v>#DIV/0!</v>
      </c>
      <c r="AA94" s="25" t="e">
        <f t="shared" si="104"/>
        <v>#DIV/0!</v>
      </c>
      <c r="AB94" s="25" t="e">
        <f t="shared" si="105"/>
        <v>#DIV/0!</v>
      </c>
      <c r="AC94" s="25" t="e">
        <f t="shared" si="106"/>
        <v>#DIV/0!</v>
      </c>
      <c r="AD94" s="63" t="e">
        <f t="shared" si="107"/>
        <v>#DIV/0!</v>
      </c>
      <c r="AE94" s="24">
        <f t="shared" si="108"/>
        <v>0</v>
      </c>
    </row>
    <row r="95" spans="1:31" x14ac:dyDescent="0.2">
      <c r="A95" s="75">
        <f t="shared" si="129"/>
        <v>46272</v>
      </c>
      <c r="B95" s="15" t="str">
        <f>$B$5</f>
        <v>SS</v>
      </c>
      <c r="C95" s="15" t="str">
        <f>$C$5</f>
        <v>Prem</v>
      </c>
      <c r="D95" s="18">
        <f t="shared" si="109"/>
        <v>1.3269717778971848</v>
      </c>
      <c r="E95" s="4">
        <f t="shared" si="110"/>
        <v>3.3134001782108857</v>
      </c>
      <c r="F95" s="4">
        <v>3273.6393760723549</v>
      </c>
      <c r="G95" s="5">
        <f t="shared" si="120"/>
        <v>2.4969635627530367</v>
      </c>
      <c r="H95" s="4">
        <f t="shared" si="121"/>
        <v>2467</v>
      </c>
      <c r="I95" s="4">
        <f t="shared" si="122"/>
        <v>988</v>
      </c>
      <c r="J95" s="4">
        <f t="shared" si="123"/>
        <v>0.10615774223177478</v>
      </c>
      <c r="K95" s="27">
        <f t="shared" si="124"/>
        <v>5.307887111588739E-2</v>
      </c>
      <c r="L95" s="30">
        <f t="shared" si="125"/>
        <v>0.3317429444742962</v>
      </c>
      <c r="M95" s="18">
        <v>4</v>
      </c>
      <c r="N95" s="4">
        <v>5</v>
      </c>
      <c r="O95" s="4">
        <v>1755.4</v>
      </c>
      <c r="P95" s="5">
        <f t="shared" si="126"/>
        <v>1.25</v>
      </c>
      <c r="Q95" s="29">
        <f t="shared" si="127"/>
        <v>438.85</v>
      </c>
      <c r="R95" s="29">
        <f t="shared" si="128"/>
        <v>351.08000000000004</v>
      </c>
      <c r="S95" s="1">
        <v>0</v>
      </c>
      <c r="T95" s="1">
        <v>0</v>
      </c>
      <c r="U95" s="24">
        <v>0</v>
      </c>
      <c r="V95" s="25">
        <f t="shared" si="99"/>
        <v>3.0143821192178546</v>
      </c>
      <c r="W95" s="25">
        <f t="shared" si="100"/>
        <v>1.5090238821378394</v>
      </c>
      <c r="X95" s="25">
        <f t="shared" si="101"/>
        <v>0.53622277787545825</v>
      </c>
      <c r="Y95" s="25">
        <f t="shared" si="102"/>
        <v>0.50060802594244014</v>
      </c>
      <c r="Z95" s="25">
        <f t="shared" si="103"/>
        <v>0.17788812322659101</v>
      </c>
      <c r="AA95" s="25">
        <f t="shared" si="104"/>
        <v>0.35534412955465589</v>
      </c>
      <c r="AB95" s="25">
        <f t="shared" si="105"/>
        <v>0</v>
      </c>
      <c r="AC95" s="25">
        <f t="shared" si="106"/>
        <v>0</v>
      </c>
      <c r="AD95" s="63">
        <f t="shared" si="107"/>
        <v>0</v>
      </c>
      <c r="AE95" s="24">
        <f t="shared" si="108"/>
        <v>1</v>
      </c>
    </row>
    <row r="96" spans="1:31" x14ac:dyDescent="0.2">
      <c r="A96" s="75">
        <f t="shared" si="129"/>
        <v>46272</v>
      </c>
      <c r="B96" s="15" t="str">
        <f>$B$6</f>
        <v>SS</v>
      </c>
      <c r="C96" s="15" t="str">
        <f>$C$6</f>
        <v>Anuj</v>
      </c>
      <c r="D96" s="18">
        <f t="shared" si="109"/>
        <v>1.9904576668457772</v>
      </c>
      <c r="E96" s="4">
        <f t="shared" si="110"/>
        <v>4.9701002673163286</v>
      </c>
      <c r="F96" s="4">
        <v>4910.4590641085324</v>
      </c>
      <c r="G96" s="5">
        <f t="shared" si="120"/>
        <v>2.4969635627530367</v>
      </c>
      <c r="H96" s="4">
        <f t="shared" si="121"/>
        <v>2467</v>
      </c>
      <c r="I96" s="4">
        <f t="shared" si="122"/>
        <v>988</v>
      </c>
      <c r="J96" s="4">
        <f t="shared" si="123"/>
        <v>0.15923661334766218</v>
      </c>
      <c r="K96" s="27">
        <f t="shared" si="124"/>
        <v>7.9618306673831088E-2</v>
      </c>
      <c r="L96" s="30">
        <f t="shared" si="125"/>
        <v>0.4976144167114443</v>
      </c>
      <c r="M96" s="18">
        <v>1</v>
      </c>
      <c r="N96" s="4">
        <v>2</v>
      </c>
      <c r="O96" s="4">
        <v>1758.4</v>
      </c>
      <c r="P96" s="5">
        <f t="shared" si="126"/>
        <v>2</v>
      </c>
      <c r="Q96" s="29">
        <f t="shared" si="127"/>
        <v>1758.4</v>
      </c>
      <c r="R96" s="29">
        <f t="shared" si="128"/>
        <v>879.2</v>
      </c>
      <c r="S96" s="1">
        <v>0</v>
      </c>
      <c r="T96" s="1">
        <v>0</v>
      </c>
      <c r="U96" s="24">
        <v>0</v>
      </c>
      <c r="V96" s="25">
        <f t="shared" si="99"/>
        <v>0.50239701986964236</v>
      </c>
      <c r="W96" s="25">
        <f t="shared" si="100"/>
        <v>0.40240636857009054</v>
      </c>
      <c r="X96" s="25">
        <f t="shared" si="101"/>
        <v>0.35809279275994294</v>
      </c>
      <c r="Y96" s="25">
        <f t="shared" si="102"/>
        <v>0.80097284150790427</v>
      </c>
      <c r="Z96" s="25">
        <f t="shared" si="103"/>
        <v>0.71276854479124452</v>
      </c>
      <c r="AA96" s="25">
        <f t="shared" si="104"/>
        <v>0.88987854251012155</v>
      </c>
      <c r="AB96" s="25">
        <f t="shared" si="105"/>
        <v>0</v>
      </c>
      <c r="AC96" s="25">
        <f t="shared" si="106"/>
        <v>0</v>
      </c>
      <c r="AD96" s="63">
        <f t="shared" si="107"/>
        <v>0</v>
      </c>
      <c r="AE96" s="24">
        <f t="shared" si="108"/>
        <v>1</v>
      </c>
    </row>
    <row r="97" spans="1:31" x14ac:dyDescent="0.2">
      <c r="A97" s="75">
        <f t="shared" si="129"/>
        <v>46272</v>
      </c>
      <c r="B97" s="15" t="str">
        <f>$B$7</f>
        <v>FC</v>
      </c>
      <c r="C97" s="15" t="str">
        <f>$C$7</f>
        <v>Muskan</v>
      </c>
      <c r="D97" s="18">
        <f t="shared" si="109"/>
        <v>6.6348588894859235</v>
      </c>
      <c r="E97" s="4">
        <f t="shared" si="110"/>
        <v>16.567000891054427</v>
      </c>
      <c r="F97" s="4">
        <v>16368.196880361773</v>
      </c>
      <c r="G97" s="5">
        <f t="shared" si="120"/>
        <v>2.4969635627530367</v>
      </c>
      <c r="H97" s="4">
        <f t="shared" si="121"/>
        <v>2467</v>
      </c>
      <c r="I97" s="4">
        <f t="shared" si="122"/>
        <v>988</v>
      </c>
      <c r="J97" s="4">
        <f t="shared" si="123"/>
        <v>0.53078871115887394</v>
      </c>
      <c r="K97" s="27">
        <f t="shared" si="124"/>
        <v>0.26539435557943697</v>
      </c>
      <c r="L97" s="30">
        <f t="shared" si="125"/>
        <v>1.6587147223714809</v>
      </c>
      <c r="M97" s="18">
        <v>7</v>
      </c>
      <c r="N97" s="4">
        <v>9</v>
      </c>
      <c r="O97" s="4">
        <v>16472</v>
      </c>
      <c r="P97" s="5">
        <f t="shared" si="126"/>
        <v>1.2857142857142858</v>
      </c>
      <c r="Q97" s="29">
        <f t="shared" si="127"/>
        <v>2353.1428571428573</v>
      </c>
      <c r="R97" s="29">
        <f t="shared" si="128"/>
        <v>1830.2222222222222</v>
      </c>
      <c r="S97" s="1">
        <v>0</v>
      </c>
      <c r="T97" s="1">
        <v>0</v>
      </c>
      <c r="U97" s="24">
        <v>0</v>
      </c>
      <c r="V97" s="25">
        <f t="shared" si="99"/>
        <v>1.0550337417262492</v>
      </c>
      <c r="W97" s="25">
        <f t="shared" si="100"/>
        <v>0.54324859756962229</v>
      </c>
      <c r="X97" s="25">
        <f t="shared" si="101"/>
        <v>1.0063417565414776</v>
      </c>
      <c r="Y97" s="25">
        <f t="shared" si="102"/>
        <v>0.51491111239793852</v>
      </c>
      <c r="Z97" s="25">
        <f t="shared" si="103"/>
        <v>0.95384793560715742</v>
      </c>
      <c r="AA97" s="25">
        <f t="shared" si="104"/>
        <v>1.8524516419253261</v>
      </c>
      <c r="AB97" s="25">
        <f t="shared" si="105"/>
        <v>0</v>
      </c>
      <c r="AC97" s="25">
        <f t="shared" si="106"/>
        <v>0</v>
      </c>
      <c r="AD97" s="63">
        <f t="shared" si="107"/>
        <v>0</v>
      </c>
      <c r="AE97" s="24">
        <f t="shared" si="108"/>
        <v>1</v>
      </c>
    </row>
    <row r="98" spans="1:31" x14ac:dyDescent="0.2">
      <c r="A98" s="75">
        <f t="shared" si="129"/>
        <v>46272</v>
      </c>
      <c r="B98" s="15" t="str">
        <f>$B$8</f>
        <v>FC</v>
      </c>
      <c r="C98" s="15" t="str">
        <f>$C$8</f>
        <v xml:space="preserve">Kajal  </v>
      </c>
      <c r="D98" s="18">
        <f t="shared" si="109"/>
        <v>1.9904576668457772</v>
      </c>
      <c r="E98" s="4">
        <f t="shared" si="110"/>
        <v>4.9701002673163286</v>
      </c>
      <c r="F98" s="4">
        <v>4910.4590641085324</v>
      </c>
      <c r="G98" s="5">
        <f t="shared" si="120"/>
        <v>2.4969635627530367</v>
      </c>
      <c r="H98" s="4">
        <f t="shared" si="121"/>
        <v>2467</v>
      </c>
      <c r="I98" s="4">
        <f t="shared" si="122"/>
        <v>988</v>
      </c>
      <c r="J98" s="4">
        <f t="shared" si="123"/>
        <v>0.15923661334766218</v>
      </c>
      <c r="K98" s="27">
        <f t="shared" si="124"/>
        <v>7.9618306673831088E-2</v>
      </c>
      <c r="L98" s="30">
        <f t="shared" si="125"/>
        <v>0.4976144167114443</v>
      </c>
      <c r="M98" s="18">
        <v>1</v>
      </c>
      <c r="N98" s="4">
        <v>2</v>
      </c>
      <c r="O98" s="4">
        <v>899</v>
      </c>
      <c r="P98" s="5">
        <f t="shared" si="126"/>
        <v>2</v>
      </c>
      <c r="Q98" s="29">
        <f t="shared" si="127"/>
        <v>899</v>
      </c>
      <c r="R98" s="29">
        <f t="shared" si="128"/>
        <v>449.5</v>
      </c>
      <c r="S98" s="1">
        <v>0</v>
      </c>
      <c r="T98" s="1">
        <v>0</v>
      </c>
      <c r="U98" s="24">
        <v>0</v>
      </c>
      <c r="V98" s="25">
        <f t="shared" si="99"/>
        <v>0.50239701986964236</v>
      </c>
      <c r="W98" s="25">
        <f t="shared" si="100"/>
        <v>0.40240636857009054</v>
      </c>
      <c r="X98" s="25">
        <f t="shared" si="101"/>
        <v>0.18307860594357864</v>
      </c>
      <c r="Y98" s="25">
        <f t="shared" si="102"/>
        <v>0.80097284150790427</v>
      </c>
      <c r="Z98" s="25">
        <f t="shared" si="103"/>
        <v>0.36441021483583297</v>
      </c>
      <c r="AA98" s="25">
        <f t="shared" si="104"/>
        <v>0.45495951417004049</v>
      </c>
      <c r="AB98" s="25">
        <f t="shared" si="105"/>
        <v>0</v>
      </c>
      <c r="AC98" s="25">
        <f t="shared" si="106"/>
        <v>0</v>
      </c>
      <c r="AD98" s="63">
        <f t="shared" si="107"/>
        <v>0</v>
      </c>
      <c r="AE98" s="24">
        <f t="shared" si="108"/>
        <v>1</v>
      </c>
    </row>
    <row r="99" spans="1:31" x14ac:dyDescent="0.2">
      <c r="A99" s="75">
        <f t="shared" si="129"/>
        <v>46272</v>
      </c>
      <c r="B99" s="15" t="str">
        <f>$B$9</f>
        <v>FC</v>
      </c>
      <c r="C99" s="15" t="str">
        <f>$C$9</f>
        <v>Pradeep</v>
      </c>
      <c r="D99" s="18">
        <f t="shared" si="109"/>
        <v>1.9904576668457772</v>
      </c>
      <c r="E99" s="4">
        <f t="shared" si="110"/>
        <v>4.9701002673163286</v>
      </c>
      <c r="F99" s="4">
        <v>4910.4590641085324</v>
      </c>
      <c r="G99" s="5">
        <f t="shared" si="120"/>
        <v>2.4969635627530367</v>
      </c>
      <c r="H99" s="4">
        <f t="shared" si="121"/>
        <v>2467</v>
      </c>
      <c r="I99" s="4">
        <f t="shared" si="122"/>
        <v>988</v>
      </c>
      <c r="J99" s="4">
        <f t="shared" si="123"/>
        <v>0.15923661334766218</v>
      </c>
      <c r="K99" s="27">
        <f t="shared" si="124"/>
        <v>7.9618306673831088E-2</v>
      </c>
      <c r="L99" s="30">
        <f t="shared" si="125"/>
        <v>0.4976144167114443</v>
      </c>
      <c r="M99" s="18">
        <v>1</v>
      </c>
      <c r="N99" s="4">
        <v>6</v>
      </c>
      <c r="O99" s="4">
        <v>227</v>
      </c>
      <c r="P99" s="5">
        <f t="shared" si="126"/>
        <v>6</v>
      </c>
      <c r="Q99" s="29">
        <f t="shared" si="127"/>
        <v>227</v>
      </c>
      <c r="R99" s="29">
        <f t="shared" si="128"/>
        <v>37.833333333333336</v>
      </c>
      <c r="S99" s="1">
        <v>0</v>
      </c>
      <c r="T99" s="1">
        <v>0</v>
      </c>
      <c r="U99" s="24">
        <v>0</v>
      </c>
      <c r="V99" s="25">
        <f t="shared" si="99"/>
        <v>0.50239701986964236</v>
      </c>
      <c r="W99" s="25">
        <f t="shared" si="100"/>
        <v>1.2072191057102717</v>
      </c>
      <c r="X99" s="25">
        <f t="shared" si="101"/>
        <v>4.6227857118122752E-2</v>
      </c>
      <c r="Y99" s="25">
        <f t="shared" si="102"/>
        <v>2.402918524523713</v>
      </c>
      <c r="Z99" s="25">
        <f t="shared" si="103"/>
        <v>9.201459262261856E-2</v>
      </c>
      <c r="AA99" s="25">
        <f t="shared" si="104"/>
        <v>3.829284750337382E-2</v>
      </c>
      <c r="AB99" s="25">
        <f t="shared" si="105"/>
        <v>0</v>
      </c>
      <c r="AC99" s="25">
        <f t="shared" si="106"/>
        <v>0</v>
      </c>
      <c r="AD99" s="63">
        <f t="shared" si="107"/>
        <v>0</v>
      </c>
      <c r="AE99" s="24">
        <f t="shared" si="108"/>
        <v>1</v>
      </c>
    </row>
    <row r="100" spans="1:31" x14ac:dyDescent="0.2">
      <c r="A100" s="75">
        <f t="shared" si="129"/>
        <v>46272</v>
      </c>
      <c r="B100" s="15" t="str">
        <f>$B$10</f>
        <v>FC</v>
      </c>
      <c r="C100" s="15" t="str">
        <f>$C$10</f>
        <v>Aftab</v>
      </c>
      <c r="D100" s="18">
        <f t="shared" si="109"/>
        <v>1.9904576668457772</v>
      </c>
      <c r="E100" s="4">
        <f t="shared" si="110"/>
        <v>4.9701002673163286</v>
      </c>
      <c r="F100" s="4">
        <v>4910.4590641085324</v>
      </c>
      <c r="G100" s="5">
        <f t="shared" si="120"/>
        <v>2.4969635627530367</v>
      </c>
      <c r="H100" s="4">
        <f t="shared" si="121"/>
        <v>2467</v>
      </c>
      <c r="I100" s="4">
        <f t="shared" si="122"/>
        <v>988</v>
      </c>
      <c r="J100" s="4">
        <f t="shared" si="123"/>
        <v>0.15923661334766218</v>
      </c>
      <c r="K100" s="27">
        <f t="shared" si="124"/>
        <v>7.9618306673831088E-2</v>
      </c>
      <c r="L100" s="30">
        <f t="shared" si="125"/>
        <v>0.4976144167114443</v>
      </c>
      <c r="M100" s="18">
        <v>2</v>
      </c>
      <c r="N100" s="4">
        <v>2</v>
      </c>
      <c r="O100" s="4">
        <v>1918</v>
      </c>
      <c r="P100" s="5">
        <f t="shared" si="126"/>
        <v>1</v>
      </c>
      <c r="Q100" s="29">
        <f t="shared" si="127"/>
        <v>959</v>
      </c>
      <c r="R100" s="29">
        <f t="shared" si="128"/>
        <v>959</v>
      </c>
      <c r="S100" s="1">
        <v>0</v>
      </c>
      <c r="T100" s="1">
        <v>0</v>
      </c>
      <c r="U100" s="24">
        <v>0</v>
      </c>
      <c r="V100" s="25">
        <f t="shared" si="99"/>
        <v>1.0047940397392847</v>
      </c>
      <c r="W100" s="25">
        <f t="shared" si="100"/>
        <v>0.40240636857009054</v>
      </c>
      <c r="X100" s="25">
        <f t="shared" si="101"/>
        <v>0.39059484560598873</v>
      </c>
      <c r="Y100" s="25">
        <f t="shared" si="102"/>
        <v>0.40048642075395213</v>
      </c>
      <c r="Z100" s="25">
        <f t="shared" si="103"/>
        <v>0.38873125253344143</v>
      </c>
      <c r="AA100" s="25">
        <f t="shared" si="104"/>
        <v>0.97064777327935226</v>
      </c>
      <c r="AB100" s="25">
        <f t="shared" si="105"/>
        <v>0</v>
      </c>
      <c r="AC100" s="25">
        <f t="shared" si="106"/>
        <v>0</v>
      </c>
      <c r="AD100" s="63">
        <f t="shared" si="107"/>
        <v>0</v>
      </c>
      <c r="AE100" s="24">
        <f t="shared" si="108"/>
        <v>1</v>
      </c>
    </row>
    <row r="101" spans="1:31" x14ac:dyDescent="0.2">
      <c r="A101" s="75">
        <f t="shared" si="129"/>
        <v>46272</v>
      </c>
      <c r="B101" s="15" t="str">
        <f>$B$11</f>
        <v>FC</v>
      </c>
      <c r="C101" s="15" t="str">
        <f>$C$11</f>
        <v>Khushi</v>
      </c>
      <c r="D101" s="18">
        <f t="shared" si="109"/>
        <v>0</v>
      </c>
      <c r="E101" s="4">
        <f t="shared" si="110"/>
        <v>0</v>
      </c>
      <c r="F101" s="4">
        <v>0</v>
      </c>
      <c r="G101" s="5" t="e">
        <f t="shared" si="120"/>
        <v>#DIV/0!</v>
      </c>
      <c r="H101" s="4" t="e">
        <f t="shared" si="121"/>
        <v>#DIV/0!</v>
      </c>
      <c r="I101" s="4" t="e">
        <f t="shared" si="122"/>
        <v>#DIV/0!</v>
      </c>
      <c r="J101" s="4">
        <f t="shared" si="123"/>
        <v>0</v>
      </c>
      <c r="K101" s="27">
        <f t="shared" si="124"/>
        <v>0</v>
      </c>
      <c r="L101" s="30">
        <f t="shared" si="125"/>
        <v>0</v>
      </c>
      <c r="M101" s="18">
        <v>0</v>
      </c>
      <c r="N101" s="4">
        <v>0</v>
      </c>
      <c r="O101" s="4">
        <v>0</v>
      </c>
      <c r="P101" s="5" t="e">
        <f t="shared" si="126"/>
        <v>#DIV/0!</v>
      </c>
      <c r="Q101" s="29" t="e">
        <f t="shared" si="127"/>
        <v>#DIV/0!</v>
      </c>
      <c r="R101" s="29" t="e">
        <f t="shared" si="128"/>
        <v>#DIV/0!</v>
      </c>
      <c r="S101" s="1">
        <v>0</v>
      </c>
      <c r="T101" s="1">
        <v>0</v>
      </c>
      <c r="U101" s="24">
        <v>0</v>
      </c>
      <c r="V101" s="25" t="e">
        <f t="shared" si="99"/>
        <v>#DIV/0!</v>
      </c>
      <c r="W101" s="25" t="e">
        <f t="shared" si="100"/>
        <v>#DIV/0!</v>
      </c>
      <c r="X101" s="25" t="e">
        <f t="shared" si="101"/>
        <v>#DIV/0!</v>
      </c>
      <c r="Y101" s="25" t="e">
        <f t="shared" si="102"/>
        <v>#DIV/0!</v>
      </c>
      <c r="Z101" s="25" t="e">
        <f t="shared" si="103"/>
        <v>#DIV/0!</v>
      </c>
      <c r="AA101" s="25" t="e">
        <f t="shared" si="104"/>
        <v>#DIV/0!</v>
      </c>
      <c r="AB101" s="25" t="e">
        <f t="shared" si="105"/>
        <v>#DIV/0!</v>
      </c>
      <c r="AC101" s="25" t="e">
        <f t="shared" si="106"/>
        <v>#DIV/0!</v>
      </c>
      <c r="AD101" s="63" t="e">
        <f t="shared" si="107"/>
        <v>#DIV/0!</v>
      </c>
      <c r="AE101" s="24">
        <f t="shared" si="108"/>
        <v>0</v>
      </c>
    </row>
    <row r="102" spans="1:31" x14ac:dyDescent="0.2">
      <c r="A102" s="75">
        <f t="shared" si="129"/>
        <v>46272</v>
      </c>
      <c r="B102" s="15" t="str">
        <f>$B$12</f>
        <v>FC</v>
      </c>
      <c r="C102" s="15" t="str">
        <f>$C$12</f>
        <v>Kishan</v>
      </c>
      <c r="D102" s="18">
        <f t="shared" si="109"/>
        <v>0</v>
      </c>
      <c r="E102" s="4">
        <f t="shared" si="110"/>
        <v>0</v>
      </c>
      <c r="F102" s="4">
        <v>0</v>
      </c>
      <c r="G102" s="5" t="e">
        <f t="shared" si="120"/>
        <v>#DIV/0!</v>
      </c>
      <c r="H102" s="4" t="e">
        <f t="shared" si="121"/>
        <v>#DIV/0!</v>
      </c>
      <c r="I102" s="4" t="e">
        <f t="shared" si="122"/>
        <v>#DIV/0!</v>
      </c>
      <c r="J102" s="4">
        <f t="shared" si="123"/>
        <v>0</v>
      </c>
      <c r="K102" s="27">
        <f t="shared" si="124"/>
        <v>0</v>
      </c>
      <c r="L102" s="30">
        <f t="shared" si="125"/>
        <v>0</v>
      </c>
      <c r="M102" s="18">
        <v>0</v>
      </c>
      <c r="N102" s="4">
        <v>0</v>
      </c>
      <c r="O102" s="4">
        <v>0</v>
      </c>
      <c r="P102" s="5" t="e">
        <f t="shared" si="126"/>
        <v>#DIV/0!</v>
      </c>
      <c r="Q102" s="29" t="e">
        <f t="shared" si="127"/>
        <v>#DIV/0!</v>
      </c>
      <c r="R102" s="29" t="e">
        <f t="shared" si="128"/>
        <v>#DIV/0!</v>
      </c>
      <c r="S102" s="1">
        <v>0</v>
      </c>
      <c r="T102" s="1">
        <v>0</v>
      </c>
      <c r="U102" s="24">
        <v>0</v>
      </c>
      <c r="V102" s="25" t="e">
        <f t="shared" si="99"/>
        <v>#DIV/0!</v>
      </c>
      <c r="W102" s="25" t="e">
        <f t="shared" si="100"/>
        <v>#DIV/0!</v>
      </c>
      <c r="X102" s="25" t="e">
        <f t="shared" si="101"/>
        <v>#DIV/0!</v>
      </c>
      <c r="Y102" s="25" t="e">
        <f t="shared" si="102"/>
        <v>#DIV/0!</v>
      </c>
      <c r="Z102" s="25" t="e">
        <f t="shared" si="103"/>
        <v>#DIV/0!</v>
      </c>
      <c r="AA102" s="25" t="e">
        <f t="shared" si="104"/>
        <v>#DIV/0!</v>
      </c>
      <c r="AB102" s="25" t="e">
        <f t="shared" si="105"/>
        <v>#DIV/0!</v>
      </c>
      <c r="AC102" s="25" t="e">
        <f t="shared" si="106"/>
        <v>#DIV/0!</v>
      </c>
      <c r="AD102" s="63" t="e">
        <f t="shared" si="107"/>
        <v>#DIV/0!</v>
      </c>
      <c r="AE102" s="24">
        <f t="shared" si="108"/>
        <v>0</v>
      </c>
    </row>
    <row r="103" spans="1:31" x14ac:dyDescent="0.2">
      <c r="A103" s="75">
        <f t="shared" si="129"/>
        <v>46272</v>
      </c>
      <c r="B103" s="15" t="str">
        <f>$B$13</f>
        <v>Partner</v>
      </c>
      <c r="C103" s="15" t="str">
        <f>$C$13</f>
        <v>Rahul</v>
      </c>
      <c r="D103" s="18">
        <f t="shared" si="109"/>
        <v>4.6444012226401465</v>
      </c>
      <c r="E103" s="4">
        <f t="shared" si="110"/>
        <v>11.596900623738099</v>
      </c>
      <c r="F103" s="4">
        <v>11457.737816253242</v>
      </c>
      <c r="G103" s="5">
        <f t="shared" si="120"/>
        <v>2.4969635627530367</v>
      </c>
      <c r="H103" s="4">
        <f t="shared" si="121"/>
        <v>2467</v>
      </c>
      <c r="I103" s="4">
        <f t="shared" si="122"/>
        <v>988</v>
      </c>
      <c r="J103" s="4">
        <f t="shared" si="123"/>
        <v>0.37155209781121173</v>
      </c>
      <c r="K103" s="27">
        <f t="shared" si="124"/>
        <v>0.18577604890560587</v>
      </c>
      <c r="L103" s="30">
        <f t="shared" si="125"/>
        <v>1.1611003056600366</v>
      </c>
      <c r="M103" s="18">
        <v>3</v>
      </c>
      <c r="N103" s="4">
        <v>3</v>
      </c>
      <c r="O103" s="4">
        <v>1796.5</v>
      </c>
      <c r="P103" s="5">
        <f t="shared" si="126"/>
        <v>1</v>
      </c>
      <c r="Q103" s="29">
        <f t="shared" si="127"/>
        <v>598.83333333333337</v>
      </c>
      <c r="R103" s="29">
        <f t="shared" si="128"/>
        <v>598.83333333333337</v>
      </c>
      <c r="S103" s="1">
        <v>0</v>
      </c>
      <c r="T103" s="1">
        <v>0</v>
      </c>
      <c r="U103" s="24">
        <v>0</v>
      </c>
      <c r="V103" s="25">
        <f t="shared" si="99"/>
        <v>0.64593902554668314</v>
      </c>
      <c r="W103" s="25">
        <f t="shared" si="100"/>
        <v>0.25868980836648681</v>
      </c>
      <c r="X103" s="25">
        <f t="shared" si="101"/>
        <v>0.15679360348528795</v>
      </c>
      <c r="Y103" s="25">
        <f t="shared" si="102"/>
        <v>0.40048642075395213</v>
      </c>
      <c r="Z103" s="25">
        <f t="shared" si="103"/>
        <v>0.24273746790974193</v>
      </c>
      <c r="AA103" s="25">
        <f t="shared" si="104"/>
        <v>0.6061066126855601</v>
      </c>
      <c r="AB103" s="25">
        <f t="shared" si="105"/>
        <v>0</v>
      </c>
      <c r="AC103" s="25">
        <f t="shared" si="106"/>
        <v>0</v>
      </c>
      <c r="AD103" s="63">
        <f t="shared" si="107"/>
        <v>0</v>
      </c>
      <c r="AE103" s="24">
        <f t="shared" si="108"/>
        <v>1</v>
      </c>
    </row>
    <row r="104" spans="1:31" x14ac:dyDescent="0.2">
      <c r="A104" s="75">
        <f t="shared" si="129"/>
        <v>46272</v>
      </c>
      <c r="B104" s="15" t="str">
        <f>$B$14</f>
        <v>Partner</v>
      </c>
      <c r="C104" s="15" t="str">
        <f>$C$14</f>
        <v>Prince</v>
      </c>
      <c r="D104" s="18">
        <f t="shared" si="109"/>
        <v>4.6444012226401465</v>
      </c>
      <c r="E104" s="4">
        <f t="shared" si="110"/>
        <v>11.596900623738099</v>
      </c>
      <c r="F104" s="4">
        <v>11457.737816253242</v>
      </c>
      <c r="G104" s="5">
        <f t="shared" si="120"/>
        <v>2.4969635627530367</v>
      </c>
      <c r="H104" s="4">
        <f t="shared" si="121"/>
        <v>2467</v>
      </c>
      <c r="I104" s="4">
        <f t="shared" si="122"/>
        <v>988</v>
      </c>
      <c r="J104" s="4">
        <f t="shared" si="123"/>
        <v>0.37155209781121173</v>
      </c>
      <c r="K104" s="27">
        <f t="shared" si="124"/>
        <v>0.18577604890560587</v>
      </c>
      <c r="L104" s="30">
        <f t="shared" si="125"/>
        <v>1.1611003056600366</v>
      </c>
      <c r="M104" s="18">
        <v>2</v>
      </c>
      <c r="N104" s="4">
        <v>5</v>
      </c>
      <c r="O104" s="4">
        <v>8316.2999999999993</v>
      </c>
      <c r="P104" s="5">
        <f t="shared" si="126"/>
        <v>2.5</v>
      </c>
      <c r="Q104" s="29">
        <f t="shared" si="127"/>
        <v>4158.1499999999996</v>
      </c>
      <c r="R104" s="29">
        <f t="shared" si="128"/>
        <v>1663.2599999999998</v>
      </c>
      <c r="S104" s="1">
        <v>0</v>
      </c>
      <c r="T104" s="1">
        <v>0</v>
      </c>
      <c r="U104" s="24">
        <v>0</v>
      </c>
      <c r="V104" s="25">
        <f t="shared" si="99"/>
        <v>0.43062601703112208</v>
      </c>
      <c r="W104" s="25">
        <f t="shared" si="100"/>
        <v>0.43114968061081133</v>
      </c>
      <c r="X104" s="25">
        <f t="shared" si="101"/>
        <v>0.72582390462827728</v>
      </c>
      <c r="Y104" s="25">
        <f t="shared" si="102"/>
        <v>1.0012160518848803</v>
      </c>
      <c r="Z104" s="25">
        <f t="shared" si="103"/>
        <v>1.6855087150385082</v>
      </c>
      <c r="AA104" s="25">
        <f t="shared" si="104"/>
        <v>1.6834615384615381</v>
      </c>
      <c r="AB104" s="25">
        <f t="shared" si="105"/>
        <v>0</v>
      </c>
      <c r="AC104" s="25">
        <f t="shared" si="106"/>
        <v>0</v>
      </c>
      <c r="AD104" s="63">
        <f t="shared" si="107"/>
        <v>0</v>
      </c>
      <c r="AE104" s="24">
        <f t="shared" si="108"/>
        <v>1</v>
      </c>
    </row>
    <row r="105" spans="1:31" x14ac:dyDescent="0.2">
      <c r="A105" s="75">
        <f t="shared" si="129"/>
        <v>46272</v>
      </c>
      <c r="B105" s="15" t="str">
        <f>$B$15</f>
        <v>Partner</v>
      </c>
      <c r="C105" s="15" t="str">
        <f>$C$15</f>
        <v>Kunal</v>
      </c>
      <c r="D105" s="18">
        <f t="shared" si="109"/>
        <v>4.6444012226401465</v>
      </c>
      <c r="E105" s="4">
        <f t="shared" si="110"/>
        <v>11.596900623738099</v>
      </c>
      <c r="F105" s="4">
        <v>11457.737816253242</v>
      </c>
      <c r="G105" s="5">
        <f t="shared" si="120"/>
        <v>2.4969635627530367</v>
      </c>
      <c r="H105" s="4">
        <f t="shared" si="121"/>
        <v>2467</v>
      </c>
      <c r="I105" s="4">
        <f t="shared" si="122"/>
        <v>988</v>
      </c>
      <c r="J105" s="4">
        <f t="shared" si="123"/>
        <v>0.37155209781121173</v>
      </c>
      <c r="K105" s="27">
        <f t="shared" si="124"/>
        <v>0.18577604890560587</v>
      </c>
      <c r="L105" s="30">
        <f t="shared" si="125"/>
        <v>1.1611003056600366</v>
      </c>
      <c r="M105" s="18">
        <v>1</v>
      </c>
      <c r="N105" s="4">
        <v>1</v>
      </c>
      <c r="O105" s="4">
        <v>6399</v>
      </c>
      <c r="P105" s="5">
        <f t="shared" si="126"/>
        <v>1</v>
      </c>
      <c r="Q105" s="29">
        <f t="shared" si="127"/>
        <v>6399</v>
      </c>
      <c r="R105" s="29">
        <f t="shared" si="128"/>
        <v>6399</v>
      </c>
      <c r="S105" s="1">
        <v>0</v>
      </c>
      <c r="T105" s="1">
        <v>0</v>
      </c>
      <c r="U105" s="24">
        <v>0</v>
      </c>
      <c r="V105" s="25">
        <f t="shared" si="99"/>
        <v>0.21531300851556104</v>
      </c>
      <c r="W105" s="25">
        <f t="shared" si="100"/>
        <v>8.622993612216226E-2</v>
      </c>
      <c r="X105" s="25">
        <f t="shared" si="101"/>
        <v>0.55848720773857929</v>
      </c>
      <c r="Y105" s="25">
        <f t="shared" si="102"/>
        <v>0.40048642075395213</v>
      </c>
      <c r="Z105" s="25">
        <f t="shared" si="103"/>
        <v>2.593838670449939</v>
      </c>
      <c r="AA105" s="25">
        <f t="shared" si="104"/>
        <v>6.4767206477732797</v>
      </c>
      <c r="AB105" s="25">
        <f t="shared" si="105"/>
        <v>0</v>
      </c>
      <c r="AC105" s="25">
        <f t="shared" si="106"/>
        <v>0</v>
      </c>
      <c r="AD105" s="63">
        <f t="shared" si="107"/>
        <v>0</v>
      </c>
      <c r="AE105" s="24">
        <f t="shared" si="108"/>
        <v>1</v>
      </c>
    </row>
    <row r="106" spans="1:31" x14ac:dyDescent="0.2">
      <c r="A106" s="75">
        <f t="shared" si="129"/>
        <v>46272</v>
      </c>
      <c r="B106" s="15" t="str">
        <f>$B$16</f>
        <v>NA</v>
      </c>
      <c r="C106" s="15" t="str">
        <f>$C$16</f>
        <v>NA</v>
      </c>
      <c r="D106" s="18">
        <f t="shared" si="109"/>
        <v>0</v>
      </c>
      <c r="E106" s="4">
        <f t="shared" si="110"/>
        <v>0</v>
      </c>
      <c r="F106" s="4">
        <v>0</v>
      </c>
      <c r="G106" s="5" t="e">
        <f t="shared" si="120"/>
        <v>#DIV/0!</v>
      </c>
      <c r="H106" s="4" t="e">
        <f t="shared" si="121"/>
        <v>#DIV/0!</v>
      </c>
      <c r="I106" s="4" t="e">
        <f t="shared" si="122"/>
        <v>#DIV/0!</v>
      </c>
      <c r="J106" s="4">
        <f t="shared" si="123"/>
        <v>0</v>
      </c>
      <c r="K106" s="27">
        <f t="shared" si="124"/>
        <v>0</v>
      </c>
      <c r="L106" s="30">
        <f t="shared" si="125"/>
        <v>0</v>
      </c>
      <c r="M106" s="18">
        <v>2</v>
      </c>
      <c r="N106" s="4">
        <v>0</v>
      </c>
      <c r="O106" s="4">
        <v>-620</v>
      </c>
      <c r="P106" s="5">
        <f t="shared" si="126"/>
        <v>0</v>
      </c>
      <c r="Q106" s="29">
        <f t="shared" si="127"/>
        <v>-310</v>
      </c>
      <c r="R106" s="29" t="e">
        <f t="shared" si="128"/>
        <v>#DIV/0!</v>
      </c>
      <c r="S106" s="1">
        <v>0</v>
      </c>
      <c r="T106" s="1">
        <v>0</v>
      </c>
      <c r="U106" s="24">
        <v>0</v>
      </c>
      <c r="V106" s="25" t="e">
        <f t="shared" si="99"/>
        <v>#DIV/0!</v>
      </c>
      <c r="W106" s="25" t="e">
        <f t="shared" si="100"/>
        <v>#DIV/0!</v>
      </c>
      <c r="X106" s="25" t="e">
        <f t="shared" si="101"/>
        <v>#DIV/0!</v>
      </c>
      <c r="Y106" s="25" t="e">
        <f t="shared" si="102"/>
        <v>#DIV/0!</v>
      </c>
      <c r="Z106" s="25" t="e">
        <f t="shared" si="103"/>
        <v>#DIV/0!</v>
      </c>
      <c r="AA106" s="25" t="e">
        <f t="shared" si="104"/>
        <v>#DIV/0!</v>
      </c>
      <c r="AB106" s="25" t="e">
        <f t="shared" si="105"/>
        <v>#DIV/0!</v>
      </c>
      <c r="AC106" s="25" t="e">
        <f t="shared" si="106"/>
        <v>#DIV/0!</v>
      </c>
      <c r="AD106" s="63" t="e">
        <f t="shared" si="107"/>
        <v>#DIV/0!</v>
      </c>
      <c r="AE106" s="24">
        <f t="shared" si="108"/>
        <v>0</v>
      </c>
    </row>
    <row r="107" spans="1:31" x14ac:dyDescent="0.2">
      <c r="A107" s="75">
        <f t="shared" si="129"/>
        <v>46272</v>
      </c>
      <c r="B107" s="15" t="str">
        <f>$B$17</f>
        <v>NA</v>
      </c>
      <c r="C107" s="15" t="str">
        <f>$C$17</f>
        <v>NA</v>
      </c>
      <c r="D107" s="18">
        <f t="shared" si="109"/>
        <v>0</v>
      </c>
      <c r="E107" s="4">
        <f t="shared" si="110"/>
        <v>0</v>
      </c>
      <c r="F107" s="4">
        <v>0</v>
      </c>
      <c r="G107" s="5" t="e">
        <f t="shared" si="120"/>
        <v>#DIV/0!</v>
      </c>
      <c r="H107" s="4" t="e">
        <f t="shared" si="121"/>
        <v>#DIV/0!</v>
      </c>
      <c r="I107" s="4" t="e">
        <f t="shared" si="122"/>
        <v>#DIV/0!</v>
      </c>
      <c r="J107" s="4">
        <f t="shared" si="123"/>
        <v>0</v>
      </c>
      <c r="K107" s="27">
        <f t="shared" si="124"/>
        <v>0</v>
      </c>
      <c r="L107" s="30">
        <f t="shared" si="125"/>
        <v>0</v>
      </c>
      <c r="M107" s="18">
        <v>0</v>
      </c>
      <c r="N107" s="4">
        <v>0</v>
      </c>
      <c r="O107" s="4">
        <v>0</v>
      </c>
      <c r="P107" s="5" t="e">
        <f t="shared" si="126"/>
        <v>#DIV/0!</v>
      </c>
      <c r="Q107" s="29" t="e">
        <f t="shared" si="127"/>
        <v>#DIV/0!</v>
      </c>
      <c r="R107" s="29" t="e">
        <f t="shared" si="128"/>
        <v>#DIV/0!</v>
      </c>
      <c r="S107" s="1">
        <v>0</v>
      </c>
      <c r="T107" s="1">
        <v>0</v>
      </c>
      <c r="U107" s="24">
        <v>0</v>
      </c>
      <c r="V107" s="25" t="e">
        <f t="shared" si="99"/>
        <v>#DIV/0!</v>
      </c>
      <c r="W107" s="25" t="e">
        <f t="shared" si="100"/>
        <v>#DIV/0!</v>
      </c>
      <c r="X107" s="25" t="e">
        <f t="shared" si="101"/>
        <v>#DIV/0!</v>
      </c>
      <c r="Y107" s="25" t="e">
        <f t="shared" si="102"/>
        <v>#DIV/0!</v>
      </c>
      <c r="Z107" s="25" t="e">
        <f t="shared" si="103"/>
        <v>#DIV/0!</v>
      </c>
      <c r="AA107" s="25" t="e">
        <f t="shared" si="104"/>
        <v>#DIV/0!</v>
      </c>
      <c r="AB107" s="25" t="e">
        <f t="shared" si="105"/>
        <v>#DIV/0!</v>
      </c>
      <c r="AC107" s="25" t="e">
        <f t="shared" si="106"/>
        <v>#DIV/0!</v>
      </c>
      <c r="AD107" s="63" t="e">
        <f t="shared" si="107"/>
        <v>#DIV/0!</v>
      </c>
      <c r="AE107" s="24">
        <f t="shared" si="108"/>
        <v>0</v>
      </c>
    </row>
    <row r="108" spans="1:31" x14ac:dyDescent="0.2">
      <c r="A108" s="75">
        <f t="shared" si="129"/>
        <v>46272</v>
      </c>
      <c r="B108" s="15" t="str">
        <f>$B$18</f>
        <v>NA</v>
      </c>
      <c r="C108" s="15" t="str">
        <f>$C$18</f>
        <v>NA</v>
      </c>
      <c r="D108" s="18">
        <f t="shared" si="109"/>
        <v>0</v>
      </c>
      <c r="E108" s="4">
        <f t="shared" si="110"/>
        <v>0</v>
      </c>
      <c r="F108" s="4">
        <v>0</v>
      </c>
      <c r="G108" s="5" t="e">
        <f t="shared" si="120"/>
        <v>#DIV/0!</v>
      </c>
      <c r="H108" s="4" t="e">
        <f t="shared" si="121"/>
        <v>#DIV/0!</v>
      </c>
      <c r="I108" s="4" t="e">
        <f t="shared" si="122"/>
        <v>#DIV/0!</v>
      </c>
      <c r="J108" s="4">
        <f t="shared" si="123"/>
        <v>0</v>
      </c>
      <c r="K108" s="27">
        <f t="shared" si="124"/>
        <v>0</v>
      </c>
      <c r="L108" s="30">
        <f t="shared" si="125"/>
        <v>0</v>
      </c>
      <c r="M108" s="18">
        <v>0</v>
      </c>
      <c r="N108" s="4">
        <v>0</v>
      </c>
      <c r="O108" s="4">
        <v>0</v>
      </c>
      <c r="P108" s="5" t="e">
        <f t="shared" si="126"/>
        <v>#DIV/0!</v>
      </c>
      <c r="Q108" s="29" t="e">
        <f t="shared" si="127"/>
        <v>#DIV/0!</v>
      </c>
      <c r="R108" s="29" t="e">
        <f t="shared" si="128"/>
        <v>#DIV/0!</v>
      </c>
      <c r="S108" s="1">
        <v>0</v>
      </c>
      <c r="T108" s="1">
        <v>0</v>
      </c>
      <c r="U108" s="24">
        <v>0</v>
      </c>
      <c r="V108" s="25" t="e">
        <f t="shared" si="99"/>
        <v>#DIV/0!</v>
      </c>
      <c r="W108" s="25" t="e">
        <f t="shared" si="100"/>
        <v>#DIV/0!</v>
      </c>
      <c r="X108" s="25" t="e">
        <f t="shared" si="101"/>
        <v>#DIV/0!</v>
      </c>
      <c r="Y108" s="25" t="e">
        <f t="shared" si="102"/>
        <v>#DIV/0!</v>
      </c>
      <c r="Z108" s="25" t="e">
        <f t="shared" si="103"/>
        <v>#DIV/0!</v>
      </c>
      <c r="AA108" s="25" t="e">
        <f t="shared" si="104"/>
        <v>#DIV/0!</v>
      </c>
      <c r="AB108" s="25" t="e">
        <f t="shared" si="105"/>
        <v>#DIV/0!</v>
      </c>
      <c r="AC108" s="25" t="e">
        <f t="shared" si="106"/>
        <v>#DIV/0!</v>
      </c>
      <c r="AD108" s="63" t="e">
        <f t="shared" si="107"/>
        <v>#DIV/0!</v>
      </c>
      <c r="AE108" s="24">
        <f t="shared" si="108"/>
        <v>0</v>
      </c>
    </row>
    <row r="109" spans="1:31" x14ac:dyDescent="0.2">
      <c r="A109" s="75">
        <f t="shared" si="129"/>
        <v>46273</v>
      </c>
      <c r="B109" s="15" t="str">
        <f>$B$4</f>
        <v>DSM</v>
      </c>
      <c r="C109" s="15" t="str">
        <f>$C$4</f>
        <v xml:space="preserve">komal  </v>
      </c>
      <c r="D109" s="18">
        <f t="shared" si="109"/>
        <v>0</v>
      </c>
      <c r="E109" s="4">
        <f t="shared" si="110"/>
        <v>0</v>
      </c>
      <c r="F109" s="4">
        <v>0</v>
      </c>
      <c r="G109" s="5" t="e">
        <f t="shared" si="120"/>
        <v>#DIV/0!</v>
      </c>
      <c r="H109" s="4" t="e">
        <f t="shared" si="121"/>
        <v>#DIV/0!</v>
      </c>
      <c r="I109" s="4" t="e">
        <f t="shared" si="122"/>
        <v>#DIV/0!</v>
      </c>
      <c r="J109" s="4">
        <f t="shared" si="123"/>
        <v>0</v>
      </c>
      <c r="K109" s="27">
        <f t="shared" si="124"/>
        <v>0</v>
      </c>
      <c r="L109" s="30">
        <f t="shared" si="125"/>
        <v>0</v>
      </c>
      <c r="M109" s="18">
        <v>0</v>
      </c>
      <c r="N109" s="4">
        <v>0</v>
      </c>
      <c r="O109" s="4">
        <v>0</v>
      </c>
      <c r="P109" s="5" t="e">
        <f t="shared" si="126"/>
        <v>#DIV/0!</v>
      </c>
      <c r="Q109" s="29" t="e">
        <f t="shared" si="127"/>
        <v>#DIV/0!</v>
      </c>
      <c r="R109" s="29" t="e">
        <f t="shared" si="128"/>
        <v>#DIV/0!</v>
      </c>
      <c r="S109" s="1">
        <v>0</v>
      </c>
      <c r="T109" s="1">
        <v>0</v>
      </c>
      <c r="U109" s="24">
        <v>0</v>
      </c>
      <c r="V109" s="25" t="e">
        <f t="shared" si="99"/>
        <v>#DIV/0!</v>
      </c>
      <c r="W109" s="25" t="e">
        <f t="shared" si="100"/>
        <v>#DIV/0!</v>
      </c>
      <c r="X109" s="25" t="e">
        <f t="shared" si="101"/>
        <v>#DIV/0!</v>
      </c>
      <c r="Y109" s="25" t="e">
        <f t="shared" si="102"/>
        <v>#DIV/0!</v>
      </c>
      <c r="Z109" s="25" t="e">
        <f t="shared" si="103"/>
        <v>#DIV/0!</v>
      </c>
      <c r="AA109" s="25" t="e">
        <f t="shared" si="104"/>
        <v>#DIV/0!</v>
      </c>
      <c r="AB109" s="25" t="e">
        <f t="shared" si="105"/>
        <v>#DIV/0!</v>
      </c>
      <c r="AC109" s="25" t="e">
        <f t="shared" si="106"/>
        <v>#DIV/0!</v>
      </c>
      <c r="AD109" s="63" t="e">
        <f t="shared" si="107"/>
        <v>#DIV/0!</v>
      </c>
      <c r="AE109" s="24">
        <f t="shared" si="108"/>
        <v>0</v>
      </c>
    </row>
    <row r="110" spans="1:31" x14ac:dyDescent="0.2">
      <c r="A110" s="75">
        <f t="shared" si="129"/>
        <v>46273</v>
      </c>
      <c r="B110" s="15" t="str">
        <f>$B$5</f>
        <v>SS</v>
      </c>
      <c r="C110" s="15" t="str">
        <f>$C$5</f>
        <v>Prem</v>
      </c>
      <c r="D110" s="18">
        <f t="shared" si="109"/>
        <v>1.7634899755483502</v>
      </c>
      <c r="E110" s="4">
        <f t="shared" si="110"/>
        <v>4.4033702122244733</v>
      </c>
      <c r="F110" s="4">
        <v>4350.5297696777798</v>
      </c>
      <c r="G110" s="5">
        <f t="shared" si="120"/>
        <v>2.4969635627530362</v>
      </c>
      <c r="H110" s="4">
        <f t="shared" si="121"/>
        <v>2467</v>
      </c>
      <c r="I110" s="4">
        <f t="shared" si="122"/>
        <v>988</v>
      </c>
      <c r="J110" s="4">
        <f t="shared" si="123"/>
        <v>0.14107919804386801</v>
      </c>
      <c r="K110" s="27">
        <f t="shared" si="124"/>
        <v>7.0539599021934005E-2</v>
      </c>
      <c r="L110" s="30">
        <f t="shared" si="125"/>
        <v>0.44087249388708755</v>
      </c>
      <c r="M110" s="18">
        <v>1</v>
      </c>
      <c r="N110" s="4">
        <v>2</v>
      </c>
      <c r="O110" s="4">
        <v>358</v>
      </c>
      <c r="P110" s="5">
        <f t="shared" si="126"/>
        <v>2</v>
      </c>
      <c r="Q110" s="29">
        <f t="shared" si="127"/>
        <v>358</v>
      </c>
      <c r="R110" s="29">
        <f t="shared" si="128"/>
        <v>179</v>
      </c>
      <c r="S110" s="1">
        <v>0</v>
      </c>
      <c r="T110" s="1">
        <v>0</v>
      </c>
      <c r="U110" s="24">
        <v>0</v>
      </c>
      <c r="V110" s="25">
        <f t="shared" si="99"/>
        <v>0.56705737705656878</v>
      </c>
      <c r="W110" s="25">
        <f t="shared" si="100"/>
        <v>0.454197558599019</v>
      </c>
      <c r="X110" s="25">
        <f t="shared" si="101"/>
        <v>8.2288828936461944E-2</v>
      </c>
      <c r="Y110" s="25">
        <f t="shared" si="102"/>
        <v>0.80097284150790438</v>
      </c>
      <c r="Z110" s="25">
        <f t="shared" si="103"/>
        <v>0.14511552492906363</v>
      </c>
      <c r="AA110" s="25">
        <f t="shared" si="104"/>
        <v>0.1811740890688259</v>
      </c>
      <c r="AB110" s="25">
        <f t="shared" si="105"/>
        <v>0</v>
      </c>
      <c r="AC110" s="25">
        <f t="shared" si="106"/>
        <v>0</v>
      </c>
      <c r="AD110" s="63">
        <f t="shared" si="107"/>
        <v>0</v>
      </c>
      <c r="AE110" s="24">
        <f t="shared" si="108"/>
        <v>1</v>
      </c>
    </row>
    <row r="111" spans="1:31" x14ac:dyDescent="0.2">
      <c r="A111" s="75">
        <f t="shared" si="129"/>
        <v>46273</v>
      </c>
      <c r="B111" s="15" t="str">
        <f>$B$6</f>
        <v>SS</v>
      </c>
      <c r="C111" s="15" t="str">
        <f>$C$6</f>
        <v>Anuj</v>
      </c>
      <c r="D111" s="18">
        <f t="shared" si="109"/>
        <v>0</v>
      </c>
      <c r="E111" s="4">
        <f t="shared" si="110"/>
        <v>0</v>
      </c>
      <c r="F111" s="4">
        <v>0</v>
      </c>
      <c r="G111" s="5" t="e">
        <f t="shared" si="120"/>
        <v>#DIV/0!</v>
      </c>
      <c r="H111" s="4" t="e">
        <f t="shared" si="121"/>
        <v>#DIV/0!</v>
      </c>
      <c r="I111" s="4" t="e">
        <f t="shared" si="122"/>
        <v>#DIV/0!</v>
      </c>
      <c r="J111" s="4">
        <f t="shared" si="123"/>
        <v>0</v>
      </c>
      <c r="K111" s="27">
        <f t="shared" si="124"/>
        <v>0</v>
      </c>
      <c r="L111" s="30">
        <f t="shared" si="125"/>
        <v>0</v>
      </c>
      <c r="M111" s="18">
        <v>0</v>
      </c>
      <c r="N111" s="4">
        <v>0</v>
      </c>
      <c r="O111" s="4">
        <v>0</v>
      </c>
      <c r="P111" s="5" t="e">
        <f t="shared" si="126"/>
        <v>#DIV/0!</v>
      </c>
      <c r="Q111" s="29" t="e">
        <f t="shared" si="127"/>
        <v>#DIV/0!</v>
      </c>
      <c r="R111" s="29" t="e">
        <f t="shared" si="128"/>
        <v>#DIV/0!</v>
      </c>
      <c r="S111" s="1">
        <v>0</v>
      </c>
      <c r="T111" s="1">
        <v>0</v>
      </c>
      <c r="U111" s="24">
        <v>0</v>
      </c>
      <c r="V111" s="25" t="e">
        <f t="shared" si="99"/>
        <v>#DIV/0!</v>
      </c>
      <c r="W111" s="25" t="e">
        <f t="shared" si="100"/>
        <v>#DIV/0!</v>
      </c>
      <c r="X111" s="25" t="e">
        <f t="shared" si="101"/>
        <v>#DIV/0!</v>
      </c>
      <c r="Y111" s="25" t="e">
        <f t="shared" si="102"/>
        <v>#DIV/0!</v>
      </c>
      <c r="Z111" s="25" t="e">
        <f t="shared" si="103"/>
        <v>#DIV/0!</v>
      </c>
      <c r="AA111" s="25" t="e">
        <f t="shared" si="104"/>
        <v>#DIV/0!</v>
      </c>
      <c r="AB111" s="25" t="e">
        <f t="shared" si="105"/>
        <v>#DIV/0!</v>
      </c>
      <c r="AC111" s="25" t="e">
        <f t="shared" si="106"/>
        <v>#DIV/0!</v>
      </c>
      <c r="AD111" s="63" t="e">
        <f t="shared" si="107"/>
        <v>#DIV/0!</v>
      </c>
      <c r="AE111" s="24">
        <f t="shared" si="108"/>
        <v>0</v>
      </c>
    </row>
    <row r="112" spans="1:31" x14ac:dyDescent="0.2">
      <c r="A112" s="75">
        <f t="shared" si="129"/>
        <v>46273</v>
      </c>
      <c r="B112" s="15" t="str">
        <f>$B$7</f>
        <v>FC</v>
      </c>
      <c r="C112" s="15" t="str">
        <f>$C$7</f>
        <v>Muskan</v>
      </c>
      <c r="D112" s="18">
        <f t="shared" si="109"/>
        <v>5.878299918494502</v>
      </c>
      <c r="E112" s="4">
        <f t="shared" si="110"/>
        <v>14.677900707414915</v>
      </c>
      <c r="F112" s="4">
        <v>14501.765898925936</v>
      </c>
      <c r="G112" s="5">
        <f t="shared" si="120"/>
        <v>2.4969635627530362</v>
      </c>
      <c r="H112" s="4">
        <f t="shared" si="121"/>
        <v>2467</v>
      </c>
      <c r="I112" s="4">
        <f t="shared" si="122"/>
        <v>988</v>
      </c>
      <c r="J112" s="4">
        <f t="shared" si="123"/>
        <v>0.47026399347956016</v>
      </c>
      <c r="K112" s="27">
        <f t="shared" si="124"/>
        <v>0.23513199673978008</v>
      </c>
      <c r="L112" s="30">
        <f t="shared" si="125"/>
        <v>1.4695749796236255</v>
      </c>
      <c r="M112" s="18">
        <v>6</v>
      </c>
      <c r="N112" s="4">
        <v>7</v>
      </c>
      <c r="O112" s="4">
        <f>9595+9999</f>
        <v>19594</v>
      </c>
      <c r="P112" s="5">
        <f t="shared" si="126"/>
        <v>1.1666666666666667</v>
      </c>
      <c r="Q112" s="29">
        <f t="shared" si="127"/>
        <v>3265.6666666666665</v>
      </c>
      <c r="R112" s="29">
        <f t="shared" si="128"/>
        <v>2799.1428571428573</v>
      </c>
      <c r="S112" s="1">
        <v>0</v>
      </c>
      <c r="T112" s="1">
        <v>0</v>
      </c>
      <c r="U112" s="24">
        <v>0</v>
      </c>
      <c r="V112" s="25">
        <f t="shared" ref="V112:V175" si="130">M112/D112</f>
        <v>1.0207032787018235</v>
      </c>
      <c r="W112" s="25">
        <f t="shared" ref="W112:W175" si="131">N112/E112</f>
        <v>0.47690743652896983</v>
      </c>
      <c r="X112" s="25">
        <f t="shared" ref="X112:X175" si="132">O112/F112</f>
        <v>1.3511457940064537</v>
      </c>
      <c r="Y112" s="25">
        <f t="shared" ref="Y112:Y175" si="133">P112/G112</f>
        <v>0.46723415754627762</v>
      </c>
      <c r="Z112" s="25">
        <f t="shared" ref="Z112:Z175" si="134">Q112/H112</f>
        <v>1.3237400351303876</v>
      </c>
      <c r="AA112" s="25">
        <f t="shared" ref="AA112:AA175" si="135">R112/I112</f>
        <v>2.8331405436668597</v>
      </c>
      <c r="AB112" s="25">
        <f t="shared" ref="AB112:AB175" si="136">S112/J112</f>
        <v>0</v>
      </c>
      <c r="AC112" s="25">
        <f t="shared" ref="AC112:AC175" si="137">T112/K112</f>
        <v>0</v>
      </c>
      <c r="AD112" s="63">
        <f t="shared" ref="AD112:AD175" si="138">U112/L112</f>
        <v>0</v>
      </c>
      <c r="AE112" s="24">
        <f t="shared" si="108"/>
        <v>1</v>
      </c>
    </row>
    <row r="113" spans="1:31" x14ac:dyDescent="0.2">
      <c r="A113" s="75">
        <f t="shared" si="129"/>
        <v>46273</v>
      </c>
      <c r="B113" s="15" t="str">
        <f>$B$8</f>
        <v>FC</v>
      </c>
      <c r="C113" s="15" t="str">
        <f>$C$8</f>
        <v xml:space="preserve">Kajal  </v>
      </c>
      <c r="D113" s="18">
        <f t="shared" si="109"/>
        <v>1.7634899755483502</v>
      </c>
      <c r="E113" s="4">
        <f t="shared" si="110"/>
        <v>4.4033702122244733</v>
      </c>
      <c r="F113" s="4">
        <v>4350.5297696777798</v>
      </c>
      <c r="G113" s="5">
        <f t="shared" si="120"/>
        <v>2.4969635627530362</v>
      </c>
      <c r="H113" s="4">
        <f t="shared" si="121"/>
        <v>2467</v>
      </c>
      <c r="I113" s="4">
        <f t="shared" si="122"/>
        <v>988</v>
      </c>
      <c r="J113" s="4">
        <f t="shared" si="123"/>
        <v>0.14107919804386801</v>
      </c>
      <c r="K113" s="27">
        <f t="shared" si="124"/>
        <v>7.0539599021934005E-2</v>
      </c>
      <c r="L113" s="30">
        <f t="shared" si="125"/>
        <v>0.44087249388708755</v>
      </c>
      <c r="M113" s="18">
        <v>1</v>
      </c>
      <c r="N113" s="4">
        <v>1</v>
      </c>
      <c r="O113" s="4">
        <v>899</v>
      </c>
      <c r="P113" s="5">
        <f t="shared" si="126"/>
        <v>1</v>
      </c>
      <c r="Q113" s="29">
        <f t="shared" si="127"/>
        <v>899</v>
      </c>
      <c r="R113" s="29">
        <f t="shared" si="128"/>
        <v>899</v>
      </c>
      <c r="S113" s="1">
        <v>0</v>
      </c>
      <c r="T113" s="1">
        <v>0</v>
      </c>
      <c r="U113" s="24">
        <v>0</v>
      </c>
      <c r="V113" s="25">
        <f t="shared" si="130"/>
        <v>0.56705737705656878</v>
      </c>
      <c r="W113" s="25">
        <f t="shared" si="131"/>
        <v>0.2270987792995095</v>
      </c>
      <c r="X113" s="25">
        <f t="shared" si="132"/>
        <v>0.20664150059742817</v>
      </c>
      <c r="Y113" s="25">
        <f t="shared" si="133"/>
        <v>0.40048642075395219</v>
      </c>
      <c r="Z113" s="25">
        <f t="shared" si="134"/>
        <v>0.36441021483583297</v>
      </c>
      <c r="AA113" s="25">
        <f t="shared" si="135"/>
        <v>0.90991902834008098</v>
      </c>
      <c r="AB113" s="25">
        <f t="shared" si="136"/>
        <v>0</v>
      </c>
      <c r="AC113" s="25">
        <f t="shared" si="137"/>
        <v>0</v>
      </c>
      <c r="AD113" s="63">
        <f t="shared" si="138"/>
        <v>0</v>
      </c>
      <c r="AE113" s="24">
        <f t="shared" si="108"/>
        <v>1</v>
      </c>
    </row>
    <row r="114" spans="1:31" x14ac:dyDescent="0.2">
      <c r="A114" s="75">
        <f t="shared" si="129"/>
        <v>46273</v>
      </c>
      <c r="B114" s="15" t="str">
        <f>$B$9</f>
        <v>FC</v>
      </c>
      <c r="C114" s="15" t="str">
        <f>$C$9</f>
        <v>Pradeep</v>
      </c>
      <c r="D114" s="18">
        <f t="shared" si="109"/>
        <v>1.7634899755483502</v>
      </c>
      <c r="E114" s="4">
        <f t="shared" si="110"/>
        <v>4.4033702122244733</v>
      </c>
      <c r="F114" s="4">
        <v>4350.5297696777798</v>
      </c>
      <c r="G114" s="5">
        <f t="shared" si="120"/>
        <v>2.4969635627530362</v>
      </c>
      <c r="H114" s="4">
        <f t="shared" si="121"/>
        <v>2467</v>
      </c>
      <c r="I114" s="4">
        <f t="shared" si="122"/>
        <v>988</v>
      </c>
      <c r="J114" s="4">
        <f t="shared" si="123"/>
        <v>0.14107919804386801</v>
      </c>
      <c r="K114" s="27">
        <f t="shared" si="124"/>
        <v>7.0539599021934005E-2</v>
      </c>
      <c r="L114" s="30">
        <f t="shared" si="125"/>
        <v>0.44087249388708755</v>
      </c>
      <c r="M114" s="18">
        <v>1</v>
      </c>
      <c r="N114" s="4">
        <v>6</v>
      </c>
      <c r="O114" s="4">
        <v>5154</v>
      </c>
      <c r="P114" s="5">
        <f t="shared" si="126"/>
        <v>6</v>
      </c>
      <c r="Q114" s="29">
        <f t="shared" si="127"/>
        <v>5154</v>
      </c>
      <c r="R114" s="29">
        <f t="shared" si="128"/>
        <v>859</v>
      </c>
      <c r="S114" s="1">
        <v>0</v>
      </c>
      <c r="T114" s="1">
        <v>0</v>
      </c>
      <c r="U114" s="24">
        <v>0</v>
      </c>
      <c r="V114" s="25">
        <f t="shared" si="130"/>
        <v>0.56705737705656878</v>
      </c>
      <c r="W114" s="25">
        <f t="shared" si="131"/>
        <v>1.362592675797057</v>
      </c>
      <c r="X114" s="25">
        <f t="shared" si="132"/>
        <v>1.18468330820817</v>
      </c>
      <c r="Y114" s="25">
        <f t="shared" si="133"/>
        <v>2.402918524523713</v>
      </c>
      <c r="Z114" s="25">
        <f t="shared" si="134"/>
        <v>2.0891771382245641</v>
      </c>
      <c r="AA114" s="25">
        <f t="shared" si="135"/>
        <v>0.86943319838056676</v>
      </c>
      <c r="AB114" s="25">
        <f t="shared" si="136"/>
        <v>0</v>
      </c>
      <c r="AC114" s="25">
        <f t="shared" si="137"/>
        <v>0</v>
      </c>
      <c r="AD114" s="63">
        <f t="shared" si="138"/>
        <v>0</v>
      </c>
      <c r="AE114" s="24">
        <f t="shared" si="108"/>
        <v>1</v>
      </c>
    </row>
    <row r="115" spans="1:31" x14ac:dyDescent="0.2">
      <c r="A115" s="75">
        <f t="shared" si="129"/>
        <v>46273</v>
      </c>
      <c r="B115" s="15" t="str">
        <f>$B$10</f>
        <v>FC</v>
      </c>
      <c r="C115" s="15" t="str">
        <f>$C$10</f>
        <v>Aftab</v>
      </c>
      <c r="D115" s="18">
        <f t="shared" si="109"/>
        <v>0</v>
      </c>
      <c r="E115" s="4">
        <f t="shared" si="110"/>
        <v>0</v>
      </c>
      <c r="F115" s="4">
        <v>0</v>
      </c>
      <c r="G115" s="5" t="e">
        <f t="shared" si="120"/>
        <v>#DIV/0!</v>
      </c>
      <c r="H115" s="4" t="e">
        <f t="shared" si="121"/>
        <v>#DIV/0!</v>
      </c>
      <c r="I115" s="4" t="e">
        <f t="shared" si="122"/>
        <v>#DIV/0!</v>
      </c>
      <c r="J115" s="4">
        <f t="shared" si="123"/>
        <v>0</v>
      </c>
      <c r="K115" s="27">
        <f t="shared" si="124"/>
        <v>0</v>
      </c>
      <c r="L115" s="30">
        <f t="shared" si="125"/>
        <v>0</v>
      </c>
      <c r="M115" s="18">
        <v>4</v>
      </c>
      <c r="N115" s="4">
        <v>8</v>
      </c>
      <c r="O115" s="4">
        <v>10192</v>
      </c>
      <c r="P115" s="5">
        <f t="shared" si="126"/>
        <v>2</v>
      </c>
      <c r="Q115" s="29">
        <f t="shared" si="127"/>
        <v>2548</v>
      </c>
      <c r="R115" s="29">
        <f t="shared" si="128"/>
        <v>1274</v>
      </c>
      <c r="S115" s="1">
        <v>0</v>
      </c>
      <c r="T115" s="1">
        <v>0</v>
      </c>
      <c r="U115" s="24">
        <v>0</v>
      </c>
      <c r="V115" s="25" t="e">
        <f t="shared" si="130"/>
        <v>#DIV/0!</v>
      </c>
      <c r="W115" s="25" t="e">
        <f t="shared" si="131"/>
        <v>#DIV/0!</v>
      </c>
      <c r="X115" s="25" t="e">
        <f t="shared" si="132"/>
        <v>#DIV/0!</v>
      </c>
      <c r="Y115" s="25" t="e">
        <f t="shared" si="133"/>
        <v>#DIV/0!</v>
      </c>
      <c r="Z115" s="25" t="e">
        <f t="shared" si="134"/>
        <v>#DIV/0!</v>
      </c>
      <c r="AA115" s="25" t="e">
        <f t="shared" si="135"/>
        <v>#DIV/0!</v>
      </c>
      <c r="AB115" s="25" t="e">
        <f t="shared" si="136"/>
        <v>#DIV/0!</v>
      </c>
      <c r="AC115" s="25" t="e">
        <f t="shared" si="137"/>
        <v>#DIV/0!</v>
      </c>
      <c r="AD115" s="63" t="e">
        <f t="shared" si="138"/>
        <v>#DIV/0!</v>
      </c>
      <c r="AE115" s="24">
        <f t="shared" si="108"/>
        <v>0</v>
      </c>
    </row>
    <row r="116" spans="1:31" x14ac:dyDescent="0.2">
      <c r="A116" s="75">
        <f t="shared" si="129"/>
        <v>46273</v>
      </c>
      <c r="B116" s="15" t="str">
        <f>$B$11</f>
        <v>FC</v>
      </c>
      <c r="C116" s="15" t="str">
        <f>$C$11</f>
        <v>Khushi</v>
      </c>
      <c r="D116" s="18">
        <f t="shared" si="109"/>
        <v>4.1148099429461507</v>
      </c>
      <c r="E116" s="4">
        <f t="shared" si="110"/>
        <v>10.274530495190438</v>
      </c>
      <c r="F116" s="4">
        <v>10151.236129248153</v>
      </c>
      <c r="G116" s="5">
        <f t="shared" si="120"/>
        <v>2.4969635627530362</v>
      </c>
      <c r="H116" s="4">
        <f t="shared" si="121"/>
        <v>2467</v>
      </c>
      <c r="I116" s="4">
        <f t="shared" si="122"/>
        <v>988</v>
      </c>
      <c r="J116" s="4">
        <f t="shared" si="123"/>
        <v>0.32918479543569207</v>
      </c>
      <c r="K116" s="27">
        <f t="shared" si="124"/>
        <v>0.16459239771784603</v>
      </c>
      <c r="L116" s="30">
        <f t="shared" si="125"/>
        <v>1.0287024857365377</v>
      </c>
      <c r="M116" s="18">
        <v>0</v>
      </c>
      <c r="N116" s="4">
        <v>0</v>
      </c>
      <c r="O116" s="4">
        <v>0</v>
      </c>
      <c r="P116" s="5" t="e">
        <f t="shared" si="126"/>
        <v>#DIV/0!</v>
      </c>
      <c r="Q116" s="29" t="e">
        <f t="shared" si="127"/>
        <v>#DIV/0!</v>
      </c>
      <c r="R116" s="29" t="e">
        <f t="shared" si="128"/>
        <v>#DIV/0!</v>
      </c>
      <c r="S116" s="1">
        <v>0</v>
      </c>
      <c r="T116" s="1">
        <v>0</v>
      </c>
      <c r="U116" s="24">
        <v>0</v>
      </c>
      <c r="V116" s="25">
        <f t="shared" si="130"/>
        <v>0</v>
      </c>
      <c r="W116" s="25">
        <f t="shared" si="131"/>
        <v>0</v>
      </c>
      <c r="X116" s="25">
        <f t="shared" si="132"/>
        <v>0</v>
      </c>
      <c r="Y116" s="25" t="e">
        <f t="shared" si="133"/>
        <v>#DIV/0!</v>
      </c>
      <c r="Z116" s="25" t="e">
        <f t="shared" si="134"/>
        <v>#DIV/0!</v>
      </c>
      <c r="AA116" s="25" t="e">
        <f t="shared" si="135"/>
        <v>#DIV/0!</v>
      </c>
      <c r="AB116" s="25">
        <f t="shared" si="136"/>
        <v>0</v>
      </c>
      <c r="AC116" s="25">
        <f t="shared" si="137"/>
        <v>0</v>
      </c>
      <c r="AD116" s="63">
        <f t="shared" si="138"/>
        <v>0</v>
      </c>
      <c r="AE116" s="24">
        <f t="shared" si="108"/>
        <v>1</v>
      </c>
    </row>
    <row r="117" spans="1:31" x14ac:dyDescent="0.2">
      <c r="A117" s="75">
        <f t="shared" si="129"/>
        <v>46273</v>
      </c>
      <c r="B117" s="15" t="str">
        <f>$B$12</f>
        <v>FC</v>
      </c>
      <c r="C117" s="15" t="str">
        <f>$C$12</f>
        <v>Kishan</v>
      </c>
      <c r="D117" s="18">
        <f t="shared" si="109"/>
        <v>0</v>
      </c>
      <c r="E117" s="4">
        <f t="shared" si="110"/>
        <v>0</v>
      </c>
      <c r="F117" s="4">
        <v>0</v>
      </c>
      <c r="G117" s="5" t="e">
        <f t="shared" si="120"/>
        <v>#DIV/0!</v>
      </c>
      <c r="H117" s="4" t="e">
        <f t="shared" si="121"/>
        <v>#DIV/0!</v>
      </c>
      <c r="I117" s="4" t="e">
        <f t="shared" si="122"/>
        <v>#DIV/0!</v>
      </c>
      <c r="J117" s="4">
        <f t="shared" si="123"/>
        <v>0</v>
      </c>
      <c r="K117" s="27">
        <f t="shared" si="124"/>
        <v>0</v>
      </c>
      <c r="L117" s="30">
        <f t="shared" si="125"/>
        <v>0</v>
      </c>
      <c r="M117" s="18">
        <v>0</v>
      </c>
      <c r="N117" s="4">
        <v>0</v>
      </c>
      <c r="O117" s="4">
        <v>0</v>
      </c>
      <c r="P117" s="5" t="e">
        <f t="shared" si="126"/>
        <v>#DIV/0!</v>
      </c>
      <c r="Q117" s="29" t="e">
        <f t="shared" si="127"/>
        <v>#DIV/0!</v>
      </c>
      <c r="R117" s="29" t="e">
        <f t="shared" si="128"/>
        <v>#DIV/0!</v>
      </c>
      <c r="S117" s="1">
        <v>0</v>
      </c>
      <c r="T117" s="1">
        <v>0</v>
      </c>
      <c r="U117" s="24">
        <v>0</v>
      </c>
      <c r="V117" s="25" t="e">
        <f t="shared" si="130"/>
        <v>#DIV/0!</v>
      </c>
      <c r="W117" s="25" t="e">
        <f t="shared" si="131"/>
        <v>#DIV/0!</v>
      </c>
      <c r="X117" s="25" t="e">
        <f t="shared" si="132"/>
        <v>#DIV/0!</v>
      </c>
      <c r="Y117" s="25" t="e">
        <f t="shared" si="133"/>
        <v>#DIV/0!</v>
      </c>
      <c r="Z117" s="25" t="e">
        <f t="shared" si="134"/>
        <v>#DIV/0!</v>
      </c>
      <c r="AA117" s="25" t="e">
        <f t="shared" si="135"/>
        <v>#DIV/0!</v>
      </c>
      <c r="AB117" s="25" t="e">
        <f t="shared" si="136"/>
        <v>#DIV/0!</v>
      </c>
      <c r="AC117" s="25" t="e">
        <f t="shared" si="137"/>
        <v>#DIV/0!</v>
      </c>
      <c r="AD117" s="63" t="e">
        <f t="shared" si="138"/>
        <v>#DIV/0!</v>
      </c>
      <c r="AE117" s="24">
        <f t="shared" si="108"/>
        <v>0</v>
      </c>
    </row>
    <row r="118" spans="1:31" x14ac:dyDescent="0.2">
      <c r="A118" s="75">
        <f t="shared" si="129"/>
        <v>46273</v>
      </c>
      <c r="B118" s="15" t="str">
        <f>$B$13</f>
        <v>Partner</v>
      </c>
      <c r="C118" s="15" t="str">
        <f>$C$13</f>
        <v>Rahul</v>
      </c>
      <c r="D118" s="18">
        <f t="shared" si="109"/>
        <v>5.2904699266450521</v>
      </c>
      <c r="E118" s="4">
        <f t="shared" si="110"/>
        <v>13.210110636673424</v>
      </c>
      <c r="F118" s="4">
        <v>13051.589309033343</v>
      </c>
      <c r="G118" s="5">
        <f t="shared" si="120"/>
        <v>2.4969635627530362</v>
      </c>
      <c r="H118" s="4">
        <f t="shared" si="121"/>
        <v>2467</v>
      </c>
      <c r="I118" s="4">
        <f t="shared" si="122"/>
        <v>988</v>
      </c>
      <c r="J118" s="4">
        <f t="shared" si="123"/>
        <v>0.42323759413160417</v>
      </c>
      <c r="K118" s="27">
        <f t="shared" si="124"/>
        <v>0.21161879706580208</v>
      </c>
      <c r="L118" s="30">
        <f t="shared" si="125"/>
        <v>1.322617481661263</v>
      </c>
      <c r="M118" s="18">
        <v>2</v>
      </c>
      <c r="N118" s="4">
        <v>3</v>
      </c>
      <c r="O118" s="4">
        <v>3697</v>
      </c>
      <c r="P118" s="5">
        <f t="shared" si="126"/>
        <v>1.5</v>
      </c>
      <c r="Q118" s="29">
        <f t="shared" si="127"/>
        <v>1848.5</v>
      </c>
      <c r="R118" s="29">
        <f t="shared" si="128"/>
        <v>1232.3333333333333</v>
      </c>
      <c r="S118" s="1">
        <v>0</v>
      </c>
      <c r="T118" s="1">
        <v>0</v>
      </c>
      <c r="U118" s="24">
        <v>0</v>
      </c>
      <c r="V118" s="25">
        <f t="shared" si="130"/>
        <v>0.37803825137104574</v>
      </c>
      <c r="W118" s="25">
        <f t="shared" si="131"/>
        <v>0.22709877929950945</v>
      </c>
      <c r="X118" s="25">
        <f t="shared" si="132"/>
        <v>0.2832605219535379</v>
      </c>
      <c r="Y118" s="25">
        <f t="shared" si="133"/>
        <v>0.60072963113092825</v>
      </c>
      <c r="Z118" s="25">
        <f t="shared" si="134"/>
        <v>0.74929063640048643</v>
      </c>
      <c r="AA118" s="25">
        <f t="shared" si="135"/>
        <v>1.2473009446693657</v>
      </c>
      <c r="AB118" s="25">
        <f t="shared" si="136"/>
        <v>0</v>
      </c>
      <c r="AC118" s="25">
        <f t="shared" si="137"/>
        <v>0</v>
      </c>
      <c r="AD118" s="63">
        <f t="shared" si="138"/>
        <v>0</v>
      </c>
      <c r="AE118" s="24">
        <f t="shared" si="108"/>
        <v>1</v>
      </c>
    </row>
    <row r="119" spans="1:31" x14ac:dyDescent="0.2">
      <c r="A119" s="75">
        <f t="shared" si="129"/>
        <v>46273</v>
      </c>
      <c r="B119" s="15" t="str">
        <f>$B$14</f>
        <v>Partner</v>
      </c>
      <c r="C119" s="15" t="str">
        <f>$C$14</f>
        <v>Prince</v>
      </c>
      <c r="D119" s="18">
        <f t="shared" si="109"/>
        <v>5.2904699266450521</v>
      </c>
      <c r="E119" s="4">
        <f t="shared" si="110"/>
        <v>13.210110636673424</v>
      </c>
      <c r="F119" s="4">
        <v>13051.589309033343</v>
      </c>
      <c r="G119" s="5">
        <f t="shared" si="120"/>
        <v>2.4969635627530362</v>
      </c>
      <c r="H119" s="4">
        <f t="shared" si="121"/>
        <v>2467</v>
      </c>
      <c r="I119" s="4">
        <f t="shared" si="122"/>
        <v>988</v>
      </c>
      <c r="J119" s="4">
        <f t="shared" si="123"/>
        <v>0.42323759413160417</v>
      </c>
      <c r="K119" s="27">
        <f t="shared" si="124"/>
        <v>0.21161879706580208</v>
      </c>
      <c r="L119" s="30">
        <f t="shared" si="125"/>
        <v>1.322617481661263</v>
      </c>
      <c r="M119" s="18">
        <v>3</v>
      </c>
      <c r="N119" s="4">
        <v>6</v>
      </c>
      <c r="O119" s="4">
        <v>1787</v>
      </c>
      <c r="P119" s="5">
        <f t="shared" si="126"/>
        <v>2</v>
      </c>
      <c r="Q119" s="29">
        <f t="shared" si="127"/>
        <v>595.66666666666663</v>
      </c>
      <c r="R119" s="29">
        <f t="shared" si="128"/>
        <v>297.83333333333331</v>
      </c>
      <c r="S119" s="1">
        <v>0</v>
      </c>
      <c r="T119" s="1">
        <v>0</v>
      </c>
      <c r="U119" s="24">
        <v>0</v>
      </c>
      <c r="V119" s="25">
        <f t="shared" si="130"/>
        <v>0.56705737705656856</v>
      </c>
      <c r="W119" s="25">
        <f t="shared" si="131"/>
        <v>0.45419755859901889</v>
      </c>
      <c r="X119" s="25">
        <f t="shared" si="132"/>
        <v>0.1369181911633682</v>
      </c>
      <c r="Y119" s="25">
        <f t="shared" si="133"/>
        <v>0.80097284150790438</v>
      </c>
      <c r="Z119" s="25">
        <f t="shared" si="134"/>
        <v>0.24145385758681256</v>
      </c>
      <c r="AA119" s="25">
        <f t="shared" si="135"/>
        <v>0.3014507422402159</v>
      </c>
      <c r="AB119" s="25">
        <f t="shared" si="136"/>
        <v>0</v>
      </c>
      <c r="AC119" s="25">
        <f t="shared" si="137"/>
        <v>0</v>
      </c>
      <c r="AD119" s="63">
        <f t="shared" si="138"/>
        <v>0</v>
      </c>
      <c r="AE119" s="24">
        <f t="shared" si="108"/>
        <v>1</v>
      </c>
    </row>
    <row r="120" spans="1:31" x14ac:dyDescent="0.2">
      <c r="A120" s="75">
        <f t="shared" si="129"/>
        <v>46273</v>
      </c>
      <c r="B120" s="15" t="str">
        <f>$B$15</f>
        <v>Partner</v>
      </c>
      <c r="C120" s="15" t="str">
        <f>$C$15</f>
        <v>Kunal</v>
      </c>
      <c r="D120" s="18">
        <f t="shared" si="109"/>
        <v>5.2904699266450521</v>
      </c>
      <c r="E120" s="4">
        <f t="shared" si="110"/>
        <v>13.210110636673424</v>
      </c>
      <c r="F120" s="4">
        <v>13051.589309033343</v>
      </c>
      <c r="G120" s="5">
        <f t="shared" si="120"/>
        <v>2.4969635627530362</v>
      </c>
      <c r="H120" s="4">
        <f t="shared" si="121"/>
        <v>2467</v>
      </c>
      <c r="I120" s="4">
        <f t="shared" si="122"/>
        <v>988</v>
      </c>
      <c r="J120" s="4">
        <f t="shared" si="123"/>
        <v>0.42323759413160417</v>
      </c>
      <c r="K120" s="27">
        <f t="shared" si="124"/>
        <v>0.21161879706580208</v>
      </c>
      <c r="L120" s="30">
        <f t="shared" si="125"/>
        <v>1.322617481661263</v>
      </c>
      <c r="M120" s="18">
        <v>2</v>
      </c>
      <c r="N120" s="4">
        <v>5</v>
      </c>
      <c r="O120" s="4">
        <v>6095</v>
      </c>
      <c r="P120" s="5">
        <f t="shared" si="126"/>
        <v>2.5</v>
      </c>
      <c r="Q120" s="29">
        <f t="shared" si="127"/>
        <v>3047.5</v>
      </c>
      <c r="R120" s="29">
        <f t="shared" si="128"/>
        <v>1219</v>
      </c>
      <c r="S120" s="1">
        <v>0</v>
      </c>
      <c r="T120" s="1">
        <v>0</v>
      </c>
      <c r="U120" s="24">
        <v>0</v>
      </c>
      <c r="V120" s="25">
        <f t="shared" si="130"/>
        <v>0.37803825137104574</v>
      </c>
      <c r="W120" s="25">
        <f t="shared" si="131"/>
        <v>0.37849796549918241</v>
      </c>
      <c r="X120" s="25">
        <f t="shared" si="132"/>
        <v>0.46699293516548923</v>
      </c>
      <c r="Y120" s="25">
        <f t="shared" si="133"/>
        <v>1.0012160518848805</v>
      </c>
      <c r="Z120" s="25">
        <f t="shared" si="134"/>
        <v>1.2353060397243616</v>
      </c>
      <c r="AA120" s="25">
        <f t="shared" si="135"/>
        <v>1.2338056680161944</v>
      </c>
      <c r="AB120" s="25">
        <f t="shared" si="136"/>
        <v>0</v>
      </c>
      <c r="AC120" s="25">
        <f t="shared" si="137"/>
        <v>0</v>
      </c>
      <c r="AD120" s="63">
        <f t="shared" si="138"/>
        <v>0</v>
      </c>
      <c r="AE120" s="24">
        <f t="shared" si="108"/>
        <v>1</v>
      </c>
    </row>
    <row r="121" spans="1:31" x14ac:dyDescent="0.2">
      <c r="A121" s="75">
        <f t="shared" si="129"/>
        <v>46273</v>
      </c>
      <c r="B121" s="15" t="str">
        <f>$B$16</f>
        <v>NA</v>
      </c>
      <c r="C121" s="15" t="str">
        <f>$C$16</f>
        <v>NA</v>
      </c>
      <c r="D121" s="18">
        <f t="shared" si="109"/>
        <v>0</v>
      </c>
      <c r="E121" s="4">
        <f t="shared" si="110"/>
        <v>0</v>
      </c>
      <c r="F121" s="4">
        <v>0</v>
      </c>
      <c r="G121" s="5" t="e">
        <f t="shared" si="120"/>
        <v>#DIV/0!</v>
      </c>
      <c r="H121" s="4" t="e">
        <f t="shared" si="121"/>
        <v>#DIV/0!</v>
      </c>
      <c r="I121" s="4" t="e">
        <f t="shared" si="122"/>
        <v>#DIV/0!</v>
      </c>
      <c r="J121" s="4">
        <f t="shared" si="123"/>
        <v>0</v>
      </c>
      <c r="K121" s="27">
        <f t="shared" si="124"/>
        <v>0</v>
      </c>
      <c r="L121" s="30">
        <f t="shared" si="125"/>
        <v>0</v>
      </c>
      <c r="M121" s="18">
        <v>3</v>
      </c>
      <c r="N121" s="4">
        <v>-1</v>
      </c>
      <c r="O121" s="4">
        <v>-1439.5</v>
      </c>
      <c r="P121" s="5">
        <f t="shared" si="126"/>
        <v>-0.33333333333333331</v>
      </c>
      <c r="Q121" s="29">
        <f t="shared" si="127"/>
        <v>-479.83333333333331</v>
      </c>
      <c r="R121" s="29">
        <f t="shared" si="128"/>
        <v>1439.5</v>
      </c>
      <c r="S121" s="1">
        <v>0</v>
      </c>
      <c r="T121" s="1">
        <v>0</v>
      </c>
      <c r="U121" s="24">
        <v>0</v>
      </c>
      <c r="V121" s="25" t="e">
        <f t="shared" si="130"/>
        <v>#DIV/0!</v>
      </c>
      <c r="W121" s="25" t="e">
        <f t="shared" si="131"/>
        <v>#DIV/0!</v>
      </c>
      <c r="X121" s="25" t="e">
        <f t="shared" si="132"/>
        <v>#DIV/0!</v>
      </c>
      <c r="Y121" s="25" t="e">
        <f t="shared" si="133"/>
        <v>#DIV/0!</v>
      </c>
      <c r="Z121" s="25" t="e">
        <f t="shared" si="134"/>
        <v>#DIV/0!</v>
      </c>
      <c r="AA121" s="25" t="e">
        <f t="shared" si="135"/>
        <v>#DIV/0!</v>
      </c>
      <c r="AB121" s="25" t="e">
        <f t="shared" si="136"/>
        <v>#DIV/0!</v>
      </c>
      <c r="AC121" s="25" t="e">
        <f t="shared" si="137"/>
        <v>#DIV/0!</v>
      </c>
      <c r="AD121" s="63" t="e">
        <f t="shared" si="138"/>
        <v>#DIV/0!</v>
      </c>
      <c r="AE121" s="24">
        <f t="shared" si="108"/>
        <v>0</v>
      </c>
    </row>
    <row r="122" spans="1:31" x14ac:dyDescent="0.2">
      <c r="A122" s="75">
        <f t="shared" si="129"/>
        <v>46273</v>
      </c>
      <c r="B122" s="15" t="str">
        <f>$B$17</f>
        <v>NA</v>
      </c>
      <c r="C122" s="15" t="str">
        <f>$C$17</f>
        <v>NA</v>
      </c>
      <c r="D122" s="18">
        <f t="shared" si="109"/>
        <v>0</v>
      </c>
      <c r="E122" s="4">
        <f t="shared" si="110"/>
        <v>0</v>
      </c>
      <c r="F122" s="4">
        <v>0</v>
      </c>
      <c r="G122" s="5" t="e">
        <f t="shared" si="120"/>
        <v>#DIV/0!</v>
      </c>
      <c r="H122" s="4" t="e">
        <f t="shared" si="121"/>
        <v>#DIV/0!</v>
      </c>
      <c r="I122" s="4" t="e">
        <f t="shared" si="122"/>
        <v>#DIV/0!</v>
      </c>
      <c r="J122" s="4">
        <f t="shared" si="123"/>
        <v>0</v>
      </c>
      <c r="K122" s="27">
        <f t="shared" si="124"/>
        <v>0</v>
      </c>
      <c r="L122" s="30">
        <f t="shared" si="125"/>
        <v>0</v>
      </c>
      <c r="M122" s="18">
        <v>0</v>
      </c>
      <c r="N122" s="4">
        <v>0</v>
      </c>
      <c r="O122" s="4">
        <v>0</v>
      </c>
      <c r="P122" s="5" t="e">
        <f t="shared" si="126"/>
        <v>#DIV/0!</v>
      </c>
      <c r="Q122" s="29" t="e">
        <f t="shared" si="127"/>
        <v>#DIV/0!</v>
      </c>
      <c r="R122" s="29" t="e">
        <f t="shared" si="128"/>
        <v>#DIV/0!</v>
      </c>
      <c r="S122" s="1">
        <v>0</v>
      </c>
      <c r="T122" s="1">
        <v>0</v>
      </c>
      <c r="U122" s="24">
        <v>0</v>
      </c>
      <c r="V122" s="25" t="e">
        <f t="shared" si="130"/>
        <v>#DIV/0!</v>
      </c>
      <c r="W122" s="25" t="e">
        <f t="shared" si="131"/>
        <v>#DIV/0!</v>
      </c>
      <c r="X122" s="25" t="e">
        <f t="shared" si="132"/>
        <v>#DIV/0!</v>
      </c>
      <c r="Y122" s="25" t="e">
        <f t="shared" si="133"/>
        <v>#DIV/0!</v>
      </c>
      <c r="Z122" s="25" t="e">
        <f t="shared" si="134"/>
        <v>#DIV/0!</v>
      </c>
      <c r="AA122" s="25" t="e">
        <f t="shared" si="135"/>
        <v>#DIV/0!</v>
      </c>
      <c r="AB122" s="25" t="e">
        <f t="shared" si="136"/>
        <v>#DIV/0!</v>
      </c>
      <c r="AC122" s="25" t="e">
        <f t="shared" si="137"/>
        <v>#DIV/0!</v>
      </c>
      <c r="AD122" s="63" t="e">
        <f t="shared" si="138"/>
        <v>#DIV/0!</v>
      </c>
      <c r="AE122" s="24">
        <f t="shared" si="108"/>
        <v>0</v>
      </c>
    </row>
    <row r="123" spans="1:31" x14ac:dyDescent="0.2">
      <c r="A123" s="75">
        <f t="shared" si="129"/>
        <v>46273</v>
      </c>
      <c r="B123" s="15" t="str">
        <f>$B$18</f>
        <v>NA</v>
      </c>
      <c r="C123" s="15" t="str">
        <f>$C$18</f>
        <v>NA</v>
      </c>
      <c r="D123" s="18">
        <f t="shared" si="109"/>
        <v>0</v>
      </c>
      <c r="E123" s="4">
        <f t="shared" si="110"/>
        <v>0</v>
      </c>
      <c r="F123" s="4">
        <v>0</v>
      </c>
      <c r="G123" s="5" t="e">
        <f t="shared" si="120"/>
        <v>#DIV/0!</v>
      </c>
      <c r="H123" s="4" t="e">
        <f t="shared" si="121"/>
        <v>#DIV/0!</v>
      </c>
      <c r="I123" s="4" t="e">
        <f t="shared" si="122"/>
        <v>#DIV/0!</v>
      </c>
      <c r="J123" s="4">
        <f t="shared" si="123"/>
        <v>0</v>
      </c>
      <c r="K123" s="27">
        <f t="shared" si="124"/>
        <v>0</v>
      </c>
      <c r="L123" s="30">
        <f t="shared" si="125"/>
        <v>0</v>
      </c>
      <c r="M123" s="18">
        <v>0</v>
      </c>
      <c r="N123" s="4">
        <v>0</v>
      </c>
      <c r="O123" s="4">
        <v>0</v>
      </c>
      <c r="P123" s="5" t="e">
        <f t="shared" si="126"/>
        <v>#DIV/0!</v>
      </c>
      <c r="Q123" s="29" t="e">
        <f t="shared" si="127"/>
        <v>#DIV/0!</v>
      </c>
      <c r="R123" s="29" t="e">
        <f t="shared" si="128"/>
        <v>#DIV/0!</v>
      </c>
      <c r="S123" s="1">
        <v>0</v>
      </c>
      <c r="T123" s="1">
        <v>0</v>
      </c>
      <c r="U123" s="24">
        <v>0</v>
      </c>
      <c r="V123" s="25" t="e">
        <f t="shared" si="130"/>
        <v>#DIV/0!</v>
      </c>
      <c r="W123" s="25" t="e">
        <f t="shared" si="131"/>
        <v>#DIV/0!</v>
      </c>
      <c r="X123" s="25" t="e">
        <f t="shared" si="132"/>
        <v>#DIV/0!</v>
      </c>
      <c r="Y123" s="25" t="e">
        <f t="shared" si="133"/>
        <v>#DIV/0!</v>
      </c>
      <c r="Z123" s="25" t="e">
        <f t="shared" si="134"/>
        <v>#DIV/0!</v>
      </c>
      <c r="AA123" s="25" t="e">
        <f t="shared" si="135"/>
        <v>#DIV/0!</v>
      </c>
      <c r="AB123" s="25" t="e">
        <f t="shared" si="136"/>
        <v>#DIV/0!</v>
      </c>
      <c r="AC123" s="25" t="e">
        <f t="shared" si="137"/>
        <v>#DIV/0!</v>
      </c>
      <c r="AD123" s="63" t="e">
        <f t="shared" si="138"/>
        <v>#DIV/0!</v>
      </c>
      <c r="AE123" s="24">
        <f t="shared" si="108"/>
        <v>0</v>
      </c>
    </row>
    <row r="124" spans="1:31" x14ac:dyDescent="0.2">
      <c r="A124" s="75">
        <f t="shared" si="129"/>
        <v>46274</v>
      </c>
      <c r="B124" s="15" t="str">
        <f>$B$4</f>
        <v>DSM</v>
      </c>
      <c r="C124" s="15" t="str">
        <f>$C$4</f>
        <v xml:space="preserve">komal  </v>
      </c>
      <c r="D124" s="18">
        <f t="shared" si="109"/>
        <v>0</v>
      </c>
      <c r="E124" s="4">
        <f t="shared" si="110"/>
        <v>0</v>
      </c>
      <c r="F124" s="4">
        <v>0</v>
      </c>
      <c r="G124" s="5" t="e">
        <f t="shared" si="120"/>
        <v>#DIV/0!</v>
      </c>
      <c r="H124" s="4" t="e">
        <f t="shared" si="121"/>
        <v>#DIV/0!</v>
      </c>
      <c r="I124" s="4" t="e">
        <f t="shared" si="122"/>
        <v>#DIV/0!</v>
      </c>
      <c r="J124" s="4">
        <f t="shared" si="123"/>
        <v>0</v>
      </c>
      <c r="K124" s="27">
        <f t="shared" si="124"/>
        <v>0</v>
      </c>
      <c r="L124" s="30">
        <f t="shared" si="125"/>
        <v>0</v>
      </c>
      <c r="M124" s="18">
        <v>0</v>
      </c>
      <c r="N124" s="4">
        <v>0</v>
      </c>
      <c r="O124" s="4">
        <v>0</v>
      </c>
      <c r="P124" s="5" t="e">
        <f t="shared" si="126"/>
        <v>#DIV/0!</v>
      </c>
      <c r="Q124" s="29" t="e">
        <f t="shared" si="127"/>
        <v>#DIV/0!</v>
      </c>
      <c r="R124" s="29" t="e">
        <f t="shared" si="128"/>
        <v>#DIV/0!</v>
      </c>
      <c r="S124" s="1">
        <v>0</v>
      </c>
      <c r="T124" s="1">
        <v>0</v>
      </c>
      <c r="U124" s="24">
        <v>0</v>
      </c>
      <c r="V124" s="25" t="e">
        <f t="shared" si="130"/>
        <v>#DIV/0!</v>
      </c>
      <c r="W124" s="25" t="e">
        <f t="shared" si="131"/>
        <v>#DIV/0!</v>
      </c>
      <c r="X124" s="25" t="e">
        <f t="shared" si="132"/>
        <v>#DIV/0!</v>
      </c>
      <c r="Y124" s="25" t="e">
        <f t="shared" si="133"/>
        <v>#DIV/0!</v>
      </c>
      <c r="Z124" s="25" t="e">
        <f t="shared" si="134"/>
        <v>#DIV/0!</v>
      </c>
      <c r="AA124" s="25" t="e">
        <f t="shared" si="135"/>
        <v>#DIV/0!</v>
      </c>
      <c r="AB124" s="25" t="e">
        <f t="shared" si="136"/>
        <v>#DIV/0!</v>
      </c>
      <c r="AC124" s="25" t="e">
        <f t="shared" si="137"/>
        <v>#DIV/0!</v>
      </c>
      <c r="AD124" s="63" t="e">
        <f t="shared" si="138"/>
        <v>#DIV/0!</v>
      </c>
      <c r="AE124" s="24">
        <f t="shared" si="108"/>
        <v>0</v>
      </c>
    </row>
    <row r="125" spans="1:31" x14ac:dyDescent="0.2">
      <c r="A125" s="75">
        <f t="shared" si="129"/>
        <v>46274</v>
      </c>
      <c r="B125" s="15" t="str">
        <f>$B$5</f>
        <v>SS</v>
      </c>
      <c r="C125" s="15" t="str">
        <f>$C$5</f>
        <v>Prem</v>
      </c>
      <c r="D125" s="18">
        <f t="shared" si="109"/>
        <v>0</v>
      </c>
      <c r="E125" s="4">
        <f t="shared" si="110"/>
        <v>0</v>
      </c>
      <c r="F125" s="4">
        <v>0</v>
      </c>
      <c r="G125" s="5" t="e">
        <f t="shared" si="120"/>
        <v>#DIV/0!</v>
      </c>
      <c r="H125" s="4" t="e">
        <f t="shared" si="121"/>
        <v>#DIV/0!</v>
      </c>
      <c r="I125" s="4" t="e">
        <f t="shared" si="122"/>
        <v>#DIV/0!</v>
      </c>
      <c r="J125" s="4">
        <f t="shared" si="123"/>
        <v>0</v>
      </c>
      <c r="K125" s="27">
        <f t="shared" si="124"/>
        <v>0</v>
      </c>
      <c r="L125" s="30">
        <f t="shared" si="125"/>
        <v>0</v>
      </c>
      <c r="M125" s="18">
        <v>1</v>
      </c>
      <c r="N125" s="4">
        <v>2</v>
      </c>
      <c r="O125" s="4">
        <v>2358.6</v>
      </c>
      <c r="P125" s="5">
        <f t="shared" si="126"/>
        <v>2</v>
      </c>
      <c r="Q125" s="29">
        <f t="shared" si="127"/>
        <v>2358.6</v>
      </c>
      <c r="R125" s="29">
        <f t="shared" si="128"/>
        <v>1179.3</v>
      </c>
      <c r="S125" s="1">
        <v>0</v>
      </c>
      <c r="T125" s="1">
        <v>0</v>
      </c>
      <c r="U125" s="24">
        <v>0</v>
      </c>
      <c r="V125" s="25" t="e">
        <f t="shared" si="130"/>
        <v>#DIV/0!</v>
      </c>
      <c r="W125" s="25" t="e">
        <f t="shared" si="131"/>
        <v>#DIV/0!</v>
      </c>
      <c r="X125" s="25" t="e">
        <f t="shared" si="132"/>
        <v>#DIV/0!</v>
      </c>
      <c r="Y125" s="25" t="e">
        <f t="shared" si="133"/>
        <v>#DIV/0!</v>
      </c>
      <c r="Z125" s="25" t="e">
        <f t="shared" si="134"/>
        <v>#DIV/0!</v>
      </c>
      <c r="AA125" s="25" t="e">
        <f t="shared" si="135"/>
        <v>#DIV/0!</v>
      </c>
      <c r="AB125" s="25" t="e">
        <f t="shared" si="136"/>
        <v>#DIV/0!</v>
      </c>
      <c r="AC125" s="25" t="e">
        <f t="shared" si="137"/>
        <v>#DIV/0!</v>
      </c>
      <c r="AD125" s="63" t="e">
        <f t="shared" si="138"/>
        <v>#DIV/0!</v>
      </c>
      <c r="AE125" s="24">
        <f t="shared" si="108"/>
        <v>0</v>
      </c>
    </row>
    <row r="126" spans="1:31" x14ac:dyDescent="0.2">
      <c r="A126" s="75">
        <f t="shared" si="129"/>
        <v>46274</v>
      </c>
      <c r="B126" s="15" t="str">
        <f>$B$6</f>
        <v>SS</v>
      </c>
      <c r="C126" s="15" t="str">
        <f>$C$6</f>
        <v>Anuj</v>
      </c>
      <c r="D126" s="18">
        <f t="shared" si="109"/>
        <v>4.5434359786697094</v>
      </c>
      <c r="E126" s="4">
        <f t="shared" si="110"/>
        <v>11.344794088439446</v>
      </c>
      <c r="F126" s="4">
        <v>11208.656559378172</v>
      </c>
      <c r="G126" s="5">
        <f t="shared" si="120"/>
        <v>2.4969635627530362</v>
      </c>
      <c r="H126" s="4">
        <f t="shared" si="121"/>
        <v>2467</v>
      </c>
      <c r="I126" s="4">
        <f t="shared" si="122"/>
        <v>988</v>
      </c>
      <c r="J126" s="4">
        <f t="shared" si="123"/>
        <v>0.36347487829357678</v>
      </c>
      <c r="K126" s="27">
        <f t="shared" si="124"/>
        <v>0.18173743914678839</v>
      </c>
      <c r="L126" s="30">
        <f t="shared" si="125"/>
        <v>1.1358589946674273</v>
      </c>
      <c r="M126" s="18">
        <v>7</v>
      </c>
      <c r="N126" s="4">
        <v>11</v>
      </c>
      <c r="O126" s="4">
        <v>14821</v>
      </c>
      <c r="P126" s="5">
        <f t="shared" si="126"/>
        <v>1.5714285714285714</v>
      </c>
      <c r="Q126" s="29">
        <f t="shared" si="127"/>
        <v>2117.2857142857142</v>
      </c>
      <c r="R126" s="29">
        <f t="shared" si="128"/>
        <v>1347.3636363636363</v>
      </c>
      <c r="S126" s="1">
        <v>0</v>
      </c>
      <c r="T126" s="1">
        <v>0</v>
      </c>
      <c r="U126" s="24">
        <v>0</v>
      </c>
      <c r="V126" s="25">
        <f t="shared" si="130"/>
        <v>1.5406841942669032</v>
      </c>
      <c r="W126" s="25">
        <f t="shared" si="131"/>
        <v>0.96960772617364666</v>
      </c>
      <c r="X126" s="25">
        <f t="shared" si="132"/>
        <v>1.3222815706311757</v>
      </c>
      <c r="Y126" s="25">
        <f t="shared" si="133"/>
        <v>0.62933580404192491</v>
      </c>
      <c r="Z126" s="25">
        <f t="shared" si="134"/>
        <v>0.8582430945625108</v>
      </c>
      <c r="AA126" s="25">
        <f t="shared" si="135"/>
        <v>1.3637283768862716</v>
      </c>
      <c r="AB126" s="25">
        <f t="shared" si="136"/>
        <v>0</v>
      </c>
      <c r="AC126" s="25">
        <f t="shared" si="137"/>
        <v>0</v>
      </c>
      <c r="AD126" s="63">
        <f t="shared" si="138"/>
        <v>0</v>
      </c>
      <c r="AE126" s="24">
        <f t="shared" si="108"/>
        <v>1</v>
      </c>
    </row>
    <row r="127" spans="1:31" x14ac:dyDescent="0.2">
      <c r="A127" s="75">
        <f t="shared" si="129"/>
        <v>46274</v>
      </c>
      <c r="B127" s="15" t="str">
        <f>$B$7</f>
        <v>FC</v>
      </c>
      <c r="C127" s="15" t="str">
        <f>$C$7</f>
        <v>Muskan</v>
      </c>
      <c r="D127" s="18">
        <f t="shared" si="109"/>
        <v>19.47186848001304</v>
      </c>
      <c r="E127" s="4">
        <f t="shared" si="110"/>
        <v>48.620546093311908</v>
      </c>
      <c r="F127" s="4">
        <v>48037.099540192168</v>
      </c>
      <c r="G127" s="5">
        <f t="shared" si="120"/>
        <v>2.4969635627530362</v>
      </c>
      <c r="H127" s="4">
        <f t="shared" si="121"/>
        <v>2467</v>
      </c>
      <c r="I127" s="4">
        <f t="shared" si="122"/>
        <v>988</v>
      </c>
      <c r="J127" s="4">
        <f t="shared" si="123"/>
        <v>1.5577494784010433</v>
      </c>
      <c r="K127" s="27">
        <f t="shared" si="124"/>
        <v>0.77887473920052164</v>
      </c>
      <c r="L127" s="30">
        <f t="shared" si="125"/>
        <v>4.8679671200032599</v>
      </c>
      <c r="M127" s="18">
        <v>8</v>
      </c>
      <c r="N127" s="4">
        <v>26</v>
      </c>
      <c r="O127" s="4">
        <v>52932.619999999995</v>
      </c>
      <c r="P127" s="5">
        <f t="shared" si="126"/>
        <v>3.25</v>
      </c>
      <c r="Q127" s="29">
        <f t="shared" si="127"/>
        <v>6616.5774999999994</v>
      </c>
      <c r="R127" s="29">
        <f t="shared" si="128"/>
        <v>2035.87</v>
      </c>
      <c r="S127" s="1">
        <v>0</v>
      </c>
      <c r="T127" s="1">
        <v>0</v>
      </c>
      <c r="U127" s="24">
        <v>0</v>
      </c>
      <c r="V127" s="25">
        <f t="shared" si="130"/>
        <v>0.41084911847117422</v>
      </c>
      <c r="W127" s="25">
        <f t="shared" si="131"/>
        <v>0.53475335201092034</v>
      </c>
      <c r="X127" s="25">
        <f t="shared" si="132"/>
        <v>1.1019112416583727</v>
      </c>
      <c r="Y127" s="25">
        <f t="shared" si="133"/>
        <v>1.3015808674503446</v>
      </c>
      <c r="Z127" s="25">
        <f t="shared" si="134"/>
        <v>2.6820338467774625</v>
      </c>
      <c r="AA127" s="25">
        <f t="shared" si="135"/>
        <v>2.0605971659919029</v>
      </c>
      <c r="AB127" s="25">
        <f t="shared" si="136"/>
        <v>0</v>
      </c>
      <c r="AC127" s="25">
        <f t="shared" si="137"/>
        <v>0</v>
      </c>
      <c r="AD127" s="63">
        <f t="shared" si="138"/>
        <v>0</v>
      </c>
      <c r="AE127" s="24">
        <f t="shared" si="108"/>
        <v>1</v>
      </c>
    </row>
    <row r="128" spans="1:31" x14ac:dyDescent="0.2">
      <c r="A128" s="75">
        <f t="shared" si="129"/>
        <v>46274</v>
      </c>
      <c r="B128" s="15" t="str">
        <f>$B$8</f>
        <v>FC</v>
      </c>
      <c r="C128" s="15" t="str">
        <f>$C$8</f>
        <v xml:space="preserve">Kajal  </v>
      </c>
      <c r="D128" s="18">
        <f t="shared" si="109"/>
        <v>0</v>
      </c>
      <c r="E128" s="4">
        <f t="shared" si="110"/>
        <v>0</v>
      </c>
      <c r="F128" s="4">
        <v>0</v>
      </c>
      <c r="G128" s="5" t="e">
        <f t="shared" si="120"/>
        <v>#DIV/0!</v>
      </c>
      <c r="H128" s="4" t="e">
        <f t="shared" si="121"/>
        <v>#DIV/0!</v>
      </c>
      <c r="I128" s="4" t="e">
        <f t="shared" si="122"/>
        <v>#DIV/0!</v>
      </c>
      <c r="J128" s="4">
        <f t="shared" si="123"/>
        <v>0</v>
      </c>
      <c r="K128" s="27">
        <f t="shared" si="124"/>
        <v>0</v>
      </c>
      <c r="L128" s="30">
        <f t="shared" si="125"/>
        <v>0</v>
      </c>
      <c r="M128" s="18">
        <v>0</v>
      </c>
      <c r="N128" s="4">
        <v>0</v>
      </c>
      <c r="O128" s="4">
        <v>0</v>
      </c>
      <c r="P128" s="5" t="e">
        <f t="shared" si="126"/>
        <v>#DIV/0!</v>
      </c>
      <c r="Q128" s="29" t="e">
        <f t="shared" si="127"/>
        <v>#DIV/0!</v>
      </c>
      <c r="R128" s="29" t="e">
        <f t="shared" si="128"/>
        <v>#DIV/0!</v>
      </c>
      <c r="S128" s="1">
        <v>0</v>
      </c>
      <c r="T128" s="1">
        <v>0</v>
      </c>
      <c r="U128" s="24">
        <v>0</v>
      </c>
      <c r="V128" s="25" t="e">
        <f t="shared" si="130"/>
        <v>#DIV/0!</v>
      </c>
      <c r="W128" s="25" t="e">
        <f t="shared" si="131"/>
        <v>#DIV/0!</v>
      </c>
      <c r="X128" s="25" t="e">
        <f t="shared" si="132"/>
        <v>#DIV/0!</v>
      </c>
      <c r="Y128" s="25" t="e">
        <f t="shared" si="133"/>
        <v>#DIV/0!</v>
      </c>
      <c r="Z128" s="25" t="e">
        <f t="shared" si="134"/>
        <v>#DIV/0!</v>
      </c>
      <c r="AA128" s="25" t="e">
        <f t="shared" si="135"/>
        <v>#DIV/0!</v>
      </c>
      <c r="AB128" s="25" t="e">
        <f t="shared" si="136"/>
        <v>#DIV/0!</v>
      </c>
      <c r="AC128" s="25" t="e">
        <f t="shared" si="137"/>
        <v>#DIV/0!</v>
      </c>
      <c r="AD128" s="63" t="e">
        <f t="shared" si="138"/>
        <v>#DIV/0!</v>
      </c>
      <c r="AE128" s="24">
        <f t="shared" si="108"/>
        <v>0</v>
      </c>
    </row>
    <row r="129" spans="1:31" x14ac:dyDescent="0.2">
      <c r="A129" s="75">
        <f t="shared" si="129"/>
        <v>46274</v>
      </c>
      <c r="B129" s="15" t="str">
        <f>$B$9</f>
        <v>FC</v>
      </c>
      <c r="C129" s="15" t="str">
        <f>$C$9</f>
        <v>Pradeep</v>
      </c>
      <c r="D129" s="18">
        <f t="shared" si="109"/>
        <v>0</v>
      </c>
      <c r="E129" s="4">
        <f t="shared" si="110"/>
        <v>0</v>
      </c>
      <c r="F129" s="4">
        <v>0</v>
      </c>
      <c r="G129" s="5" t="e">
        <f t="shared" si="120"/>
        <v>#DIV/0!</v>
      </c>
      <c r="H129" s="4" t="e">
        <f t="shared" si="121"/>
        <v>#DIV/0!</v>
      </c>
      <c r="I129" s="4" t="e">
        <f t="shared" si="122"/>
        <v>#DIV/0!</v>
      </c>
      <c r="J129" s="4">
        <f t="shared" si="123"/>
        <v>0</v>
      </c>
      <c r="K129" s="27">
        <f t="shared" si="124"/>
        <v>0</v>
      </c>
      <c r="L129" s="30">
        <f t="shared" si="125"/>
        <v>0</v>
      </c>
      <c r="M129" s="18">
        <v>2</v>
      </c>
      <c r="N129" s="4">
        <v>2</v>
      </c>
      <c r="O129" s="4">
        <v>1698</v>
      </c>
      <c r="P129" s="5">
        <f t="shared" si="126"/>
        <v>1</v>
      </c>
      <c r="Q129" s="29">
        <f t="shared" si="127"/>
        <v>849</v>
      </c>
      <c r="R129" s="29">
        <f t="shared" si="128"/>
        <v>849</v>
      </c>
      <c r="S129" s="1">
        <v>0</v>
      </c>
      <c r="T129" s="1">
        <v>0</v>
      </c>
      <c r="U129" s="24">
        <v>0</v>
      </c>
      <c r="V129" s="25" t="e">
        <f t="shared" si="130"/>
        <v>#DIV/0!</v>
      </c>
      <c r="W129" s="25" t="e">
        <f t="shared" si="131"/>
        <v>#DIV/0!</v>
      </c>
      <c r="X129" s="25" t="e">
        <f t="shared" si="132"/>
        <v>#DIV/0!</v>
      </c>
      <c r="Y129" s="25" t="e">
        <f t="shared" si="133"/>
        <v>#DIV/0!</v>
      </c>
      <c r="Z129" s="25" t="e">
        <f t="shared" si="134"/>
        <v>#DIV/0!</v>
      </c>
      <c r="AA129" s="25" t="e">
        <f t="shared" si="135"/>
        <v>#DIV/0!</v>
      </c>
      <c r="AB129" s="25" t="e">
        <f t="shared" si="136"/>
        <v>#DIV/0!</v>
      </c>
      <c r="AC129" s="25" t="e">
        <f t="shared" si="137"/>
        <v>#DIV/0!</v>
      </c>
      <c r="AD129" s="63" t="e">
        <f t="shared" si="138"/>
        <v>#DIV/0!</v>
      </c>
      <c r="AE129" s="24">
        <f t="shared" si="108"/>
        <v>0</v>
      </c>
    </row>
    <row r="130" spans="1:31" x14ac:dyDescent="0.2">
      <c r="A130" s="75">
        <f t="shared" si="129"/>
        <v>46274</v>
      </c>
      <c r="B130" s="15" t="str">
        <f>$B$10</f>
        <v>FC</v>
      </c>
      <c r="C130" s="15" t="str">
        <f>$C$10</f>
        <v>Aftab</v>
      </c>
      <c r="D130" s="18">
        <f t="shared" si="109"/>
        <v>3.8943736960026079</v>
      </c>
      <c r="E130" s="4">
        <f t="shared" si="110"/>
        <v>9.724109218662381</v>
      </c>
      <c r="F130" s="4">
        <v>9607.4199080384333</v>
      </c>
      <c r="G130" s="5">
        <f t="shared" si="120"/>
        <v>2.4969635627530362</v>
      </c>
      <c r="H130" s="4">
        <f t="shared" si="121"/>
        <v>2467</v>
      </c>
      <c r="I130" s="4">
        <f t="shared" si="122"/>
        <v>988.00000000000011</v>
      </c>
      <c r="J130" s="4">
        <f t="shared" si="123"/>
        <v>0.31154989568020863</v>
      </c>
      <c r="K130" s="27">
        <f t="shared" si="124"/>
        <v>0.15577494784010432</v>
      </c>
      <c r="L130" s="30">
        <f t="shared" si="125"/>
        <v>0.97359342400065196</v>
      </c>
      <c r="M130" s="18">
        <v>7</v>
      </c>
      <c r="N130" s="4">
        <v>12</v>
      </c>
      <c r="O130" s="4">
        <v>12908.81</v>
      </c>
      <c r="P130" s="5">
        <f t="shared" si="126"/>
        <v>1.7142857142857142</v>
      </c>
      <c r="Q130" s="29">
        <f t="shared" si="127"/>
        <v>1844.1157142857141</v>
      </c>
      <c r="R130" s="29">
        <f t="shared" si="128"/>
        <v>1075.7341666666666</v>
      </c>
      <c r="S130" s="1">
        <v>0</v>
      </c>
      <c r="T130" s="1">
        <v>0</v>
      </c>
      <c r="U130" s="24">
        <v>0</v>
      </c>
      <c r="V130" s="25">
        <f t="shared" si="130"/>
        <v>1.7974648933113873</v>
      </c>
      <c r="W130" s="25">
        <f t="shared" si="131"/>
        <v>1.2340461969482777</v>
      </c>
      <c r="X130" s="25">
        <f t="shared" si="132"/>
        <v>1.3436292077958751</v>
      </c>
      <c r="Y130" s="25">
        <f t="shared" si="133"/>
        <v>0.68654814986391799</v>
      </c>
      <c r="Z130" s="25">
        <f t="shared" si="134"/>
        <v>0.74751346343158254</v>
      </c>
      <c r="AA130" s="25">
        <f t="shared" si="135"/>
        <v>1.0887997638326583</v>
      </c>
      <c r="AB130" s="25">
        <f t="shared" si="136"/>
        <v>0</v>
      </c>
      <c r="AC130" s="25">
        <f t="shared" si="137"/>
        <v>0</v>
      </c>
      <c r="AD130" s="63">
        <f t="shared" si="138"/>
        <v>0</v>
      </c>
      <c r="AE130" s="24">
        <f t="shared" si="108"/>
        <v>1</v>
      </c>
    </row>
    <row r="131" spans="1:31" x14ac:dyDescent="0.2">
      <c r="A131" s="75">
        <f t="shared" si="129"/>
        <v>46274</v>
      </c>
      <c r="B131" s="15" t="str">
        <f>$B$11</f>
        <v>FC</v>
      </c>
      <c r="C131" s="15" t="str">
        <f>$C$11</f>
        <v>Khushi</v>
      </c>
      <c r="D131" s="18">
        <f t="shared" si="109"/>
        <v>0</v>
      </c>
      <c r="E131" s="4">
        <f t="shared" si="110"/>
        <v>0</v>
      </c>
      <c r="F131" s="4">
        <v>0</v>
      </c>
      <c r="G131" s="5" t="e">
        <f t="shared" si="120"/>
        <v>#DIV/0!</v>
      </c>
      <c r="H131" s="4" t="e">
        <f t="shared" si="121"/>
        <v>#DIV/0!</v>
      </c>
      <c r="I131" s="4" t="e">
        <f t="shared" si="122"/>
        <v>#DIV/0!</v>
      </c>
      <c r="J131" s="4">
        <f t="shared" si="123"/>
        <v>0</v>
      </c>
      <c r="K131" s="27">
        <f t="shared" si="124"/>
        <v>0</v>
      </c>
      <c r="L131" s="30">
        <f t="shared" si="125"/>
        <v>0</v>
      </c>
      <c r="M131" s="18">
        <v>0</v>
      </c>
      <c r="N131" s="4">
        <v>0</v>
      </c>
      <c r="O131" s="4">
        <v>0</v>
      </c>
      <c r="P131" s="5" t="e">
        <f t="shared" si="126"/>
        <v>#DIV/0!</v>
      </c>
      <c r="Q131" s="29" t="e">
        <f t="shared" si="127"/>
        <v>#DIV/0!</v>
      </c>
      <c r="R131" s="29" t="e">
        <f t="shared" si="128"/>
        <v>#DIV/0!</v>
      </c>
      <c r="S131" s="1">
        <v>0</v>
      </c>
      <c r="T131" s="1">
        <v>0</v>
      </c>
      <c r="U131" s="24">
        <v>0</v>
      </c>
      <c r="V131" s="25" t="e">
        <f t="shared" si="130"/>
        <v>#DIV/0!</v>
      </c>
      <c r="W131" s="25" t="e">
        <f t="shared" si="131"/>
        <v>#DIV/0!</v>
      </c>
      <c r="X131" s="25" t="e">
        <f t="shared" si="132"/>
        <v>#DIV/0!</v>
      </c>
      <c r="Y131" s="25" t="e">
        <f t="shared" si="133"/>
        <v>#DIV/0!</v>
      </c>
      <c r="Z131" s="25" t="e">
        <f t="shared" si="134"/>
        <v>#DIV/0!</v>
      </c>
      <c r="AA131" s="25" t="e">
        <f t="shared" si="135"/>
        <v>#DIV/0!</v>
      </c>
      <c r="AB131" s="25" t="e">
        <f t="shared" si="136"/>
        <v>#DIV/0!</v>
      </c>
      <c r="AC131" s="25" t="e">
        <f t="shared" si="137"/>
        <v>#DIV/0!</v>
      </c>
      <c r="AD131" s="63" t="e">
        <f t="shared" si="138"/>
        <v>#DIV/0!</v>
      </c>
      <c r="AE131" s="24">
        <f t="shared" si="108"/>
        <v>0</v>
      </c>
    </row>
    <row r="132" spans="1:31" x14ac:dyDescent="0.2">
      <c r="A132" s="75">
        <f t="shared" si="129"/>
        <v>46274</v>
      </c>
      <c r="B132" s="15" t="str">
        <f>$B$12</f>
        <v>FC</v>
      </c>
      <c r="C132" s="15" t="str">
        <f>$C$12</f>
        <v>Kishan</v>
      </c>
      <c r="D132" s="18">
        <f t="shared" si="109"/>
        <v>0</v>
      </c>
      <c r="E132" s="4">
        <f t="shared" si="110"/>
        <v>0</v>
      </c>
      <c r="F132" s="4">
        <v>0</v>
      </c>
      <c r="G132" s="5" t="e">
        <f t="shared" si="120"/>
        <v>#DIV/0!</v>
      </c>
      <c r="H132" s="4" t="e">
        <f t="shared" si="121"/>
        <v>#DIV/0!</v>
      </c>
      <c r="I132" s="4" t="e">
        <f t="shared" si="122"/>
        <v>#DIV/0!</v>
      </c>
      <c r="J132" s="4">
        <f t="shared" si="123"/>
        <v>0</v>
      </c>
      <c r="K132" s="27">
        <f t="shared" si="124"/>
        <v>0</v>
      </c>
      <c r="L132" s="30">
        <f t="shared" si="125"/>
        <v>0</v>
      </c>
      <c r="M132" s="18">
        <v>0</v>
      </c>
      <c r="N132" s="4">
        <v>0</v>
      </c>
      <c r="O132" s="4">
        <v>0</v>
      </c>
      <c r="P132" s="5" t="e">
        <f t="shared" si="126"/>
        <v>#DIV/0!</v>
      </c>
      <c r="Q132" s="29" t="e">
        <f t="shared" si="127"/>
        <v>#DIV/0!</v>
      </c>
      <c r="R132" s="29" t="e">
        <f t="shared" si="128"/>
        <v>#DIV/0!</v>
      </c>
      <c r="S132" s="1">
        <v>0</v>
      </c>
      <c r="T132" s="1">
        <v>0</v>
      </c>
      <c r="U132" s="24">
        <v>0</v>
      </c>
      <c r="V132" s="25" t="e">
        <f t="shared" si="130"/>
        <v>#DIV/0!</v>
      </c>
      <c r="W132" s="25" t="e">
        <f t="shared" si="131"/>
        <v>#DIV/0!</v>
      </c>
      <c r="X132" s="25" t="e">
        <f t="shared" si="132"/>
        <v>#DIV/0!</v>
      </c>
      <c r="Y132" s="25" t="e">
        <f t="shared" si="133"/>
        <v>#DIV/0!</v>
      </c>
      <c r="Z132" s="25" t="e">
        <f t="shared" si="134"/>
        <v>#DIV/0!</v>
      </c>
      <c r="AA132" s="25" t="e">
        <f t="shared" si="135"/>
        <v>#DIV/0!</v>
      </c>
      <c r="AB132" s="25" t="e">
        <f t="shared" si="136"/>
        <v>#DIV/0!</v>
      </c>
      <c r="AC132" s="25" t="e">
        <f t="shared" si="137"/>
        <v>#DIV/0!</v>
      </c>
      <c r="AD132" s="63" t="e">
        <f t="shared" si="138"/>
        <v>#DIV/0!</v>
      </c>
      <c r="AE132" s="24">
        <f t="shared" si="108"/>
        <v>0</v>
      </c>
    </row>
    <row r="133" spans="1:31" x14ac:dyDescent="0.2">
      <c r="A133" s="75">
        <f t="shared" si="129"/>
        <v>46274</v>
      </c>
      <c r="B133" s="15" t="str">
        <f>$B$13</f>
        <v>Partner</v>
      </c>
      <c r="C133" s="15" t="str">
        <f>$C$13</f>
        <v>Rahul</v>
      </c>
      <c r="D133" s="18">
        <f t="shared" si="109"/>
        <v>0</v>
      </c>
      <c r="E133" s="4">
        <f t="shared" si="110"/>
        <v>0</v>
      </c>
      <c r="F133" s="4">
        <v>0</v>
      </c>
      <c r="G133" s="5" t="e">
        <f t="shared" si="120"/>
        <v>#DIV/0!</v>
      </c>
      <c r="H133" s="4" t="e">
        <f t="shared" si="121"/>
        <v>#DIV/0!</v>
      </c>
      <c r="I133" s="4" t="e">
        <f t="shared" si="122"/>
        <v>#DIV/0!</v>
      </c>
      <c r="J133" s="4">
        <f t="shared" si="123"/>
        <v>0</v>
      </c>
      <c r="K133" s="27">
        <f t="shared" si="124"/>
        <v>0</v>
      </c>
      <c r="L133" s="30">
        <f t="shared" si="125"/>
        <v>0</v>
      </c>
      <c r="M133" s="18">
        <v>0</v>
      </c>
      <c r="N133" s="4">
        <v>0</v>
      </c>
      <c r="O133" s="4">
        <v>0</v>
      </c>
      <c r="P133" s="5" t="e">
        <f t="shared" si="126"/>
        <v>#DIV/0!</v>
      </c>
      <c r="Q133" s="29" t="e">
        <f t="shared" si="127"/>
        <v>#DIV/0!</v>
      </c>
      <c r="R133" s="29" t="e">
        <f t="shared" si="128"/>
        <v>#DIV/0!</v>
      </c>
      <c r="S133" s="1">
        <v>0</v>
      </c>
      <c r="T133" s="1">
        <v>0</v>
      </c>
      <c r="U133" s="24">
        <v>0</v>
      </c>
      <c r="V133" s="25" t="e">
        <f t="shared" si="130"/>
        <v>#DIV/0!</v>
      </c>
      <c r="W133" s="25" t="e">
        <f t="shared" si="131"/>
        <v>#DIV/0!</v>
      </c>
      <c r="X133" s="25" t="e">
        <f t="shared" si="132"/>
        <v>#DIV/0!</v>
      </c>
      <c r="Y133" s="25" t="e">
        <f t="shared" si="133"/>
        <v>#DIV/0!</v>
      </c>
      <c r="Z133" s="25" t="e">
        <f t="shared" si="134"/>
        <v>#DIV/0!</v>
      </c>
      <c r="AA133" s="25" t="e">
        <f t="shared" si="135"/>
        <v>#DIV/0!</v>
      </c>
      <c r="AB133" s="25" t="e">
        <f t="shared" si="136"/>
        <v>#DIV/0!</v>
      </c>
      <c r="AC133" s="25" t="e">
        <f t="shared" si="137"/>
        <v>#DIV/0!</v>
      </c>
      <c r="AD133" s="63" t="e">
        <f t="shared" si="138"/>
        <v>#DIV/0!</v>
      </c>
      <c r="AE133" s="24">
        <f t="shared" ref="AE133:AE196" si="139">IF(F133&gt;10,1,0)</f>
        <v>0</v>
      </c>
    </row>
    <row r="134" spans="1:31" x14ac:dyDescent="0.2">
      <c r="A134" s="75">
        <f t="shared" si="129"/>
        <v>46274</v>
      </c>
      <c r="B134" s="15" t="str">
        <f>$B$14</f>
        <v>Partner</v>
      </c>
      <c r="C134" s="15" t="str">
        <f>$C$14</f>
        <v>Prince</v>
      </c>
      <c r="D134" s="18">
        <f t="shared" si="109"/>
        <v>0</v>
      </c>
      <c r="E134" s="4">
        <f t="shared" si="110"/>
        <v>0</v>
      </c>
      <c r="F134" s="4">
        <v>0</v>
      </c>
      <c r="G134" s="5" t="e">
        <f t="shared" si="120"/>
        <v>#DIV/0!</v>
      </c>
      <c r="H134" s="4" t="e">
        <f t="shared" si="121"/>
        <v>#DIV/0!</v>
      </c>
      <c r="I134" s="4" t="e">
        <f t="shared" si="122"/>
        <v>#DIV/0!</v>
      </c>
      <c r="J134" s="4">
        <f t="shared" si="123"/>
        <v>0</v>
      </c>
      <c r="K134" s="27">
        <f t="shared" si="124"/>
        <v>0</v>
      </c>
      <c r="L134" s="30">
        <f t="shared" si="125"/>
        <v>0</v>
      </c>
      <c r="M134" s="18">
        <v>0</v>
      </c>
      <c r="N134" s="4">
        <v>0</v>
      </c>
      <c r="O134" s="4">
        <v>0</v>
      </c>
      <c r="P134" s="5" t="e">
        <f t="shared" si="126"/>
        <v>#DIV/0!</v>
      </c>
      <c r="Q134" s="29" t="e">
        <f t="shared" si="127"/>
        <v>#DIV/0!</v>
      </c>
      <c r="R134" s="29" t="e">
        <f t="shared" si="128"/>
        <v>#DIV/0!</v>
      </c>
      <c r="S134" s="1">
        <v>0</v>
      </c>
      <c r="T134" s="1">
        <v>0</v>
      </c>
      <c r="U134" s="24">
        <v>0</v>
      </c>
      <c r="V134" s="25" t="e">
        <f t="shared" si="130"/>
        <v>#DIV/0!</v>
      </c>
      <c r="W134" s="25" t="e">
        <f t="shared" si="131"/>
        <v>#DIV/0!</v>
      </c>
      <c r="X134" s="25" t="e">
        <f t="shared" si="132"/>
        <v>#DIV/0!</v>
      </c>
      <c r="Y134" s="25" t="e">
        <f t="shared" si="133"/>
        <v>#DIV/0!</v>
      </c>
      <c r="Z134" s="25" t="e">
        <f t="shared" si="134"/>
        <v>#DIV/0!</v>
      </c>
      <c r="AA134" s="25" t="e">
        <f t="shared" si="135"/>
        <v>#DIV/0!</v>
      </c>
      <c r="AB134" s="25" t="e">
        <f t="shared" si="136"/>
        <v>#DIV/0!</v>
      </c>
      <c r="AC134" s="25" t="e">
        <f t="shared" si="137"/>
        <v>#DIV/0!</v>
      </c>
      <c r="AD134" s="63" t="e">
        <f t="shared" si="138"/>
        <v>#DIV/0!</v>
      </c>
      <c r="AE134" s="24">
        <f t="shared" si="139"/>
        <v>0</v>
      </c>
    </row>
    <row r="135" spans="1:31" x14ac:dyDescent="0.2">
      <c r="A135" s="75">
        <f t="shared" si="129"/>
        <v>46274</v>
      </c>
      <c r="B135" s="15" t="str">
        <f>$B$15</f>
        <v>Partner</v>
      </c>
      <c r="C135" s="15" t="str">
        <f>$C$15</f>
        <v>Kunal</v>
      </c>
      <c r="D135" s="18">
        <f t="shared" ref="D135:D198" si="140">F135/$B$1</f>
        <v>3.2453114133355068</v>
      </c>
      <c r="E135" s="4">
        <f t="shared" ref="E135:E198" si="141">F135/$C$1</f>
        <v>8.1034243488853193</v>
      </c>
      <c r="F135" s="4">
        <v>8006.183256698695</v>
      </c>
      <c r="G135" s="5">
        <f t="shared" si="120"/>
        <v>2.4969635627530367</v>
      </c>
      <c r="H135" s="4">
        <f t="shared" si="121"/>
        <v>2467</v>
      </c>
      <c r="I135" s="4">
        <f t="shared" si="122"/>
        <v>988</v>
      </c>
      <c r="J135" s="4">
        <f t="shared" si="123"/>
        <v>0.25962491306684055</v>
      </c>
      <c r="K135" s="27">
        <f t="shared" si="124"/>
        <v>0.12981245653342027</v>
      </c>
      <c r="L135" s="30">
        <f t="shared" si="125"/>
        <v>0.81132785333387669</v>
      </c>
      <c r="M135" s="18">
        <v>2</v>
      </c>
      <c r="N135" s="4">
        <v>4</v>
      </c>
      <c r="O135" s="4">
        <v>6177.6</v>
      </c>
      <c r="P135" s="5">
        <f t="shared" si="126"/>
        <v>2</v>
      </c>
      <c r="Q135" s="29">
        <f t="shared" si="127"/>
        <v>3088.8</v>
      </c>
      <c r="R135" s="29">
        <f t="shared" si="128"/>
        <v>1544.4</v>
      </c>
      <c r="S135" s="1">
        <v>0</v>
      </c>
      <c r="T135" s="1">
        <v>0</v>
      </c>
      <c r="U135" s="24">
        <v>0</v>
      </c>
      <c r="V135" s="25">
        <f t="shared" si="130"/>
        <v>0.61627367770676122</v>
      </c>
      <c r="W135" s="25">
        <f t="shared" si="131"/>
        <v>0.49361847877931098</v>
      </c>
      <c r="X135" s="25">
        <f t="shared" si="132"/>
        <v>0.77160362209187039</v>
      </c>
      <c r="Y135" s="25">
        <f t="shared" si="133"/>
        <v>0.80097284150790427</v>
      </c>
      <c r="Z135" s="25">
        <f t="shared" si="134"/>
        <v>1.2520470206728822</v>
      </c>
      <c r="AA135" s="25">
        <f t="shared" si="135"/>
        <v>1.5631578947368423</v>
      </c>
      <c r="AB135" s="25">
        <f t="shared" si="136"/>
        <v>0</v>
      </c>
      <c r="AC135" s="25">
        <f t="shared" si="137"/>
        <v>0</v>
      </c>
      <c r="AD135" s="63">
        <f t="shared" si="138"/>
        <v>0</v>
      </c>
      <c r="AE135" s="24">
        <f t="shared" si="139"/>
        <v>1</v>
      </c>
    </row>
    <row r="136" spans="1:31" x14ac:dyDescent="0.2">
      <c r="A136" s="75">
        <f t="shared" si="129"/>
        <v>46274</v>
      </c>
      <c r="B136" s="15" t="str">
        <f>$B$16</f>
        <v>NA</v>
      </c>
      <c r="C136" s="15" t="str">
        <f>$C$16</f>
        <v>NA</v>
      </c>
      <c r="D136" s="18">
        <f t="shared" si="140"/>
        <v>0</v>
      </c>
      <c r="E136" s="4">
        <f t="shared" si="141"/>
        <v>0</v>
      </c>
      <c r="F136" s="4">
        <v>0</v>
      </c>
      <c r="G136" s="5" t="e">
        <f t="shared" si="120"/>
        <v>#DIV/0!</v>
      </c>
      <c r="H136" s="4" t="e">
        <f t="shared" si="121"/>
        <v>#DIV/0!</v>
      </c>
      <c r="I136" s="4" t="e">
        <f t="shared" si="122"/>
        <v>#DIV/0!</v>
      </c>
      <c r="J136" s="4">
        <f t="shared" si="123"/>
        <v>0</v>
      </c>
      <c r="K136" s="27">
        <f t="shared" si="124"/>
        <v>0</v>
      </c>
      <c r="L136" s="30">
        <f t="shared" si="125"/>
        <v>0</v>
      </c>
      <c r="M136" s="18">
        <v>2</v>
      </c>
      <c r="N136" s="4">
        <v>0</v>
      </c>
      <c r="O136" s="4">
        <v>-4850.5</v>
      </c>
      <c r="P136" s="5">
        <f t="shared" si="126"/>
        <v>0</v>
      </c>
      <c r="Q136" s="29">
        <f t="shared" si="127"/>
        <v>-2425.25</v>
      </c>
      <c r="R136" s="29" t="e">
        <f t="shared" si="128"/>
        <v>#DIV/0!</v>
      </c>
      <c r="S136" s="1">
        <v>0</v>
      </c>
      <c r="T136" s="1">
        <v>0</v>
      </c>
      <c r="U136" s="24">
        <v>0</v>
      </c>
      <c r="V136" s="25" t="e">
        <f t="shared" si="130"/>
        <v>#DIV/0!</v>
      </c>
      <c r="W136" s="25" t="e">
        <f t="shared" si="131"/>
        <v>#DIV/0!</v>
      </c>
      <c r="X136" s="25" t="e">
        <f t="shared" si="132"/>
        <v>#DIV/0!</v>
      </c>
      <c r="Y136" s="25" t="e">
        <f t="shared" si="133"/>
        <v>#DIV/0!</v>
      </c>
      <c r="Z136" s="25" t="e">
        <f t="shared" si="134"/>
        <v>#DIV/0!</v>
      </c>
      <c r="AA136" s="25" t="e">
        <f t="shared" si="135"/>
        <v>#DIV/0!</v>
      </c>
      <c r="AB136" s="25" t="e">
        <f t="shared" si="136"/>
        <v>#DIV/0!</v>
      </c>
      <c r="AC136" s="25" t="e">
        <f t="shared" si="137"/>
        <v>#DIV/0!</v>
      </c>
      <c r="AD136" s="63" t="e">
        <f t="shared" si="138"/>
        <v>#DIV/0!</v>
      </c>
      <c r="AE136" s="24">
        <f t="shared" si="139"/>
        <v>0</v>
      </c>
    </row>
    <row r="137" spans="1:31" x14ac:dyDescent="0.2">
      <c r="A137" s="75">
        <f t="shared" si="129"/>
        <v>46274</v>
      </c>
      <c r="B137" s="15" t="str">
        <f>$B$17</f>
        <v>NA</v>
      </c>
      <c r="C137" s="15" t="str">
        <f>$C$17</f>
        <v>NA</v>
      </c>
      <c r="D137" s="18">
        <f t="shared" si="140"/>
        <v>0</v>
      </c>
      <c r="E137" s="4">
        <f t="shared" si="141"/>
        <v>0</v>
      </c>
      <c r="F137" s="4">
        <v>0</v>
      </c>
      <c r="G137" s="5" t="e">
        <f t="shared" si="120"/>
        <v>#DIV/0!</v>
      </c>
      <c r="H137" s="4" t="e">
        <f t="shared" si="121"/>
        <v>#DIV/0!</v>
      </c>
      <c r="I137" s="4" t="e">
        <f t="shared" si="122"/>
        <v>#DIV/0!</v>
      </c>
      <c r="J137" s="4">
        <f t="shared" si="123"/>
        <v>0</v>
      </c>
      <c r="K137" s="27">
        <f t="shared" si="124"/>
        <v>0</v>
      </c>
      <c r="L137" s="30">
        <f t="shared" si="125"/>
        <v>0</v>
      </c>
      <c r="M137" s="18">
        <v>0</v>
      </c>
      <c r="N137" s="4">
        <v>0</v>
      </c>
      <c r="O137" s="4">
        <v>0</v>
      </c>
      <c r="P137" s="5" t="e">
        <f t="shared" si="126"/>
        <v>#DIV/0!</v>
      </c>
      <c r="Q137" s="29" t="e">
        <f t="shared" si="127"/>
        <v>#DIV/0!</v>
      </c>
      <c r="R137" s="29" t="e">
        <f t="shared" si="128"/>
        <v>#DIV/0!</v>
      </c>
      <c r="S137" s="1">
        <v>0</v>
      </c>
      <c r="T137" s="1">
        <v>0</v>
      </c>
      <c r="U137" s="24">
        <v>0</v>
      </c>
      <c r="V137" s="25" t="e">
        <f t="shared" si="130"/>
        <v>#DIV/0!</v>
      </c>
      <c r="W137" s="25" t="e">
        <f t="shared" si="131"/>
        <v>#DIV/0!</v>
      </c>
      <c r="X137" s="25" t="e">
        <f t="shared" si="132"/>
        <v>#DIV/0!</v>
      </c>
      <c r="Y137" s="25" t="e">
        <f t="shared" si="133"/>
        <v>#DIV/0!</v>
      </c>
      <c r="Z137" s="25" t="e">
        <f t="shared" si="134"/>
        <v>#DIV/0!</v>
      </c>
      <c r="AA137" s="25" t="e">
        <f t="shared" si="135"/>
        <v>#DIV/0!</v>
      </c>
      <c r="AB137" s="25" t="e">
        <f t="shared" si="136"/>
        <v>#DIV/0!</v>
      </c>
      <c r="AC137" s="25" t="e">
        <f t="shared" si="137"/>
        <v>#DIV/0!</v>
      </c>
      <c r="AD137" s="63" t="e">
        <f t="shared" si="138"/>
        <v>#DIV/0!</v>
      </c>
      <c r="AE137" s="24">
        <f t="shared" si="139"/>
        <v>0</v>
      </c>
    </row>
    <row r="138" spans="1:31" x14ac:dyDescent="0.2">
      <c r="A138" s="75">
        <f t="shared" si="129"/>
        <v>46274</v>
      </c>
      <c r="B138" s="15" t="str">
        <f>$B$18</f>
        <v>NA</v>
      </c>
      <c r="C138" s="15" t="str">
        <f>$C$18</f>
        <v>NA</v>
      </c>
      <c r="D138" s="18">
        <f t="shared" si="140"/>
        <v>0</v>
      </c>
      <c r="E138" s="4">
        <f t="shared" si="141"/>
        <v>0</v>
      </c>
      <c r="F138" s="4">
        <v>0</v>
      </c>
      <c r="G138" s="5" t="e">
        <f t="shared" si="120"/>
        <v>#DIV/0!</v>
      </c>
      <c r="H138" s="4" t="e">
        <f t="shared" si="121"/>
        <v>#DIV/0!</v>
      </c>
      <c r="I138" s="4" t="e">
        <f t="shared" si="122"/>
        <v>#DIV/0!</v>
      </c>
      <c r="J138" s="4">
        <f t="shared" si="123"/>
        <v>0</v>
      </c>
      <c r="K138" s="27">
        <f t="shared" si="124"/>
        <v>0</v>
      </c>
      <c r="L138" s="30">
        <f t="shared" si="125"/>
        <v>0</v>
      </c>
      <c r="M138" s="18">
        <v>0</v>
      </c>
      <c r="N138" s="4">
        <v>0</v>
      </c>
      <c r="O138" s="4">
        <v>0</v>
      </c>
      <c r="P138" s="5" t="e">
        <f t="shared" si="126"/>
        <v>#DIV/0!</v>
      </c>
      <c r="Q138" s="29" t="e">
        <f t="shared" si="127"/>
        <v>#DIV/0!</v>
      </c>
      <c r="R138" s="29" t="e">
        <f t="shared" si="128"/>
        <v>#DIV/0!</v>
      </c>
      <c r="S138" s="1">
        <v>0</v>
      </c>
      <c r="T138" s="1">
        <v>0</v>
      </c>
      <c r="U138" s="24">
        <v>0</v>
      </c>
      <c r="V138" s="25" t="e">
        <f t="shared" si="130"/>
        <v>#DIV/0!</v>
      </c>
      <c r="W138" s="25" t="e">
        <f t="shared" si="131"/>
        <v>#DIV/0!</v>
      </c>
      <c r="X138" s="25" t="e">
        <f t="shared" si="132"/>
        <v>#DIV/0!</v>
      </c>
      <c r="Y138" s="25" t="e">
        <f t="shared" si="133"/>
        <v>#DIV/0!</v>
      </c>
      <c r="Z138" s="25" t="e">
        <f t="shared" si="134"/>
        <v>#DIV/0!</v>
      </c>
      <c r="AA138" s="25" t="e">
        <f t="shared" si="135"/>
        <v>#DIV/0!</v>
      </c>
      <c r="AB138" s="25" t="e">
        <f t="shared" si="136"/>
        <v>#DIV/0!</v>
      </c>
      <c r="AC138" s="25" t="e">
        <f t="shared" si="137"/>
        <v>#DIV/0!</v>
      </c>
      <c r="AD138" s="63" t="e">
        <f t="shared" si="138"/>
        <v>#DIV/0!</v>
      </c>
      <c r="AE138" s="24">
        <f t="shared" si="139"/>
        <v>0</v>
      </c>
    </row>
    <row r="139" spans="1:31" x14ac:dyDescent="0.2">
      <c r="A139" s="75">
        <f t="shared" si="129"/>
        <v>46275</v>
      </c>
      <c r="B139" s="15" t="str">
        <f>$B$4</f>
        <v>DSM</v>
      </c>
      <c r="C139" s="15" t="str">
        <f>$C$4</f>
        <v xml:space="preserve">komal  </v>
      </c>
      <c r="D139" s="18">
        <f t="shared" si="140"/>
        <v>0</v>
      </c>
      <c r="E139" s="4">
        <f t="shared" si="141"/>
        <v>0</v>
      </c>
      <c r="F139" s="4">
        <v>0</v>
      </c>
      <c r="G139" s="5" t="e">
        <f t="shared" si="120"/>
        <v>#DIV/0!</v>
      </c>
      <c r="H139" s="4" t="e">
        <f t="shared" si="121"/>
        <v>#DIV/0!</v>
      </c>
      <c r="I139" s="4" t="e">
        <f t="shared" si="122"/>
        <v>#DIV/0!</v>
      </c>
      <c r="J139" s="4">
        <f t="shared" si="123"/>
        <v>0</v>
      </c>
      <c r="K139" s="27">
        <f t="shared" si="124"/>
        <v>0</v>
      </c>
      <c r="L139" s="30">
        <f t="shared" si="125"/>
        <v>0</v>
      </c>
      <c r="M139" s="18">
        <v>0</v>
      </c>
      <c r="N139" s="4">
        <v>0</v>
      </c>
      <c r="O139" s="4">
        <v>0</v>
      </c>
      <c r="P139" s="5" t="e">
        <f t="shared" si="126"/>
        <v>#DIV/0!</v>
      </c>
      <c r="Q139" s="29" t="e">
        <f t="shared" si="127"/>
        <v>#DIV/0!</v>
      </c>
      <c r="R139" s="29" t="e">
        <f t="shared" si="128"/>
        <v>#DIV/0!</v>
      </c>
      <c r="S139" s="1">
        <v>0</v>
      </c>
      <c r="T139" s="1">
        <v>0</v>
      </c>
      <c r="U139" s="24">
        <v>0</v>
      </c>
      <c r="V139" s="25" t="e">
        <f t="shared" si="130"/>
        <v>#DIV/0!</v>
      </c>
      <c r="W139" s="25" t="e">
        <f t="shared" si="131"/>
        <v>#DIV/0!</v>
      </c>
      <c r="X139" s="25" t="e">
        <f t="shared" si="132"/>
        <v>#DIV/0!</v>
      </c>
      <c r="Y139" s="25" t="e">
        <f t="shared" si="133"/>
        <v>#DIV/0!</v>
      </c>
      <c r="Z139" s="25" t="e">
        <f t="shared" si="134"/>
        <v>#DIV/0!</v>
      </c>
      <c r="AA139" s="25" t="e">
        <f t="shared" si="135"/>
        <v>#DIV/0!</v>
      </c>
      <c r="AB139" s="25" t="e">
        <f t="shared" si="136"/>
        <v>#DIV/0!</v>
      </c>
      <c r="AC139" s="25" t="e">
        <f t="shared" si="137"/>
        <v>#DIV/0!</v>
      </c>
      <c r="AD139" s="63" t="e">
        <f t="shared" si="138"/>
        <v>#DIV/0!</v>
      </c>
      <c r="AE139" s="24">
        <f t="shared" si="139"/>
        <v>0</v>
      </c>
    </row>
    <row r="140" spans="1:31" x14ac:dyDescent="0.2">
      <c r="A140" s="75">
        <f t="shared" si="129"/>
        <v>46275</v>
      </c>
      <c r="B140" s="15" t="str">
        <f>$B$5</f>
        <v>SS</v>
      </c>
      <c r="C140" s="15" t="str">
        <f>$C$5</f>
        <v>Prem</v>
      </c>
      <c r="D140" s="18">
        <f t="shared" si="140"/>
        <v>0</v>
      </c>
      <c r="E140" s="4">
        <f t="shared" si="141"/>
        <v>0</v>
      </c>
      <c r="F140" s="4">
        <v>0</v>
      </c>
      <c r="G140" s="5" t="e">
        <f t="shared" si="120"/>
        <v>#DIV/0!</v>
      </c>
      <c r="H140" s="4" t="e">
        <f t="shared" si="121"/>
        <v>#DIV/0!</v>
      </c>
      <c r="I140" s="4" t="e">
        <f t="shared" si="122"/>
        <v>#DIV/0!</v>
      </c>
      <c r="J140" s="4">
        <f t="shared" si="123"/>
        <v>0</v>
      </c>
      <c r="K140" s="27">
        <f t="shared" si="124"/>
        <v>0</v>
      </c>
      <c r="L140" s="30">
        <f t="shared" si="125"/>
        <v>0</v>
      </c>
      <c r="M140" s="18">
        <v>0</v>
      </c>
      <c r="N140" s="4">
        <v>0</v>
      </c>
      <c r="O140" s="4">
        <v>0</v>
      </c>
      <c r="P140" s="5" t="e">
        <f t="shared" si="126"/>
        <v>#DIV/0!</v>
      </c>
      <c r="Q140" s="29" t="e">
        <f t="shared" si="127"/>
        <v>#DIV/0!</v>
      </c>
      <c r="R140" s="29" t="e">
        <f t="shared" si="128"/>
        <v>#DIV/0!</v>
      </c>
      <c r="S140" s="1">
        <v>0</v>
      </c>
      <c r="T140" s="1">
        <v>0</v>
      </c>
      <c r="U140" s="24">
        <v>0</v>
      </c>
      <c r="V140" s="25" t="e">
        <f t="shared" si="130"/>
        <v>#DIV/0!</v>
      </c>
      <c r="W140" s="25" t="e">
        <f t="shared" si="131"/>
        <v>#DIV/0!</v>
      </c>
      <c r="X140" s="25" t="e">
        <f t="shared" si="132"/>
        <v>#DIV/0!</v>
      </c>
      <c r="Y140" s="25" t="e">
        <f t="shared" si="133"/>
        <v>#DIV/0!</v>
      </c>
      <c r="Z140" s="25" t="e">
        <f t="shared" si="134"/>
        <v>#DIV/0!</v>
      </c>
      <c r="AA140" s="25" t="e">
        <f t="shared" si="135"/>
        <v>#DIV/0!</v>
      </c>
      <c r="AB140" s="25" t="e">
        <f t="shared" si="136"/>
        <v>#DIV/0!</v>
      </c>
      <c r="AC140" s="25" t="e">
        <f t="shared" si="137"/>
        <v>#DIV/0!</v>
      </c>
      <c r="AD140" s="63" t="e">
        <f t="shared" si="138"/>
        <v>#DIV/0!</v>
      </c>
      <c r="AE140" s="24">
        <f t="shared" si="139"/>
        <v>0</v>
      </c>
    </row>
    <row r="141" spans="1:31" x14ac:dyDescent="0.2">
      <c r="A141" s="75">
        <f t="shared" si="129"/>
        <v>46275</v>
      </c>
      <c r="B141" s="15" t="str">
        <f>$B$6</f>
        <v>SS</v>
      </c>
      <c r="C141" s="15" t="str">
        <f>$C$6</f>
        <v>Anuj</v>
      </c>
      <c r="D141" s="18">
        <f t="shared" si="140"/>
        <v>2.8039490611218776</v>
      </c>
      <c r="E141" s="4">
        <f t="shared" si="141"/>
        <v>7.0013586374369154</v>
      </c>
      <c r="F141" s="4">
        <v>6917.342333787672</v>
      </c>
      <c r="G141" s="5">
        <f t="shared" si="120"/>
        <v>2.4969635627530367</v>
      </c>
      <c r="H141" s="4">
        <f t="shared" si="121"/>
        <v>2467</v>
      </c>
      <c r="I141" s="4">
        <f t="shared" si="122"/>
        <v>987.99999999999989</v>
      </c>
      <c r="J141" s="4">
        <f t="shared" si="123"/>
        <v>0.22431592488975022</v>
      </c>
      <c r="K141" s="27">
        <f t="shared" si="124"/>
        <v>0.11215796244487511</v>
      </c>
      <c r="L141" s="30">
        <f t="shared" si="125"/>
        <v>0.7009872652804694</v>
      </c>
      <c r="M141" s="18">
        <v>1</v>
      </c>
      <c r="N141" s="4">
        <v>1</v>
      </c>
      <c r="O141" s="4">
        <v>2749</v>
      </c>
      <c r="P141" s="5">
        <f t="shared" si="126"/>
        <v>1</v>
      </c>
      <c r="Q141" s="29">
        <f t="shared" si="127"/>
        <v>2749</v>
      </c>
      <c r="R141" s="29">
        <f t="shared" si="128"/>
        <v>2749</v>
      </c>
      <c r="S141" s="1">
        <v>0</v>
      </c>
      <c r="T141" s="1">
        <v>0</v>
      </c>
      <c r="U141" s="24">
        <v>0</v>
      </c>
      <c r="V141" s="25">
        <f t="shared" si="130"/>
        <v>0.35663985978400542</v>
      </c>
      <c r="W141" s="25">
        <f t="shared" si="131"/>
        <v>0.14282942094308768</v>
      </c>
      <c r="X141" s="25">
        <f t="shared" si="132"/>
        <v>0.3974069617131053</v>
      </c>
      <c r="Y141" s="25">
        <f t="shared" si="133"/>
        <v>0.40048642075395213</v>
      </c>
      <c r="Z141" s="25">
        <f t="shared" si="134"/>
        <v>1.1143088771787597</v>
      </c>
      <c r="AA141" s="25">
        <f t="shared" si="135"/>
        <v>2.7823886639676116</v>
      </c>
      <c r="AB141" s="25">
        <f t="shared" si="136"/>
        <v>0</v>
      </c>
      <c r="AC141" s="25">
        <f t="shared" si="137"/>
        <v>0</v>
      </c>
      <c r="AD141" s="63">
        <f t="shared" si="138"/>
        <v>0</v>
      </c>
      <c r="AE141" s="24">
        <f t="shared" si="139"/>
        <v>1</v>
      </c>
    </row>
    <row r="142" spans="1:31" x14ac:dyDescent="0.2">
      <c r="A142" s="75">
        <f t="shared" si="129"/>
        <v>46275</v>
      </c>
      <c r="B142" s="15" t="str">
        <f>$B$7</f>
        <v>FC</v>
      </c>
      <c r="C142" s="15" t="str">
        <f>$C$7</f>
        <v>Muskan</v>
      </c>
      <c r="D142" s="18">
        <f t="shared" si="140"/>
        <v>0</v>
      </c>
      <c r="E142" s="4">
        <f t="shared" si="141"/>
        <v>0</v>
      </c>
      <c r="F142" s="4">
        <v>0</v>
      </c>
      <c r="G142" s="5" t="e">
        <f t="shared" si="120"/>
        <v>#DIV/0!</v>
      </c>
      <c r="H142" s="4" t="e">
        <f t="shared" si="121"/>
        <v>#DIV/0!</v>
      </c>
      <c r="I142" s="4" t="e">
        <f t="shared" si="122"/>
        <v>#DIV/0!</v>
      </c>
      <c r="J142" s="4">
        <f t="shared" si="123"/>
        <v>0</v>
      </c>
      <c r="K142" s="27">
        <f t="shared" si="124"/>
        <v>0</v>
      </c>
      <c r="L142" s="30">
        <f t="shared" si="125"/>
        <v>0</v>
      </c>
      <c r="M142" s="18">
        <v>0</v>
      </c>
      <c r="N142" s="4">
        <v>0</v>
      </c>
      <c r="O142" s="4">
        <v>0</v>
      </c>
      <c r="P142" s="5" t="e">
        <f t="shared" si="126"/>
        <v>#DIV/0!</v>
      </c>
      <c r="Q142" s="29" t="e">
        <f t="shared" si="127"/>
        <v>#DIV/0!</v>
      </c>
      <c r="R142" s="29" t="e">
        <f t="shared" si="128"/>
        <v>#DIV/0!</v>
      </c>
      <c r="S142" s="1">
        <v>0</v>
      </c>
      <c r="T142" s="1">
        <v>0</v>
      </c>
      <c r="U142" s="24">
        <v>0</v>
      </c>
      <c r="V142" s="25" t="e">
        <f t="shared" si="130"/>
        <v>#DIV/0!</v>
      </c>
      <c r="W142" s="25" t="e">
        <f t="shared" si="131"/>
        <v>#DIV/0!</v>
      </c>
      <c r="X142" s="25" t="e">
        <f t="shared" si="132"/>
        <v>#DIV/0!</v>
      </c>
      <c r="Y142" s="25" t="e">
        <f t="shared" si="133"/>
        <v>#DIV/0!</v>
      </c>
      <c r="Z142" s="25" t="e">
        <f t="shared" si="134"/>
        <v>#DIV/0!</v>
      </c>
      <c r="AA142" s="25" t="e">
        <f t="shared" si="135"/>
        <v>#DIV/0!</v>
      </c>
      <c r="AB142" s="25" t="e">
        <f t="shared" si="136"/>
        <v>#DIV/0!</v>
      </c>
      <c r="AC142" s="25" t="e">
        <f t="shared" si="137"/>
        <v>#DIV/0!</v>
      </c>
      <c r="AD142" s="63" t="e">
        <f t="shared" si="138"/>
        <v>#DIV/0!</v>
      </c>
      <c r="AE142" s="24">
        <f t="shared" si="139"/>
        <v>0</v>
      </c>
    </row>
    <row r="143" spans="1:31" x14ac:dyDescent="0.2">
      <c r="A143" s="75">
        <f t="shared" si="129"/>
        <v>46275</v>
      </c>
      <c r="B143" s="15" t="str">
        <f>$B$8</f>
        <v>FC</v>
      </c>
      <c r="C143" s="15" t="str">
        <f>$C$8</f>
        <v xml:space="preserve">Kajal  </v>
      </c>
      <c r="D143" s="18">
        <f t="shared" si="140"/>
        <v>7.0098726528046944</v>
      </c>
      <c r="E143" s="4">
        <f t="shared" si="141"/>
        <v>17.503396593592289</v>
      </c>
      <c r="F143" s="4">
        <v>17293.355834469181</v>
      </c>
      <c r="G143" s="5">
        <f t="shared" si="120"/>
        <v>2.4969635627530367</v>
      </c>
      <c r="H143" s="4">
        <f t="shared" si="121"/>
        <v>2467</v>
      </c>
      <c r="I143" s="4">
        <f t="shared" si="122"/>
        <v>988</v>
      </c>
      <c r="J143" s="4">
        <f t="shared" si="123"/>
        <v>0.56078981222437552</v>
      </c>
      <c r="K143" s="27">
        <f t="shared" si="124"/>
        <v>0.28039490611218776</v>
      </c>
      <c r="L143" s="30">
        <f t="shared" si="125"/>
        <v>1.7524681632011736</v>
      </c>
      <c r="M143" s="18">
        <v>12</v>
      </c>
      <c r="N143" s="4">
        <v>24</v>
      </c>
      <c r="O143" s="4">
        <v>20191.509999999998</v>
      </c>
      <c r="P143" s="5">
        <f t="shared" si="126"/>
        <v>2</v>
      </c>
      <c r="Q143" s="29">
        <f t="shared" si="127"/>
        <v>1682.6258333333333</v>
      </c>
      <c r="R143" s="29">
        <f t="shared" si="128"/>
        <v>841.31291666666664</v>
      </c>
      <c r="S143" s="1">
        <v>0</v>
      </c>
      <c r="T143" s="1">
        <v>0</v>
      </c>
      <c r="U143" s="24">
        <v>0</v>
      </c>
      <c r="V143" s="25">
        <f t="shared" si="130"/>
        <v>1.7118713269632257</v>
      </c>
      <c r="W143" s="25">
        <f t="shared" si="131"/>
        <v>1.3711624410536418</v>
      </c>
      <c r="X143" s="25">
        <f t="shared" si="132"/>
        <v>1.1675877252091353</v>
      </c>
      <c r="Y143" s="25">
        <f t="shared" si="133"/>
        <v>0.80097284150790427</v>
      </c>
      <c r="Z143" s="25">
        <f t="shared" si="134"/>
        <v>0.68205343872449664</v>
      </c>
      <c r="AA143" s="25">
        <f t="shared" si="135"/>
        <v>0.85153129217273948</v>
      </c>
      <c r="AB143" s="25">
        <f t="shared" si="136"/>
        <v>0</v>
      </c>
      <c r="AC143" s="25">
        <f t="shared" si="137"/>
        <v>0</v>
      </c>
      <c r="AD143" s="63">
        <f t="shared" si="138"/>
        <v>0</v>
      </c>
      <c r="AE143" s="24">
        <f t="shared" si="139"/>
        <v>1</v>
      </c>
    </row>
    <row r="144" spans="1:31" x14ac:dyDescent="0.2">
      <c r="A144" s="75">
        <f t="shared" si="129"/>
        <v>46275</v>
      </c>
      <c r="B144" s="15" t="str">
        <f>$B$9</f>
        <v>FC</v>
      </c>
      <c r="C144" s="15" t="str">
        <f>$C$9</f>
        <v>Pradeep</v>
      </c>
      <c r="D144" s="18">
        <f t="shared" si="140"/>
        <v>0</v>
      </c>
      <c r="E144" s="4">
        <f t="shared" si="141"/>
        <v>0</v>
      </c>
      <c r="F144" s="4">
        <v>0</v>
      </c>
      <c r="G144" s="5" t="e">
        <f t="shared" ref="G144:G212" si="142">E144/D144</f>
        <v>#DIV/0!</v>
      </c>
      <c r="H144" s="4" t="e">
        <f t="shared" ref="H144:H212" si="143">F144/D144</f>
        <v>#DIV/0!</v>
      </c>
      <c r="I144" s="4" t="e">
        <f t="shared" ref="I144:I212" si="144">F144/E144</f>
        <v>#DIV/0!</v>
      </c>
      <c r="J144" s="4">
        <f t="shared" ref="J144:J212" si="145">D144*8%</f>
        <v>0</v>
      </c>
      <c r="K144" s="27">
        <f t="shared" ref="K144:K212" si="146">D144*4%</f>
        <v>0</v>
      </c>
      <c r="L144" s="30">
        <f t="shared" ref="L144:L212" si="147">D144*25%</f>
        <v>0</v>
      </c>
      <c r="M144" s="18">
        <v>1</v>
      </c>
      <c r="N144" s="4">
        <v>1</v>
      </c>
      <c r="O144" s="4">
        <v>1399</v>
      </c>
      <c r="P144" s="5">
        <f t="shared" ref="P144:P212" si="148">N144/M144</f>
        <v>1</v>
      </c>
      <c r="Q144" s="29">
        <f t="shared" ref="Q144:Q212" si="149">O144/M144</f>
        <v>1399</v>
      </c>
      <c r="R144" s="29">
        <f t="shared" ref="R144:R212" si="150">O144/N144</f>
        <v>1399</v>
      </c>
      <c r="S144" s="1">
        <v>0</v>
      </c>
      <c r="T144" s="1">
        <v>0</v>
      </c>
      <c r="U144" s="24">
        <v>0</v>
      </c>
      <c r="V144" s="25" t="e">
        <f t="shared" si="130"/>
        <v>#DIV/0!</v>
      </c>
      <c r="W144" s="25" t="e">
        <f t="shared" si="131"/>
        <v>#DIV/0!</v>
      </c>
      <c r="X144" s="25" t="e">
        <f t="shared" si="132"/>
        <v>#DIV/0!</v>
      </c>
      <c r="Y144" s="25" t="e">
        <f t="shared" si="133"/>
        <v>#DIV/0!</v>
      </c>
      <c r="Z144" s="25" t="e">
        <f t="shared" si="134"/>
        <v>#DIV/0!</v>
      </c>
      <c r="AA144" s="25" t="e">
        <f t="shared" si="135"/>
        <v>#DIV/0!</v>
      </c>
      <c r="AB144" s="25" t="e">
        <f t="shared" si="136"/>
        <v>#DIV/0!</v>
      </c>
      <c r="AC144" s="25" t="e">
        <f t="shared" si="137"/>
        <v>#DIV/0!</v>
      </c>
      <c r="AD144" s="63" t="e">
        <f t="shared" si="138"/>
        <v>#DIV/0!</v>
      </c>
      <c r="AE144" s="24">
        <f t="shared" si="139"/>
        <v>0</v>
      </c>
    </row>
    <row r="145" spans="1:31" x14ac:dyDescent="0.2">
      <c r="A145" s="75">
        <f t="shared" si="129"/>
        <v>46275</v>
      </c>
      <c r="B145" s="15" t="str">
        <f>$B$10</f>
        <v>FC</v>
      </c>
      <c r="C145" s="15" t="str">
        <f>$C$10</f>
        <v>Aftab</v>
      </c>
      <c r="D145" s="18">
        <f t="shared" si="140"/>
        <v>2.8039490611218776</v>
      </c>
      <c r="E145" s="4">
        <f t="shared" si="141"/>
        <v>7.0013586374369154</v>
      </c>
      <c r="F145" s="4">
        <v>6917.342333787672</v>
      </c>
      <c r="G145" s="5">
        <f t="shared" si="142"/>
        <v>2.4969635627530367</v>
      </c>
      <c r="H145" s="4">
        <f t="shared" si="143"/>
        <v>2467</v>
      </c>
      <c r="I145" s="4">
        <f t="shared" si="144"/>
        <v>987.99999999999989</v>
      </c>
      <c r="J145" s="4">
        <f t="shared" si="145"/>
        <v>0.22431592488975022</v>
      </c>
      <c r="K145" s="27">
        <f t="shared" si="146"/>
        <v>0.11215796244487511</v>
      </c>
      <c r="L145" s="30">
        <f t="shared" si="147"/>
        <v>0.7009872652804694</v>
      </c>
      <c r="M145" s="18">
        <v>5</v>
      </c>
      <c r="N145" s="4">
        <v>10</v>
      </c>
      <c r="O145" s="4">
        <v>5114</v>
      </c>
      <c r="P145" s="5">
        <f t="shared" si="148"/>
        <v>2</v>
      </c>
      <c r="Q145" s="29">
        <f t="shared" si="149"/>
        <v>1022.8</v>
      </c>
      <c r="R145" s="29">
        <f t="shared" si="150"/>
        <v>511.4</v>
      </c>
      <c r="S145" s="1">
        <v>0</v>
      </c>
      <c r="T145" s="1">
        <v>0</v>
      </c>
      <c r="U145" s="24">
        <v>0</v>
      </c>
      <c r="V145" s="25">
        <f t="shared" si="130"/>
        <v>1.7831992989200269</v>
      </c>
      <c r="W145" s="25">
        <f t="shared" si="131"/>
        <v>1.4282942094308768</v>
      </c>
      <c r="X145" s="25">
        <f t="shared" si="132"/>
        <v>0.73930127399084056</v>
      </c>
      <c r="Y145" s="25">
        <f t="shared" si="133"/>
        <v>0.80097284150790427</v>
      </c>
      <c r="Z145" s="25">
        <f t="shared" si="134"/>
        <v>0.41459262261856505</v>
      </c>
      <c r="AA145" s="25">
        <f t="shared" si="135"/>
        <v>0.51761133603238874</v>
      </c>
      <c r="AB145" s="25">
        <f t="shared" si="136"/>
        <v>0</v>
      </c>
      <c r="AC145" s="25">
        <f t="shared" si="137"/>
        <v>0</v>
      </c>
      <c r="AD145" s="63">
        <f t="shared" si="138"/>
        <v>0</v>
      </c>
      <c r="AE145" s="24">
        <f t="shared" si="139"/>
        <v>1</v>
      </c>
    </row>
    <row r="146" spans="1:31" x14ac:dyDescent="0.2">
      <c r="A146" s="75">
        <f t="shared" si="129"/>
        <v>46275</v>
      </c>
      <c r="B146" s="15" t="str">
        <f>$B$11</f>
        <v>FC</v>
      </c>
      <c r="C146" s="15" t="str">
        <f>$C$11</f>
        <v>Khushi</v>
      </c>
      <c r="D146" s="18">
        <f t="shared" si="140"/>
        <v>0</v>
      </c>
      <c r="E146" s="4">
        <f t="shared" si="141"/>
        <v>0</v>
      </c>
      <c r="F146" s="4">
        <v>0</v>
      </c>
      <c r="G146" s="5" t="e">
        <f t="shared" si="142"/>
        <v>#DIV/0!</v>
      </c>
      <c r="H146" s="4" t="e">
        <f t="shared" si="143"/>
        <v>#DIV/0!</v>
      </c>
      <c r="I146" s="4" t="e">
        <f t="shared" si="144"/>
        <v>#DIV/0!</v>
      </c>
      <c r="J146" s="4">
        <f t="shared" si="145"/>
        <v>0</v>
      </c>
      <c r="K146" s="27">
        <f t="shared" si="146"/>
        <v>0</v>
      </c>
      <c r="L146" s="30">
        <f t="shared" si="147"/>
        <v>0</v>
      </c>
      <c r="M146" s="18">
        <v>0</v>
      </c>
      <c r="N146" s="4">
        <v>0</v>
      </c>
      <c r="O146" s="4">
        <v>0</v>
      </c>
      <c r="P146" s="5" t="e">
        <f t="shared" si="148"/>
        <v>#DIV/0!</v>
      </c>
      <c r="Q146" s="29" t="e">
        <f t="shared" si="149"/>
        <v>#DIV/0!</v>
      </c>
      <c r="R146" s="29" t="e">
        <f t="shared" si="150"/>
        <v>#DIV/0!</v>
      </c>
      <c r="S146" s="1">
        <v>0</v>
      </c>
      <c r="T146" s="1">
        <v>0</v>
      </c>
      <c r="U146" s="24">
        <v>0</v>
      </c>
      <c r="V146" s="25" t="e">
        <f t="shared" si="130"/>
        <v>#DIV/0!</v>
      </c>
      <c r="W146" s="25" t="e">
        <f t="shared" si="131"/>
        <v>#DIV/0!</v>
      </c>
      <c r="X146" s="25" t="e">
        <f t="shared" si="132"/>
        <v>#DIV/0!</v>
      </c>
      <c r="Y146" s="25" t="e">
        <f t="shared" si="133"/>
        <v>#DIV/0!</v>
      </c>
      <c r="Z146" s="25" t="e">
        <f t="shared" si="134"/>
        <v>#DIV/0!</v>
      </c>
      <c r="AA146" s="25" t="e">
        <f t="shared" si="135"/>
        <v>#DIV/0!</v>
      </c>
      <c r="AB146" s="25" t="e">
        <f t="shared" si="136"/>
        <v>#DIV/0!</v>
      </c>
      <c r="AC146" s="25" t="e">
        <f t="shared" si="137"/>
        <v>#DIV/0!</v>
      </c>
      <c r="AD146" s="63" t="e">
        <f t="shared" si="138"/>
        <v>#DIV/0!</v>
      </c>
      <c r="AE146" s="24">
        <f t="shared" si="139"/>
        <v>0</v>
      </c>
    </row>
    <row r="147" spans="1:31" x14ac:dyDescent="0.2">
      <c r="A147" s="75">
        <f t="shared" ref="A147:A210" si="151">A132+1</f>
        <v>46275</v>
      </c>
      <c r="B147" s="15" t="str">
        <f>$B$12</f>
        <v>FC</v>
      </c>
      <c r="C147" s="15" t="str">
        <f>$C$12</f>
        <v>Kishan</v>
      </c>
      <c r="D147" s="18">
        <f t="shared" si="140"/>
        <v>0</v>
      </c>
      <c r="E147" s="4">
        <f t="shared" si="141"/>
        <v>0</v>
      </c>
      <c r="F147" s="4">
        <v>0</v>
      </c>
      <c r="G147" s="5" t="e">
        <f t="shared" si="142"/>
        <v>#DIV/0!</v>
      </c>
      <c r="H147" s="4" t="e">
        <f t="shared" si="143"/>
        <v>#DIV/0!</v>
      </c>
      <c r="I147" s="4" t="e">
        <f t="shared" si="144"/>
        <v>#DIV/0!</v>
      </c>
      <c r="J147" s="4">
        <f t="shared" si="145"/>
        <v>0</v>
      </c>
      <c r="K147" s="27">
        <f t="shared" si="146"/>
        <v>0</v>
      </c>
      <c r="L147" s="30">
        <f t="shared" si="147"/>
        <v>0</v>
      </c>
      <c r="M147" s="18">
        <v>0</v>
      </c>
      <c r="N147" s="4">
        <v>0</v>
      </c>
      <c r="O147" s="4">
        <v>0</v>
      </c>
      <c r="P147" s="5" t="e">
        <f t="shared" si="148"/>
        <v>#DIV/0!</v>
      </c>
      <c r="Q147" s="29" t="e">
        <f t="shared" si="149"/>
        <v>#DIV/0!</v>
      </c>
      <c r="R147" s="29" t="e">
        <f t="shared" si="150"/>
        <v>#DIV/0!</v>
      </c>
      <c r="S147" s="1">
        <v>0</v>
      </c>
      <c r="T147" s="1">
        <v>0</v>
      </c>
      <c r="U147" s="24">
        <v>0</v>
      </c>
      <c r="V147" s="25" t="e">
        <f t="shared" si="130"/>
        <v>#DIV/0!</v>
      </c>
      <c r="W147" s="25" t="e">
        <f t="shared" si="131"/>
        <v>#DIV/0!</v>
      </c>
      <c r="X147" s="25" t="e">
        <f t="shared" si="132"/>
        <v>#DIV/0!</v>
      </c>
      <c r="Y147" s="25" t="e">
        <f t="shared" si="133"/>
        <v>#DIV/0!</v>
      </c>
      <c r="Z147" s="25" t="e">
        <f t="shared" si="134"/>
        <v>#DIV/0!</v>
      </c>
      <c r="AA147" s="25" t="e">
        <f t="shared" si="135"/>
        <v>#DIV/0!</v>
      </c>
      <c r="AB147" s="25" t="e">
        <f t="shared" si="136"/>
        <v>#DIV/0!</v>
      </c>
      <c r="AC147" s="25" t="e">
        <f t="shared" si="137"/>
        <v>#DIV/0!</v>
      </c>
      <c r="AD147" s="63" t="e">
        <f t="shared" si="138"/>
        <v>#DIV/0!</v>
      </c>
      <c r="AE147" s="24">
        <f t="shared" si="139"/>
        <v>0</v>
      </c>
    </row>
    <row r="148" spans="1:31" x14ac:dyDescent="0.2">
      <c r="A148" s="75">
        <f t="shared" si="151"/>
        <v>46275</v>
      </c>
      <c r="B148" s="15" t="str">
        <f>$B$13</f>
        <v>Partner</v>
      </c>
      <c r="C148" s="15" t="str">
        <f>$C$13</f>
        <v>Rahul</v>
      </c>
      <c r="D148" s="18">
        <f t="shared" si="140"/>
        <v>12.617770775048449</v>
      </c>
      <c r="E148" s="4">
        <f t="shared" si="141"/>
        <v>31.506113868466116</v>
      </c>
      <c r="F148" s="4">
        <v>31128.040502044521</v>
      </c>
      <c r="G148" s="5">
        <f t="shared" si="142"/>
        <v>2.4969635627530362</v>
      </c>
      <c r="H148" s="4">
        <f t="shared" si="143"/>
        <v>2467</v>
      </c>
      <c r="I148" s="4">
        <f t="shared" si="144"/>
        <v>988</v>
      </c>
      <c r="J148" s="4">
        <f t="shared" si="145"/>
        <v>1.0094216620038758</v>
      </c>
      <c r="K148" s="27">
        <f t="shared" si="146"/>
        <v>0.50471083100193792</v>
      </c>
      <c r="L148" s="30">
        <f t="shared" si="147"/>
        <v>3.1544426937621122</v>
      </c>
      <c r="M148" s="18">
        <v>5</v>
      </c>
      <c r="N148" s="4">
        <v>6</v>
      </c>
      <c r="O148" s="4">
        <v>9540</v>
      </c>
      <c r="P148" s="5">
        <f t="shared" si="148"/>
        <v>1.2</v>
      </c>
      <c r="Q148" s="29">
        <f t="shared" si="149"/>
        <v>1908</v>
      </c>
      <c r="R148" s="29">
        <f t="shared" si="150"/>
        <v>1590</v>
      </c>
      <c r="S148" s="1">
        <v>0</v>
      </c>
      <c r="T148" s="1">
        <v>0</v>
      </c>
      <c r="U148" s="24">
        <v>0</v>
      </c>
      <c r="V148" s="25">
        <f t="shared" si="130"/>
        <v>0.39626651087111714</v>
      </c>
      <c r="W148" s="25">
        <f t="shared" si="131"/>
        <v>0.19043922792411694</v>
      </c>
      <c r="X148" s="25">
        <f t="shared" si="132"/>
        <v>0.30647608542443922</v>
      </c>
      <c r="Y148" s="25">
        <f t="shared" si="133"/>
        <v>0.48058370490474261</v>
      </c>
      <c r="Z148" s="25">
        <f t="shared" si="134"/>
        <v>0.77340899878394809</v>
      </c>
      <c r="AA148" s="25">
        <f t="shared" si="135"/>
        <v>1.6093117408906883</v>
      </c>
      <c r="AB148" s="25">
        <f t="shared" si="136"/>
        <v>0</v>
      </c>
      <c r="AC148" s="25">
        <f t="shared" si="137"/>
        <v>0</v>
      </c>
      <c r="AD148" s="63">
        <f t="shared" si="138"/>
        <v>0</v>
      </c>
      <c r="AE148" s="24">
        <f t="shared" si="139"/>
        <v>1</v>
      </c>
    </row>
    <row r="149" spans="1:31" x14ac:dyDescent="0.2">
      <c r="A149" s="75">
        <f t="shared" si="151"/>
        <v>46275</v>
      </c>
      <c r="B149" s="15" t="str">
        <f>$B$14</f>
        <v>Partner</v>
      </c>
      <c r="C149" s="15" t="str">
        <f>$C$14</f>
        <v>Prince</v>
      </c>
      <c r="D149" s="18">
        <f t="shared" si="140"/>
        <v>9.8138217139265702</v>
      </c>
      <c r="E149" s="4">
        <f t="shared" si="141"/>
        <v>24.504755231029197</v>
      </c>
      <c r="F149" s="4">
        <v>24210.698168256848</v>
      </c>
      <c r="G149" s="5">
        <f t="shared" si="142"/>
        <v>2.4969635627530362</v>
      </c>
      <c r="H149" s="4">
        <f t="shared" si="143"/>
        <v>2467</v>
      </c>
      <c r="I149" s="4">
        <f t="shared" si="144"/>
        <v>988</v>
      </c>
      <c r="J149" s="4">
        <f t="shared" si="145"/>
        <v>0.78510573711412568</v>
      </c>
      <c r="K149" s="27">
        <f t="shared" si="146"/>
        <v>0.39255286855706284</v>
      </c>
      <c r="L149" s="30">
        <f t="shared" si="147"/>
        <v>2.4534554284816426</v>
      </c>
      <c r="M149" s="18">
        <v>11</v>
      </c>
      <c r="N149" s="4">
        <v>16</v>
      </c>
      <c r="O149" s="4">
        <v>13681.21</v>
      </c>
      <c r="P149" s="5">
        <f t="shared" si="148"/>
        <v>1.4545454545454546</v>
      </c>
      <c r="Q149" s="29">
        <f t="shared" si="149"/>
        <v>1243.7463636363636</v>
      </c>
      <c r="R149" s="29">
        <f t="shared" si="150"/>
        <v>855.07562499999995</v>
      </c>
      <c r="S149" s="1">
        <v>0</v>
      </c>
      <c r="T149" s="1">
        <v>0</v>
      </c>
      <c r="U149" s="24">
        <v>0</v>
      </c>
      <c r="V149" s="25">
        <f t="shared" si="130"/>
        <v>1.1208681307497315</v>
      </c>
      <c r="W149" s="25">
        <f t="shared" si="131"/>
        <v>0.65293449573982953</v>
      </c>
      <c r="X149" s="25">
        <f t="shared" si="132"/>
        <v>0.56508944537327388</v>
      </c>
      <c r="Y149" s="25">
        <f t="shared" si="133"/>
        <v>0.58252570291483963</v>
      </c>
      <c r="Z149" s="25">
        <f t="shared" si="134"/>
        <v>0.50415336993772342</v>
      </c>
      <c r="AA149" s="25">
        <f t="shared" si="135"/>
        <v>0.86546115890688258</v>
      </c>
      <c r="AB149" s="25">
        <f t="shared" si="136"/>
        <v>0</v>
      </c>
      <c r="AC149" s="25">
        <f t="shared" si="137"/>
        <v>0</v>
      </c>
      <c r="AD149" s="63">
        <f t="shared" si="138"/>
        <v>0</v>
      </c>
      <c r="AE149" s="24">
        <f t="shared" si="139"/>
        <v>1</v>
      </c>
    </row>
    <row r="150" spans="1:31" x14ac:dyDescent="0.2">
      <c r="A150" s="75">
        <f t="shared" si="151"/>
        <v>46275</v>
      </c>
      <c r="B150" s="15" t="str">
        <f>$B$15</f>
        <v>Partner</v>
      </c>
      <c r="C150" s="15" t="str">
        <f>$C$15</f>
        <v>Kunal</v>
      </c>
      <c r="D150" s="18">
        <f t="shared" si="140"/>
        <v>0</v>
      </c>
      <c r="E150" s="4">
        <f t="shared" si="141"/>
        <v>0</v>
      </c>
      <c r="F150" s="4">
        <v>0</v>
      </c>
      <c r="G150" s="5" t="e">
        <f t="shared" si="142"/>
        <v>#DIV/0!</v>
      </c>
      <c r="H150" s="4" t="e">
        <f t="shared" si="143"/>
        <v>#DIV/0!</v>
      </c>
      <c r="I150" s="4" t="e">
        <f t="shared" si="144"/>
        <v>#DIV/0!</v>
      </c>
      <c r="J150" s="4">
        <f t="shared" si="145"/>
        <v>0</v>
      </c>
      <c r="K150" s="27">
        <f t="shared" si="146"/>
        <v>0</v>
      </c>
      <c r="L150" s="30">
        <f t="shared" si="147"/>
        <v>0</v>
      </c>
      <c r="M150" s="18">
        <v>0</v>
      </c>
      <c r="N150" s="4">
        <v>0</v>
      </c>
      <c r="O150" s="4">
        <v>0</v>
      </c>
      <c r="P150" s="5" t="e">
        <f t="shared" si="148"/>
        <v>#DIV/0!</v>
      </c>
      <c r="Q150" s="29" t="e">
        <f t="shared" si="149"/>
        <v>#DIV/0!</v>
      </c>
      <c r="R150" s="29" t="e">
        <f t="shared" si="150"/>
        <v>#DIV/0!</v>
      </c>
      <c r="S150" s="1">
        <v>0</v>
      </c>
      <c r="T150" s="1">
        <v>0</v>
      </c>
      <c r="U150" s="24">
        <v>0</v>
      </c>
      <c r="V150" s="25" t="e">
        <f t="shared" si="130"/>
        <v>#DIV/0!</v>
      </c>
      <c r="W150" s="25" t="e">
        <f t="shared" si="131"/>
        <v>#DIV/0!</v>
      </c>
      <c r="X150" s="25" t="e">
        <f t="shared" si="132"/>
        <v>#DIV/0!</v>
      </c>
      <c r="Y150" s="25" t="e">
        <f t="shared" si="133"/>
        <v>#DIV/0!</v>
      </c>
      <c r="Z150" s="25" t="e">
        <f t="shared" si="134"/>
        <v>#DIV/0!</v>
      </c>
      <c r="AA150" s="25" t="e">
        <f t="shared" si="135"/>
        <v>#DIV/0!</v>
      </c>
      <c r="AB150" s="25" t="e">
        <f t="shared" si="136"/>
        <v>#DIV/0!</v>
      </c>
      <c r="AC150" s="25" t="e">
        <f t="shared" si="137"/>
        <v>#DIV/0!</v>
      </c>
      <c r="AD150" s="63" t="e">
        <f t="shared" si="138"/>
        <v>#DIV/0!</v>
      </c>
      <c r="AE150" s="24">
        <f t="shared" si="139"/>
        <v>0</v>
      </c>
    </row>
    <row r="151" spans="1:31" x14ac:dyDescent="0.2">
      <c r="A151" s="75">
        <f t="shared" si="151"/>
        <v>46275</v>
      </c>
      <c r="B151" s="15" t="str">
        <f>$B$16</f>
        <v>NA</v>
      </c>
      <c r="C151" s="15" t="str">
        <f>$C$16</f>
        <v>NA</v>
      </c>
      <c r="D151" s="18">
        <f t="shared" si="140"/>
        <v>0</v>
      </c>
      <c r="E151" s="4">
        <f t="shared" si="141"/>
        <v>0</v>
      </c>
      <c r="F151" s="4">
        <v>0</v>
      </c>
      <c r="G151" s="5" t="e">
        <f t="shared" si="142"/>
        <v>#DIV/0!</v>
      </c>
      <c r="H151" s="4" t="e">
        <f t="shared" si="143"/>
        <v>#DIV/0!</v>
      </c>
      <c r="I151" s="4" t="e">
        <f t="shared" si="144"/>
        <v>#DIV/0!</v>
      </c>
      <c r="J151" s="4">
        <f t="shared" si="145"/>
        <v>0</v>
      </c>
      <c r="K151" s="27">
        <f t="shared" si="146"/>
        <v>0</v>
      </c>
      <c r="L151" s="30">
        <f t="shared" si="147"/>
        <v>0</v>
      </c>
      <c r="M151" s="18">
        <v>2</v>
      </c>
      <c r="N151" s="4">
        <v>-2</v>
      </c>
      <c r="O151" s="4">
        <v>-5598</v>
      </c>
      <c r="P151" s="5">
        <f t="shared" si="148"/>
        <v>-1</v>
      </c>
      <c r="Q151" s="29">
        <f t="shared" si="149"/>
        <v>-2799</v>
      </c>
      <c r="R151" s="29">
        <f t="shared" si="150"/>
        <v>2799</v>
      </c>
      <c r="S151" s="1">
        <v>0</v>
      </c>
      <c r="T151" s="1">
        <v>0</v>
      </c>
      <c r="U151" s="24">
        <v>0</v>
      </c>
      <c r="V151" s="25" t="e">
        <f t="shared" si="130"/>
        <v>#DIV/0!</v>
      </c>
      <c r="W151" s="25" t="e">
        <f t="shared" si="131"/>
        <v>#DIV/0!</v>
      </c>
      <c r="X151" s="25" t="e">
        <f t="shared" si="132"/>
        <v>#DIV/0!</v>
      </c>
      <c r="Y151" s="25" t="e">
        <f t="shared" si="133"/>
        <v>#DIV/0!</v>
      </c>
      <c r="Z151" s="25" t="e">
        <f t="shared" si="134"/>
        <v>#DIV/0!</v>
      </c>
      <c r="AA151" s="25" t="e">
        <f t="shared" si="135"/>
        <v>#DIV/0!</v>
      </c>
      <c r="AB151" s="25" t="e">
        <f t="shared" si="136"/>
        <v>#DIV/0!</v>
      </c>
      <c r="AC151" s="25" t="e">
        <f t="shared" si="137"/>
        <v>#DIV/0!</v>
      </c>
      <c r="AD151" s="63" t="e">
        <f t="shared" si="138"/>
        <v>#DIV/0!</v>
      </c>
      <c r="AE151" s="24">
        <f t="shared" si="139"/>
        <v>0</v>
      </c>
    </row>
    <row r="152" spans="1:31" x14ac:dyDescent="0.2">
      <c r="A152" s="75">
        <f t="shared" si="151"/>
        <v>46275</v>
      </c>
      <c r="B152" s="15" t="str">
        <f>$B$17</f>
        <v>NA</v>
      </c>
      <c r="C152" s="15" t="str">
        <f>$C$17</f>
        <v>NA</v>
      </c>
      <c r="D152" s="18">
        <f t="shared" si="140"/>
        <v>0</v>
      </c>
      <c r="E152" s="4">
        <f t="shared" si="141"/>
        <v>0</v>
      </c>
      <c r="F152" s="4">
        <v>0</v>
      </c>
      <c r="G152" s="5" t="e">
        <f t="shared" si="142"/>
        <v>#DIV/0!</v>
      </c>
      <c r="H152" s="4" t="e">
        <f t="shared" si="143"/>
        <v>#DIV/0!</v>
      </c>
      <c r="I152" s="4" t="e">
        <f t="shared" si="144"/>
        <v>#DIV/0!</v>
      </c>
      <c r="J152" s="4">
        <f t="shared" si="145"/>
        <v>0</v>
      </c>
      <c r="K152" s="27">
        <f t="shared" si="146"/>
        <v>0</v>
      </c>
      <c r="L152" s="30">
        <f t="shared" si="147"/>
        <v>0</v>
      </c>
      <c r="M152" s="18">
        <v>0</v>
      </c>
      <c r="N152" s="4">
        <v>0</v>
      </c>
      <c r="O152" s="4">
        <v>0</v>
      </c>
      <c r="P152" s="5" t="e">
        <f t="shared" si="148"/>
        <v>#DIV/0!</v>
      </c>
      <c r="Q152" s="29" t="e">
        <f t="shared" si="149"/>
        <v>#DIV/0!</v>
      </c>
      <c r="R152" s="29" t="e">
        <f t="shared" si="150"/>
        <v>#DIV/0!</v>
      </c>
      <c r="S152" s="1">
        <v>0</v>
      </c>
      <c r="T152" s="1">
        <v>0</v>
      </c>
      <c r="U152" s="24">
        <v>0</v>
      </c>
      <c r="V152" s="25" t="e">
        <f t="shared" si="130"/>
        <v>#DIV/0!</v>
      </c>
      <c r="W152" s="25" t="e">
        <f t="shared" si="131"/>
        <v>#DIV/0!</v>
      </c>
      <c r="X152" s="25" t="e">
        <f t="shared" si="132"/>
        <v>#DIV/0!</v>
      </c>
      <c r="Y152" s="25" t="e">
        <f t="shared" si="133"/>
        <v>#DIV/0!</v>
      </c>
      <c r="Z152" s="25" t="e">
        <f t="shared" si="134"/>
        <v>#DIV/0!</v>
      </c>
      <c r="AA152" s="25" t="e">
        <f t="shared" si="135"/>
        <v>#DIV/0!</v>
      </c>
      <c r="AB152" s="25" t="e">
        <f t="shared" si="136"/>
        <v>#DIV/0!</v>
      </c>
      <c r="AC152" s="25" t="e">
        <f t="shared" si="137"/>
        <v>#DIV/0!</v>
      </c>
      <c r="AD152" s="63" t="e">
        <f t="shared" si="138"/>
        <v>#DIV/0!</v>
      </c>
      <c r="AE152" s="24">
        <f t="shared" si="139"/>
        <v>0</v>
      </c>
    </row>
    <row r="153" spans="1:31" x14ac:dyDescent="0.2">
      <c r="A153" s="75">
        <f t="shared" si="151"/>
        <v>46275</v>
      </c>
      <c r="B153" s="15" t="str">
        <f>$B$18</f>
        <v>NA</v>
      </c>
      <c r="C153" s="15" t="str">
        <f>$C$18</f>
        <v>NA</v>
      </c>
      <c r="D153" s="18">
        <f t="shared" si="140"/>
        <v>0</v>
      </c>
      <c r="E153" s="4">
        <f t="shared" si="141"/>
        <v>0</v>
      </c>
      <c r="F153" s="4">
        <v>0</v>
      </c>
      <c r="G153" s="5" t="e">
        <f t="shared" si="142"/>
        <v>#DIV/0!</v>
      </c>
      <c r="H153" s="4" t="e">
        <f t="shared" si="143"/>
        <v>#DIV/0!</v>
      </c>
      <c r="I153" s="4" t="e">
        <f t="shared" si="144"/>
        <v>#DIV/0!</v>
      </c>
      <c r="J153" s="4">
        <f t="shared" si="145"/>
        <v>0</v>
      </c>
      <c r="K153" s="27">
        <f t="shared" si="146"/>
        <v>0</v>
      </c>
      <c r="L153" s="30">
        <f t="shared" si="147"/>
        <v>0</v>
      </c>
      <c r="M153" s="18">
        <v>0</v>
      </c>
      <c r="N153" s="4">
        <v>0</v>
      </c>
      <c r="O153" s="4">
        <v>0</v>
      </c>
      <c r="P153" s="5" t="e">
        <f t="shared" si="148"/>
        <v>#DIV/0!</v>
      </c>
      <c r="Q153" s="29" t="e">
        <f t="shared" si="149"/>
        <v>#DIV/0!</v>
      </c>
      <c r="R153" s="29" t="e">
        <f t="shared" si="150"/>
        <v>#DIV/0!</v>
      </c>
      <c r="S153" s="1">
        <v>0</v>
      </c>
      <c r="T153" s="1">
        <v>0</v>
      </c>
      <c r="U153" s="24">
        <v>0</v>
      </c>
      <c r="V153" s="25" t="e">
        <f t="shared" si="130"/>
        <v>#DIV/0!</v>
      </c>
      <c r="W153" s="25" t="e">
        <f t="shared" si="131"/>
        <v>#DIV/0!</v>
      </c>
      <c r="X153" s="25" t="e">
        <f t="shared" si="132"/>
        <v>#DIV/0!</v>
      </c>
      <c r="Y153" s="25" t="e">
        <f t="shared" si="133"/>
        <v>#DIV/0!</v>
      </c>
      <c r="Z153" s="25" t="e">
        <f t="shared" si="134"/>
        <v>#DIV/0!</v>
      </c>
      <c r="AA153" s="25" t="e">
        <f t="shared" si="135"/>
        <v>#DIV/0!</v>
      </c>
      <c r="AB153" s="25" t="e">
        <f t="shared" si="136"/>
        <v>#DIV/0!</v>
      </c>
      <c r="AC153" s="25" t="e">
        <f t="shared" si="137"/>
        <v>#DIV/0!</v>
      </c>
      <c r="AD153" s="63" t="e">
        <f t="shared" si="138"/>
        <v>#DIV/0!</v>
      </c>
      <c r="AE153" s="24">
        <f t="shared" si="139"/>
        <v>0</v>
      </c>
    </row>
    <row r="154" spans="1:31" x14ac:dyDescent="0.2">
      <c r="A154" s="75">
        <f t="shared" si="151"/>
        <v>46276</v>
      </c>
      <c r="B154" s="15" t="str">
        <f>$B$4</f>
        <v>DSM</v>
      </c>
      <c r="C154" s="15" t="str">
        <f>$C$4</f>
        <v xml:space="preserve">komal  </v>
      </c>
      <c r="D154" s="18">
        <f t="shared" si="140"/>
        <v>0</v>
      </c>
      <c r="E154" s="4">
        <f t="shared" si="141"/>
        <v>0</v>
      </c>
      <c r="F154" s="4">
        <v>0</v>
      </c>
      <c r="G154" s="5" t="e">
        <f t="shared" si="142"/>
        <v>#DIV/0!</v>
      </c>
      <c r="H154" s="4" t="e">
        <f t="shared" si="143"/>
        <v>#DIV/0!</v>
      </c>
      <c r="I154" s="4" t="e">
        <f t="shared" si="144"/>
        <v>#DIV/0!</v>
      </c>
      <c r="J154" s="4">
        <f t="shared" si="145"/>
        <v>0</v>
      </c>
      <c r="K154" s="27">
        <f t="shared" si="146"/>
        <v>0</v>
      </c>
      <c r="L154" s="30">
        <f t="shared" si="147"/>
        <v>0</v>
      </c>
      <c r="M154" s="18">
        <v>0</v>
      </c>
      <c r="N154" s="4">
        <v>0</v>
      </c>
      <c r="O154" s="4">
        <v>0</v>
      </c>
      <c r="P154" s="5" t="e">
        <f t="shared" si="148"/>
        <v>#DIV/0!</v>
      </c>
      <c r="Q154" s="29" t="e">
        <f t="shared" si="149"/>
        <v>#DIV/0!</v>
      </c>
      <c r="R154" s="29" t="e">
        <f t="shared" si="150"/>
        <v>#DIV/0!</v>
      </c>
      <c r="S154" s="1">
        <v>0</v>
      </c>
      <c r="T154" s="1">
        <v>0</v>
      </c>
      <c r="U154" s="24">
        <v>0</v>
      </c>
      <c r="V154" s="25" t="e">
        <f t="shared" si="130"/>
        <v>#DIV/0!</v>
      </c>
      <c r="W154" s="25" t="e">
        <f t="shared" si="131"/>
        <v>#DIV/0!</v>
      </c>
      <c r="X154" s="25" t="e">
        <f t="shared" si="132"/>
        <v>#DIV/0!</v>
      </c>
      <c r="Y154" s="25" t="e">
        <f t="shared" si="133"/>
        <v>#DIV/0!</v>
      </c>
      <c r="Z154" s="25" t="e">
        <f t="shared" si="134"/>
        <v>#DIV/0!</v>
      </c>
      <c r="AA154" s="25" t="e">
        <f t="shared" si="135"/>
        <v>#DIV/0!</v>
      </c>
      <c r="AB154" s="25" t="e">
        <f t="shared" si="136"/>
        <v>#DIV/0!</v>
      </c>
      <c r="AC154" s="25" t="e">
        <f t="shared" si="137"/>
        <v>#DIV/0!</v>
      </c>
      <c r="AD154" s="63" t="e">
        <f t="shared" si="138"/>
        <v>#DIV/0!</v>
      </c>
      <c r="AE154" s="24">
        <f t="shared" si="139"/>
        <v>0</v>
      </c>
    </row>
    <row r="155" spans="1:31" x14ac:dyDescent="0.2">
      <c r="A155" s="75">
        <f t="shared" si="151"/>
        <v>46276</v>
      </c>
      <c r="B155" s="15" t="str">
        <f>$B$5</f>
        <v>SS</v>
      </c>
      <c r="C155" s="15" t="str">
        <f>$C$5</f>
        <v>Prem</v>
      </c>
      <c r="D155" s="18">
        <f t="shared" si="140"/>
        <v>3.1921095868873834</v>
      </c>
      <c r="E155" s="4">
        <f t="shared" si="141"/>
        <v>7.9705813267724439</v>
      </c>
      <c r="F155" s="4">
        <v>7874.9343508511747</v>
      </c>
      <c r="G155" s="5">
        <f t="shared" si="142"/>
        <v>2.4969635627530362</v>
      </c>
      <c r="H155" s="4">
        <f t="shared" si="143"/>
        <v>2467</v>
      </c>
      <c r="I155" s="4">
        <f t="shared" si="144"/>
        <v>988</v>
      </c>
      <c r="J155" s="4">
        <f t="shared" si="145"/>
        <v>0.2553687669509907</v>
      </c>
      <c r="K155" s="27">
        <f t="shared" si="146"/>
        <v>0.12768438347549535</v>
      </c>
      <c r="L155" s="30">
        <f t="shared" si="147"/>
        <v>0.79802739672184586</v>
      </c>
      <c r="M155" s="18">
        <v>12</v>
      </c>
      <c r="N155" s="4">
        <v>14</v>
      </c>
      <c r="O155" s="4">
        <v>12632</v>
      </c>
      <c r="P155" s="5">
        <f t="shared" si="148"/>
        <v>1.1666666666666667</v>
      </c>
      <c r="Q155" s="29">
        <f t="shared" si="149"/>
        <v>1052.6666666666667</v>
      </c>
      <c r="R155" s="29">
        <f t="shared" si="150"/>
        <v>902.28571428571433</v>
      </c>
      <c r="S155" s="1">
        <v>0</v>
      </c>
      <c r="T155" s="1">
        <v>0</v>
      </c>
      <c r="U155" s="24">
        <v>0</v>
      </c>
      <c r="V155" s="25">
        <f t="shared" si="130"/>
        <v>3.759269434011244</v>
      </c>
      <c r="W155" s="25">
        <f t="shared" si="131"/>
        <v>1.7564590869897152</v>
      </c>
      <c r="X155" s="25">
        <f t="shared" si="132"/>
        <v>1.6040768642896241</v>
      </c>
      <c r="Y155" s="25">
        <f t="shared" si="133"/>
        <v>0.46723415754627762</v>
      </c>
      <c r="Z155" s="25">
        <f t="shared" si="134"/>
        <v>0.42669909471693018</v>
      </c>
      <c r="AA155" s="25">
        <f t="shared" si="135"/>
        <v>0.91324465008675537</v>
      </c>
      <c r="AB155" s="25">
        <f t="shared" si="136"/>
        <v>0</v>
      </c>
      <c r="AC155" s="25">
        <f t="shared" si="137"/>
        <v>0</v>
      </c>
      <c r="AD155" s="63">
        <f t="shared" si="138"/>
        <v>0</v>
      </c>
      <c r="AE155" s="24">
        <f t="shared" si="139"/>
        <v>1</v>
      </c>
    </row>
    <row r="156" spans="1:31" x14ac:dyDescent="0.2">
      <c r="A156" s="75">
        <f t="shared" si="151"/>
        <v>46276</v>
      </c>
      <c r="B156" s="15" t="str">
        <f>$B$6</f>
        <v>SS</v>
      </c>
      <c r="C156" s="15" t="str">
        <f>$C$6</f>
        <v>Anuj</v>
      </c>
      <c r="D156" s="18">
        <f t="shared" si="140"/>
        <v>4.468953421642337</v>
      </c>
      <c r="E156" s="4">
        <f t="shared" si="141"/>
        <v>11.158813857481421</v>
      </c>
      <c r="F156" s="4">
        <v>11024.908091191644</v>
      </c>
      <c r="G156" s="5">
        <f t="shared" si="142"/>
        <v>2.4969635627530362</v>
      </c>
      <c r="H156" s="4">
        <f t="shared" si="143"/>
        <v>2467</v>
      </c>
      <c r="I156" s="4">
        <f t="shared" si="144"/>
        <v>988</v>
      </c>
      <c r="J156" s="4">
        <f t="shared" si="145"/>
        <v>0.35751627373138695</v>
      </c>
      <c r="K156" s="27">
        <f t="shared" si="146"/>
        <v>0.17875813686569347</v>
      </c>
      <c r="L156" s="30">
        <f t="shared" si="147"/>
        <v>1.1172383554105842</v>
      </c>
      <c r="M156" s="18">
        <v>6</v>
      </c>
      <c r="N156" s="4">
        <v>10</v>
      </c>
      <c r="O156" s="4">
        <v>15250.15</v>
      </c>
      <c r="P156" s="5">
        <f t="shared" si="148"/>
        <v>1.6666666666666667</v>
      </c>
      <c r="Q156" s="29">
        <f t="shared" si="149"/>
        <v>2541.6916666666666</v>
      </c>
      <c r="R156" s="29">
        <f t="shared" si="150"/>
        <v>1525.0149999999999</v>
      </c>
      <c r="S156" s="1">
        <v>0</v>
      </c>
      <c r="T156" s="1">
        <v>0</v>
      </c>
      <c r="U156" s="24">
        <v>0</v>
      </c>
      <c r="V156" s="25">
        <f t="shared" si="130"/>
        <v>1.342596226432587</v>
      </c>
      <c r="W156" s="25">
        <f t="shared" si="131"/>
        <v>0.89615259540291592</v>
      </c>
      <c r="X156" s="25">
        <f t="shared" si="132"/>
        <v>1.3832450913748764</v>
      </c>
      <c r="Y156" s="25">
        <f t="shared" si="133"/>
        <v>0.66747736792325374</v>
      </c>
      <c r="Z156" s="25">
        <f t="shared" si="134"/>
        <v>1.03027631401162</v>
      </c>
      <c r="AA156" s="25">
        <f t="shared" si="135"/>
        <v>1.5435374493927123</v>
      </c>
      <c r="AB156" s="25">
        <f t="shared" si="136"/>
        <v>0</v>
      </c>
      <c r="AC156" s="25">
        <f t="shared" si="137"/>
        <v>0</v>
      </c>
      <c r="AD156" s="63">
        <f t="shared" si="138"/>
        <v>0</v>
      </c>
      <c r="AE156" s="24">
        <f t="shared" si="139"/>
        <v>1</v>
      </c>
    </row>
    <row r="157" spans="1:31" x14ac:dyDescent="0.2">
      <c r="A157" s="75">
        <f t="shared" si="151"/>
        <v>46276</v>
      </c>
      <c r="B157" s="15" t="str">
        <f>$B$7</f>
        <v>FC</v>
      </c>
      <c r="C157" s="15" t="str">
        <f>$C$7</f>
        <v>Muskan</v>
      </c>
      <c r="D157" s="18">
        <f t="shared" si="140"/>
        <v>6.3842191737747669</v>
      </c>
      <c r="E157" s="4">
        <f t="shared" si="141"/>
        <v>15.941162653544888</v>
      </c>
      <c r="F157" s="4">
        <v>15749.868701702349</v>
      </c>
      <c r="G157" s="5">
        <f t="shared" si="142"/>
        <v>2.4969635627530362</v>
      </c>
      <c r="H157" s="4">
        <f t="shared" si="143"/>
        <v>2467</v>
      </c>
      <c r="I157" s="4">
        <f t="shared" si="144"/>
        <v>988</v>
      </c>
      <c r="J157" s="4">
        <f t="shared" si="145"/>
        <v>0.5107375339019814</v>
      </c>
      <c r="K157" s="27">
        <f t="shared" si="146"/>
        <v>0.2553687669509907</v>
      </c>
      <c r="L157" s="30">
        <f t="shared" si="147"/>
        <v>1.5960547934436917</v>
      </c>
      <c r="M157" s="18">
        <v>3</v>
      </c>
      <c r="N157" s="4">
        <v>13</v>
      </c>
      <c r="O157" s="4">
        <v>13290</v>
      </c>
      <c r="P157" s="5">
        <f t="shared" si="148"/>
        <v>4.333333333333333</v>
      </c>
      <c r="Q157" s="29">
        <f t="shared" si="149"/>
        <v>4430</v>
      </c>
      <c r="R157" s="29">
        <f t="shared" si="150"/>
        <v>1022.3076923076923</v>
      </c>
      <c r="S157" s="1">
        <v>0</v>
      </c>
      <c r="T157" s="1">
        <v>0</v>
      </c>
      <c r="U157" s="24">
        <v>0</v>
      </c>
      <c r="V157" s="25">
        <f t="shared" si="130"/>
        <v>0.4699086792514055</v>
      </c>
      <c r="W157" s="25">
        <f t="shared" si="131"/>
        <v>0.81549886181665354</v>
      </c>
      <c r="X157" s="25">
        <f t="shared" si="132"/>
        <v>0.84381655820175372</v>
      </c>
      <c r="Y157" s="25">
        <f t="shared" si="133"/>
        <v>1.7354411566004595</v>
      </c>
      <c r="Z157" s="25">
        <f t="shared" si="134"/>
        <v>1.7957032833400892</v>
      </c>
      <c r="AA157" s="25">
        <f t="shared" si="135"/>
        <v>1.034724384926814</v>
      </c>
      <c r="AB157" s="25">
        <f t="shared" si="136"/>
        <v>0</v>
      </c>
      <c r="AC157" s="25">
        <f t="shared" si="137"/>
        <v>0</v>
      </c>
      <c r="AD157" s="63">
        <f t="shared" si="138"/>
        <v>0</v>
      </c>
      <c r="AE157" s="24">
        <f t="shared" si="139"/>
        <v>1</v>
      </c>
    </row>
    <row r="158" spans="1:31" x14ac:dyDescent="0.2">
      <c r="A158" s="75">
        <f t="shared" si="151"/>
        <v>46276</v>
      </c>
      <c r="B158" s="15" t="str">
        <f>$B$8</f>
        <v>FC</v>
      </c>
      <c r="C158" s="15" t="str">
        <f>$C$8</f>
        <v xml:space="preserve">Kajal  </v>
      </c>
      <c r="D158" s="18">
        <f t="shared" si="140"/>
        <v>3.1921095868873834</v>
      </c>
      <c r="E158" s="4">
        <f t="shared" si="141"/>
        <v>7.9705813267724439</v>
      </c>
      <c r="F158" s="4">
        <v>7874.9343508511747</v>
      </c>
      <c r="G158" s="5">
        <f t="shared" si="142"/>
        <v>2.4969635627530362</v>
      </c>
      <c r="H158" s="4">
        <f t="shared" si="143"/>
        <v>2467</v>
      </c>
      <c r="I158" s="4">
        <f t="shared" si="144"/>
        <v>988</v>
      </c>
      <c r="J158" s="4">
        <f t="shared" si="145"/>
        <v>0.2553687669509907</v>
      </c>
      <c r="K158" s="27">
        <f t="shared" si="146"/>
        <v>0.12768438347549535</v>
      </c>
      <c r="L158" s="30">
        <f t="shared" si="147"/>
        <v>0.79802739672184586</v>
      </c>
      <c r="M158" s="18">
        <v>5</v>
      </c>
      <c r="N158" s="4">
        <v>8</v>
      </c>
      <c r="O158" s="4">
        <v>7335.8099999999995</v>
      </c>
      <c r="P158" s="5">
        <f t="shared" si="148"/>
        <v>1.6</v>
      </c>
      <c r="Q158" s="29">
        <f t="shared" si="149"/>
        <v>1467.1619999999998</v>
      </c>
      <c r="R158" s="29">
        <f t="shared" si="150"/>
        <v>916.97624999999994</v>
      </c>
      <c r="S158" s="1">
        <v>0</v>
      </c>
      <c r="T158" s="1">
        <v>0</v>
      </c>
      <c r="U158" s="24">
        <v>0</v>
      </c>
      <c r="V158" s="25">
        <f t="shared" si="130"/>
        <v>1.5663622641713517</v>
      </c>
      <c r="W158" s="25">
        <f t="shared" si="131"/>
        <v>1.0036909068512658</v>
      </c>
      <c r="X158" s="25">
        <f t="shared" si="132"/>
        <v>0.9315391942546285</v>
      </c>
      <c r="Y158" s="25">
        <f t="shared" si="133"/>
        <v>0.64077827320632352</v>
      </c>
      <c r="Z158" s="25">
        <f t="shared" si="134"/>
        <v>0.59471503850830965</v>
      </c>
      <c r="AA158" s="25">
        <f t="shared" si="135"/>
        <v>0.92811361336032383</v>
      </c>
      <c r="AB158" s="25">
        <f t="shared" si="136"/>
        <v>0</v>
      </c>
      <c r="AC158" s="25">
        <f t="shared" si="137"/>
        <v>0</v>
      </c>
      <c r="AD158" s="63">
        <f t="shared" si="138"/>
        <v>0</v>
      </c>
      <c r="AE158" s="24">
        <f t="shared" si="139"/>
        <v>1</v>
      </c>
    </row>
    <row r="159" spans="1:31" x14ac:dyDescent="0.2">
      <c r="A159" s="75">
        <f t="shared" si="151"/>
        <v>46276</v>
      </c>
      <c r="B159" s="15" t="str">
        <f>$B$9</f>
        <v>FC</v>
      </c>
      <c r="C159" s="15" t="str">
        <f>$C$9</f>
        <v>Pradeep</v>
      </c>
      <c r="D159" s="18">
        <f t="shared" si="140"/>
        <v>0</v>
      </c>
      <c r="E159" s="4">
        <f t="shared" si="141"/>
        <v>0</v>
      </c>
      <c r="F159" s="4">
        <v>0</v>
      </c>
      <c r="G159" s="5" t="e">
        <f t="shared" si="142"/>
        <v>#DIV/0!</v>
      </c>
      <c r="H159" s="4" t="e">
        <f t="shared" si="143"/>
        <v>#DIV/0!</v>
      </c>
      <c r="I159" s="4" t="e">
        <f t="shared" si="144"/>
        <v>#DIV/0!</v>
      </c>
      <c r="J159" s="4">
        <f t="shared" si="145"/>
        <v>0</v>
      </c>
      <c r="K159" s="27">
        <f t="shared" si="146"/>
        <v>0</v>
      </c>
      <c r="L159" s="30">
        <f t="shared" si="147"/>
        <v>0</v>
      </c>
      <c r="M159" s="18">
        <v>0</v>
      </c>
      <c r="N159" s="4">
        <v>0</v>
      </c>
      <c r="O159" s="4">
        <v>0</v>
      </c>
      <c r="P159" s="5" t="e">
        <f t="shared" si="148"/>
        <v>#DIV/0!</v>
      </c>
      <c r="Q159" s="29" t="e">
        <f t="shared" si="149"/>
        <v>#DIV/0!</v>
      </c>
      <c r="R159" s="29" t="e">
        <f t="shared" si="150"/>
        <v>#DIV/0!</v>
      </c>
      <c r="S159" s="1">
        <v>0</v>
      </c>
      <c r="T159" s="1">
        <v>0</v>
      </c>
      <c r="U159" s="24">
        <v>0</v>
      </c>
      <c r="V159" s="25" t="e">
        <f t="shared" si="130"/>
        <v>#DIV/0!</v>
      </c>
      <c r="W159" s="25" t="e">
        <f t="shared" si="131"/>
        <v>#DIV/0!</v>
      </c>
      <c r="X159" s="25" t="e">
        <f t="shared" si="132"/>
        <v>#DIV/0!</v>
      </c>
      <c r="Y159" s="25" t="e">
        <f t="shared" si="133"/>
        <v>#DIV/0!</v>
      </c>
      <c r="Z159" s="25" t="e">
        <f t="shared" si="134"/>
        <v>#DIV/0!</v>
      </c>
      <c r="AA159" s="25" t="e">
        <f t="shared" si="135"/>
        <v>#DIV/0!</v>
      </c>
      <c r="AB159" s="25" t="e">
        <f t="shared" si="136"/>
        <v>#DIV/0!</v>
      </c>
      <c r="AC159" s="25" t="e">
        <f t="shared" si="137"/>
        <v>#DIV/0!</v>
      </c>
      <c r="AD159" s="63" t="e">
        <f t="shared" si="138"/>
        <v>#DIV/0!</v>
      </c>
      <c r="AE159" s="24">
        <f t="shared" si="139"/>
        <v>0</v>
      </c>
    </row>
    <row r="160" spans="1:31" x14ac:dyDescent="0.2">
      <c r="A160" s="75">
        <f t="shared" si="151"/>
        <v>46276</v>
      </c>
      <c r="B160" s="15" t="str">
        <f>$B$10</f>
        <v>FC</v>
      </c>
      <c r="C160" s="15" t="str">
        <f>$C$10</f>
        <v>Aftab</v>
      </c>
      <c r="D160" s="18">
        <f t="shared" si="140"/>
        <v>0</v>
      </c>
      <c r="E160" s="4">
        <f t="shared" si="141"/>
        <v>0</v>
      </c>
      <c r="F160" s="4">
        <v>0</v>
      </c>
      <c r="G160" s="5" t="e">
        <f t="shared" si="142"/>
        <v>#DIV/0!</v>
      </c>
      <c r="H160" s="4" t="e">
        <f t="shared" si="143"/>
        <v>#DIV/0!</v>
      </c>
      <c r="I160" s="4" t="e">
        <f t="shared" si="144"/>
        <v>#DIV/0!</v>
      </c>
      <c r="J160" s="4">
        <f t="shared" si="145"/>
        <v>0</v>
      </c>
      <c r="K160" s="27">
        <f t="shared" si="146"/>
        <v>0</v>
      </c>
      <c r="L160" s="30">
        <f t="shared" si="147"/>
        <v>0</v>
      </c>
      <c r="M160" s="18">
        <v>0</v>
      </c>
      <c r="N160" s="4">
        <v>0</v>
      </c>
      <c r="O160" s="4">
        <v>0</v>
      </c>
      <c r="P160" s="5" t="e">
        <f t="shared" si="148"/>
        <v>#DIV/0!</v>
      </c>
      <c r="Q160" s="29" t="e">
        <f t="shared" si="149"/>
        <v>#DIV/0!</v>
      </c>
      <c r="R160" s="29" t="e">
        <f t="shared" si="150"/>
        <v>#DIV/0!</v>
      </c>
      <c r="S160" s="1">
        <v>0</v>
      </c>
      <c r="T160" s="1">
        <v>0</v>
      </c>
      <c r="U160" s="24">
        <v>0</v>
      </c>
      <c r="V160" s="25" t="e">
        <f t="shared" si="130"/>
        <v>#DIV/0!</v>
      </c>
      <c r="W160" s="25" t="e">
        <f t="shared" si="131"/>
        <v>#DIV/0!</v>
      </c>
      <c r="X160" s="25" t="e">
        <f t="shared" si="132"/>
        <v>#DIV/0!</v>
      </c>
      <c r="Y160" s="25" t="e">
        <f t="shared" si="133"/>
        <v>#DIV/0!</v>
      </c>
      <c r="Z160" s="25" t="e">
        <f t="shared" si="134"/>
        <v>#DIV/0!</v>
      </c>
      <c r="AA160" s="25" t="e">
        <f t="shared" si="135"/>
        <v>#DIV/0!</v>
      </c>
      <c r="AB160" s="25" t="e">
        <f t="shared" si="136"/>
        <v>#DIV/0!</v>
      </c>
      <c r="AC160" s="25" t="e">
        <f t="shared" si="137"/>
        <v>#DIV/0!</v>
      </c>
      <c r="AD160" s="63" t="e">
        <f t="shared" si="138"/>
        <v>#DIV/0!</v>
      </c>
      <c r="AE160" s="24">
        <f t="shared" si="139"/>
        <v>0</v>
      </c>
    </row>
    <row r="161" spans="1:31" x14ac:dyDescent="0.2">
      <c r="A161" s="75">
        <f t="shared" si="151"/>
        <v>46276</v>
      </c>
      <c r="B161" s="15" t="str">
        <f>$B$11</f>
        <v>FC</v>
      </c>
      <c r="C161" s="15" t="str">
        <f>$C$11</f>
        <v>Khushi</v>
      </c>
      <c r="D161" s="18">
        <f t="shared" si="140"/>
        <v>6.3842191737747669</v>
      </c>
      <c r="E161" s="4">
        <f t="shared" si="141"/>
        <v>15.941162653544888</v>
      </c>
      <c r="F161" s="4">
        <v>15749.868701702349</v>
      </c>
      <c r="G161" s="5">
        <f t="shared" si="142"/>
        <v>2.4969635627530362</v>
      </c>
      <c r="H161" s="4">
        <f t="shared" si="143"/>
        <v>2467</v>
      </c>
      <c r="I161" s="4">
        <f t="shared" si="144"/>
        <v>988</v>
      </c>
      <c r="J161" s="4">
        <f t="shared" si="145"/>
        <v>0.5107375339019814</v>
      </c>
      <c r="K161" s="27">
        <f t="shared" si="146"/>
        <v>0.2553687669509907</v>
      </c>
      <c r="L161" s="30">
        <f t="shared" si="147"/>
        <v>1.5960547934436917</v>
      </c>
      <c r="M161" s="18">
        <v>9</v>
      </c>
      <c r="N161" s="4">
        <v>27</v>
      </c>
      <c r="O161" s="4">
        <v>31800.26</v>
      </c>
      <c r="P161" s="5">
        <f t="shared" si="148"/>
        <v>3</v>
      </c>
      <c r="Q161" s="29">
        <f t="shared" si="149"/>
        <v>3533.362222222222</v>
      </c>
      <c r="R161" s="29">
        <f t="shared" si="150"/>
        <v>1177.7874074074073</v>
      </c>
      <c r="S161" s="1">
        <v>0</v>
      </c>
      <c r="T161" s="1">
        <v>0</v>
      </c>
      <c r="U161" s="24">
        <v>0</v>
      </c>
      <c r="V161" s="25">
        <f t="shared" si="130"/>
        <v>1.4097260377542165</v>
      </c>
      <c r="W161" s="25">
        <f t="shared" si="131"/>
        <v>1.6937284053115111</v>
      </c>
      <c r="X161" s="25">
        <f t="shared" si="132"/>
        <v>2.0190809588503309</v>
      </c>
      <c r="Y161" s="25">
        <f t="shared" si="133"/>
        <v>1.2014592622618565</v>
      </c>
      <c r="Z161" s="25">
        <f t="shared" si="134"/>
        <v>1.4322505967662027</v>
      </c>
      <c r="AA161" s="25">
        <f t="shared" si="135"/>
        <v>1.1920925176188333</v>
      </c>
      <c r="AB161" s="25">
        <f t="shared" si="136"/>
        <v>0</v>
      </c>
      <c r="AC161" s="25">
        <f t="shared" si="137"/>
        <v>0</v>
      </c>
      <c r="AD161" s="63">
        <f t="shared" si="138"/>
        <v>0</v>
      </c>
      <c r="AE161" s="24">
        <f t="shared" si="139"/>
        <v>1</v>
      </c>
    </row>
    <row r="162" spans="1:31" x14ac:dyDescent="0.2">
      <c r="A162" s="75">
        <f t="shared" si="151"/>
        <v>46276</v>
      </c>
      <c r="B162" s="15" t="str">
        <f>$B$12</f>
        <v>FC</v>
      </c>
      <c r="C162" s="15" t="str">
        <f>$C$12</f>
        <v>Kishan</v>
      </c>
      <c r="D162" s="18">
        <f t="shared" si="140"/>
        <v>0</v>
      </c>
      <c r="E162" s="4">
        <f t="shared" si="141"/>
        <v>0</v>
      </c>
      <c r="F162" s="4">
        <v>0</v>
      </c>
      <c r="G162" s="5" t="e">
        <f t="shared" si="142"/>
        <v>#DIV/0!</v>
      </c>
      <c r="H162" s="4" t="e">
        <f t="shared" si="143"/>
        <v>#DIV/0!</v>
      </c>
      <c r="I162" s="4" t="e">
        <f t="shared" si="144"/>
        <v>#DIV/0!</v>
      </c>
      <c r="J162" s="4">
        <f t="shared" si="145"/>
        <v>0</v>
      </c>
      <c r="K162" s="27">
        <f t="shared" si="146"/>
        <v>0</v>
      </c>
      <c r="L162" s="30">
        <f t="shared" si="147"/>
        <v>0</v>
      </c>
      <c r="M162" s="18">
        <v>0</v>
      </c>
      <c r="N162" s="4">
        <v>0</v>
      </c>
      <c r="O162" s="4">
        <v>0</v>
      </c>
      <c r="P162" s="5" t="e">
        <f t="shared" si="148"/>
        <v>#DIV/0!</v>
      </c>
      <c r="Q162" s="29" t="e">
        <f t="shared" si="149"/>
        <v>#DIV/0!</v>
      </c>
      <c r="R162" s="29" t="e">
        <f t="shared" si="150"/>
        <v>#DIV/0!</v>
      </c>
      <c r="S162" s="1">
        <v>0</v>
      </c>
      <c r="T162" s="1">
        <v>0</v>
      </c>
      <c r="U162" s="24">
        <v>0</v>
      </c>
      <c r="V162" s="25" t="e">
        <f t="shared" si="130"/>
        <v>#DIV/0!</v>
      </c>
      <c r="W162" s="25" t="e">
        <f t="shared" si="131"/>
        <v>#DIV/0!</v>
      </c>
      <c r="X162" s="25" t="e">
        <f t="shared" si="132"/>
        <v>#DIV/0!</v>
      </c>
      <c r="Y162" s="25" t="e">
        <f t="shared" si="133"/>
        <v>#DIV/0!</v>
      </c>
      <c r="Z162" s="25" t="e">
        <f t="shared" si="134"/>
        <v>#DIV/0!</v>
      </c>
      <c r="AA162" s="25" t="e">
        <f t="shared" si="135"/>
        <v>#DIV/0!</v>
      </c>
      <c r="AB162" s="25" t="e">
        <f t="shared" si="136"/>
        <v>#DIV/0!</v>
      </c>
      <c r="AC162" s="25" t="e">
        <f t="shared" si="137"/>
        <v>#DIV/0!</v>
      </c>
      <c r="AD162" s="63" t="e">
        <f t="shared" si="138"/>
        <v>#DIV/0!</v>
      </c>
      <c r="AE162" s="24">
        <f t="shared" si="139"/>
        <v>0</v>
      </c>
    </row>
    <row r="163" spans="1:31" x14ac:dyDescent="0.2">
      <c r="A163" s="75">
        <f t="shared" si="151"/>
        <v>46276</v>
      </c>
      <c r="B163" s="15" t="str">
        <f>$B$13</f>
        <v>Partner</v>
      </c>
      <c r="C163" s="15" t="str">
        <f>$C$13</f>
        <v>Rahul</v>
      </c>
      <c r="D163" s="18">
        <f t="shared" si="140"/>
        <v>5.1073753390198133</v>
      </c>
      <c r="E163" s="4">
        <f t="shared" si="141"/>
        <v>12.75293012283591</v>
      </c>
      <c r="F163" s="4">
        <v>12599.894961361879</v>
      </c>
      <c r="G163" s="5">
        <f t="shared" si="142"/>
        <v>2.4969635627530362</v>
      </c>
      <c r="H163" s="4">
        <f t="shared" si="143"/>
        <v>2467</v>
      </c>
      <c r="I163" s="4">
        <f t="shared" si="144"/>
        <v>988</v>
      </c>
      <c r="J163" s="4">
        <f t="shared" si="145"/>
        <v>0.4085900271215851</v>
      </c>
      <c r="K163" s="27">
        <f t="shared" si="146"/>
        <v>0.20429501356079255</v>
      </c>
      <c r="L163" s="30">
        <f t="shared" si="147"/>
        <v>1.2768438347549533</v>
      </c>
      <c r="M163" s="18">
        <v>4</v>
      </c>
      <c r="N163" s="4">
        <v>7</v>
      </c>
      <c r="O163" s="4">
        <v>6603.6</v>
      </c>
      <c r="P163" s="5">
        <f t="shared" si="148"/>
        <v>1.75</v>
      </c>
      <c r="Q163" s="29">
        <f t="shared" si="149"/>
        <v>1650.9</v>
      </c>
      <c r="R163" s="29">
        <f t="shared" si="150"/>
        <v>943.37142857142862</v>
      </c>
      <c r="S163" s="1">
        <v>0</v>
      </c>
      <c r="T163" s="1">
        <v>0</v>
      </c>
      <c r="U163" s="24">
        <v>0</v>
      </c>
      <c r="V163" s="25">
        <f t="shared" si="130"/>
        <v>0.78318113208567586</v>
      </c>
      <c r="W163" s="25">
        <f t="shared" si="131"/>
        <v>0.54889346468428601</v>
      </c>
      <c r="X163" s="25">
        <f t="shared" si="132"/>
        <v>0.52409960719912541</v>
      </c>
      <c r="Y163" s="25">
        <f t="shared" si="133"/>
        <v>0.70085123631941637</v>
      </c>
      <c r="Z163" s="25">
        <f t="shared" si="134"/>
        <v>0.66919335224969601</v>
      </c>
      <c r="AA163" s="25">
        <f t="shared" si="135"/>
        <v>0.95482938114517069</v>
      </c>
      <c r="AB163" s="25">
        <f t="shared" si="136"/>
        <v>0</v>
      </c>
      <c r="AC163" s="25">
        <f t="shared" si="137"/>
        <v>0</v>
      </c>
      <c r="AD163" s="63">
        <f t="shared" si="138"/>
        <v>0</v>
      </c>
      <c r="AE163" s="24">
        <f t="shared" si="139"/>
        <v>1</v>
      </c>
    </row>
    <row r="164" spans="1:31" x14ac:dyDescent="0.2">
      <c r="A164" s="75">
        <f t="shared" si="151"/>
        <v>46276</v>
      </c>
      <c r="B164" s="15" t="str">
        <f>$B$14</f>
        <v>Partner</v>
      </c>
      <c r="C164" s="15" t="str">
        <f>$C$14</f>
        <v>Prince</v>
      </c>
      <c r="D164" s="18">
        <f t="shared" si="140"/>
        <v>5.1073753390198133</v>
      </c>
      <c r="E164" s="4">
        <f t="shared" si="141"/>
        <v>12.75293012283591</v>
      </c>
      <c r="F164" s="4">
        <v>12599.894961361879</v>
      </c>
      <c r="G164" s="5">
        <f t="shared" si="142"/>
        <v>2.4969635627530362</v>
      </c>
      <c r="H164" s="4">
        <f t="shared" si="143"/>
        <v>2467</v>
      </c>
      <c r="I164" s="4">
        <f t="shared" si="144"/>
        <v>988</v>
      </c>
      <c r="J164" s="4">
        <f t="shared" si="145"/>
        <v>0.4085900271215851</v>
      </c>
      <c r="K164" s="27">
        <f t="shared" si="146"/>
        <v>0.20429501356079255</v>
      </c>
      <c r="L164" s="30">
        <f t="shared" si="147"/>
        <v>1.2768438347549533</v>
      </c>
      <c r="M164" s="18">
        <v>4</v>
      </c>
      <c r="N164" s="4">
        <v>12</v>
      </c>
      <c r="O164" s="4">
        <v>13676.4</v>
      </c>
      <c r="P164" s="5">
        <f t="shared" si="148"/>
        <v>3</v>
      </c>
      <c r="Q164" s="29">
        <f t="shared" si="149"/>
        <v>3419.1</v>
      </c>
      <c r="R164" s="29">
        <f t="shared" si="150"/>
        <v>1139.7</v>
      </c>
      <c r="S164" s="1">
        <v>0</v>
      </c>
      <c r="T164" s="1">
        <v>0</v>
      </c>
      <c r="U164" s="24">
        <v>0</v>
      </c>
      <c r="V164" s="25">
        <f t="shared" si="130"/>
        <v>0.78318113208567586</v>
      </c>
      <c r="W164" s="25">
        <f t="shared" si="131"/>
        <v>0.94096022517306177</v>
      </c>
      <c r="X164" s="25">
        <f t="shared" si="132"/>
        <v>1.0854376200705855</v>
      </c>
      <c r="Y164" s="25">
        <f t="shared" si="133"/>
        <v>1.2014592622618565</v>
      </c>
      <c r="Z164" s="25">
        <f t="shared" si="134"/>
        <v>1.3859343331982164</v>
      </c>
      <c r="AA164" s="25">
        <f t="shared" si="135"/>
        <v>1.1535425101214576</v>
      </c>
      <c r="AB164" s="25">
        <f t="shared" si="136"/>
        <v>0</v>
      </c>
      <c r="AC164" s="25">
        <f t="shared" si="137"/>
        <v>0</v>
      </c>
      <c r="AD164" s="63">
        <f t="shared" si="138"/>
        <v>0</v>
      </c>
      <c r="AE164" s="24">
        <f t="shared" si="139"/>
        <v>1</v>
      </c>
    </row>
    <row r="165" spans="1:31" x14ac:dyDescent="0.2">
      <c r="A165" s="75">
        <f t="shared" si="151"/>
        <v>46276</v>
      </c>
      <c r="B165" s="15" t="str">
        <f>$B$15</f>
        <v>Partner</v>
      </c>
      <c r="C165" s="15" t="str">
        <f>$C$15</f>
        <v>Kunal</v>
      </c>
      <c r="D165" s="18">
        <f t="shared" si="140"/>
        <v>5.1073753390198133</v>
      </c>
      <c r="E165" s="4">
        <f t="shared" si="141"/>
        <v>12.75293012283591</v>
      </c>
      <c r="F165" s="4">
        <v>12599.894961361879</v>
      </c>
      <c r="G165" s="5">
        <f t="shared" si="142"/>
        <v>2.4969635627530362</v>
      </c>
      <c r="H165" s="4">
        <f t="shared" si="143"/>
        <v>2467</v>
      </c>
      <c r="I165" s="4">
        <f t="shared" si="144"/>
        <v>988</v>
      </c>
      <c r="J165" s="4">
        <f t="shared" si="145"/>
        <v>0.4085900271215851</v>
      </c>
      <c r="K165" s="27">
        <f t="shared" si="146"/>
        <v>0.20429501356079255</v>
      </c>
      <c r="L165" s="30">
        <f t="shared" si="147"/>
        <v>1.2768438347549533</v>
      </c>
      <c r="M165" s="18">
        <v>3</v>
      </c>
      <c r="N165" s="4">
        <v>12</v>
      </c>
      <c r="O165" s="4">
        <v>8145</v>
      </c>
      <c r="P165" s="5">
        <f t="shared" si="148"/>
        <v>4</v>
      </c>
      <c r="Q165" s="29">
        <f t="shared" si="149"/>
        <v>2715</v>
      </c>
      <c r="R165" s="29">
        <f t="shared" si="150"/>
        <v>678.75</v>
      </c>
      <c r="S165" s="1">
        <v>0</v>
      </c>
      <c r="T165" s="1">
        <v>0</v>
      </c>
      <c r="U165" s="24">
        <v>0</v>
      </c>
      <c r="V165" s="25">
        <f t="shared" si="130"/>
        <v>0.58738584906425695</v>
      </c>
      <c r="W165" s="25">
        <f t="shared" si="131"/>
        <v>0.94096022517306177</v>
      </c>
      <c r="X165" s="25">
        <f t="shared" si="132"/>
        <v>0.64643396036054224</v>
      </c>
      <c r="Y165" s="25">
        <f t="shared" si="133"/>
        <v>1.6019456830158088</v>
      </c>
      <c r="Z165" s="25">
        <f t="shared" si="134"/>
        <v>1.1005269558167816</v>
      </c>
      <c r="AA165" s="25">
        <f t="shared" si="135"/>
        <v>0.68699392712550611</v>
      </c>
      <c r="AB165" s="25">
        <f t="shared" si="136"/>
        <v>0</v>
      </c>
      <c r="AC165" s="25">
        <f t="shared" si="137"/>
        <v>0</v>
      </c>
      <c r="AD165" s="63">
        <f t="shared" si="138"/>
        <v>0</v>
      </c>
      <c r="AE165" s="24">
        <f t="shared" si="139"/>
        <v>1</v>
      </c>
    </row>
    <row r="166" spans="1:31" x14ac:dyDescent="0.2">
      <c r="A166" s="75">
        <f t="shared" si="151"/>
        <v>46276</v>
      </c>
      <c r="B166" s="15" t="str">
        <f>$B$16</f>
        <v>NA</v>
      </c>
      <c r="C166" s="15" t="str">
        <f>$C$16</f>
        <v>NA</v>
      </c>
      <c r="D166" s="18">
        <f t="shared" si="140"/>
        <v>0</v>
      </c>
      <c r="E166" s="4">
        <f t="shared" si="141"/>
        <v>0</v>
      </c>
      <c r="F166" s="4">
        <v>0</v>
      </c>
      <c r="G166" s="5" t="e">
        <f t="shared" si="142"/>
        <v>#DIV/0!</v>
      </c>
      <c r="H166" s="4" t="e">
        <f t="shared" si="143"/>
        <v>#DIV/0!</v>
      </c>
      <c r="I166" s="4" t="e">
        <f t="shared" si="144"/>
        <v>#DIV/0!</v>
      </c>
      <c r="J166" s="4">
        <f t="shared" si="145"/>
        <v>0</v>
      </c>
      <c r="K166" s="27">
        <f t="shared" si="146"/>
        <v>0</v>
      </c>
      <c r="L166" s="30">
        <f t="shared" si="147"/>
        <v>0</v>
      </c>
      <c r="M166" s="18">
        <v>0</v>
      </c>
      <c r="N166" s="4">
        <v>0</v>
      </c>
      <c r="O166" s="4">
        <v>0</v>
      </c>
      <c r="P166" s="5" t="e">
        <f t="shared" si="148"/>
        <v>#DIV/0!</v>
      </c>
      <c r="Q166" s="29" t="e">
        <f t="shared" si="149"/>
        <v>#DIV/0!</v>
      </c>
      <c r="R166" s="29" t="e">
        <f t="shared" si="150"/>
        <v>#DIV/0!</v>
      </c>
      <c r="S166" s="1">
        <v>0</v>
      </c>
      <c r="T166" s="1">
        <v>0</v>
      </c>
      <c r="U166" s="24">
        <v>0</v>
      </c>
      <c r="V166" s="25" t="e">
        <f t="shared" si="130"/>
        <v>#DIV/0!</v>
      </c>
      <c r="W166" s="25" t="e">
        <f t="shared" si="131"/>
        <v>#DIV/0!</v>
      </c>
      <c r="X166" s="25" t="e">
        <f t="shared" si="132"/>
        <v>#DIV/0!</v>
      </c>
      <c r="Y166" s="25" t="e">
        <f t="shared" si="133"/>
        <v>#DIV/0!</v>
      </c>
      <c r="Z166" s="25" t="e">
        <f t="shared" si="134"/>
        <v>#DIV/0!</v>
      </c>
      <c r="AA166" s="25" t="e">
        <f t="shared" si="135"/>
        <v>#DIV/0!</v>
      </c>
      <c r="AB166" s="25" t="e">
        <f t="shared" si="136"/>
        <v>#DIV/0!</v>
      </c>
      <c r="AC166" s="25" t="e">
        <f t="shared" si="137"/>
        <v>#DIV/0!</v>
      </c>
      <c r="AD166" s="63" t="e">
        <f t="shared" si="138"/>
        <v>#DIV/0!</v>
      </c>
      <c r="AE166" s="24">
        <f t="shared" si="139"/>
        <v>0</v>
      </c>
    </row>
    <row r="167" spans="1:31" x14ac:dyDescent="0.2">
      <c r="A167" s="75">
        <f t="shared" si="151"/>
        <v>46276</v>
      </c>
      <c r="B167" s="15" t="str">
        <f>$B$17</f>
        <v>NA</v>
      </c>
      <c r="C167" s="15" t="str">
        <f>$C$17</f>
        <v>NA</v>
      </c>
      <c r="D167" s="18">
        <f t="shared" si="140"/>
        <v>0</v>
      </c>
      <c r="E167" s="4">
        <f t="shared" si="141"/>
        <v>0</v>
      </c>
      <c r="F167" s="4">
        <v>0</v>
      </c>
      <c r="G167" s="5" t="e">
        <f t="shared" si="142"/>
        <v>#DIV/0!</v>
      </c>
      <c r="H167" s="4" t="e">
        <f t="shared" si="143"/>
        <v>#DIV/0!</v>
      </c>
      <c r="I167" s="4" t="e">
        <f t="shared" si="144"/>
        <v>#DIV/0!</v>
      </c>
      <c r="J167" s="4">
        <f t="shared" si="145"/>
        <v>0</v>
      </c>
      <c r="K167" s="27">
        <f t="shared" si="146"/>
        <v>0</v>
      </c>
      <c r="L167" s="30">
        <f t="shared" si="147"/>
        <v>0</v>
      </c>
      <c r="M167" s="18">
        <v>0</v>
      </c>
      <c r="N167" s="4">
        <v>0</v>
      </c>
      <c r="O167" s="4">
        <v>0</v>
      </c>
      <c r="P167" s="5" t="e">
        <f t="shared" si="148"/>
        <v>#DIV/0!</v>
      </c>
      <c r="Q167" s="29" t="e">
        <f t="shared" si="149"/>
        <v>#DIV/0!</v>
      </c>
      <c r="R167" s="29" t="e">
        <f t="shared" si="150"/>
        <v>#DIV/0!</v>
      </c>
      <c r="S167" s="1">
        <v>0</v>
      </c>
      <c r="T167" s="1">
        <v>0</v>
      </c>
      <c r="U167" s="24">
        <v>0</v>
      </c>
      <c r="V167" s="25" t="e">
        <f t="shared" si="130"/>
        <v>#DIV/0!</v>
      </c>
      <c r="W167" s="25" t="e">
        <f t="shared" si="131"/>
        <v>#DIV/0!</v>
      </c>
      <c r="X167" s="25" t="e">
        <f t="shared" si="132"/>
        <v>#DIV/0!</v>
      </c>
      <c r="Y167" s="25" t="e">
        <f t="shared" si="133"/>
        <v>#DIV/0!</v>
      </c>
      <c r="Z167" s="25" t="e">
        <f t="shared" si="134"/>
        <v>#DIV/0!</v>
      </c>
      <c r="AA167" s="25" t="e">
        <f t="shared" si="135"/>
        <v>#DIV/0!</v>
      </c>
      <c r="AB167" s="25" t="e">
        <f t="shared" si="136"/>
        <v>#DIV/0!</v>
      </c>
      <c r="AC167" s="25" t="e">
        <f t="shared" si="137"/>
        <v>#DIV/0!</v>
      </c>
      <c r="AD167" s="63" t="e">
        <f t="shared" si="138"/>
        <v>#DIV/0!</v>
      </c>
      <c r="AE167" s="24">
        <f t="shared" si="139"/>
        <v>0</v>
      </c>
    </row>
    <row r="168" spans="1:31" x14ac:dyDescent="0.2">
      <c r="A168" s="75">
        <f t="shared" si="151"/>
        <v>46276</v>
      </c>
      <c r="B168" s="15" t="str">
        <f>$B$18</f>
        <v>NA</v>
      </c>
      <c r="C168" s="15" t="str">
        <f>$C$18</f>
        <v>NA</v>
      </c>
      <c r="D168" s="18">
        <f t="shared" si="140"/>
        <v>0</v>
      </c>
      <c r="E168" s="4">
        <f t="shared" si="141"/>
        <v>0</v>
      </c>
      <c r="F168" s="4">
        <v>0</v>
      </c>
      <c r="G168" s="5" t="e">
        <f t="shared" si="142"/>
        <v>#DIV/0!</v>
      </c>
      <c r="H168" s="4" t="e">
        <f t="shared" si="143"/>
        <v>#DIV/0!</v>
      </c>
      <c r="I168" s="4" t="e">
        <f t="shared" si="144"/>
        <v>#DIV/0!</v>
      </c>
      <c r="J168" s="4">
        <f t="shared" si="145"/>
        <v>0</v>
      </c>
      <c r="K168" s="27">
        <f t="shared" si="146"/>
        <v>0</v>
      </c>
      <c r="L168" s="30">
        <f t="shared" si="147"/>
        <v>0</v>
      </c>
      <c r="M168" s="18">
        <v>0</v>
      </c>
      <c r="N168" s="4">
        <v>0</v>
      </c>
      <c r="O168" s="4">
        <v>0</v>
      </c>
      <c r="P168" s="5" t="e">
        <f t="shared" si="148"/>
        <v>#DIV/0!</v>
      </c>
      <c r="Q168" s="29" t="e">
        <f t="shared" si="149"/>
        <v>#DIV/0!</v>
      </c>
      <c r="R168" s="29" t="e">
        <f t="shared" si="150"/>
        <v>#DIV/0!</v>
      </c>
      <c r="S168" s="1">
        <v>0</v>
      </c>
      <c r="T168" s="1">
        <v>0</v>
      </c>
      <c r="U168" s="24">
        <v>0</v>
      </c>
      <c r="V168" s="25" t="e">
        <f t="shared" si="130"/>
        <v>#DIV/0!</v>
      </c>
      <c r="W168" s="25" t="e">
        <f t="shared" si="131"/>
        <v>#DIV/0!</v>
      </c>
      <c r="X168" s="25" t="e">
        <f t="shared" si="132"/>
        <v>#DIV/0!</v>
      </c>
      <c r="Y168" s="25" t="e">
        <f t="shared" si="133"/>
        <v>#DIV/0!</v>
      </c>
      <c r="Z168" s="25" t="e">
        <f t="shared" si="134"/>
        <v>#DIV/0!</v>
      </c>
      <c r="AA168" s="25" t="e">
        <f t="shared" si="135"/>
        <v>#DIV/0!</v>
      </c>
      <c r="AB168" s="25" t="e">
        <f t="shared" si="136"/>
        <v>#DIV/0!</v>
      </c>
      <c r="AC168" s="25" t="e">
        <f t="shared" si="137"/>
        <v>#DIV/0!</v>
      </c>
      <c r="AD168" s="63" t="e">
        <f t="shared" si="138"/>
        <v>#DIV/0!</v>
      </c>
      <c r="AE168" s="24">
        <f t="shared" si="139"/>
        <v>0</v>
      </c>
    </row>
    <row r="169" spans="1:31" ht="15" x14ac:dyDescent="0.25">
      <c r="A169" s="75">
        <f t="shared" si="151"/>
        <v>46277</v>
      </c>
      <c r="B169" s="15" t="str">
        <f>$B$4</f>
        <v>DSM</v>
      </c>
      <c r="C169" s="15" t="str">
        <f>$C$4</f>
        <v xml:space="preserve">komal  </v>
      </c>
      <c r="D169" s="18">
        <f t="shared" si="140"/>
        <v>0</v>
      </c>
      <c r="E169" s="4">
        <f t="shared" si="141"/>
        <v>0</v>
      </c>
      <c r="F169" s="117">
        <v>0</v>
      </c>
      <c r="G169" s="5" t="e">
        <f t="shared" si="142"/>
        <v>#DIV/0!</v>
      </c>
      <c r="H169" s="4" t="e">
        <f t="shared" si="143"/>
        <v>#DIV/0!</v>
      </c>
      <c r="I169" s="4" t="e">
        <f t="shared" si="144"/>
        <v>#DIV/0!</v>
      </c>
      <c r="J169" s="4">
        <f t="shared" si="145"/>
        <v>0</v>
      </c>
      <c r="K169" s="27">
        <f t="shared" si="146"/>
        <v>0</v>
      </c>
      <c r="L169" s="30">
        <f t="shared" si="147"/>
        <v>0</v>
      </c>
      <c r="M169" s="116">
        <v>0</v>
      </c>
      <c r="N169" s="115">
        <v>0</v>
      </c>
      <c r="O169" s="115">
        <v>0</v>
      </c>
      <c r="P169" s="5" t="e">
        <f t="shared" si="148"/>
        <v>#DIV/0!</v>
      </c>
      <c r="Q169" s="29" t="e">
        <f t="shared" si="149"/>
        <v>#DIV/0!</v>
      </c>
      <c r="R169" s="29" t="e">
        <f t="shared" si="150"/>
        <v>#DIV/0!</v>
      </c>
      <c r="S169" s="1">
        <v>0</v>
      </c>
      <c r="T169" s="1">
        <v>0</v>
      </c>
      <c r="U169" s="24">
        <v>0</v>
      </c>
      <c r="V169" s="25" t="e">
        <f t="shared" si="130"/>
        <v>#DIV/0!</v>
      </c>
      <c r="W169" s="25" t="e">
        <f t="shared" si="131"/>
        <v>#DIV/0!</v>
      </c>
      <c r="X169" s="25" t="e">
        <f t="shared" si="132"/>
        <v>#DIV/0!</v>
      </c>
      <c r="Y169" s="25" t="e">
        <f t="shared" si="133"/>
        <v>#DIV/0!</v>
      </c>
      <c r="Z169" s="25" t="e">
        <f t="shared" si="134"/>
        <v>#DIV/0!</v>
      </c>
      <c r="AA169" s="25" t="e">
        <f t="shared" si="135"/>
        <v>#DIV/0!</v>
      </c>
      <c r="AB169" s="25" t="e">
        <f t="shared" si="136"/>
        <v>#DIV/0!</v>
      </c>
      <c r="AC169" s="25" t="e">
        <f t="shared" si="137"/>
        <v>#DIV/0!</v>
      </c>
      <c r="AD169" s="63" t="e">
        <f t="shared" si="138"/>
        <v>#DIV/0!</v>
      </c>
      <c r="AE169" s="24">
        <f t="shared" si="139"/>
        <v>0</v>
      </c>
    </row>
    <row r="170" spans="1:31" ht="15" x14ac:dyDescent="0.25">
      <c r="A170" s="75">
        <f t="shared" si="151"/>
        <v>46277</v>
      </c>
      <c r="B170" s="15" t="str">
        <f>$B$5</f>
        <v>SS</v>
      </c>
      <c r="C170" s="15" t="str">
        <f>$C$5</f>
        <v>Prem</v>
      </c>
      <c r="D170" s="18">
        <f t="shared" si="140"/>
        <v>0</v>
      </c>
      <c r="E170" s="4">
        <f t="shared" si="141"/>
        <v>0</v>
      </c>
      <c r="F170" s="117">
        <v>0</v>
      </c>
      <c r="G170" s="5" t="e">
        <f t="shared" si="142"/>
        <v>#DIV/0!</v>
      </c>
      <c r="H170" s="4" t="e">
        <f t="shared" si="143"/>
        <v>#DIV/0!</v>
      </c>
      <c r="I170" s="4" t="e">
        <f t="shared" si="144"/>
        <v>#DIV/0!</v>
      </c>
      <c r="J170" s="4">
        <f t="shared" si="145"/>
        <v>0</v>
      </c>
      <c r="K170" s="27">
        <f t="shared" si="146"/>
        <v>0</v>
      </c>
      <c r="L170" s="30">
        <f t="shared" si="147"/>
        <v>0</v>
      </c>
      <c r="M170" s="116">
        <v>1</v>
      </c>
      <c r="N170" s="115">
        <v>1</v>
      </c>
      <c r="O170" s="115">
        <v>92.81</v>
      </c>
      <c r="P170" s="5">
        <f t="shared" si="148"/>
        <v>1</v>
      </c>
      <c r="Q170" s="29">
        <f t="shared" si="149"/>
        <v>92.81</v>
      </c>
      <c r="R170" s="29">
        <f t="shared" si="150"/>
        <v>92.81</v>
      </c>
      <c r="S170" s="1">
        <v>0</v>
      </c>
      <c r="T170" s="1">
        <v>0</v>
      </c>
      <c r="U170" s="24">
        <v>0</v>
      </c>
      <c r="V170" s="25" t="e">
        <f t="shared" si="130"/>
        <v>#DIV/0!</v>
      </c>
      <c r="W170" s="25" t="e">
        <f t="shared" si="131"/>
        <v>#DIV/0!</v>
      </c>
      <c r="X170" s="25" t="e">
        <f t="shared" si="132"/>
        <v>#DIV/0!</v>
      </c>
      <c r="Y170" s="25" t="e">
        <f t="shared" si="133"/>
        <v>#DIV/0!</v>
      </c>
      <c r="Z170" s="25" t="e">
        <f t="shared" si="134"/>
        <v>#DIV/0!</v>
      </c>
      <c r="AA170" s="25" t="e">
        <f t="shared" si="135"/>
        <v>#DIV/0!</v>
      </c>
      <c r="AB170" s="25" t="e">
        <f t="shared" si="136"/>
        <v>#DIV/0!</v>
      </c>
      <c r="AC170" s="25" t="e">
        <f t="shared" si="137"/>
        <v>#DIV/0!</v>
      </c>
      <c r="AD170" s="63" t="e">
        <f t="shared" si="138"/>
        <v>#DIV/0!</v>
      </c>
      <c r="AE170" s="24">
        <f t="shared" si="139"/>
        <v>0</v>
      </c>
    </row>
    <row r="171" spans="1:31" ht="15" x14ac:dyDescent="0.25">
      <c r="A171" s="75">
        <f t="shared" si="151"/>
        <v>46277</v>
      </c>
      <c r="B171" s="15" t="str">
        <f>$B$6</f>
        <v>SS</v>
      </c>
      <c r="C171" s="15" t="str">
        <f>$C$6</f>
        <v>Anuj</v>
      </c>
      <c r="D171" s="18">
        <f t="shared" si="140"/>
        <v>4.7123699974460775</v>
      </c>
      <c r="E171" s="4">
        <f t="shared" si="141"/>
        <v>11.766616177833475</v>
      </c>
      <c r="F171" s="117">
        <v>11625.416783699473</v>
      </c>
      <c r="G171" s="5">
        <f t="shared" si="142"/>
        <v>2.4969635627530367</v>
      </c>
      <c r="H171" s="4">
        <f t="shared" si="143"/>
        <v>2467</v>
      </c>
      <c r="I171" s="4">
        <f t="shared" si="144"/>
        <v>988</v>
      </c>
      <c r="J171" s="4">
        <f t="shared" si="145"/>
        <v>0.37698959979568619</v>
      </c>
      <c r="K171" s="27">
        <f t="shared" si="146"/>
        <v>0.1884947998978431</v>
      </c>
      <c r="L171" s="30">
        <f t="shared" si="147"/>
        <v>1.1780924993615194</v>
      </c>
      <c r="M171" s="116">
        <v>1</v>
      </c>
      <c r="N171" s="115">
        <v>2</v>
      </c>
      <c r="O171" s="115">
        <v>7448</v>
      </c>
      <c r="P171" s="5">
        <f t="shared" si="148"/>
        <v>2</v>
      </c>
      <c r="Q171" s="29">
        <f t="shared" si="149"/>
        <v>7448</v>
      </c>
      <c r="R171" s="29">
        <f t="shared" si="150"/>
        <v>3724</v>
      </c>
      <c r="S171" s="1">
        <v>0</v>
      </c>
      <c r="T171" s="1">
        <v>0</v>
      </c>
      <c r="U171" s="24">
        <v>0</v>
      </c>
      <c r="V171" s="25">
        <f t="shared" si="130"/>
        <v>0.21220744562544142</v>
      </c>
      <c r="W171" s="25">
        <f t="shared" si="131"/>
        <v>0.16997240071174391</v>
      </c>
      <c r="X171" s="25">
        <f t="shared" si="132"/>
        <v>0.64066520268272709</v>
      </c>
      <c r="Y171" s="25">
        <f t="shared" si="133"/>
        <v>0.80097284150790427</v>
      </c>
      <c r="Z171" s="25">
        <f t="shared" si="134"/>
        <v>3.0190514795297934</v>
      </c>
      <c r="AA171" s="25">
        <f t="shared" si="135"/>
        <v>3.7692307692307692</v>
      </c>
      <c r="AB171" s="25">
        <f t="shared" si="136"/>
        <v>0</v>
      </c>
      <c r="AC171" s="25">
        <f t="shared" si="137"/>
        <v>0</v>
      </c>
      <c r="AD171" s="63">
        <f t="shared" si="138"/>
        <v>0</v>
      </c>
      <c r="AE171" s="24">
        <f t="shared" si="139"/>
        <v>1</v>
      </c>
    </row>
    <row r="172" spans="1:31" ht="15" x14ac:dyDescent="0.25">
      <c r="A172" s="75">
        <f t="shared" si="151"/>
        <v>46277</v>
      </c>
      <c r="B172" s="15" t="str">
        <f>$B$7</f>
        <v>FC</v>
      </c>
      <c r="C172" s="15" t="str">
        <f>$C$7</f>
        <v>Muskan</v>
      </c>
      <c r="D172" s="18">
        <f t="shared" si="140"/>
        <v>9.4247399948921551</v>
      </c>
      <c r="E172" s="4">
        <f t="shared" si="141"/>
        <v>23.53323235566695</v>
      </c>
      <c r="F172" s="117">
        <v>23250.833567398946</v>
      </c>
      <c r="G172" s="5">
        <f t="shared" si="142"/>
        <v>2.4969635627530367</v>
      </c>
      <c r="H172" s="4">
        <f t="shared" si="143"/>
        <v>2467</v>
      </c>
      <c r="I172" s="4">
        <f t="shared" si="144"/>
        <v>988</v>
      </c>
      <c r="J172" s="4">
        <f t="shared" si="145"/>
        <v>0.75397919959137238</v>
      </c>
      <c r="K172" s="27">
        <f t="shared" si="146"/>
        <v>0.37698959979568619</v>
      </c>
      <c r="L172" s="30">
        <f t="shared" si="147"/>
        <v>2.3561849987230388</v>
      </c>
      <c r="M172" s="116">
        <v>14</v>
      </c>
      <c r="N172" s="115">
        <v>29</v>
      </c>
      <c r="O172" s="115">
        <v>30760.71</v>
      </c>
      <c r="P172" s="5">
        <f t="shared" si="148"/>
        <v>2.0714285714285716</v>
      </c>
      <c r="Q172" s="29">
        <f t="shared" si="149"/>
        <v>2197.1935714285714</v>
      </c>
      <c r="R172" s="29">
        <f t="shared" si="150"/>
        <v>1060.7141379310344</v>
      </c>
      <c r="S172" s="1">
        <v>0</v>
      </c>
      <c r="T172" s="1">
        <v>0</v>
      </c>
      <c r="U172" s="24">
        <v>0</v>
      </c>
      <c r="V172" s="25">
        <f t="shared" si="130"/>
        <v>1.4854521193780899</v>
      </c>
      <c r="W172" s="25">
        <f t="shared" si="131"/>
        <v>1.2322999051601433</v>
      </c>
      <c r="X172" s="25">
        <f t="shared" si="132"/>
        <v>1.3229938578688634</v>
      </c>
      <c r="Y172" s="25">
        <f t="shared" si="133"/>
        <v>0.82957901441890092</v>
      </c>
      <c r="Z172" s="25">
        <f t="shared" si="134"/>
        <v>0.89063379466095316</v>
      </c>
      <c r="AA172" s="25">
        <f t="shared" si="135"/>
        <v>1.0735973055982131</v>
      </c>
      <c r="AB172" s="25">
        <f t="shared" si="136"/>
        <v>0</v>
      </c>
      <c r="AC172" s="25">
        <f t="shared" si="137"/>
        <v>0</v>
      </c>
      <c r="AD172" s="63">
        <f t="shared" si="138"/>
        <v>0</v>
      </c>
      <c r="AE172" s="24">
        <f t="shared" si="139"/>
        <v>1</v>
      </c>
    </row>
    <row r="173" spans="1:31" ht="15" x14ac:dyDescent="0.25">
      <c r="A173" s="75">
        <f t="shared" si="151"/>
        <v>46277</v>
      </c>
      <c r="B173" s="15" t="str">
        <f>$B$8</f>
        <v>FC</v>
      </c>
      <c r="C173" s="15" t="str">
        <f>$C$8</f>
        <v xml:space="preserve">Kajal  </v>
      </c>
      <c r="D173" s="18">
        <f t="shared" si="140"/>
        <v>4.7123699974460775</v>
      </c>
      <c r="E173" s="4">
        <f t="shared" si="141"/>
        <v>11.766616177833475</v>
      </c>
      <c r="F173" s="117">
        <v>11625.416783699473</v>
      </c>
      <c r="G173" s="5">
        <f t="shared" si="142"/>
        <v>2.4969635627530367</v>
      </c>
      <c r="H173" s="4">
        <f t="shared" si="143"/>
        <v>2467</v>
      </c>
      <c r="I173" s="4">
        <f t="shared" si="144"/>
        <v>988</v>
      </c>
      <c r="J173" s="4">
        <f t="shared" si="145"/>
        <v>0.37698959979568619</v>
      </c>
      <c r="K173" s="27">
        <f t="shared" si="146"/>
        <v>0.1884947998978431</v>
      </c>
      <c r="L173" s="30">
        <f t="shared" si="147"/>
        <v>1.1780924993615194</v>
      </c>
      <c r="M173" s="116">
        <v>3</v>
      </c>
      <c r="N173" s="115">
        <v>4</v>
      </c>
      <c r="O173" s="115">
        <v>4221.1499999999996</v>
      </c>
      <c r="P173" s="5">
        <f t="shared" si="148"/>
        <v>1.3333333333333333</v>
      </c>
      <c r="Q173" s="29">
        <f t="shared" si="149"/>
        <v>1407.05</v>
      </c>
      <c r="R173" s="29">
        <f t="shared" si="150"/>
        <v>1055.2874999999999</v>
      </c>
      <c r="S173" s="1">
        <v>0</v>
      </c>
      <c r="T173" s="1">
        <v>0</v>
      </c>
      <c r="U173" s="24">
        <v>0</v>
      </c>
      <c r="V173" s="25">
        <f t="shared" si="130"/>
        <v>0.63662233687632419</v>
      </c>
      <c r="W173" s="25">
        <f t="shared" si="131"/>
        <v>0.33994480142348782</v>
      </c>
      <c r="X173" s="25">
        <f t="shared" si="132"/>
        <v>0.36309665954674991</v>
      </c>
      <c r="Y173" s="25">
        <f t="shared" si="133"/>
        <v>0.53398189433860277</v>
      </c>
      <c r="Z173" s="25">
        <f t="shared" si="134"/>
        <v>0.5703486015403324</v>
      </c>
      <c r="AA173" s="25">
        <f t="shared" si="135"/>
        <v>1.0681047570850202</v>
      </c>
      <c r="AB173" s="25">
        <f t="shared" si="136"/>
        <v>0</v>
      </c>
      <c r="AC173" s="25">
        <f t="shared" si="137"/>
        <v>0</v>
      </c>
      <c r="AD173" s="63">
        <f t="shared" si="138"/>
        <v>0</v>
      </c>
      <c r="AE173" s="24">
        <f t="shared" si="139"/>
        <v>1</v>
      </c>
    </row>
    <row r="174" spans="1:31" ht="15" x14ac:dyDescent="0.25">
      <c r="A174" s="75">
        <f t="shared" si="151"/>
        <v>46277</v>
      </c>
      <c r="B174" s="15" t="str">
        <f>$B$9</f>
        <v>FC</v>
      </c>
      <c r="C174" s="15" t="str">
        <f>$C$9</f>
        <v>Pradeep</v>
      </c>
      <c r="D174" s="18">
        <f t="shared" si="140"/>
        <v>7.5397919959137232</v>
      </c>
      <c r="E174" s="4">
        <f t="shared" si="141"/>
        <v>18.826585884533557</v>
      </c>
      <c r="F174" s="117">
        <v>18600.666853919156</v>
      </c>
      <c r="G174" s="5">
        <f t="shared" si="142"/>
        <v>2.4969635627530362</v>
      </c>
      <c r="H174" s="4">
        <f t="shared" si="143"/>
        <v>2467</v>
      </c>
      <c r="I174" s="4">
        <f t="shared" si="144"/>
        <v>988.00000000000011</v>
      </c>
      <c r="J174" s="4">
        <f t="shared" si="145"/>
        <v>0.60318335967309789</v>
      </c>
      <c r="K174" s="27">
        <f t="shared" si="146"/>
        <v>0.30159167983654894</v>
      </c>
      <c r="L174" s="30">
        <f t="shared" si="147"/>
        <v>1.8849479989784308</v>
      </c>
      <c r="M174" s="116">
        <v>5</v>
      </c>
      <c r="N174" s="115">
        <v>15</v>
      </c>
      <c r="O174" s="115">
        <v>12091.4</v>
      </c>
      <c r="P174" s="5">
        <f t="shared" si="148"/>
        <v>3</v>
      </c>
      <c r="Q174" s="29">
        <f t="shared" si="149"/>
        <v>2418.2799999999997</v>
      </c>
      <c r="R174" s="29">
        <f t="shared" si="150"/>
        <v>806.09333333333336</v>
      </c>
      <c r="S174" s="1">
        <v>0</v>
      </c>
      <c r="T174" s="1">
        <v>0</v>
      </c>
      <c r="U174" s="24">
        <v>0</v>
      </c>
      <c r="V174" s="25">
        <f t="shared" si="130"/>
        <v>0.66314826757950451</v>
      </c>
      <c r="W174" s="25">
        <f t="shared" si="131"/>
        <v>0.79674562833629969</v>
      </c>
      <c r="X174" s="25">
        <f t="shared" si="132"/>
        <v>0.6500519629194017</v>
      </c>
      <c r="Y174" s="25">
        <f t="shared" si="133"/>
        <v>1.2014592622618565</v>
      </c>
      <c r="Z174" s="25">
        <f t="shared" si="134"/>
        <v>0.98025131738954185</v>
      </c>
      <c r="AA174" s="25">
        <f t="shared" si="135"/>
        <v>0.81588394062078262</v>
      </c>
      <c r="AB174" s="25">
        <f t="shared" si="136"/>
        <v>0</v>
      </c>
      <c r="AC174" s="25">
        <f t="shared" si="137"/>
        <v>0</v>
      </c>
      <c r="AD174" s="63">
        <f t="shared" si="138"/>
        <v>0</v>
      </c>
      <c r="AE174" s="24">
        <f t="shared" si="139"/>
        <v>1</v>
      </c>
    </row>
    <row r="175" spans="1:31" ht="15" x14ac:dyDescent="0.25">
      <c r="A175" s="75">
        <f t="shared" si="151"/>
        <v>46277</v>
      </c>
      <c r="B175" s="15" t="str">
        <f>$B$10</f>
        <v>FC</v>
      </c>
      <c r="C175" s="15" t="str">
        <f>$C$10</f>
        <v>Aftab</v>
      </c>
      <c r="D175" s="18">
        <f t="shared" si="140"/>
        <v>7.5397919959137232</v>
      </c>
      <c r="E175" s="4">
        <f t="shared" si="141"/>
        <v>18.826585884533557</v>
      </c>
      <c r="F175" s="117">
        <v>18600.666853919156</v>
      </c>
      <c r="G175" s="5">
        <f t="shared" si="142"/>
        <v>2.4969635627530362</v>
      </c>
      <c r="H175" s="4">
        <f t="shared" si="143"/>
        <v>2467</v>
      </c>
      <c r="I175" s="4">
        <f t="shared" si="144"/>
        <v>988.00000000000011</v>
      </c>
      <c r="J175" s="4">
        <f t="shared" si="145"/>
        <v>0.60318335967309789</v>
      </c>
      <c r="K175" s="27">
        <f t="shared" si="146"/>
        <v>0.30159167983654894</v>
      </c>
      <c r="L175" s="30">
        <f t="shared" si="147"/>
        <v>1.8849479989784308</v>
      </c>
      <c r="M175" s="116">
        <v>9</v>
      </c>
      <c r="N175" s="115">
        <v>19</v>
      </c>
      <c r="O175" s="115">
        <v>15639.349999999999</v>
      </c>
      <c r="P175" s="5">
        <f t="shared" si="148"/>
        <v>2.1111111111111112</v>
      </c>
      <c r="Q175" s="29">
        <f t="shared" si="149"/>
        <v>1737.7055555555553</v>
      </c>
      <c r="R175" s="29">
        <f t="shared" si="150"/>
        <v>823.12368421052622</v>
      </c>
      <c r="S175" s="1">
        <v>0</v>
      </c>
      <c r="T175" s="1">
        <v>0</v>
      </c>
      <c r="U175" s="24">
        <v>0</v>
      </c>
      <c r="V175" s="25">
        <f t="shared" si="130"/>
        <v>1.1936668816431082</v>
      </c>
      <c r="W175" s="25">
        <f t="shared" si="131"/>
        <v>1.0092111292259796</v>
      </c>
      <c r="X175" s="25">
        <f t="shared" si="132"/>
        <v>0.84079512432667391</v>
      </c>
      <c r="Y175" s="25">
        <f t="shared" si="133"/>
        <v>0.84547133270278796</v>
      </c>
      <c r="Z175" s="25">
        <f t="shared" si="134"/>
        <v>0.70438003873350441</v>
      </c>
      <c r="AA175" s="25">
        <f t="shared" si="135"/>
        <v>0.83312113786490494</v>
      </c>
      <c r="AB175" s="25">
        <f t="shared" si="136"/>
        <v>0</v>
      </c>
      <c r="AC175" s="25">
        <f t="shared" si="137"/>
        <v>0</v>
      </c>
      <c r="AD175" s="63">
        <f t="shared" si="138"/>
        <v>0</v>
      </c>
      <c r="AE175" s="24">
        <f t="shared" si="139"/>
        <v>1</v>
      </c>
    </row>
    <row r="176" spans="1:31" ht="15" x14ac:dyDescent="0.25">
      <c r="A176" s="75">
        <f t="shared" si="151"/>
        <v>46277</v>
      </c>
      <c r="B176" s="15" t="str">
        <f>$B$11</f>
        <v>FC</v>
      </c>
      <c r="C176" s="15" t="str">
        <f>$C$11</f>
        <v>Khushi</v>
      </c>
      <c r="D176" s="18">
        <f t="shared" si="140"/>
        <v>9.4247399948921551</v>
      </c>
      <c r="E176" s="4">
        <f t="shared" si="141"/>
        <v>23.53323235566695</v>
      </c>
      <c r="F176" s="117">
        <v>23250.833567398946</v>
      </c>
      <c r="G176" s="5">
        <f t="shared" si="142"/>
        <v>2.4969635627530367</v>
      </c>
      <c r="H176" s="4">
        <f t="shared" si="143"/>
        <v>2467</v>
      </c>
      <c r="I176" s="4">
        <f t="shared" si="144"/>
        <v>988</v>
      </c>
      <c r="J176" s="4">
        <f t="shared" si="145"/>
        <v>0.75397919959137238</v>
      </c>
      <c r="K176" s="27">
        <f t="shared" si="146"/>
        <v>0.37698959979568619</v>
      </c>
      <c r="L176" s="30">
        <f t="shared" si="147"/>
        <v>2.3561849987230388</v>
      </c>
      <c r="M176" s="116">
        <v>14</v>
      </c>
      <c r="N176" s="115">
        <v>28</v>
      </c>
      <c r="O176" s="115">
        <v>43833.53</v>
      </c>
      <c r="P176" s="5">
        <f t="shared" si="148"/>
        <v>2</v>
      </c>
      <c r="Q176" s="29">
        <f t="shared" si="149"/>
        <v>3130.9664285714284</v>
      </c>
      <c r="R176" s="29">
        <f t="shared" si="150"/>
        <v>1565.4832142857142</v>
      </c>
      <c r="S176" s="1">
        <v>0</v>
      </c>
      <c r="T176" s="1">
        <v>0</v>
      </c>
      <c r="U176" s="24">
        <v>0</v>
      </c>
      <c r="V176" s="25">
        <f t="shared" ref="V176:V239" si="152">M176/D176</f>
        <v>1.4854521193780899</v>
      </c>
      <c r="W176" s="25">
        <f t="shared" ref="W176:W239" si="153">N176/E176</f>
        <v>1.1898068049822075</v>
      </c>
      <c r="X176" s="25">
        <f t="shared" ref="X176:X239" si="154">O176/F176</f>
        <v>1.8852455277758726</v>
      </c>
      <c r="Y176" s="25">
        <f t="shared" ref="Y176:Y239" si="155">P176/G176</f>
        <v>0.80097284150790427</v>
      </c>
      <c r="Z176" s="25">
        <f t="shared" ref="Z176:Z239" si="156">Q176/H176</f>
        <v>1.2691392089872024</v>
      </c>
      <c r="AA176" s="25">
        <f t="shared" ref="AA176:AA239" si="157">R176/I176</f>
        <v>1.5844971804511276</v>
      </c>
      <c r="AB176" s="25">
        <f t="shared" ref="AB176:AB239" si="158">S176/J176</f>
        <v>0</v>
      </c>
      <c r="AC176" s="25">
        <f t="shared" ref="AC176:AC239" si="159">T176/K176</f>
        <v>0</v>
      </c>
      <c r="AD176" s="63">
        <f t="shared" ref="AD176:AD239" si="160">U176/L176</f>
        <v>0</v>
      </c>
      <c r="AE176" s="24">
        <f t="shared" si="139"/>
        <v>1</v>
      </c>
    </row>
    <row r="177" spans="1:31" ht="15" x14ac:dyDescent="0.25">
      <c r="A177" s="75">
        <f t="shared" si="151"/>
        <v>46277</v>
      </c>
      <c r="B177" s="15" t="str">
        <f>$B$12</f>
        <v>FC</v>
      </c>
      <c r="C177" s="15" t="str">
        <f>$C$12</f>
        <v>Kishan</v>
      </c>
      <c r="D177" s="18">
        <f t="shared" si="140"/>
        <v>0</v>
      </c>
      <c r="E177" s="4">
        <f t="shared" si="141"/>
        <v>0</v>
      </c>
      <c r="F177" s="117">
        <v>0</v>
      </c>
      <c r="G177" s="5" t="e">
        <f t="shared" si="142"/>
        <v>#DIV/0!</v>
      </c>
      <c r="H177" s="4" t="e">
        <f t="shared" si="143"/>
        <v>#DIV/0!</v>
      </c>
      <c r="I177" s="4" t="e">
        <f t="shared" si="144"/>
        <v>#DIV/0!</v>
      </c>
      <c r="J177" s="4">
        <f t="shared" si="145"/>
        <v>0</v>
      </c>
      <c r="K177" s="27">
        <f t="shared" si="146"/>
        <v>0</v>
      </c>
      <c r="L177" s="30">
        <f t="shared" si="147"/>
        <v>0</v>
      </c>
      <c r="M177" s="116">
        <v>0</v>
      </c>
      <c r="N177" s="115">
        <v>0</v>
      </c>
      <c r="O177" s="115">
        <v>0</v>
      </c>
      <c r="P177" s="5" t="e">
        <f t="shared" si="148"/>
        <v>#DIV/0!</v>
      </c>
      <c r="Q177" s="29" t="e">
        <f t="shared" si="149"/>
        <v>#DIV/0!</v>
      </c>
      <c r="R177" s="29" t="e">
        <f t="shared" si="150"/>
        <v>#DIV/0!</v>
      </c>
      <c r="S177" s="1">
        <v>0</v>
      </c>
      <c r="T177" s="1">
        <v>0</v>
      </c>
      <c r="U177" s="24">
        <v>0</v>
      </c>
      <c r="V177" s="25" t="e">
        <f t="shared" si="152"/>
        <v>#DIV/0!</v>
      </c>
      <c r="W177" s="25" t="e">
        <f t="shared" si="153"/>
        <v>#DIV/0!</v>
      </c>
      <c r="X177" s="25" t="e">
        <f t="shared" si="154"/>
        <v>#DIV/0!</v>
      </c>
      <c r="Y177" s="25" t="e">
        <f t="shared" si="155"/>
        <v>#DIV/0!</v>
      </c>
      <c r="Z177" s="25" t="e">
        <f t="shared" si="156"/>
        <v>#DIV/0!</v>
      </c>
      <c r="AA177" s="25" t="e">
        <f t="shared" si="157"/>
        <v>#DIV/0!</v>
      </c>
      <c r="AB177" s="25" t="e">
        <f t="shared" si="158"/>
        <v>#DIV/0!</v>
      </c>
      <c r="AC177" s="25" t="e">
        <f t="shared" si="159"/>
        <v>#DIV/0!</v>
      </c>
      <c r="AD177" s="63" t="e">
        <f t="shared" si="160"/>
        <v>#DIV/0!</v>
      </c>
      <c r="AE177" s="24">
        <f t="shared" si="139"/>
        <v>0</v>
      </c>
    </row>
    <row r="178" spans="1:31" ht="15" x14ac:dyDescent="0.25">
      <c r="A178" s="75">
        <f t="shared" si="151"/>
        <v>46277</v>
      </c>
      <c r="B178" s="15" t="str">
        <f>$B$13</f>
        <v>Partner</v>
      </c>
      <c r="C178" s="15" t="str">
        <f>$C$13</f>
        <v>Rahul</v>
      </c>
      <c r="D178" s="18">
        <f t="shared" si="140"/>
        <v>8.4822659954029387</v>
      </c>
      <c r="E178" s="4">
        <f t="shared" si="141"/>
        <v>21.179909120100255</v>
      </c>
      <c r="F178" s="117">
        <v>20925.750210659051</v>
      </c>
      <c r="G178" s="5">
        <f t="shared" si="142"/>
        <v>2.4969635627530367</v>
      </c>
      <c r="H178" s="4">
        <f t="shared" si="143"/>
        <v>2467</v>
      </c>
      <c r="I178" s="4">
        <f t="shared" si="144"/>
        <v>987.99999999999989</v>
      </c>
      <c r="J178" s="4">
        <f t="shared" si="145"/>
        <v>0.67858127963223513</v>
      </c>
      <c r="K178" s="27">
        <f t="shared" si="146"/>
        <v>0.33929063981611757</v>
      </c>
      <c r="L178" s="30">
        <f t="shared" si="147"/>
        <v>2.1205664988507347</v>
      </c>
      <c r="M178" s="116">
        <v>8</v>
      </c>
      <c r="N178" s="115">
        <v>17</v>
      </c>
      <c r="O178" s="115">
        <v>18073.599999999999</v>
      </c>
      <c r="P178" s="5">
        <f t="shared" si="148"/>
        <v>2.125</v>
      </c>
      <c r="Q178" s="29">
        <f t="shared" si="149"/>
        <v>2259.1999999999998</v>
      </c>
      <c r="R178" s="29">
        <f t="shared" si="150"/>
        <v>1063.1529411764704</v>
      </c>
      <c r="S178" s="1">
        <v>0</v>
      </c>
      <c r="T178" s="1">
        <v>0</v>
      </c>
      <c r="U178" s="24">
        <v>0</v>
      </c>
      <c r="V178" s="25">
        <f t="shared" si="152"/>
        <v>0.94314420277973976</v>
      </c>
      <c r="W178" s="25">
        <f t="shared" si="153"/>
        <v>0.80264744780545738</v>
      </c>
      <c r="X178" s="25">
        <f t="shared" si="154"/>
        <v>0.86370141180380533</v>
      </c>
      <c r="Y178" s="25">
        <f t="shared" si="155"/>
        <v>0.85103364410214832</v>
      </c>
      <c r="Z178" s="25">
        <f t="shared" si="156"/>
        <v>0.91576813944061608</v>
      </c>
      <c r="AA178" s="25">
        <f t="shared" si="157"/>
        <v>1.076065729935699</v>
      </c>
      <c r="AB178" s="25">
        <f t="shared" si="158"/>
        <v>0</v>
      </c>
      <c r="AC178" s="25">
        <f t="shared" si="159"/>
        <v>0</v>
      </c>
      <c r="AD178" s="63">
        <f t="shared" si="160"/>
        <v>0</v>
      </c>
      <c r="AE178" s="24">
        <f t="shared" si="139"/>
        <v>1</v>
      </c>
    </row>
    <row r="179" spans="1:31" ht="15" x14ac:dyDescent="0.25">
      <c r="A179" s="75">
        <f t="shared" si="151"/>
        <v>46277</v>
      </c>
      <c r="B179" s="15" t="str">
        <f>$B$14</f>
        <v>Partner</v>
      </c>
      <c r="C179" s="15" t="str">
        <f>$C$14</f>
        <v>Prince</v>
      </c>
      <c r="D179" s="18">
        <f t="shared" si="140"/>
        <v>8.4822659954029387</v>
      </c>
      <c r="E179" s="4">
        <f t="shared" si="141"/>
        <v>21.179909120100255</v>
      </c>
      <c r="F179" s="117">
        <v>20925.750210659051</v>
      </c>
      <c r="G179" s="5">
        <f t="shared" si="142"/>
        <v>2.4969635627530367</v>
      </c>
      <c r="H179" s="4">
        <f t="shared" si="143"/>
        <v>2467</v>
      </c>
      <c r="I179" s="4">
        <f t="shared" si="144"/>
        <v>987.99999999999989</v>
      </c>
      <c r="J179" s="4">
        <f t="shared" si="145"/>
        <v>0.67858127963223513</v>
      </c>
      <c r="K179" s="27">
        <f t="shared" si="146"/>
        <v>0.33929063981611757</v>
      </c>
      <c r="L179" s="30">
        <f t="shared" si="147"/>
        <v>2.1205664988507347</v>
      </c>
      <c r="M179" s="116">
        <v>15</v>
      </c>
      <c r="N179" s="115">
        <v>30</v>
      </c>
      <c r="O179" s="115">
        <v>27923.4</v>
      </c>
      <c r="P179" s="5">
        <f t="shared" si="148"/>
        <v>2</v>
      </c>
      <c r="Q179" s="29">
        <f t="shared" si="149"/>
        <v>1861.5600000000002</v>
      </c>
      <c r="R179" s="29">
        <f t="shared" si="150"/>
        <v>930.78000000000009</v>
      </c>
      <c r="S179" s="1">
        <v>0</v>
      </c>
      <c r="T179" s="1">
        <v>0</v>
      </c>
      <c r="U179" s="24">
        <v>0</v>
      </c>
      <c r="V179" s="25">
        <f t="shared" si="152"/>
        <v>1.768395380212012</v>
      </c>
      <c r="W179" s="25">
        <f t="shared" si="153"/>
        <v>1.4164366725978659</v>
      </c>
      <c r="X179" s="25">
        <f t="shared" si="154"/>
        <v>1.3344037713771679</v>
      </c>
      <c r="Y179" s="25">
        <f t="shared" si="155"/>
        <v>0.80097284150790427</v>
      </c>
      <c r="Z179" s="25">
        <f t="shared" si="156"/>
        <v>0.75458451560599926</v>
      </c>
      <c r="AA179" s="25">
        <f t="shared" si="157"/>
        <v>0.94208502024291518</v>
      </c>
      <c r="AB179" s="25">
        <f t="shared" si="158"/>
        <v>0</v>
      </c>
      <c r="AC179" s="25">
        <f t="shared" si="159"/>
        <v>0</v>
      </c>
      <c r="AD179" s="63">
        <f t="shared" si="160"/>
        <v>0</v>
      </c>
      <c r="AE179" s="24">
        <f t="shared" si="139"/>
        <v>1</v>
      </c>
    </row>
    <row r="180" spans="1:31" ht="15" x14ac:dyDescent="0.25">
      <c r="A180" s="75">
        <f t="shared" si="151"/>
        <v>46277</v>
      </c>
      <c r="B180" s="15" t="str">
        <f>$B$15</f>
        <v>Partner</v>
      </c>
      <c r="C180" s="15" t="str">
        <f>$C$15</f>
        <v>Kunal</v>
      </c>
      <c r="D180" s="18">
        <f t="shared" si="140"/>
        <v>8.4822659954029387</v>
      </c>
      <c r="E180" s="4">
        <f t="shared" si="141"/>
        <v>21.179909120100255</v>
      </c>
      <c r="F180" s="117">
        <v>20925.750210659051</v>
      </c>
      <c r="G180" s="5">
        <f t="shared" si="142"/>
        <v>2.4969635627530367</v>
      </c>
      <c r="H180" s="4">
        <f t="shared" si="143"/>
        <v>2467</v>
      </c>
      <c r="I180" s="4">
        <f t="shared" si="144"/>
        <v>987.99999999999989</v>
      </c>
      <c r="J180" s="4">
        <f t="shared" si="145"/>
        <v>0.67858127963223513</v>
      </c>
      <c r="K180" s="27">
        <f t="shared" si="146"/>
        <v>0.33929063981611757</v>
      </c>
      <c r="L180" s="30">
        <f t="shared" si="147"/>
        <v>2.1205664988507347</v>
      </c>
      <c r="M180" s="116">
        <v>11</v>
      </c>
      <c r="N180" s="115">
        <v>77</v>
      </c>
      <c r="O180" s="115">
        <v>71323</v>
      </c>
      <c r="P180" s="5">
        <f t="shared" si="148"/>
        <v>7</v>
      </c>
      <c r="Q180" s="29">
        <f t="shared" si="149"/>
        <v>6483.909090909091</v>
      </c>
      <c r="R180" s="29">
        <f t="shared" si="150"/>
        <v>926.27272727272725</v>
      </c>
      <c r="S180" s="1">
        <v>0</v>
      </c>
      <c r="T180" s="1">
        <v>0</v>
      </c>
      <c r="U180" s="24">
        <v>0</v>
      </c>
      <c r="V180" s="25">
        <f t="shared" si="152"/>
        <v>1.2968232788221421</v>
      </c>
      <c r="W180" s="25">
        <f t="shared" si="153"/>
        <v>3.6355207930011892</v>
      </c>
      <c r="X180" s="25">
        <f t="shared" si="154"/>
        <v>3.4083843724594329</v>
      </c>
      <c r="Y180" s="25">
        <f t="shared" si="155"/>
        <v>2.803404945277665</v>
      </c>
      <c r="Z180" s="25">
        <f t="shared" si="156"/>
        <v>2.6282566237977667</v>
      </c>
      <c r="AA180" s="25">
        <f t="shared" si="157"/>
        <v>0.93752300331247707</v>
      </c>
      <c r="AB180" s="25">
        <f t="shared" si="158"/>
        <v>0</v>
      </c>
      <c r="AC180" s="25">
        <f t="shared" si="159"/>
        <v>0</v>
      </c>
      <c r="AD180" s="63">
        <f t="shared" si="160"/>
        <v>0</v>
      </c>
      <c r="AE180" s="24">
        <f t="shared" si="139"/>
        <v>1</v>
      </c>
    </row>
    <row r="181" spans="1:31" ht="15" x14ac:dyDescent="0.25">
      <c r="A181" s="75">
        <f t="shared" si="151"/>
        <v>46277</v>
      </c>
      <c r="B181" s="15" t="str">
        <f>$B$16</f>
        <v>NA</v>
      </c>
      <c r="C181" s="15" t="str">
        <f>$C$16</f>
        <v>NA</v>
      </c>
      <c r="D181" s="18">
        <f t="shared" si="140"/>
        <v>0</v>
      </c>
      <c r="E181" s="4">
        <f t="shared" si="141"/>
        <v>0</v>
      </c>
      <c r="F181" s="117">
        <v>0</v>
      </c>
      <c r="G181" s="5" t="e">
        <f t="shared" si="142"/>
        <v>#DIV/0!</v>
      </c>
      <c r="H181" s="4" t="e">
        <f t="shared" si="143"/>
        <v>#DIV/0!</v>
      </c>
      <c r="I181" s="4" t="e">
        <f t="shared" si="144"/>
        <v>#DIV/0!</v>
      </c>
      <c r="J181" s="4">
        <f t="shared" si="145"/>
        <v>0</v>
      </c>
      <c r="K181" s="27">
        <f t="shared" si="146"/>
        <v>0</v>
      </c>
      <c r="L181" s="30">
        <f t="shared" si="147"/>
        <v>0</v>
      </c>
      <c r="M181" s="116">
        <v>1</v>
      </c>
      <c r="N181" s="115">
        <v>-2</v>
      </c>
      <c r="O181" s="115">
        <v>-1919</v>
      </c>
      <c r="P181" s="5">
        <f t="shared" si="148"/>
        <v>-2</v>
      </c>
      <c r="Q181" s="29">
        <f t="shared" si="149"/>
        <v>-1919</v>
      </c>
      <c r="R181" s="29">
        <f t="shared" si="150"/>
        <v>959.5</v>
      </c>
      <c r="S181" s="1">
        <v>0</v>
      </c>
      <c r="T181" s="1">
        <v>0</v>
      </c>
      <c r="U181" s="24">
        <v>0</v>
      </c>
      <c r="V181" s="25" t="e">
        <f t="shared" si="152"/>
        <v>#DIV/0!</v>
      </c>
      <c r="W181" s="25" t="e">
        <f t="shared" si="153"/>
        <v>#DIV/0!</v>
      </c>
      <c r="X181" s="25" t="e">
        <f t="shared" si="154"/>
        <v>#DIV/0!</v>
      </c>
      <c r="Y181" s="25" t="e">
        <f t="shared" si="155"/>
        <v>#DIV/0!</v>
      </c>
      <c r="Z181" s="25" t="e">
        <f t="shared" si="156"/>
        <v>#DIV/0!</v>
      </c>
      <c r="AA181" s="25" t="e">
        <f t="shared" si="157"/>
        <v>#DIV/0!</v>
      </c>
      <c r="AB181" s="25" t="e">
        <f t="shared" si="158"/>
        <v>#DIV/0!</v>
      </c>
      <c r="AC181" s="25" t="e">
        <f t="shared" si="159"/>
        <v>#DIV/0!</v>
      </c>
      <c r="AD181" s="63" t="e">
        <f t="shared" si="160"/>
        <v>#DIV/0!</v>
      </c>
      <c r="AE181" s="24">
        <f t="shared" si="139"/>
        <v>0</v>
      </c>
    </row>
    <row r="182" spans="1:31" ht="15" x14ac:dyDescent="0.25">
      <c r="A182" s="75">
        <f t="shared" si="151"/>
        <v>46277</v>
      </c>
      <c r="B182" s="15" t="str">
        <f>$B$17</f>
        <v>NA</v>
      </c>
      <c r="C182" s="15" t="str">
        <f>$C$17</f>
        <v>NA</v>
      </c>
      <c r="D182" s="18">
        <f t="shared" si="140"/>
        <v>0</v>
      </c>
      <c r="E182" s="4">
        <f t="shared" si="141"/>
        <v>0</v>
      </c>
      <c r="F182" s="117">
        <v>0</v>
      </c>
      <c r="G182" s="5" t="e">
        <f t="shared" si="142"/>
        <v>#DIV/0!</v>
      </c>
      <c r="H182" s="4" t="e">
        <f t="shared" si="143"/>
        <v>#DIV/0!</v>
      </c>
      <c r="I182" s="4" t="e">
        <f t="shared" si="144"/>
        <v>#DIV/0!</v>
      </c>
      <c r="J182" s="4">
        <f t="shared" si="145"/>
        <v>0</v>
      </c>
      <c r="K182" s="27">
        <f t="shared" si="146"/>
        <v>0</v>
      </c>
      <c r="L182" s="30">
        <f t="shared" si="147"/>
        <v>0</v>
      </c>
      <c r="M182" s="116">
        <v>0</v>
      </c>
      <c r="N182" s="115">
        <v>0</v>
      </c>
      <c r="O182" s="115">
        <v>0</v>
      </c>
      <c r="P182" s="5" t="e">
        <f t="shared" si="148"/>
        <v>#DIV/0!</v>
      </c>
      <c r="Q182" s="29" t="e">
        <f t="shared" si="149"/>
        <v>#DIV/0!</v>
      </c>
      <c r="R182" s="29" t="e">
        <f t="shared" si="150"/>
        <v>#DIV/0!</v>
      </c>
      <c r="S182" s="1">
        <v>0</v>
      </c>
      <c r="T182" s="1">
        <v>0</v>
      </c>
      <c r="U182" s="24">
        <v>0</v>
      </c>
      <c r="V182" s="25" t="e">
        <f t="shared" si="152"/>
        <v>#DIV/0!</v>
      </c>
      <c r="W182" s="25" t="e">
        <f t="shared" si="153"/>
        <v>#DIV/0!</v>
      </c>
      <c r="X182" s="25" t="e">
        <f t="shared" si="154"/>
        <v>#DIV/0!</v>
      </c>
      <c r="Y182" s="25" t="e">
        <f t="shared" si="155"/>
        <v>#DIV/0!</v>
      </c>
      <c r="Z182" s="25" t="e">
        <f t="shared" si="156"/>
        <v>#DIV/0!</v>
      </c>
      <c r="AA182" s="25" t="e">
        <f t="shared" si="157"/>
        <v>#DIV/0!</v>
      </c>
      <c r="AB182" s="25" t="e">
        <f t="shared" si="158"/>
        <v>#DIV/0!</v>
      </c>
      <c r="AC182" s="25" t="e">
        <f t="shared" si="159"/>
        <v>#DIV/0!</v>
      </c>
      <c r="AD182" s="63" t="e">
        <f t="shared" si="160"/>
        <v>#DIV/0!</v>
      </c>
      <c r="AE182" s="24">
        <f t="shared" si="139"/>
        <v>0</v>
      </c>
    </row>
    <row r="183" spans="1:31" ht="15" x14ac:dyDescent="0.25">
      <c r="A183" s="75">
        <f t="shared" si="151"/>
        <v>46277</v>
      </c>
      <c r="B183" s="15" t="str">
        <f>$B$18</f>
        <v>NA</v>
      </c>
      <c r="C183" s="15" t="str">
        <f>$C$18</f>
        <v>NA</v>
      </c>
      <c r="D183" s="18">
        <f t="shared" si="140"/>
        <v>0</v>
      </c>
      <c r="E183" s="4">
        <f t="shared" si="141"/>
        <v>0</v>
      </c>
      <c r="F183" s="117">
        <v>0</v>
      </c>
      <c r="G183" s="5" t="e">
        <f t="shared" si="142"/>
        <v>#DIV/0!</v>
      </c>
      <c r="H183" s="4" t="e">
        <f t="shared" si="143"/>
        <v>#DIV/0!</v>
      </c>
      <c r="I183" s="4" t="e">
        <f t="shared" si="144"/>
        <v>#DIV/0!</v>
      </c>
      <c r="J183" s="4">
        <f t="shared" si="145"/>
        <v>0</v>
      </c>
      <c r="K183" s="27">
        <f t="shared" si="146"/>
        <v>0</v>
      </c>
      <c r="L183" s="30">
        <f t="shared" si="147"/>
        <v>0</v>
      </c>
      <c r="M183" s="116">
        <v>0</v>
      </c>
      <c r="N183" s="115">
        <v>0</v>
      </c>
      <c r="O183" s="115">
        <v>0</v>
      </c>
      <c r="P183" s="5" t="e">
        <f t="shared" si="148"/>
        <v>#DIV/0!</v>
      </c>
      <c r="Q183" s="29" t="e">
        <f t="shared" si="149"/>
        <v>#DIV/0!</v>
      </c>
      <c r="R183" s="29" t="e">
        <f t="shared" si="150"/>
        <v>#DIV/0!</v>
      </c>
      <c r="S183" s="1">
        <v>0</v>
      </c>
      <c r="T183" s="1">
        <v>0</v>
      </c>
      <c r="U183" s="24">
        <v>0</v>
      </c>
      <c r="V183" s="25" t="e">
        <f t="shared" si="152"/>
        <v>#DIV/0!</v>
      </c>
      <c r="W183" s="25" t="e">
        <f t="shared" si="153"/>
        <v>#DIV/0!</v>
      </c>
      <c r="X183" s="25" t="e">
        <f t="shared" si="154"/>
        <v>#DIV/0!</v>
      </c>
      <c r="Y183" s="25" t="e">
        <f t="shared" si="155"/>
        <v>#DIV/0!</v>
      </c>
      <c r="Z183" s="25" t="e">
        <f t="shared" si="156"/>
        <v>#DIV/0!</v>
      </c>
      <c r="AA183" s="25" t="e">
        <f t="shared" si="157"/>
        <v>#DIV/0!</v>
      </c>
      <c r="AB183" s="25" t="e">
        <f t="shared" si="158"/>
        <v>#DIV/0!</v>
      </c>
      <c r="AC183" s="25" t="e">
        <f t="shared" si="159"/>
        <v>#DIV/0!</v>
      </c>
      <c r="AD183" s="63" t="e">
        <f t="shared" si="160"/>
        <v>#DIV/0!</v>
      </c>
      <c r="AE183" s="24">
        <f t="shared" si="139"/>
        <v>0</v>
      </c>
    </row>
    <row r="184" spans="1:31" ht="15" x14ac:dyDescent="0.25">
      <c r="A184" s="75">
        <f t="shared" si="151"/>
        <v>46278</v>
      </c>
      <c r="B184" s="15" t="str">
        <f>$B$4</f>
        <v>DSM</v>
      </c>
      <c r="C184" s="15" t="str">
        <f>$C$4</f>
        <v xml:space="preserve">komal  </v>
      </c>
      <c r="D184" s="18">
        <f t="shared" si="140"/>
        <v>0</v>
      </c>
      <c r="E184" s="4">
        <f t="shared" si="141"/>
        <v>0</v>
      </c>
      <c r="F184" s="117">
        <v>0</v>
      </c>
      <c r="G184" s="5" t="e">
        <f t="shared" si="142"/>
        <v>#DIV/0!</v>
      </c>
      <c r="H184" s="4" t="e">
        <f t="shared" si="143"/>
        <v>#DIV/0!</v>
      </c>
      <c r="I184" s="4" t="e">
        <f t="shared" si="144"/>
        <v>#DIV/0!</v>
      </c>
      <c r="J184" s="4">
        <f t="shared" si="145"/>
        <v>0</v>
      </c>
      <c r="K184" s="27">
        <f t="shared" si="146"/>
        <v>0</v>
      </c>
      <c r="L184" s="30">
        <f t="shared" si="147"/>
        <v>0</v>
      </c>
      <c r="M184" s="116">
        <v>0</v>
      </c>
      <c r="N184" s="115">
        <v>0</v>
      </c>
      <c r="O184" s="115">
        <v>0</v>
      </c>
      <c r="P184" s="5" t="e">
        <f t="shared" si="148"/>
        <v>#DIV/0!</v>
      </c>
      <c r="Q184" s="29" t="e">
        <f t="shared" si="149"/>
        <v>#DIV/0!</v>
      </c>
      <c r="R184" s="29" t="e">
        <f t="shared" si="150"/>
        <v>#DIV/0!</v>
      </c>
      <c r="S184" s="1">
        <v>0</v>
      </c>
      <c r="T184" s="1">
        <v>0</v>
      </c>
      <c r="U184" s="24">
        <v>0</v>
      </c>
      <c r="V184" s="25" t="e">
        <f t="shared" si="152"/>
        <v>#DIV/0!</v>
      </c>
      <c r="W184" s="25" t="e">
        <f t="shared" si="153"/>
        <v>#DIV/0!</v>
      </c>
      <c r="X184" s="25" t="e">
        <f t="shared" si="154"/>
        <v>#DIV/0!</v>
      </c>
      <c r="Y184" s="25" t="e">
        <f t="shared" si="155"/>
        <v>#DIV/0!</v>
      </c>
      <c r="Z184" s="25" t="e">
        <f t="shared" si="156"/>
        <v>#DIV/0!</v>
      </c>
      <c r="AA184" s="25" t="e">
        <f t="shared" si="157"/>
        <v>#DIV/0!</v>
      </c>
      <c r="AB184" s="25" t="e">
        <f t="shared" si="158"/>
        <v>#DIV/0!</v>
      </c>
      <c r="AC184" s="25" t="e">
        <f t="shared" si="159"/>
        <v>#DIV/0!</v>
      </c>
      <c r="AD184" s="63" t="e">
        <f t="shared" si="160"/>
        <v>#DIV/0!</v>
      </c>
      <c r="AE184" s="24">
        <f t="shared" si="139"/>
        <v>0</v>
      </c>
    </row>
    <row r="185" spans="1:31" ht="15" x14ac:dyDescent="0.25">
      <c r="A185" s="75">
        <f t="shared" si="151"/>
        <v>46278</v>
      </c>
      <c r="B185" s="15" t="str">
        <f>$B$5</f>
        <v>SS</v>
      </c>
      <c r="C185" s="15" t="str">
        <f>$C$5</f>
        <v>Prem</v>
      </c>
      <c r="D185" s="18">
        <f t="shared" si="140"/>
        <v>0</v>
      </c>
      <c r="E185" s="4">
        <f t="shared" si="141"/>
        <v>0</v>
      </c>
      <c r="F185" s="117">
        <v>0</v>
      </c>
      <c r="G185" s="5" t="e">
        <f t="shared" si="142"/>
        <v>#DIV/0!</v>
      </c>
      <c r="H185" s="4" t="e">
        <f t="shared" si="143"/>
        <v>#DIV/0!</v>
      </c>
      <c r="I185" s="4" t="e">
        <f t="shared" si="144"/>
        <v>#DIV/0!</v>
      </c>
      <c r="J185" s="4">
        <f t="shared" si="145"/>
        <v>0</v>
      </c>
      <c r="K185" s="27">
        <f t="shared" si="146"/>
        <v>0</v>
      </c>
      <c r="L185" s="30">
        <f t="shared" si="147"/>
        <v>0</v>
      </c>
      <c r="M185" s="116">
        <v>0</v>
      </c>
      <c r="N185" s="115">
        <v>0</v>
      </c>
      <c r="O185" s="115">
        <v>0</v>
      </c>
      <c r="P185" s="5" t="e">
        <f t="shared" si="148"/>
        <v>#DIV/0!</v>
      </c>
      <c r="Q185" s="29" t="e">
        <f t="shared" si="149"/>
        <v>#DIV/0!</v>
      </c>
      <c r="R185" s="29" t="e">
        <f t="shared" si="150"/>
        <v>#DIV/0!</v>
      </c>
      <c r="S185" s="1">
        <v>0</v>
      </c>
      <c r="T185" s="1">
        <v>0</v>
      </c>
      <c r="U185" s="24">
        <v>0</v>
      </c>
      <c r="V185" s="25" t="e">
        <f t="shared" si="152"/>
        <v>#DIV/0!</v>
      </c>
      <c r="W185" s="25" t="e">
        <f t="shared" si="153"/>
        <v>#DIV/0!</v>
      </c>
      <c r="X185" s="25" t="e">
        <f t="shared" si="154"/>
        <v>#DIV/0!</v>
      </c>
      <c r="Y185" s="25" t="e">
        <f t="shared" si="155"/>
        <v>#DIV/0!</v>
      </c>
      <c r="Z185" s="25" t="e">
        <f t="shared" si="156"/>
        <v>#DIV/0!</v>
      </c>
      <c r="AA185" s="25" t="e">
        <f t="shared" si="157"/>
        <v>#DIV/0!</v>
      </c>
      <c r="AB185" s="25" t="e">
        <f t="shared" si="158"/>
        <v>#DIV/0!</v>
      </c>
      <c r="AC185" s="25" t="e">
        <f t="shared" si="159"/>
        <v>#DIV/0!</v>
      </c>
      <c r="AD185" s="63" t="e">
        <f t="shared" si="160"/>
        <v>#DIV/0!</v>
      </c>
      <c r="AE185" s="24">
        <f t="shared" si="139"/>
        <v>0</v>
      </c>
    </row>
    <row r="186" spans="1:31" ht="15" x14ac:dyDescent="0.25">
      <c r="A186" s="75">
        <f t="shared" si="151"/>
        <v>46278</v>
      </c>
      <c r="B186" s="15" t="str">
        <f>$B$6</f>
        <v>SS</v>
      </c>
      <c r="C186" s="15" t="str">
        <f>$C$6</f>
        <v>Anuj</v>
      </c>
      <c r="D186" s="18">
        <f t="shared" si="140"/>
        <v>4.7123699974460775</v>
      </c>
      <c r="E186" s="4">
        <f t="shared" si="141"/>
        <v>11.766616177833475</v>
      </c>
      <c r="F186" s="117">
        <v>11625.416783699473</v>
      </c>
      <c r="G186" s="5">
        <f t="shared" si="142"/>
        <v>2.4969635627530367</v>
      </c>
      <c r="H186" s="4">
        <f t="shared" si="143"/>
        <v>2467</v>
      </c>
      <c r="I186" s="4">
        <f t="shared" si="144"/>
        <v>988</v>
      </c>
      <c r="J186" s="4">
        <f t="shared" si="145"/>
        <v>0.37698959979568619</v>
      </c>
      <c r="K186" s="27">
        <f t="shared" si="146"/>
        <v>0.1884947998978431</v>
      </c>
      <c r="L186" s="30">
        <f t="shared" si="147"/>
        <v>1.1780924993615194</v>
      </c>
      <c r="M186" s="116">
        <v>6</v>
      </c>
      <c r="N186" s="115">
        <v>16</v>
      </c>
      <c r="O186" s="115">
        <v>21371.96</v>
      </c>
      <c r="P186" s="5">
        <f t="shared" si="148"/>
        <v>2.6666666666666665</v>
      </c>
      <c r="Q186" s="29">
        <f t="shared" si="149"/>
        <v>3561.9933333333333</v>
      </c>
      <c r="R186" s="29">
        <f t="shared" si="150"/>
        <v>1335.7474999999999</v>
      </c>
      <c r="S186" s="1">
        <v>0</v>
      </c>
      <c r="T186" s="1">
        <v>0</v>
      </c>
      <c r="U186" s="24">
        <v>0</v>
      </c>
      <c r="V186" s="25">
        <f t="shared" si="152"/>
        <v>1.2732446737526484</v>
      </c>
      <c r="W186" s="25">
        <f t="shared" si="153"/>
        <v>1.3597792056939513</v>
      </c>
      <c r="X186" s="25">
        <f t="shared" si="154"/>
        <v>1.8383822616980579</v>
      </c>
      <c r="Y186" s="25">
        <f t="shared" si="155"/>
        <v>1.0679637886772055</v>
      </c>
      <c r="Z186" s="25">
        <f t="shared" si="156"/>
        <v>1.4438562356438318</v>
      </c>
      <c r="AA186" s="25">
        <f t="shared" si="157"/>
        <v>1.3519711538461539</v>
      </c>
      <c r="AB186" s="25">
        <f t="shared" si="158"/>
        <v>0</v>
      </c>
      <c r="AC186" s="25">
        <f t="shared" si="159"/>
        <v>0</v>
      </c>
      <c r="AD186" s="63">
        <f t="shared" si="160"/>
        <v>0</v>
      </c>
      <c r="AE186" s="24">
        <f t="shared" si="139"/>
        <v>1</v>
      </c>
    </row>
    <row r="187" spans="1:31" ht="15" x14ac:dyDescent="0.25">
      <c r="A187" s="75">
        <f t="shared" si="151"/>
        <v>46278</v>
      </c>
      <c r="B187" s="15" t="str">
        <f>$B$7</f>
        <v>FC</v>
      </c>
      <c r="C187" s="15" t="str">
        <f>$C$7</f>
        <v>Muskan</v>
      </c>
      <c r="D187" s="18">
        <f t="shared" si="140"/>
        <v>9.4247399948921551</v>
      </c>
      <c r="E187" s="4">
        <f t="shared" si="141"/>
        <v>23.53323235566695</v>
      </c>
      <c r="F187" s="117">
        <v>23250.833567398946</v>
      </c>
      <c r="G187" s="5">
        <f t="shared" si="142"/>
        <v>2.4969635627530367</v>
      </c>
      <c r="H187" s="4">
        <f t="shared" si="143"/>
        <v>2467</v>
      </c>
      <c r="I187" s="4">
        <f t="shared" si="144"/>
        <v>988</v>
      </c>
      <c r="J187" s="4">
        <f t="shared" si="145"/>
        <v>0.75397919959137238</v>
      </c>
      <c r="K187" s="27">
        <f t="shared" si="146"/>
        <v>0.37698959979568619</v>
      </c>
      <c r="L187" s="30">
        <f t="shared" si="147"/>
        <v>2.3561849987230388</v>
      </c>
      <c r="M187" s="116">
        <v>7</v>
      </c>
      <c r="N187" s="115">
        <v>19</v>
      </c>
      <c r="O187" s="115">
        <v>15207.6</v>
      </c>
      <c r="P187" s="5">
        <f t="shared" si="148"/>
        <v>2.7142857142857144</v>
      </c>
      <c r="Q187" s="29">
        <f t="shared" si="149"/>
        <v>2172.514285714286</v>
      </c>
      <c r="R187" s="29">
        <f t="shared" si="150"/>
        <v>800.4</v>
      </c>
      <c r="S187" s="1">
        <v>0</v>
      </c>
      <c r="T187" s="1">
        <v>0</v>
      </c>
      <c r="U187" s="24">
        <v>0</v>
      </c>
      <c r="V187" s="25">
        <f t="shared" si="152"/>
        <v>0.74272605968904493</v>
      </c>
      <c r="W187" s="25">
        <f t="shared" si="153"/>
        <v>0.8073689033807836</v>
      </c>
      <c r="X187" s="25">
        <f t="shared" si="154"/>
        <v>0.65406687273884534</v>
      </c>
      <c r="Y187" s="25">
        <f t="shared" si="155"/>
        <v>1.0870345706178701</v>
      </c>
      <c r="Z187" s="25">
        <f t="shared" si="156"/>
        <v>0.88063003069083334</v>
      </c>
      <c r="AA187" s="25">
        <f t="shared" si="157"/>
        <v>0.81012145748987852</v>
      </c>
      <c r="AB187" s="25">
        <f t="shared" si="158"/>
        <v>0</v>
      </c>
      <c r="AC187" s="25">
        <f t="shared" si="159"/>
        <v>0</v>
      </c>
      <c r="AD187" s="63">
        <f t="shared" si="160"/>
        <v>0</v>
      </c>
      <c r="AE187" s="24">
        <f t="shared" si="139"/>
        <v>1</v>
      </c>
    </row>
    <row r="188" spans="1:31" ht="15" x14ac:dyDescent="0.25">
      <c r="A188" s="75">
        <f t="shared" si="151"/>
        <v>46278</v>
      </c>
      <c r="B188" s="15" t="str">
        <f>$B$8</f>
        <v>FC</v>
      </c>
      <c r="C188" s="15" t="str">
        <f>$C$8</f>
        <v xml:space="preserve">Kajal  </v>
      </c>
      <c r="D188" s="18">
        <f t="shared" si="140"/>
        <v>4.7123699974460775</v>
      </c>
      <c r="E188" s="4">
        <f t="shared" si="141"/>
        <v>11.766616177833475</v>
      </c>
      <c r="F188" s="117">
        <v>11625.416783699473</v>
      </c>
      <c r="G188" s="5">
        <f t="shared" si="142"/>
        <v>2.4969635627530367</v>
      </c>
      <c r="H188" s="4">
        <f t="shared" si="143"/>
        <v>2467</v>
      </c>
      <c r="I188" s="4">
        <f t="shared" si="144"/>
        <v>988</v>
      </c>
      <c r="J188" s="4">
        <f t="shared" si="145"/>
        <v>0.37698959979568619</v>
      </c>
      <c r="K188" s="27">
        <f t="shared" si="146"/>
        <v>0.1884947998978431</v>
      </c>
      <c r="L188" s="30">
        <f t="shared" si="147"/>
        <v>1.1780924993615194</v>
      </c>
      <c r="M188" s="116">
        <v>6</v>
      </c>
      <c r="N188" s="115">
        <v>17</v>
      </c>
      <c r="O188" s="115">
        <v>10891.2</v>
      </c>
      <c r="P188" s="5">
        <f t="shared" si="148"/>
        <v>2.8333333333333335</v>
      </c>
      <c r="Q188" s="29">
        <f t="shared" si="149"/>
        <v>1815.2</v>
      </c>
      <c r="R188" s="29">
        <f t="shared" si="150"/>
        <v>640.65882352941185</v>
      </c>
      <c r="S188" s="1">
        <v>0</v>
      </c>
      <c r="T188" s="1">
        <v>0</v>
      </c>
      <c r="U188" s="24">
        <v>0</v>
      </c>
      <c r="V188" s="25">
        <f t="shared" si="152"/>
        <v>1.2732446737526484</v>
      </c>
      <c r="W188" s="25">
        <f t="shared" si="153"/>
        <v>1.4447654060498232</v>
      </c>
      <c r="X188" s="25">
        <f t="shared" si="154"/>
        <v>0.93684383129136917</v>
      </c>
      <c r="Y188" s="25">
        <f t="shared" si="155"/>
        <v>1.134711525469531</v>
      </c>
      <c r="Z188" s="25">
        <f t="shared" si="156"/>
        <v>0.73579246047831381</v>
      </c>
      <c r="AA188" s="25">
        <f t="shared" si="157"/>
        <v>0.6484401047868541</v>
      </c>
      <c r="AB188" s="25">
        <f t="shared" si="158"/>
        <v>0</v>
      </c>
      <c r="AC188" s="25">
        <f t="shared" si="159"/>
        <v>0</v>
      </c>
      <c r="AD188" s="63">
        <f t="shared" si="160"/>
        <v>0</v>
      </c>
      <c r="AE188" s="24">
        <f t="shared" si="139"/>
        <v>1</v>
      </c>
    </row>
    <row r="189" spans="1:31" ht="15" x14ac:dyDescent="0.25">
      <c r="A189" s="75">
        <f t="shared" si="151"/>
        <v>46278</v>
      </c>
      <c r="B189" s="15" t="str">
        <f>$B$9</f>
        <v>FC</v>
      </c>
      <c r="C189" s="15" t="str">
        <f>$C$9</f>
        <v>Pradeep</v>
      </c>
      <c r="D189" s="18">
        <f t="shared" si="140"/>
        <v>7.5397919959137232</v>
      </c>
      <c r="E189" s="4">
        <f t="shared" si="141"/>
        <v>18.826585884533557</v>
      </c>
      <c r="F189" s="117">
        <v>18600.666853919156</v>
      </c>
      <c r="G189" s="5">
        <f t="shared" si="142"/>
        <v>2.4969635627530362</v>
      </c>
      <c r="H189" s="4">
        <f t="shared" si="143"/>
        <v>2467</v>
      </c>
      <c r="I189" s="4">
        <f t="shared" si="144"/>
        <v>988.00000000000011</v>
      </c>
      <c r="J189" s="4">
        <f t="shared" si="145"/>
        <v>0.60318335967309789</v>
      </c>
      <c r="K189" s="27">
        <f t="shared" si="146"/>
        <v>0.30159167983654894</v>
      </c>
      <c r="L189" s="30">
        <f t="shared" si="147"/>
        <v>1.8849479989784308</v>
      </c>
      <c r="M189" s="116">
        <v>11</v>
      </c>
      <c r="N189" s="115">
        <v>23</v>
      </c>
      <c r="O189" s="115">
        <v>29218.600000000002</v>
      </c>
      <c r="P189" s="5">
        <f t="shared" si="148"/>
        <v>2.0909090909090908</v>
      </c>
      <c r="Q189" s="29">
        <f t="shared" si="149"/>
        <v>2656.2363636363639</v>
      </c>
      <c r="R189" s="29">
        <f t="shared" si="150"/>
        <v>1270.3739130434783</v>
      </c>
      <c r="S189" s="1">
        <v>0</v>
      </c>
      <c r="T189" s="1">
        <v>0</v>
      </c>
      <c r="U189" s="24">
        <v>0</v>
      </c>
      <c r="V189" s="25">
        <f t="shared" si="152"/>
        <v>1.4589261886749099</v>
      </c>
      <c r="W189" s="25">
        <f t="shared" si="153"/>
        <v>1.2216766301156596</v>
      </c>
      <c r="X189" s="25">
        <f t="shared" si="154"/>
        <v>1.5708361549329963</v>
      </c>
      <c r="Y189" s="25">
        <f t="shared" si="155"/>
        <v>0.83738069794008185</v>
      </c>
      <c r="Z189" s="25">
        <f t="shared" si="156"/>
        <v>1.0767070788959723</v>
      </c>
      <c r="AA189" s="25">
        <f t="shared" si="157"/>
        <v>1.2858035557120224</v>
      </c>
      <c r="AB189" s="25">
        <f t="shared" si="158"/>
        <v>0</v>
      </c>
      <c r="AC189" s="25">
        <f t="shared" si="159"/>
        <v>0</v>
      </c>
      <c r="AD189" s="63">
        <f t="shared" si="160"/>
        <v>0</v>
      </c>
      <c r="AE189" s="24">
        <f t="shared" si="139"/>
        <v>1</v>
      </c>
    </row>
    <row r="190" spans="1:31" ht="15" x14ac:dyDescent="0.25">
      <c r="A190" s="75">
        <f t="shared" si="151"/>
        <v>46278</v>
      </c>
      <c r="B190" s="15" t="str">
        <f>$B$10</f>
        <v>FC</v>
      </c>
      <c r="C190" s="15" t="str">
        <f>$C$10</f>
        <v>Aftab</v>
      </c>
      <c r="D190" s="18">
        <f t="shared" si="140"/>
        <v>7.5397919959137232</v>
      </c>
      <c r="E190" s="4">
        <f t="shared" si="141"/>
        <v>18.826585884533557</v>
      </c>
      <c r="F190" s="117">
        <v>18600.666853919156</v>
      </c>
      <c r="G190" s="5">
        <f t="shared" si="142"/>
        <v>2.4969635627530362</v>
      </c>
      <c r="H190" s="4">
        <f t="shared" si="143"/>
        <v>2467</v>
      </c>
      <c r="I190" s="4">
        <f t="shared" si="144"/>
        <v>988.00000000000011</v>
      </c>
      <c r="J190" s="4">
        <f t="shared" si="145"/>
        <v>0.60318335967309789</v>
      </c>
      <c r="K190" s="27">
        <f t="shared" si="146"/>
        <v>0.30159167983654894</v>
      </c>
      <c r="L190" s="30">
        <f t="shared" si="147"/>
        <v>1.8849479989784308</v>
      </c>
      <c r="M190" s="116">
        <v>7</v>
      </c>
      <c r="N190" s="115">
        <v>13</v>
      </c>
      <c r="O190" s="115">
        <v>12088</v>
      </c>
      <c r="P190" s="5">
        <f t="shared" si="148"/>
        <v>1.8571428571428572</v>
      </c>
      <c r="Q190" s="29">
        <f t="shared" si="149"/>
        <v>1726.8571428571429</v>
      </c>
      <c r="R190" s="29">
        <f t="shared" si="150"/>
        <v>929.84615384615381</v>
      </c>
      <c r="S190" s="1">
        <v>0</v>
      </c>
      <c r="T190" s="1">
        <v>0</v>
      </c>
      <c r="U190" s="24">
        <v>0</v>
      </c>
      <c r="V190" s="25">
        <f t="shared" si="152"/>
        <v>0.9284075746113063</v>
      </c>
      <c r="W190" s="25">
        <f t="shared" si="153"/>
        <v>0.69051287789145976</v>
      </c>
      <c r="X190" s="25">
        <f t="shared" si="154"/>
        <v>0.64986917377389952</v>
      </c>
      <c r="Y190" s="25">
        <f t="shared" si="155"/>
        <v>0.74376049568591129</v>
      </c>
      <c r="Z190" s="25">
        <f t="shared" si="156"/>
        <v>0.69998262783021603</v>
      </c>
      <c r="AA190" s="25">
        <f t="shared" si="157"/>
        <v>0.9411398318280908</v>
      </c>
      <c r="AB190" s="25">
        <f t="shared" si="158"/>
        <v>0</v>
      </c>
      <c r="AC190" s="25">
        <f t="shared" si="159"/>
        <v>0</v>
      </c>
      <c r="AD190" s="63">
        <f t="shared" si="160"/>
        <v>0</v>
      </c>
      <c r="AE190" s="24">
        <f t="shared" si="139"/>
        <v>1</v>
      </c>
    </row>
    <row r="191" spans="1:31" ht="15" x14ac:dyDescent="0.25">
      <c r="A191" s="75">
        <f t="shared" si="151"/>
        <v>46278</v>
      </c>
      <c r="B191" s="15" t="str">
        <f>$B$11</f>
        <v>FC</v>
      </c>
      <c r="C191" s="15" t="str">
        <f>$C$11</f>
        <v>Khushi</v>
      </c>
      <c r="D191" s="18">
        <f t="shared" si="140"/>
        <v>9.4247399948921551</v>
      </c>
      <c r="E191" s="4">
        <f t="shared" si="141"/>
        <v>23.53323235566695</v>
      </c>
      <c r="F191" s="117">
        <v>23250.833567398946</v>
      </c>
      <c r="G191" s="5">
        <f t="shared" si="142"/>
        <v>2.4969635627530367</v>
      </c>
      <c r="H191" s="4">
        <f t="shared" si="143"/>
        <v>2467</v>
      </c>
      <c r="I191" s="4">
        <f t="shared" si="144"/>
        <v>988</v>
      </c>
      <c r="J191" s="4">
        <f t="shared" si="145"/>
        <v>0.75397919959137238</v>
      </c>
      <c r="K191" s="27">
        <f t="shared" si="146"/>
        <v>0.37698959979568619</v>
      </c>
      <c r="L191" s="30">
        <f t="shared" si="147"/>
        <v>2.3561849987230388</v>
      </c>
      <c r="M191" s="116">
        <v>8</v>
      </c>
      <c r="N191" s="115">
        <v>35</v>
      </c>
      <c r="O191" s="115">
        <v>32615.000000000004</v>
      </c>
      <c r="P191" s="5">
        <f t="shared" si="148"/>
        <v>4.375</v>
      </c>
      <c r="Q191" s="29">
        <f t="shared" si="149"/>
        <v>4076.8750000000005</v>
      </c>
      <c r="R191" s="29">
        <f t="shared" si="150"/>
        <v>931.857142857143</v>
      </c>
      <c r="S191" s="1">
        <v>0</v>
      </c>
      <c r="T191" s="1">
        <v>0</v>
      </c>
      <c r="U191" s="24">
        <v>0</v>
      </c>
      <c r="V191" s="25">
        <f t="shared" si="152"/>
        <v>0.84882978250176566</v>
      </c>
      <c r="W191" s="25">
        <f t="shared" si="153"/>
        <v>1.4872585062277592</v>
      </c>
      <c r="X191" s="25">
        <f t="shared" si="154"/>
        <v>1.4027454071896581</v>
      </c>
      <c r="Y191" s="25">
        <f t="shared" si="155"/>
        <v>1.7521280907985406</v>
      </c>
      <c r="Z191" s="25">
        <f t="shared" si="156"/>
        <v>1.6525638427239564</v>
      </c>
      <c r="AA191" s="25">
        <f t="shared" si="157"/>
        <v>0.94317524580682488</v>
      </c>
      <c r="AB191" s="25">
        <f t="shared" si="158"/>
        <v>0</v>
      </c>
      <c r="AC191" s="25">
        <f t="shared" si="159"/>
        <v>0</v>
      </c>
      <c r="AD191" s="63">
        <f t="shared" si="160"/>
        <v>0</v>
      </c>
      <c r="AE191" s="24">
        <f t="shared" si="139"/>
        <v>1</v>
      </c>
    </row>
    <row r="192" spans="1:31" ht="15" x14ac:dyDescent="0.25">
      <c r="A192" s="75">
        <f t="shared" si="151"/>
        <v>46278</v>
      </c>
      <c r="B192" s="15" t="str">
        <f>$B$12</f>
        <v>FC</v>
      </c>
      <c r="C192" s="15" t="str">
        <f>$C$12</f>
        <v>Kishan</v>
      </c>
      <c r="D192" s="18">
        <f t="shared" si="140"/>
        <v>0</v>
      </c>
      <c r="E192" s="4">
        <f t="shared" si="141"/>
        <v>0</v>
      </c>
      <c r="F192" s="117">
        <v>0</v>
      </c>
      <c r="G192" s="5" t="e">
        <f t="shared" si="142"/>
        <v>#DIV/0!</v>
      </c>
      <c r="H192" s="4" t="e">
        <f t="shared" si="143"/>
        <v>#DIV/0!</v>
      </c>
      <c r="I192" s="4" t="e">
        <f t="shared" si="144"/>
        <v>#DIV/0!</v>
      </c>
      <c r="J192" s="4">
        <f t="shared" si="145"/>
        <v>0</v>
      </c>
      <c r="K192" s="27">
        <f t="shared" si="146"/>
        <v>0</v>
      </c>
      <c r="L192" s="30">
        <f t="shared" si="147"/>
        <v>0</v>
      </c>
      <c r="M192" s="116">
        <v>0</v>
      </c>
      <c r="N192" s="115">
        <v>0</v>
      </c>
      <c r="O192" s="115">
        <v>0</v>
      </c>
      <c r="P192" s="5" t="e">
        <f t="shared" si="148"/>
        <v>#DIV/0!</v>
      </c>
      <c r="Q192" s="29" t="e">
        <f t="shared" si="149"/>
        <v>#DIV/0!</v>
      </c>
      <c r="R192" s="29" t="e">
        <f t="shared" si="150"/>
        <v>#DIV/0!</v>
      </c>
      <c r="S192" s="1">
        <v>0</v>
      </c>
      <c r="T192" s="1">
        <v>0</v>
      </c>
      <c r="U192" s="24">
        <v>0</v>
      </c>
      <c r="V192" s="25" t="e">
        <f t="shared" si="152"/>
        <v>#DIV/0!</v>
      </c>
      <c r="W192" s="25" t="e">
        <f t="shared" si="153"/>
        <v>#DIV/0!</v>
      </c>
      <c r="X192" s="25" t="e">
        <f t="shared" si="154"/>
        <v>#DIV/0!</v>
      </c>
      <c r="Y192" s="25" t="e">
        <f t="shared" si="155"/>
        <v>#DIV/0!</v>
      </c>
      <c r="Z192" s="25" t="e">
        <f t="shared" si="156"/>
        <v>#DIV/0!</v>
      </c>
      <c r="AA192" s="25" t="e">
        <f t="shared" si="157"/>
        <v>#DIV/0!</v>
      </c>
      <c r="AB192" s="25" t="e">
        <f t="shared" si="158"/>
        <v>#DIV/0!</v>
      </c>
      <c r="AC192" s="25" t="e">
        <f t="shared" si="159"/>
        <v>#DIV/0!</v>
      </c>
      <c r="AD192" s="63" t="e">
        <f t="shared" si="160"/>
        <v>#DIV/0!</v>
      </c>
      <c r="AE192" s="24">
        <f t="shared" si="139"/>
        <v>0</v>
      </c>
    </row>
    <row r="193" spans="1:31" ht="15" x14ac:dyDescent="0.25">
      <c r="A193" s="75">
        <f t="shared" si="151"/>
        <v>46278</v>
      </c>
      <c r="B193" s="15" t="str">
        <f>$B$13</f>
        <v>Partner</v>
      </c>
      <c r="C193" s="15" t="str">
        <f>$C$13</f>
        <v>Rahul</v>
      </c>
      <c r="D193" s="18">
        <f t="shared" si="140"/>
        <v>8.4822659954029387</v>
      </c>
      <c r="E193" s="4">
        <f t="shared" si="141"/>
        <v>21.179909120100255</v>
      </c>
      <c r="F193" s="117">
        <v>20925.750210659051</v>
      </c>
      <c r="G193" s="5">
        <f t="shared" si="142"/>
        <v>2.4969635627530367</v>
      </c>
      <c r="H193" s="4">
        <f t="shared" si="143"/>
        <v>2467</v>
      </c>
      <c r="I193" s="4">
        <f t="shared" si="144"/>
        <v>987.99999999999989</v>
      </c>
      <c r="J193" s="4">
        <f t="shared" si="145"/>
        <v>0.67858127963223513</v>
      </c>
      <c r="K193" s="27">
        <f t="shared" si="146"/>
        <v>0.33929063981611757</v>
      </c>
      <c r="L193" s="30">
        <f t="shared" si="147"/>
        <v>2.1205664988507347</v>
      </c>
      <c r="M193" s="116">
        <v>12</v>
      </c>
      <c r="N193" s="115">
        <v>16</v>
      </c>
      <c r="O193" s="115">
        <v>17859</v>
      </c>
      <c r="P193" s="5">
        <f t="shared" si="148"/>
        <v>1.3333333333333333</v>
      </c>
      <c r="Q193" s="29">
        <f t="shared" si="149"/>
        <v>1488.25</v>
      </c>
      <c r="R193" s="29">
        <f t="shared" si="150"/>
        <v>1116.1875</v>
      </c>
      <c r="S193" s="1">
        <v>0</v>
      </c>
      <c r="T193" s="1">
        <v>0</v>
      </c>
      <c r="U193" s="24">
        <v>0</v>
      </c>
      <c r="V193" s="25">
        <f t="shared" si="152"/>
        <v>1.4147163041696096</v>
      </c>
      <c r="W193" s="25">
        <f t="shared" si="153"/>
        <v>0.75543289205219522</v>
      </c>
      <c r="X193" s="25">
        <f t="shared" si="154"/>
        <v>0.85344610445092073</v>
      </c>
      <c r="Y193" s="25">
        <f t="shared" si="155"/>
        <v>0.53398189433860277</v>
      </c>
      <c r="Z193" s="25">
        <f t="shared" si="156"/>
        <v>0.60326307255776246</v>
      </c>
      <c r="AA193" s="25">
        <f t="shared" si="157"/>
        <v>1.1297444331983808</v>
      </c>
      <c r="AB193" s="25">
        <f t="shared" si="158"/>
        <v>0</v>
      </c>
      <c r="AC193" s="25">
        <f t="shared" si="159"/>
        <v>0</v>
      </c>
      <c r="AD193" s="63">
        <f t="shared" si="160"/>
        <v>0</v>
      </c>
      <c r="AE193" s="24">
        <f t="shared" si="139"/>
        <v>1</v>
      </c>
    </row>
    <row r="194" spans="1:31" ht="15" x14ac:dyDescent="0.25">
      <c r="A194" s="75">
        <f t="shared" si="151"/>
        <v>46278</v>
      </c>
      <c r="B194" s="15" t="str">
        <f>$B$14</f>
        <v>Partner</v>
      </c>
      <c r="C194" s="15" t="str">
        <f>$C$14</f>
        <v>Prince</v>
      </c>
      <c r="D194" s="18">
        <f t="shared" si="140"/>
        <v>8.4822659954029387</v>
      </c>
      <c r="E194" s="4">
        <f t="shared" si="141"/>
        <v>21.179909120100255</v>
      </c>
      <c r="F194" s="117">
        <v>20925.750210659051</v>
      </c>
      <c r="G194" s="5">
        <f t="shared" si="142"/>
        <v>2.4969635627530367</v>
      </c>
      <c r="H194" s="4">
        <f t="shared" si="143"/>
        <v>2467</v>
      </c>
      <c r="I194" s="4">
        <f t="shared" si="144"/>
        <v>987.99999999999989</v>
      </c>
      <c r="J194" s="4">
        <f t="shared" si="145"/>
        <v>0.67858127963223513</v>
      </c>
      <c r="K194" s="27">
        <f t="shared" si="146"/>
        <v>0.33929063981611757</v>
      </c>
      <c r="L194" s="30">
        <f t="shared" si="147"/>
        <v>2.1205664988507347</v>
      </c>
      <c r="M194" s="116">
        <v>10</v>
      </c>
      <c r="N194" s="115">
        <v>15</v>
      </c>
      <c r="O194" s="115">
        <v>17947</v>
      </c>
      <c r="P194" s="5">
        <f t="shared" si="148"/>
        <v>1.5</v>
      </c>
      <c r="Q194" s="29">
        <f t="shared" si="149"/>
        <v>1794.7</v>
      </c>
      <c r="R194" s="29">
        <f t="shared" si="150"/>
        <v>1196.4666666666667</v>
      </c>
      <c r="S194" s="1">
        <v>0</v>
      </c>
      <c r="T194" s="1">
        <v>0</v>
      </c>
      <c r="U194" s="24">
        <v>0</v>
      </c>
      <c r="V194" s="25">
        <f t="shared" si="152"/>
        <v>1.1789302534746746</v>
      </c>
      <c r="W194" s="25">
        <f t="shared" si="153"/>
        <v>0.70821833629893294</v>
      </c>
      <c r="X194" s="25">
        <f t="shared" si="154"/>
        <v>0.85765144949776995</v>
      </c>
      <c r="Y194" s="25">
        <f t="shared" si="155"/>
        <v>0.60072963113092825</v>
      </c>
      <c r="Z194" s="25">
        <f t="shared" si="156"/>
        <v>0.72748277259829752</v>
      </c>
      <c r="AA194" s="25">
        <f t="shared" si="157"/>
        <v>1.2109986504723349</v>
      </c>
      <c r="AB194" s="25">
        <f t="shared" si="158"/>
        <v>0</v>
      </c>
      <c r="AC194" s="25">
        <f t="shared" si="159"/>
        <v>0</v>
      </c>
      <c r="AD194" s="63">
        <f t="shared" si="160"/>
        <v>0</v>
      </c>
      <c r="AE194" s="24">
        <f t="shared" si="139"/>
        <v>1</v>
      </c>
    </row>
    <row r="195" spans="1:31" ht="15" x14ac:dyDescent="0.25">
      <c r="A195" s="75">
        <f t="shared" si="151"/>
        <v>46278</v>
      </c>
      <c r="B195" s="15" t="str">
        <f>$B$15</f>
        <v>Partner</v>
      </c>
      <c r="C195" s="15" t="str">
        <f>$C$15</f>
        <v>Kunal</v>
      </c>
      <c r="D195" s="18">
        <f t="shared" si="140"/>
        <v>8.4822659954029387</v>
      </c>
      <c r="E195" s="4">
        <f t="shared" si="141"/>
        <v>21.179909120100255</v>
      </c>
      <c r="F195" s="117">
        <v>20925.750210659051</v>
      </c>
      <c r="G195" s="5">
        <f t="shared" si="142"/>
        <v>2.4969635627530367</v>
      </c>
      <c r="H195" s="4">
        <f t="shared" si="143"/>
        <v>2467</v>
      </c>
      <c r="I195" s="4">
        <f t="shared" si="144"/>
        <v>987.99999999999989</v>
      </c>
      <c r="J195" s="4">
        <f t="shared" si="145"/>
        <v>0.67858127963223513</v>
      </c>
      <c r="K195" s="27">
        <f t="shared" si="146"/>
        <v>0.33929063981611757</v>
      </c>
      <c r="L195" s="30">
        <f t="shared" si="147"/>
        <v>2.1205664988507347</v>
      </c>
      <c r="M195" s="116">
        <v>6</v>
      </c>
      <c r="N195" s="115">
        <v>35</v>
      </c>
      <c r="O195" s="115">
        <v>34075.300000000003</v>
      </c>
      <c r="P195" s="5">
        <f t="shared" si="148"/>
        <v>5.833333333333333</v>
      </c>
      <c r="Q195" s="29">
        <f t="shared" si="149"/>
        <v>5679.2166666666672</v>
      </c>
      <c r="R195" s="29">
        <f t="shared" si="150"/>
        <v>973.58</v>
      </c>
      <c r="S195" s="1">
        <v>0</v>
      </c>
      <c r="T195" s="1">
        <v>0</v>
      </c>
      <c r="U195" s="24">
        <v>0</v>
      </c>
      <c r="V195" s="25">
        <f t="shared" si="152"/>
        <v>0.70735815208480479</v>
      </c>
      <c r="W195" s="25">
        <f t="shared" si="153"/>
        <v>1.6525094513641769</v>
      </c>
      <c r="X195" s="25">
        <f t="shared" si="154"/>
        <v>1.6283908417602586</v>
      </c>
      <c r="Y195" s="25">
        <f t="shared" si="155"/>
        <v>2.3361707877313873</v>
      </c>
      <c r="Z195" s="25">
        <f t="shared" si="156"/>
        <v>2.3020740440481018</v>
      </c>
      <c r="AA195" s="25">
        <f t="shared" si="157"/>
        <v>0.98540485829959534</v>
      </c>
      <c r="AB195" s="25">
        <f t="shared" si="158"/>
        <v>0</v>
      </c>
      <c r="AC195" s="25">
        <f t="shared" si="159"/>
        <v>0</v>
      </c>
      <c r="AD195" s="63">
        <f t="shared" si="160"/>
        <v>0</v>
      </c>
      <c r="AE195" s="24">
        <f t="shared" si="139"/>
        <v>1</v>
      </c>
    </row>
    <row r="196" spans="1:31" ht="15" x14ac:dyDescent="0.25">
      <c r="A196" s="75">
        <f t="shared" si="151"/>
        <v>46278</v>
      </c>
      <c r="B196" s="15" t="str">
        <f>$B$16</f>
        <v>NA</v>
      </c>
      <c r="C196" s="15" t="str">
        <f>$C$16</f>
        <v>NA</v>
      </c>
      <c r="D196" s="18">
        <f t="shared" si="140"/>
        <v>0</v>
      </c>
      <c r="E196" s="4">
        <f t="shared" si="141"/>
        <v>0</v>
      </c>
      <c r="F196" s="117">
        <v>0</v>
      </c>
      <c r="G196" s="5" t="e">
        <f t="shared" si="142"/>
        <v>#DIV/0!</v>
      </c>
      <c r="H196" s="4" t="e">
        <f t="shared" si="143"/>
        <v>#DIV/0!</v>
      </c>
      <c r="I196" s="4" t="e">
        <f t="shared" si="144"/>
        <v>#DIV/0!</v>
      </c>
      <c r="J196" s="4">
        <f t="shared" si="145"/>
        <v>0</v>
      </c>
      <c r="K196" s="27">
        <f t="shared" si="146"/>
        <v>0</v>
      </c>
      <c r="L196" s="30">
        <f t="shared" si="147"/>
        <v>0</v>
      </c>
      <c r="M196" s="116">
        <v>2</v>
      </c>
      <c r="N196" s="115">
        <v>-2</v>
      </c>
      <c r="O196" s="115">
        <v>-7798</v>
      </c>
      <c r="P196" s="5">
        <f t="shared" si="148"/>
        <v>-1</v>
      </c>
      <c r="Q196" s="29">
        <f t="shared" si="149"/>
        <v>-3899</v>
      </c>
      <c r="R196" s="29">
        <f t="shared" si="150"/>
        <v>3899</v>
      </c>
      <c r="S196" s="1">
        <v>0</v>
      </c>
      <c r="T196" s="1">
        <v>0</v>
      </c>
      <c r="U196" s="24">
        <v>0</v>
      </c>
      <c r="V196" s="25" t="e">
        <f t="shared" si="152"/>
        <v>#DIV/0!</v>
      </c>
      <c r="W196" s="25" t="e">
        <f t="shared" si="153"/>
        <v>#DIV/0!</v>
      </c>
      <c r="X196" s="25" t="e">
        <f t="shared" si="154"/>
        <v>#DIV/0!</v>
      </c>
      <c r="Y196" s="25" t="e">
        <f t="shared" si="155"/>
        <v>#DIV/0!</v>
      </c>
      <c r="Z196" s="25" t="e">
        <f t="shared" si="156"/>
        <v>#DIV/0!</v>
      </c>
      <c r="AA196" s="25" t="e">
        <f t="shared" si="157"/>
        <v>#DIV/0!</v>
      </c>
      <c r="AB196" s="25" t="e">
        <f t="shared" si="158"/>
        <v>#DIV/0!</v>
      </c>
      <c r="AC196" s="25" t="e">
        <f t="shared" si="159"/>
        <v>#DIV/0!</v>
      </c>
      <c r="AD196" s="63" t="e">
        <f t="shared" si="160"/>
        <v>#DIV/0!</v>
      </c>
      <c r="AE196" s="24">
        <f t="shared" si="139"/>
        <v>0</v>
      </c>
    </row>
    <row r="197" spans="1:31" ht="15" x14ac:dyDescent="0.25">
      <c r="A197" s="75">
        <f t="shared" si="151"/>
        <v>46278</v>
      </c>
      <c r="B197" s="15" t="str">
        <f>$B$17</f>
        <v>NA</v>
      </c>
      <c r="C197" s="15" t="str">
        <f>$C$17</f>
        <v>NA</v>
      </c>
      <c r="D197" s="18">
        <f t="shared" si="140"/>
        <v>0</v>
      </c>
      <c r="E197" s="4">
        <f t="shared" si="141"/>
        <v>0</v>
      </c>
      <c r="F197" s="117">
        <v>0</v>
      </c>
      <c r="G197" s="5" t="e">
        <f t="shared" si="142"/>
        <v>#DIV/0!</v>
      </c>
      <c r="H197" s="4" t="e">
        <f t="shared" si="143"/>
        <v>#DIV/0!</v>
      </c>
      <c r="I197" s="4" t="e">
        <f t="shared" si="144"/>
        <v>#DIV/0!</v>
      </c>
      <c r="J197" s="4">
        <f t="shared" si="145"/>
        <v>0</v>
      </c>
      <c r="K197" s="27">
        <f t="shared" si="146"/>
        <v>0</v>
      </c>
      <c r="L197" s="30">
        <f t="shared" si="147"/>
        <v>0</v>
      </c>
      <c r="M197" s="116">
        <v>0</v>
      </c>
      <c r="N197" s="115">
        <v>0</v>
      </c>
      <c r="O197" s="115">
        <v>0</v>
      </c>
      <c r="P197" s="5" t="e">
        <f t="shared" si="148"/>
        <v>#DIV/0!</v>
      </c>
      <c r="Q197" s="29" t="e">
        <f t="shared" si="149"/>
        <v>#DIV/0!</v>
      </c>
      <c r="R197" s="29" t="e">
        <f t="shared" si="150"/>
        <v>#DIV/0!</v>
      </c>
      <c r="S197" s="1">
        <v>0</v>
      </c>
      <c r="T197" s="1">
        <v>0</v>
      </c>
      <c r="U197" s="24">
        <v>0</v>
      </c>
      <c r="V197" s="25" t="e">
        <f t="shared" si="152"/>
        <v>#DIV/0!</v>
      </c>
      <c r="W197" s="25" t="e">
        <f t="shared" si="153"/>
        <v>#DIV/0!</v>
      </c>
      <c r="X197" s="25" t="e">
        <f t="shared" si="154"/>
        <v>#DIV/0!</v>
      </c>
      <c r="Y197" s="25" t="e">
        <f t="shared" si="155"/>
        <v>#DIV/0!</v>
      </c>
      <c r="Z197" s="25" t="e">
        <f t="shared" si="156"/>
        <v>#DIV/0!</v>
      </c>
      <c r="AA197" s="25" t="e">
        <f t="shared" si="157"/>
        <v>#DIV/0!</v>
      </c>
      <c r="AB197" s="25" t="e">
        <f t="shared" si="158"/>
        <v>#DIV/0!</v>
      </c>
      <c r="AC197" s="25" t="e">
        <f t="shared" si="159"/>
        <v>#DIV/0!</v>
      </c>
      <c r="AD197" s="63" t="e">
        <f t="shared" si="160"/>
        <v>#DIV/0!</v>
      </c>
      <c r="AE197" s="24">
        <f t="shared" ref="AE197:AE260" si="161">IF(F197&gt;10,1,0)</f>
        <v>0</v>
      </c>
    </row>
    <row r="198" spans="1:31" ht="15" x14ac:dyDescent="0.25">
      <c r="A198" s="75">
        <f t="shared" si="151"/>
        <v>46278</v>
      </c>
      <c r="B198" s="15" t="str">
        <f>$B$18</f>
        <v>NA</v>
      </c>
      <c r="C198" s="15" t="str">
        <f>$C$18</f>
        <v>NA</v>
      </c>
      <c r="D198" s="18">
        <f t="shared" si="140"/>
        <v>0</v>
      </c>
      <c r="E198" s="4">
        <f t="shared" si="141"/>
        <v>0</v>
      </c>
      <c r="F198" s="117">
        <v>0</v>
      </c>
      <c r="G198" s="5" t="e">
        <f t="shared" si="142"/>
        <v>#DIV/0!</v>
      </c>
      <c r="H198" s="4" t="e">
        <f t="shared" si="143"/>
        <v>#DIV/0!</v>
      </c>
      <c r="I198" s="4" t="e">
        <f t="shared" si="144"/>
        <v>#DIV/0!</v>
      </c>
      <c r="J198" s="4">
        <f t="shared" si="145"/>
        <v>0</v>
      </c>
      <c r="K198" s="27">
        <f t="shared" si="146"/>
        <v>0</v>
      </c>
      <c r="L198" s="30">
        <f t="shared" si="147"/>
        <v>0</v>
      </c>
      <c r="M198" s="116">
        <v>0</v>
      </c>
      <c r="N198" s="115">
        <v>0</v>
      </c>
      <c r="O198" s="115">
        <v>0</v>
      </c>
      <c r="P198" s="5" t="e">
        <f t="shared" si="148"/>
        <v>#DIV/0!</v>
      </c>
      <c r="Q198" s="29" t="e">
        <f t="shared" si="149"/>
        <v>#DIV/0!</v>
      </c>
      <c r="R198" s="29" t="e">
        <f t="shared" si="150"/>
        <v>#DIV/0!</v>
      </c>
      <c r="S198" s="1">
        <v>0</v>
      </c>
      <c r="T198" s="1">
        <v>0</v>
      </c>
      <c r="U198" s="24">
        <v>0</v>
      </c>
      <c r="V198" s="25" t="e">
        <f t="shared" si="152"/>
        <v>#DIV/0!</v>
      </c>
      <c r="W198" s="25" t="e">
        <f t="shared" si="153"/>
        <v>#DIV/0!</v>
      </c>
      <c r="X198" s="25" t="e">
        <f t="shared" si="154"/>
        <v>#DIV/0!</v>
      </c>
      <c r="Y198" s="25" t="e">
        <f t="shared" si="155"/>
        <v>#DIV/0!</v>
      </c>
      <c r="Z198" s="25" t="e">
        <f t="shared" si="156"/>
        <v>#DIV/0!</v>
      </c>
      <c r="AA198" s="25" t="e">
        <f t="shared" si="157"/>
        <v>#DIV/0!</v>
      </c>
      <c r="AB198" s="25" t="e">
        <f t="shared" si="158"/>
        <v>#DIV/0!</v>
      </c>
      <c r="AC198" s="25" t="e">
        <f t="shared" si="159"/>
        <v>#DIV/0!</v>
      </c>
      <c r="AD198" s="63" t="e">
        <f t="shared" si="160"/>
        <v>#DIV/0!</v>
      </c>
      <c r="AE198" s="24">
        <f t="shared" si="161"/>
        <v>0</v>
      </c>
    </row>
    <row r="199" spans="1:31" ht="15" x14ac:dyDescent="0.25">
      <c r="A199" s="75">
        <f t="shared" si="151"/>
        <v>46279</v>
      </c>
      <c r="B199" s="15" t="str">
        <f>$B$4</f>
        <v>DSM</v>
      </c>
      <c r="C199" s="15" t="str">
        <f>$C$4</f>
        <v xml:space="preserve">komal  </v>
      </c>
      <c r="D199" s="18">
        <f t="shared" ref="D199:D262" si="162">F199/$B$1</f>
        <v>0</v>
      </c>
      <c r="E199" s="4">
        <f t="shared" ref="E199:E262" si="163">F199/$C$1</f>
        <v>0</v>
      </c>
      <c r="F199" s="117">
        <v>0</v>
      </c>
      <c r="G199" s="5" t="e">
        <f t="shared" si="142"/>
        <v>#DIV/0!</v>
      </c>
      <c r="H199" s="4" t="e">
        <f t="shared" si="143"/>
        <v>#DIV/0!</v>
      </c>
      <c r="I199" s="4" t="e">
        <f t="shared" si="144"/>
        <v>#DIV/0!</v>
      </c>
      <c r="J199" s="4">
        <f t="shared" si="145"/>
        <v>0</v>
      </c>
      <c r="K199" s="27">
        <f t="shared" si="146"/>
        <v>0</v>
      </c>
      <c r="L199" s="30">
        <f t="shared" si="147"/>
        <v>0</v>
      </c>
      <c r="M199" s="23">
        <v>0</v>
      </c>
      <c r="N199" s="2">
        <v>0</v>
      </c>
      <c r="O199" s="4">
        <v>0</v>
      </c>
      <c r="P199" s="5" t="e">
        <f t="shared" si="148"/>
        <v>#DIV/0!</v>
      </c>
      <c r="Q199" s="29" t="e">
        <f t="shared" si="149"/>
        <v>#DIV/0!</v>
      </c>
      <c r="R199" s="29" t="e">
        <f t="shared" si="150"/>
        <v>#DIV/0!</v>
      </c>
      <c r="S199" s="1">
        <v>0</v>
      </c>
      <c r="T199" s="1">
        <v>0</v>
      </c>
      <c r="U199" s="24">
        <v>0</v>
      </c>
      <c r="V199" s="25" t="e">
        <f t="shared" si="152"/>
        <v>#DIV/0!</v>
      </c>
      <c r="W199" s="25" t="e">
        <f t="shared" si="153"/>
        <v>#DIV/0!</v>
      </c>
      <c r="X199" s="25" t="e">
        <f t="shared" si="154"/>
        <v>#DIV/0!</v>
      </c>
      <c r="Y199" s="25" t="e">
        <f t="shared" si="155"/>
        <v>#DIV/0!</v>
      </c>
      <c r="Z199" s="25" t="e">
        <f t="shared" si="156"/>
        <v>#DIV/0!</v>
      </c>
      <c r="AA199" s="25" t="e">
        <f t="shared" si="157"/>
        <v>#DIV/0!</v>
      </c>
      <c r="AB199" s="25" t="e">
        <f t="shared" si="158"/>
        <v>#DIV/0!</v>
      </c>
      <c r="AC199" s="25" t="e">
        <f t="shared" si="159"/>
        <v>#DIV/0!</v>
      </c>
      <c r="AD199" s="63" t="e">
        <f t="shared" si="160"/>
        <v>#DIV/0!</v>
      </c>
      <c r="AE199" s="24">
        <f t="shared" si="161"/>
        <v>0</v>
      </c>
    </row>
    <row r="200" spans="1:31" ht="15" x14ac:dyDescent="0.25">
      <c r="A200" s="75">
        <f t="shared" si="151"/>
        <v>46279</v>
      </c>
      <c r="B200" s="15" t="str">
        <f>$B$5</f>
        <v>SS</v>
      </c>
      <c r="C200" s="15" t="str">
        <f>$C$5</f>
        <v>Prem</v>
      </c>
      <c r="D200" s="18">
        <f t="shared" si="162"/>
        <v>1.9074483408992364</v>
      </c>
      <c r="E200" s="4">
        <f t="shared" si="163"/>
        <v>4.7628290050591255</v>
      </c>
      <c r="F200" s="117">
        <v>4705.675056998416</v>
      </c>
      <c r="G200" s="5">
        <f t="shared" si="142"/>
        <v>2.4969635627530362</v>
      </c>
      <c r="H200" s="4">
        <f t="shared" si="143"/>
        <v>2467</v>
      </c>
      <c r="I200" s="4">
        <f t="shared" si="144"/>
        <v>988</v>
      </c>
      <c r="J200" s="4">
        <f t="shared" si="145"/>
        <v>0.15259586727193891</v>
      </c>
      <c r="K200" s="27">
        <f t="shared" si="146"/>
        <v>7.6297933635969456E-2</v>
      </c>
      <c r="L200" s="30">
        <f t="shared" si="147"/>
        <v>0.47686208522480911</v>
      </c>
      <c r="M200" s="23">
        <v>3</v>
      </c>
      <c r="N200" s="2">
        <v>4</v>
      </c>
      <c r="O200" s="4">
        <v>3347</v>
      </c>
      <c r="P200" s="5">
        <f t="shared" si="148"/>
        <v>1.3333333333333333</v>
      </c>
      <c r="Q200" s="29">
        <f t="shared" si="149"/>
        <v>1115.6666666666667</v>
      </c>
      <c r="R200" s="29">
        <f t="shared" si="150"/>
        <v>836.75</v>
      </c>
      <c r="S200" s="1">
        <v>0</v>
      </c>
      <c r="T200" s="1">
        <v>0</v>
      </c>
      <c r="U200" s="24">
        <v>0</v>
      </c>
      <c r="V200" s="25">
        <f t="shared" si="152"/>
        <v>1.5727817816474639</v>
      </c>
      <c r="W200" s="25">
        <f t="shared" si="153"/>
        <v>0.8398369951453557</v>
      </c>
      <c r="X200" s="25">
        <f t="shared" si="154"/>
        <v>0.71126883166789101</v>
      </c>
      <c r="Y200" s="25">
        <f t="shared" si="155"/>
        <v>0.53398189433860288</v>
      </c>
      <c r="Z200" s="25">
        <f t="shared" si="156"/>
        <v>0.45223618429941903</v>
      </c>
      <c r="AA200" s="25">
        <f t="shared" si="157"/>
        <v>0.84691295546558709</v>
      </c>
      <c r="AB200" s="25">
        <f t="shared" si="158"/>
        <v>0</v>
      </c>
      <c r="AC200" s="25">
        <f t="shared" si="159"/>
        <v>0</v>
      </c>
      <c r="AD200" s="63">
        <f t="shared" si="160"/>
        <v>0</v>
      </c>
      <c r="AE200" s="24">
        <f t="shared" si="161"/>
        <v>1</v>
      </c>
    </row>
    <row r="201" spans="1:31" ht="15" x14ac:dyDescent="0.25">
      <c r="A201" s="75">
        <f t="shared" si="151"/>
        <v>46279</v>
      </c>
      <c r="B201" s="15" t="str">
        <f>$B$6</f>
        <v>SS</v>
      </c>
      <c r="C201" s="15" t="str">
        <f>$C$6</f>
        <v>Anuj</v>
      </c>
      <c r="D201" s="18">
        <f t="shared" si="162"/>
        <v>0</v>
      </c>
      <c r="E201" s="4">
        <f t="shared" si="163"/>
        <v>0</v>
      </c>
      <c r="F201" s="117">
        <v>0</v>
      </c>
      <c r="G201" s="5" t="e">
        <f t="shared" si="142"/>
        <v>#DIV/0!</v>
      </c>
      <c r="H201" s="4" t="e">
        <f t="shared" si="143"/>
        <v>#DIV/0!</v>
      </c>
      <c r="I201" s="4" t="e">
        <f t="shared" si="144"/>
        <v>#DIV/0!</v>
      </c>
      <c r="J201" s="4">
        <f t="shared" si="145"/>
        <v>0</v>
      </c>
      <c r="K201" s="27">
        <f t="shared" si="146"/>
        <v>0</v>
      </c>
      <c r="L201" s="30">
        <f t="shared" si="147"/>
        <v>0</v>
      </c>
      <c r="M201" s="23">
        <v>0</v>
      </c>
      <c r="N201" s="2">
        <v>0</v>
      </c>
      <c r="O201" s="4">
        <v>0</v>
      </c>
      <c r="P201" s="5" t="e">
        <f t="shared" si="148"/>
        <v>#DIV/0!</v>
      </c>
      <c r="Q201" s="29" t="e">
        <f t="shared" si="149"/>
        <v>#DIV/0!</v>
      </c>
      <c r="R201" s="29" t="e">
        <f t="shared" si="150"/>
        <v>#DIV/0!</v>
      </c>
      <c r="S201" s="1">
        <v>0</v>
      </c>
      <c r="T201" s="1">
        <v>0</v>
      </c>
      <c r="U201" s="24">
        <v>0</v>
      </c>
      <c r="V201" s="25" t="e">
        <f t="shared" si="152"/>
        <v>#DIV/0!</v>
      </c>
      <c r="W201" s="25" t="e">
        <f t="shared" si="153"/>
        <v>#DIV/0!</v>
      </c>
      <c r="X201" s="25" t="e">
        <f t="shared" si="154"/>
        <v>#DIV/0!</v>
      </c>
      <c r="Y201" s="25" t="e">
        <f t="shared" si="155"/>
        <v>#DIV/0!</v>
      </c>
      <c r="Z201" s="25" t="e">
        <f t="shared" si="156"/>
        <v>#DIV/0!</v>
      </c>
      <c r="AA201" s="25" t="e">
        <f t="shared" si="157"/>
        <v>#DIV/0!</v>
      </c>
      <c r="AB201" s="25" t="e">
        <f t="shared" si="158"/>
        <v>#DIV/0!</v>
      </c>
      <c r="AC201" s="25" t="e">
        <f t="shared" si="159"/>
        <v>#DIV/0!</v>
      </c>
      <c r="AD201" s="63" t="e">
        <f t="shared" si="160"/>
        <v>#DIV/0!</v>
      </c>
      <c r="AE201" s="24">
        <f t="shared" si="161"/>
        <v>0</v>
      </c>
    </row>
    <row r="202" spans="1:31" ht="15" x14ac:dyDescent="0.25">
      <c r="A202" s="75">
        <f t="shared" si="151"/>
        <v>46279</v>
      </c>
      <c r="B202" s="15" t="str">
        <f>$B$7</f>
        <v>FC</v>
      </c>
      <c r="C202" s="15" t="str">
        <f>$C$7</f>
        <v>Muskan</v>
      </c>
      <c r="D202" s="18">
        <f t="shared" si="162"/>
        <v>0</v>
      </c>
      <c r="E202" s="4">
        <f t="shared" si="163"/>
        <v>0</v>
      </c>
      <c r="F202" s="117">
        <v>0</v>
      </c>
      <c r="G202" s="5" t="e">
        <f t="shared" si="142"/>
        <v>#DIV/0!</v>
      </c>
      <c r="H202" s="4" t="e">
        <f t="shared" si="143"/>
        <v>#DIV/0!</v>
      </c>
      <c r="I202" s="4" t="e">
        <f t="shared" si="144"/>
        <v>#DIV/0!</v>
      </c>
      <c r="J202" s="4">
        <f t="shared" si="145"/>
        <v>0</v>
      </c>
      <c r="K202" s="27">
        <f t="shared" si="146"/>
        <v>0</v>
      </c>
      <c r="L202" s="30">
        <f t="shared" si="147"/>
        <v>0</v>
      </c>
      <c r="M202" s="23">
        <v>0</v>
      </c>
      <c r="N202" s="2">
        <v>0</v>
      </c>
      <c r="O202" s="4">
        <v>0</v>
      </c>
      <c r="P202" s="5" t="e">
        <f t="shared" si="148"/>
        <v>#DIV/0!</v>
      </c>
      <c r="Q202" s="29" t="e">
        <f t="shared" si="149"/>
        <v>#DIV/0!</v>
      </c>
      <c r="R202" s="29" t="e">
        <f t="shared" si="150"/>
        <v>#DIV/0!</v>
      </c>
      <c r="S202" s="1">
        <v>0</v>
      </c>
      <c r="T202" s="1">
        <v>0</v>
      </c>
      <c r="U202" s="24">
        <v>0</v>
      </c>
      <c r="V202" s="25" t="e">
        <f t="shared" si="152"/>
        <v>#DIV/0!</v>
      </c>
      <c r="W202" s="25" t="e">
        <f t="shared" si="153"/>
        <v>#DIV/0!</v>
      </c>
      <c r="X202" s="25" t="e">
        <f t="shared" si="154"/>
        <v>#DIV/0!</v>
      </c>
      <c r="Y202" s="25" t="e">
        <f t="shared" si="155"/>
        <v>#DIV/0!</v>
      </c>
      <c r="Z202" s="25" t="e">
        <f t="shared" si="156"/>
        <v>#DIV/0!</v>
      </c>
      <c r="AA202" s="25" t="e">
        <f t="shared" si="157"/>
        <v>#DIV/0!</v>
      </c>
      <c r="AB202" s="25" t="e">
        <f t="shared" si="158"/>
        <v>#DIV/0!</v>
      </c>
      <c r="AC202" s="25" t="e">
        <f t="shared" si="159"/>
        <v>#DIV/0!</v>
      </c>
      <c r="AD202" s="63" t="e">
        <f t="shared" si="160"/>
        <v>#DIV/0!</v>
      </c>
      <c r="AE202" s="24">
        <f t="shared" si="161"/>
        <v>0</v>
      </c>
    </row>
    <row r="203" spans="1:31" ht="15" x14ac:dyDescent="0.25">
      <c r="A203" s="75">
        <f t="shared" si="151"/>
        <v>46279</v>
      </c>
      <c r="B203" s="15" t="str">
        <f>$B$8</f>
        <v>FC</v>
      </c>
      <c r="C203" s="15" t="str">
        <f>$C$8</f>
        <v xml:space="preserve">Kajal  </v>
      </c>
      <c r="D203" s="18">
        <f t="shared" si="162"/>
        <v>3.1790805681653937</v>
      </c>
      <c r="E203" s="4">
        <f t="shared" si="163"/>
        <v>7.9380483417652083</v>
      </c>
      <c r="F203" s="117">
        <v>7842.7917616640261</v>
      </c>
      <c r="G203" s="5">
        <f t="shared" si="142"/>
        <v>2.4969635627530362</v>
      </c>
      <c r="H203" s="4">
        <f t="shared" si="143"/>
        <v>2467</v>
      </c>
      <c r="I203" s="4">
        <f t="shared" si="144"/>
        <v>988</v>
      </c>
      <c r="J203" s="4">
        <f t="shared" si="145"/>
        <v>0.25432644545323152</v>
      </c>
      <c r="K203" s="27">
        <f t="shared" si="146"/>
        <v>0.12716322272661576</v>
      </c>
      <c r="L203" s="30">
        <f t="shared" si="147"/>
        <v>0.79477014204134844</v>
      </c>
      <c r="M203" s="23">
        <v>2</v>
      </c>
      <c r="N203" s="2">
        <v>6</v>
      </c>
      <c r="O203" s="4">
        <v>3615</v>
      </c>
      <c r="P203" s="5">
        <f t="shared" si="148"/>
        <v>3</v>
      </c>
      <c r="Q203" s="29">
        <f t="shared" si="149"/>
        <v>1807.5</v>
      </c>
      <c r="R203" s="29">
        <f t="shared" si="150"/>
        <v>602.5</v>
      </c>
      <c r="S203" s="1">
        <v>0</v>
      </c>
      <c r="T203" s="1">
        <v>0</v>
      </c>
      <c r="U203" s="24">
        <v>0</v>
      </c>
      <c r="V203" s="25">
        <f t="shared" si="152"/>
        <v>0.62911271265898561</v>
      </c>
      <c r="W203" s="25">
        <f t="shared" si="153"/>
        <v>0.75585329563082015</v>
      </c>
      <c r="X203" s="25">
        <f t="shared" si="154"/>
        <v>0.46093280426879468</v>
      </c>
      <c r="Y203" s="25">
        <f t="shared" si="155"/>
        <v>1.2014592622618565</v>
      </c>
      <c r="Z203" s="25">
        <f t="shared" si="156"/>
        <v>0.73267126064045396</v>
      </c>
      <c r="AA203" s="25">
        <f t="shared" si="157"/>
        <v>0.60981781376518218</v>
      </c>
      <c r="AB203" s="25">
        <f t="shared" si="158"/>
        <v>0</v>
      </c>
      <c r="AC203" s="25">
        <f t="shared" si="159"/>
        <v>0</v>
      </c>
      <c r="AD203" s="63">
        <f t="shared" si="160"/>
        <v>0</v>
      </c>
      <c r="AE203" s="24">
        <f t="shared" si="161"/>
        <v>1</v>
      </c>
    </row>
    <row r="204" spans="1:31" ht="15" x14ac:dyDescent="0.25">
      <c r="A204" s="75">
        <f t="shared" si="151"/>
        <v>46279</v>
      </c>
      <c r="B204" s="15" t="str">
        <f>$B$9</f>
        <v>FC</v>
      </c>
      <c r="C204" s="15" t="str">
        <f>$C$9</f>
        <v>Pradeep</v>
      </c>
      <c r="D204" s="18">
        <f t="shared" si="162"/>
        <v>5.0865289090646302</v>
      </c>
      <c r="E204" s="4">
        <f t="shared" si="163"/>
        <v>12.700877346824335</v>
      </c>
      <c r="F204" s="117">
        <v>12548.466818662442</v>
      </c>
      <c r="G204" s="5">
        <f t="shared" si="142"/>
        <v>2.4969635627530367</v>
      </c>
      <c r="H204" s="4">
        <f t="shared" si="143"/>
        <v>2467</v>
      </c>
      <c r="I204" s="4">
        <f t="shared" si="144"/>
        <v>988</v>
      </c>
      <c r="J204" s="4">
        <f t="shared" si="145"/>
        <v>0.40692231272517043</v>
      </c>
      <c r="K204" s="27">
        <f t="shared" si="146"/>
        <v>0.20346115636258522</v>
      </c>
      <c r="L204" s="30">
        <f t="shared" si="147"/>
        <v>1.2716322272661575</v>
      </c>
      <c r="M204" s="23">
        <v>2</v>
      </c>
      <c r="N204" s="2">
        <v>9</v>
      </c>
      <c r="O204" s="4">
        <v>12309.2</v>
      </c>
      <c r="P204" s="5">
        <f t="shared" si="148"/>
        <v>4.5</v>
      </c>
      <c r="Q204" s="29">
        <f t="shared" si="149"/>
        <v>6154.6</v>
      </c>
      <c r="R204" s="29">
        <f t="shared" si="150"/>
        <v>1367.6888888888889</v>
      </c>
      <c r="S204" s="1">
        <v>0</v>
      </c>
      <c r="T204" s="1">
        <v>0</v>
      </c>
      <c r="U204" s="24">
        <v>0</v>
      </c>
      <c r="V204" s="25">
        <f t="shared" si="152"/>
        <v>0.39319544541186596</v>
      </c>
      <c r="W204" s="25">
        <f t="shared" si="153"/>
        <v>0.70861246465389383</v>
      </c>
      <c r="X204" s="25">
        <f t="shared" si="154"/>
        <v>0.98093258546083117</v>
      </c>
      <c r="Y204" s="25">
        <f t="shared" si="155"/>
        <v>1.8021888933927845</v>
      </c>
      <c r="Z204" s="25">
        <f t="shared" si="156"/>
        <v>2.4947709768950141</v>
      </c>
      <c r="AA204" s="25">
        <f t="shared" si="157"/>
        <v>1.3843004948268105</v>
      </c>
      <c r="AB204" s="25">
        <f t="shared" si="158"/>
        <v>0</v>
      </c>
      <c r="AC204" s="25">
        <f t="shared" si="159"/>
        <v>0</v>
      </c>
      <c r="AD204" s="63">
        <f t="shared" si="160"/>
        <v>0</v>
      </c>
      <c r="AE204" s="24">
        <f t="shared" si="161"/>
        <v>1</v>
      </c>
    </row>
    <row r="205" spans="1:31" ht="15" x14ac:dyDescent="0.25">
      <c r="A205" s="75">
        <f t="shared" si="151"/>
        <v>46279</v>
      </c>
      <c r="B205" s="15" t="str">
        <f>$B$10</f>
        <v>FC</v>
      </c>
      <c r="C205" s="15" t="str">
        <f>$C$10</f>
        <v>Aftab</v>
      </c>
      <c r="D205" s="18">
        <f t="shared" si="162"/>
        <v>3.1790805681653937</v>
      </c>
      <c r="E205" s="4">
        <f t="shared" si="163"/>
        <v>7.9380483417652083</v>
      </c>
      <c r="F205" s="117">
        <v>7842.7917616640261</v>
      </c>
      <c r="G205" s="5">
        <f t="shared" si="142"/>
        <v>2.4969635627530362</v>
      </c>
      <c r="H205" s="4">
        <f t="shared" si="143"/>
        <v>2467</v>
      </c>
      <c r="I205" s="4">
        <f t="shared" si="144"/>
        <v>988</v>
      </c>
      <c r="J205" s="4">
        <f t="shared" si="145"/>
        <v>0.25432644545323152</v>
      </c>
      <c r="K205" s="27">
        <f t="shared" si="146"/>
        <v>0.12716322272661576</v>
      </c>
      <c r="L205" s="30">
        <f t="shared" si="147"/>
        <v>0.79477014204134844</v>
      </c>
      <c r="M205" s="23">
        <v>2</v>
      </c>
      <c r="N205" s="2">
        <v>4</v>
      </c>
      <c r="O205" s="4">
        <v>8147.15</v>
      </c>
      <c r="P205" s="5">
        <f t="shared" si="148"/>
        <v>2</v>
      </c>
      <c r="Q205" s="29">
        <f t="shared" si="149"/>
        <v>4073.5749999999998</v>
      </c>
      <c r="R205" s="29">
        <f t="shared" si="150"/>
        <v>2036.7874999999999</v>
      </c>
      <c r="S205" s="1">
        <v>0</v>
      </c>
      <c r="T205" s="1">
        <v>0</v>
      </c>
      <c r="U205" s="24">
        <v>0</v>
      </c>
      <c r="V205" s="25">
        <f t="shared" si="152"/>
        <v>0.62911271265898561</v>
      </c>
      <c r="W205" s="25">
        <f t="shared" si="153"/>
        <v>0.50390219708721351</v>
      </c>
      <c r="X205" s="25">
        <f t="shared" si="154"/>
        <v>1.0388073848681909</v>
      </c>
      <c r="Y205" s="25">
        <f t="shared" si="155"/>
        <v>0.80097284150790438</v>
      </c>
      <c r="Z205" s="25">
        <f t="shared" si="156"/>
        <v>1.6512261856505877</v>
      </c>
      <c r="AA205" s="25">
        <f t="shared" si="157"/>
        <v>2.0615258097165992</v>
      </c>
      <c r="AB205" s="25">
        <f t="shared" si="158"/>
        <v>0</v>
      </c>
      <c r="AC205" s="25">
        <f t="shared" si="159"/>
        <v>0</v>
      </c>
      <c r="AD205" s="63">
        <f t="shared" si="160"/>
        <v>0</v>
      </c>
      <c r="AE205" s="24">
        <f t="shared" si="161"/>
        <v>1</v>
      </c>
    </row>
    <row r="206" spans="1:31" ht="15" x14ac:dyDescent="0.25">
      <c r="A206" s="75">
        <f t="shared" si="151"/>
        <v>46279</v>
      </c>
      <c r="B206" s="15" t="str">
        <f>$B$11</f>
        <v>FC</v>
      </c>
      <c r="C206" s="15" t="str">
        <f>$C$11</f>
        <v>Khushi</v>
      </c>
      <c r="D206" s="18">
        <f t="shared" si="162"/>
        <v>6.3581611363307875</v>
      </c>
      <c r="E206" s="4">
        <f t="shared" si="163"/>
        <v>15.876096683530417</v>
      </c>
      <c r="F206" s="117">
        <v>15685.583523328052</v>
      </c>
      <c r="G206" s="5">
        <f t="shared" si="142"/>
        <v>2.4969635627530362</v>
      </c>
      <c r="H206" s="4">
        <f t="shared" si="143"/>
        <v>2467</v>
      </c>
      <c r="I206" s="4">
        <f t="shared" si="144"/>
        <v>988</v>
      </c>
      <c r="J206" s="4">
        <f t="shared" si="145"/>
        <v>0.50865289090646304</v>
      </c>
      <c r="K206" s="27">
        <f t="shared" si="146"/>
        <v>0.25432644545323152</v>
      </c>
      <c r="L206" s="30">
        <f t="shared" si="147"/>
        <v>1.5895402840826969</v>
      </c>
      <c r="M206" s="23">
        <v>4</v>
      </c>
      <c r="N206" s="2">
        <v>13</v>
      </c>
      <c r="O206" s="4">
        <v>22318.2</v>
      </c>
      <c r="P206" s="5">
        <f t="shared" si="148"/>
        <v>3.25</v>
      </c>
      <c r="Q206" s="29">
        <f t="shared" si="149"/>
        <v>5579.55</v>
      </c>
      <c r="R206" s="29">
        <f t="shared" si="150"/>
        <v>1716.7846153846153</v>
      </c>
      <c r="S206" s="1">
        <v>0</v>
      </c>
      <c r="T206" s="1">
        <v>0</v>
      </c>
      <c r="U206" s="24">
        <v>0</v>
      </c>
      <c r="V206" s="25">
        <f t="shared" si="152"/>
        <v>0.62911271265898561</v>
      </c>
      <c r="W206" s="25">
        <f t="shared" si="153"/>
        <v>0.81884107026672193</v>
      </c>
      <c r="X206" s="25">
        <f t="shared" si="154"/>
        <v>1.4228479270030172</v>
      </c>
      <c r="Y206" s="25">
        <f t="shared" si="155"/>
        <v>1.3015808674503446</v>
      </c>
      <c r="Z206" s="25">
        <f t="shared" si="156"/>
        <v>2.261674098094852</v>
      </c>
      <c r="AA206" s="25">
        <f t="shared" si="157"/>
        <v>1.7376362503892868</v>
      </c>
      <c r="AB206" s="25">
        <f t="shared" si="158"/>
        <v>0</v>
      </c>
      <c r="AC206" s="25">
        <f t="shared" si="159"/>
        <v>0</v>
      </c>
      <c r="AD206" s="63">
        <f t="shared" si="160"/>
        <v>0</v>
      </c>
      <c r="AE206" s="24">
        <f t="shared" si="161"/>
        <v>1</v>
      </c>
    </row>
    <row r="207" spans="1:31" ht="15" x14ac:dyDescent="0.25">
      <c r="A207" s="75">
        <f t="shared" si="151"/>
        <v>46279</v>
      </c>
      <c r="B207" s="15" t="str">
        <f>$B$12</f>
        <v>FC</v>
      </c>
      <c r="C207" s="15" t="str">
        <f>$C$12</f>
        <v>Kishan</v>
      </c>
      <c r="D207" s="18">
        <f t="shared" si="162"/>
        <v>0</v>
      </c>
      <c r="E207" s="4">
        <f t="shared" si="163"/>
        <v>0</v>
      </c>
      <c r="F207" s="117">
        <v>0</v>
      </c>
      <c r="G207" s="5" t="e">
        <f t="shared" si="142"/>
        <v>#DIV/0!</v>
      </c>
      <c r="H207" s="4" t="e">
        <f t="shared" si="143"/>
        <v>#DIV/0!</v>
      </c>
      <c r="I207" s="4" t="e">
        <f t="shared" si="144"/>
        <v>#DIV/0!</v>
      </c>
      <c r="J207" s="4">
        <f t="shared" si="145"/>
        <v>0</v>
      </c>
      <c r="K207" s="27">
        <f t="shared" si="146"/>
        <v>0</v>
      </c>
      <c r="L207" s="30">
        <f t="shared" si="147"/>
        <v>0</v>
      </c>
      <c r="M207" s="23">
        <v>0</v>
      </c>
      <c r="N207" s="2">
        <v>0</v>
      </c>
      <c r="O207" s="4">
        <v>0</v>
      </c>
      <c r="P207" s="5" t="e">
        <f t="shared" si="148"/>
        <v>#DIV/0!</v>
      </c>
      <c r="Q207" s="29" t="e">
        <f t="shared" si="149"/>
        <v>#DIV/0!</v>
      </c>
      <c r="R207" s="29" t="e">
        <f t="shared" si="150"/>
        <v>#DIV/0!</v>
      </c>
      <c r="S207" s="1">
        <v>0</v>
      </c>
      <c r="T207" s="1">
        <v>0</v>
      </c>
      <c r="U207" s="24">
        <v>0</v>
      </c>
      <c r="V207" s="25" t="e">
        <f t="shared" si="152"/>
        <v>#DIV/0!</v>
      </c>
      <c r="W207" s="25" t="e">
        <f t="shared" si="153"/>
        <v>#DIV/0!</v>
      </c>
      <c r="X207" s="25" t="e">
        <f t="shared" si="154"/>
        <v>#DIV/0!</v>
      </c>
      <c r="Y207" s="25" t="e">
        <f t="shared" si="155"/>
        <v>#DIV/0!</v>
      </c>
      <c r="Z207" s="25" t="e">
        <f t="shared" si="156"/>
        <v>#DIV/0!</v>
      </c>
      <c r="AA207" s="25" t="e">
        <f t="shared" si="157"/>
        <v>#DIV/0!</v>
      </c>
      <c r="AB207" s="25" t="e">
        <f t="shared" si="158"/>
        <v>#DIV/0!</v>
      </c>
      <c r="AC207" s="25" t="e">
        <f t="shared" si="159"/>
        <v>#DIV/0!</v>
      </c>
      <c r="AD207" s="63" t="e">
        <f t="shared" si="160"/>
        <v>#DIV/0!</v>
      </c>
      <c r="AE207" s="24">
        <f t="shared" si="161"/>
        <v>0</v>
      </c>
    </row>
    <row r="208" spans="1:31" ht="15" x14ac:dyDescent="0.25">
      <c r="A208" s="75">
        <f t="shared" si="151"/>
        <v>46279</v>
      </c>
      <c r="B208" s="15" t="str">
        <f>$B$13</f>
        <v>Partner</v>
      </c>
      <c r="C208" s="15" t="str">
        <f>$C$13</f>
        <v>Rahul</v>
      </c>
      <c r="D208" s="18">
        <f t="shared" si="162"/>
        <v>0</v>
      </c>
      <c r="E208" s="4">
        <f t="shared" si="163"/>
        <v>0</v>
      </c>
      <c r="F208" s="117">
        <v>0</v>
      </c>
      <c r="G208" s="5" t="e">
        <f t="shared" si="142"/>
        <v>#DIV/0!</v>
      </c>
      <c r="H208" s="4" t="e">
        <f t="shared" si="143"/>
        <v>#DIV/0!</v>
      </c>
      <c r="I208" s="4" t="e">
        <f t="shared" si="144"/>
        <v>#DIV/0!</v>
      </c>
      <c r="J208" s="4">
        <f t="shared" si="145"/>
        <v>0</v>
      </c>
      <c r="K208" s="27">
        <f t="shared" si="146"/>
        <v>0</v>
      </c>
      <c r="L208" s="30">
        <f t="shared" si="147"/>
        <v>0</v>
      </c>
      <c r="M208" s="23">
        <v>0</v>
      </c>
      <c r="N208" s="2">
        <v>0</v>
      </c>
      <c r="O208" s="4">
        <v>0</v>
      </c>
      <c r="P208" s="5" t="e">
        <f t="shared" si="148"/>
        <v>#DIV/0!</v>
      </c>
      <c r="Q208" s="29" t="e">
        <f t="shared" si="149"/>
        <v>#DIV/0!</v>
      </c>
      <c r="R208" s="29" t="e">
        <f t="shared" si="150"/>
        <v>#DIV/0!</v>
      </c>
      <c r="S208" s="1">
        <v>0</v>
      </c>
      <c r="T208" s="1">
        <v>0</v>
      </c>
      <c r="U208" s="24">
        <v>0</v>
      </c>
      <c r="V208" s="25" t="e">
        <f t="shared" si="152"/>
        <v>#DIV/0!</v>
      </c>
      <c r="W208" s="25" t="e">
        <f t="shared" si="153"/>
        <v>#DIV/0!</v>
      </c>
      <c r="X208" s="25" t="e">
        <f t="shared" si="154"/>
        <v>#DIV/0!</v>
      </c>
      <c r="Y208" s="25" t="e">
        <f t="shared" si="155"/>
        <v>#DIV/0!</v>
      </c>
      <c r="Z208" s="25" t="e">
        <f t="shared" si="156"/>
        <v>#DIV/0!</v>
      </c>
      <c r="AA208" s="25" t="e">
        <f t="shared" si="157"/>
        <v>#DIV/0!</v>
      </c>
      <c r="AB208" s="25" t="e">
        <f t="shared" si="158"/>
        <v>#DIV/0!</v>
      </c>
      <c r="AC208" s="25" t="e">
        <f t="shared" si="159"/>
        <v>#DIV/0!</v>
      </c>
      <c r="AD208" s="63" t="e">
        <f t="shared" si="160"/>
        <v>#DIV/0!</v>
      </c>
      <c r="AE208" s="24">
        <f t="shared" si="161"/>
        <v>0</v>
      </c>
    </row>
    <row r="209" spans="1:31" ht="15" x14ac:dyDescent="0.25">
      <c r="A209" s="75">
        <f t="shared" si="151"/>
        <v>46279</v>
      </c>
      <c r="B209" s="15" t="str">
        <f>$B$14</f>
        <v>Partner</v>
      </c>
      <c r="C209" s="15" t="str">
        <f>$C$14</f>
        <v>Prince</v>
      </c>
      <c r="D209" s="18">
        <f t="shared" si="162"/>
        <v>5.7223450226977093</v>
      </c>
      <c r="E209" s="4">
        <f t="shared" si="163"/>
        <v>14.288487015177378</v>
      </c>
      <c r="F209" s="117">
        <v>14117.025170995248</v>
      </c>
      <c r="G209" s="5">
        <f t="shared" si="142"/>
        <v>2.4969635627530367</v>
      </c>
      <c r="H209" s="4">
        <f t="shared" si="143"/>
        <v>2467</v>
      </c>
      <c r="I209" s="4">
        <f t="shared" si="144"/>
        <v>987.99999999999989</v>
      </c>
      <c r="J209" s="4">
        <f t="shared" si="145"/>
        <v>0.45778760181581674</v>
      </c>
      <c r="K209" s="27">
        <f t="shared" si="146"/>
        <v>0.22889380090790837</v>
      </c>
      <c r="L209" s="30">
        <f t="shared" si="147"/>
        <v>1.4305862556744273</v>
      </c>
      <c r="M209" s="23">
        <v>2</v>
      </c>
      <c r="N209" s="2">
        <v>4</v>
      </c>
      <c r="O209" s="4">
        <v>3419.4</v>
      </c>
      <c r="P209" s="5">
        <f t="shared" si="148"/>
        <v>2</v>
      </c>
      <c r="Q209" s="29">
        <f t="shared" si="149"/>
        <v>1709.7</v>
      </c>
      <c r="R209" s="29">
        <f t="shared" si="150"/>
        <v>854.85</v>
      </c>
      <c r="S209" s="1">
        <v>0</v>
      </c>
      <c r="T209" s="1">
        <v>0</v>
      </c>
      <c r="U209" s="24">
        <v>0</v>
      </c>
      <c r="V209" s="25">
        <f t="shared" si="152"/>
        <v>0.34950706258832531</v>
      </c>
      <c r="W209" s="25">
        <f t="shared" si="153"/>
        <v>0.27994566504845186</v>
      </c>
      <c r="X209" s="25">
        <f t="shared" si="154"/>
        <v>0.24221816980432095</v>
      </c>
      <c r="Y209" s="25">
        <f t="shared" si="155"/>
        <v>0.80097284150790427</v>
      </c>
      <c r="Z209" s="25">
        <f t="shared" si="156"/>
        <v>0.6930279691933523</v>
      </c>
      <c r="AA209" s="25">
        <f t="shared" si="157"/>
        <v>0.86523279352226734</v>
      </c>
      <c r="AB209" s="25">
        <f t="shared" si="158"/>
        <v>0</v>
      </c>
      <c r="AC209" s="25">
        <f t="shared" si="159"/>
        <v>0</v>
      </c>
      <c r="AD209" s="63">
        <f t="shared" si="160"/>
        <v>0</v>
      </c>
      <c r="AE209" s="24">
        <f t="shared" si="161"/>
        <v>1</v>
      </c>
    </row>
    <row r="210" spans="1:31" ht="15" x14ac:dyDescent="0.25">
      <c r="A210" s="75">
        <f t="shared" si="151"/>
        <v>46279</v>
      </c>
      <c r="B210" s="15" t="str">
        <f>$B$15</f>
        <v>Partner</v>
      </c>
      <c r="C210" s="15" t="str">
        <f>$C$15</f>
        <v>Kunal</v>
      </c>
      <c r="D210" s="18">
        <f t="shared" si="162"/>
        <v>5.7223450226977093</v>
      </c>
      <c r="E210" s="4">
        <f t="shared" si="163"/>
        <v>14.288487015177378</v>
      </c>
      <c r="F210" s="117">
        <v>14117.025170995248</v>
      </c>
      <c r="G210" s="5">
        <f t="shared" si="142"/>
        <v>2.4969635627530367</v>
      </c>
      <c r="H210" s="4">
        <f t="shared" si="143"/>
        <v>2467</v>
      </c>
      <c r="I210" s="4">
        <f t="shared" si="144"/>
        <v>987.99999999999989</v>
      </c>
      <c r="J210" s="4">
        <f t="shared" si="145"/>
        <v>0.45778760181581674</v>
      </c>
      <c r="K210" s="27">
        <f t="shared" si="146"/>
        <v>0.22889380090790837</v>
      </c>
      <c r="L210" s="30">
        <f t="shared" si="147"/>
        <v>1.4305862556744273</v>
      </c>
      <c r="M210" s="23">
        <v>4</v>
      </c>
      <c r="N210" s="2">
        <v>10</v>
      </c>
      <c r="O210" s="4">
        <v>8999.35</v>
      </c>
      <c r="P210" s="5">
        <f t="shared" si="148"/>
        <v>2.5</v>
      </c>
      <c r="Q210" s="29">
        <f t="shared" si="149"/>
        <v>2249.8375000000001</v>
      </c>
      <c r="R210" s="29">
        <f t="shared" si="150"/>
        <v>899.93500000000006</v>
      </c>
      <c r="S210" s="1">
        <v>0</v>
      </c>
      <c r="T210" s="1">
        <v>0</v>
      </c>
      <c r="U210" s="24">
        <v>0</v>
      </c>
      <c r="V210" s="25">
        <f t="shared" si="152"/>
        <v>0.69901412517665062</v>
      </c>
      <c r="W210" s="25">
        <f t="shared" si="153"/>
        <v>0.69986416262112972</v>
      </c>
      <c r="X210" s="25">
        <f t="shared" si="154"/>
        <v>0.63748203966441941</v>
      </c>
      <c r="Y210" s="25">
        <f t="shared" si="155"/>
        <v>1.0012160518848803</v>
      </c>
      <c r="Z210" s="25">
        <f t="shared" si="156"/>
        <v>0.91197304418321856</v>
      </c>
      <c r="AA210" s="25">
        <f t="shared" si="157"/>
        <v>0.9108653846153848</v>
      </c>
      <c r="AB210" s="25">
        <f t="shared" si="158"/>
        <v>0</v>
      </c>
      <c r="AC210" s="25">
        <f t="shared" si="159"/>
        <v>0</v>
      </c>
      <c r="AD210" s="63">
        <f t="shared" si="160"/>
        <v>0</v>
      </c>
      <c r="AE210" s="24">
        <f t="shared" si="161"/>
        <v>1</v>
      </c>
    </row>
    <row r="211" spans="1:31" ht="15" x14ac:dyDescent="0.25">
      <c r="A211" s="75">
        <f t="shared" ref="A211:A274" si="164">A196+1</f>
        <v>46279</v>
      </c>
      <c r="B211" s="15" t="str">
        <f>$B$16</f>
        <v>NA</v>
      </c>
      <c r="C211" s="15" t="str">
        <f>$C$16</f>
        <v>NA</v>
      </c>
      <c r="D211" s="18">
        <f t="shared" si="162"/>
        <v>0</v>
      </c>
      <c r="E211" s="4">
        <f t="shared" si="163"/>
        <v>0</v>
      </c>
      <c r="F211" s="117">
        <v>0</v>
      </c>
      <c r="G211" s="5" t="e">
        <f t="shared" si="142"/>
        <v>#DIV/0!</v>
      </c>
      <c r="H211" s="4" t="e">
        <f t="shared" si="143"/>
        <v>#DIV/0!</v>
      </c>
      <c r="I211" s="4" t="e">
        <f t="shared" si="144"/>
        <v>#DIV/0!</v>
      </c>
      <c r="J211" s="4">
        <f t="shared" si="145"/>
        <v>0</v>
      </c>
      <c r="K211" s="27">
        <f t="shared" si="146"/>
        <v>0</v>
      </c>
      <c r="L211" s="30">
        <f t="shared" si="147"/>
        <v>0</v>
      </c>
      <c r="M211" s="23">
        <v>1</v>
      </c>
      <c r="N211" s="2">
        <v>-1</v>
      </c>
      <c r="O211" s="4">
        <v>-1499</v>
      </c>
      <c r="P211" s="5">
        <f t="shared" si="148"/>
        <v>-1</v>
      </c>
      <c r="Q211" s="29">
        <f t="shared" si="149"/>
        <v>-1499</v>
      </c>
      <c r="R211" s="29">
        <f t="shared" si="150"/>
        <v>1499</v>
      </c>
      <c r="S211" s="1">
        <v>0</v>
      </c>
      <c r="T211" s="1">
        <v>0</v>
      </c>
      <c r="U211" s="24">
        <v>0</v>
      </c>
      <c r="V211" s="25" t="e">
        <f t="shared" si="152"/>
        <v>#DIV/0!</v>
      </c>
      <c r="W211" s="25" t="e">
        <f t="shared" si="153"/>
        <v>#DIV/0!</v>
      </c>
      <c r="X211" s="25" t="e">
        <f t="shared" si="154"/>
        <v>#DIV/0!</v>
      </c>
      <c r="Y211" s="25" t="e">
        <f t="shared" si="155"/>
        <v>#DIV/0!</v>
      </c>
      <c r="Z211" s="25" t="e">
        <f t="shared" si="156"/>
        <v>#DIV/0!</v>
      </c>
      <c r="AA211" s="25" t="e">
        <f t="shared" si="157"/>
        <v>#DIV/0!</v>
      </c>
      <c r="AB211" s="25" t="e">
        <f t="shared" si="158"/>
        <v>#DIV/0!</v>
      </c>
      <c r="AC211" s="25" t="e">
        <f t="shared" si="159"/>
        <v>#DIV/0!</v>
      </c>
      <c r="AD211" s="63" t="e">
        <f t="shared" si="160"/>
        <v>#DIV/0!</v>
      </c>
      <c r="AE211" s="24">
        <f t="shared" si="161"/>
        <v>0</v>
      </c>
    </row>
    <row r="212" spans="1:31" x14ac:dyDescent="0.2">
      <c r="A212" s="75">
        <f t="shared" si="164"/>
        <v>46279</v>
      </c>
      <c r="B212" s="15" t="str">
        <f>$B$17</f>
        <v>NA</v>
      </c>
      <c r="C212" s="15" t="str">
        <f>$C$17</f>
        <v>NA</v>
      </c>
      <c r="D212" s="18">
        <f t="shared" si="162"/>
        <v>0</v>
      </c>
      <c r="E212" s="4">
        <f t="shared" si="163"/>
        <v>0</v>
      </c>
      <c r="F212" s="4">
        <v>0</v>
      </c>
      <c r="G212" s="5" t="e">
        <f t="shared" si="142"/>
        <v>#DIV/0!</v>
      </c>
      <c r="H212" s="4" t="e">
        <f t="shared" si="143"/>
        <v>#DIV/0!</v>
      </c>
      <c r="I212" s="4" t="e">
        <f t="shared" si="144"/>
        <v>#DIV/0!</v>
      </c>
      <c r="J212" s="4">
        <f t="shared" si="145"/>
        <v>0</v>
      </c>
      <c r="K212" s="27">
        <f t="shared" si="146"/>
        <v>0</v>
      </c>
      <c r="L212" s="30">
        <f t="shared" si="147"/>
        <v>0</v>
      </c>
      <c r="M212" s="23">
        <v>0</v>
      </c>
      <c r="N212" s="2">
        <v>0</v>
      </c>
      <c r="O212" s="4">
        <v>0</v>
      </c>
      <c r="P212" s="5" t="e">
        <f t="shared" si="148"/>
        <v>#DIV/0!</v>
      </c>
      <c r="Q212" s="29" t="e">
        <f t="shared" si="149"/>
        <v>#DIV/0!</v>
      </c>
      <c r="R212" s="29" t="e">
        <f t="shared" si="150"/>
        <v>#DIV/0!</v>
      </c>
      <c r="S212" s="1">
        <v>0</v>
      </c>
      <c r="T212" s="1">
        <v>0</v>
      </c>
      <c r="U212" s="24">
        <v>0</v>
      </c>
      <c r="V212" s="25" t="e">
        <f t="shared" si="152"/>
        <v>#DIV/0!</v>
      </c>
      <c r="W212" s="25" t="e">
        <f t="shared" si="153"/>
        <v>#DIV/0!</v>
      </c>
      <c r="X212" s="25" t="e">
        <f t="shared" si="154"/>
        <v>#DIV/0!</v>
      </c>
      <c r="Y212" s="25" t="e">
        <f t="shared" si="155"/>
        <v>#DIV/0!</v>
      </c>
      <c r="Z212" s="25" t="e">
        <f t="shared" si="156"/>
        <v>#DIV/0!</v>
      </c>
      <c r="AA212" s="25" t="e">
        <f t="shared" si="157"/>
        <v>#DIV/0!</v>
      </c>
      <c r="AB212" s="25" t="e">
        <f t="shared" si="158"/>
        <v>#DIV/0!</v>
      </c>
      <c r="AC212" s="25" t="e">
        <f t="shared" si="159"/>
        <v>#DIV/0!</v>
      </c>
      <c r="AD212" s="63" t="e">
        <f t="shared" si="160"/>
        <v>#DIV/0!</v>
      </c>
      <c r="AE212" s="24">
        <f t="shared" si="161"/>
        <v>0</v>
      </c>
    </row>
    <row r="213" spans="1:31" x14ac:dyDescent="0.2">
      <c r="A213" s="75">
        <f t="shared" si="164"/>
        <v>46279</v>
      </c>
      <c r="B213" s="15" t="str">
        <f>$B$18</f>
        <v>NA</v>
      </c>
      <c r="C213" s="15" t="str">
        <f>$C$18</f>
        <v>NA</v>
      </c>
      <c r="D213" s="18">
        <f t="shared" si="162"/>
        <v>0</v>
      </c>
      <c r="E213" s="4">
        <f t="shared" si="163"/>
        <v>0</v>
      </c>
      <c r="F213" s="4">
        <v>0</v>
      </c>
      <c r="G213" s="5" t="e">
        <f t="shared" ref="G213:G281" si="165">E213/D213</f>
        <v>#DIV/0!</v>
      </c>
      <c r="H213" s="4" t="e">
        <f t="shared" ref="H213:H281" si="166">F213/D213</f>
        <v>#DIV/0!</v>
      </c>
      <c r="I213" s="4" t="e">
        <f t="shared" ref="I213:I281" si="167">F213/E213</f>
        <v>#DIV/0!</v>
      </c>
      <c r="J213" s="4">
        <f t="shared" ref="J213:J281" si="168">D213*8%</f>
        <v>0</v>
      </c>
      <c r="K213" s="27">
        <f t="shared" ref="K213:K281" si="169">D213*4%</f>
        <v>0</v>
      </c>
      <c r="L213" s="30">
        <f t="shared" ref="L213:L281" si="170">D213*25%</f>
        <v>0</v>
      </c>
      <c r="M213" s="23">
        <v>0</v>
      </c>
      <c r="N213" s="2">
        <v>0</v>
      </c>
      <c r="O213" s="4">
        <v>0</v>
      </c>
      <c r="P213" s="5" t="e">
        <f t="shared" ref="P213:P281" si="171">N213/M213</f>
        <v>#DIV/0!</v>
      </c>
      <c r="Q213" s="29" t="e">
        <f t="shared" ref="Q213:Q281" si="172">O213/M213</f>
        <v>#DIV/0!</v>
      </c>
      <c r="R213" s="29" t="e">
        <f t="shared" ref="R213:R281" si="173">O213/N213</f>
        <v>#DIV/0!</v>
      </c>
      <c r="S213" s="1">
        <v>0</v>
      </c>
      <c r="T213" s="1">
        <v>0</v>
      </c>
      <c r="U213" s="24">
        <v>0</v>
      </c>
      <c r="V213" s="25" t="e">
        <f t="shared" si="152"/>
        <v>#DIV/0!</v>
      </c>
      <c r="W213" s="25" t="e">
        <f t="shared" si="153"/>
        <v>#DIV/0!</v>
      </c>
      <c r="X213" s="25" t="e">
        <f t="shared" si="154"/>
        <v>#DIV/0!</v>
      </c>
      <c r="Y213" s="25" t="e">
        <f t="shared" si="155"/>
        <v>#DIV/0!</v>
      </c>
      <c r="Z213" s="25" t="e">
        <f t="shared" si="156"/>
        <v>#DIV/0!</v>
      </c>
      <c r="AA213" s="25" t="e">
        <f t="shared" si="157"/>
        <v>#DIV/0!</v>
      </c>
      <c r="AB213" s="25" t="e">
        <f t="shared" si="158"/>
        <v>#DIV/0!</v>
      </c>
      <c r="AC213" s="25" t="e">
        <f t="shared" si="159"/>
        <v>#DIV/0!</v>
      </c>
      <c r="AD213" s="63" t="e">
        <f t="shared" si="160"/>
        <v>#DIV/0!</v>
      </c>
      <c r="AE213" s="24">
        <f t="shared" si="161"/>
        <v>0</v>
      </c>
    </row>
    <row r="214" spans="1:31" x14ac:dyDescent="0.2">
      <c r="A214" s="75">
        <f t="shared" si="164"/>
        <v>46280</v>
      </c>
      <c r="B214" s="15" t="str">
        <f>$B$4</f>
        <v>DSM</v>
      </c>
      <c r="C214" s="15" t="str">
        <f>$C$4</f>
        <v xml:space="preserve">komal  </v>
      </c>
      <c r="D214" s="18">
        <f t="shared" si="162"/>
        <v>0</v>
      </c>
      <c r="E214" s="4">
        <f t="shared" si="163"/>
        <v>0</v>
      </c>
      <c r="F214" s="4">
        <v>0</v>
      </c>
      <c r="G214" s="5" t="e">
        <f t="shared" si="165"/>
        <v>#DIV/0!</v>
      </c>
      <c r="H214" s="4" t="e">
        <f t="shared" si="166"/>
        <v>#DIV/0!</v>
      </c>
      <c r="I214" s="4" t="e">
        <f t="shared" si="167"/>
        <v>#DIV/0!</v>
      </c>
      <c r="J214" s="4">
        <f t="shared" si="168"/>
        <v>0</v>
      </c>
      <c r="K214" s="27">
        <f t="shared" si="169"/>
        <v>0</v>
      </c>
      <c r="L214" s="30">
        <f t="shared" si="170"/>
        <v>0</v>
      </c>
      <c r="M214" s="23">
        <v>0</v>
      </c>
      <c r="N214" s="2">
        <v>0</v>
      </c>
      <c r="O214" s="4">
        <v>0</v>
      </c>
      <c r="P214" s="5" t="e">
        <f t="shared" si="171"/>
        <v>#DIV/0!</v>
      </c>
      <c r="Q214" s="29" t="e">
        <f t="shared" si="172"/>
        <v>#DIV/0!</v>
      </c>
      <c r="R214" s="29" t="e">
        <f t="shared" si="173"/>
        <v>#DIV/0!</v>
      </c>
      <c r="S214" s="1">
        <v>0</v>
      </c>
      <c r="T214" s="1">
        <v>0</v>
      </c>
      <c r="U214" s="24">
        <v>0</v>
      </c>
      <c r="V214" s="25" t="e">
        <f t="shared" si="152"/>
        <v>#DIV/0!</v>
      </c>
      <c r="W214" s="25" t="e">
        <f t="shared" si="153"/>
        <v>#DIV/0!</v>
      </c>
      <c r="X214" s="25" t="e">
        <f t="shared" si="154"/>
        <v>#DIV/0!</v>
      </c>
      <c r="Y214" s="25" t="e">
        <f t="shared" si="155"/>
        <v>#DIV/0!</v>
      </c>
      <c r="Z214" s="25" t="e">
        <f t="shared" si="156"/>
        <v>#DIV/0!</v>
      </c>
      <c r="AA214" s="25" t="e">
        <f t="shared" si="157"/>
        <v>#DIV/0!</v>
      </c>
      <c r="AB214" s="25" t="e">
        <f t="shared" si="158"/>
        <v>#DIV/0!</v>
      </c>
      <c r="AC214" s="25" t="e">
        <f t="shared" si="159"/>
        <v>#DIV/0!</v>
      </c>
      <c r="AD214" s="63" t="e">
        <f t="shared" si="160"/>
        <v>#DIV/0!</v>
      </c>
      <c r="AE214" s="24">
        <f t="shared" si="161"/>
        <v>0</v>
      </c>
    </row>
    <row r="215" spans="1:31" x14ac:dyDescent="0.2">
      <c r="A215" s="75">
        <f t="shared" si="164"/>
        <v>46280</v>
      </c>
      <c r="B215" s="15" t="str">
        <f>$B$5</f>
        <v>SS</v>
      </c>
      <c r="C215" s="15" t="str">
        <f>$C$5</f>
        <v>Prem</v>
      </c>
      <c r="D215" s="18">
        <f t="shared" si="162"/>
        <v>0</v>
      </c>
      <c r="E215" s="4">
        <f t="shared" si="163"/>
        <v>0</v>
      </c>
      <c r="F215" s="4">
        <v>0</v>
      </c>
      <c r="G215" s="5" t="e">
        <f t="shared" si="165"/>
        <v>#DIV/0!</v>
      </c>
      <c r="H215" s="4" t="e">
        <f t="shared" si="166"/>
        <v>#DIV/0!</v>
      </c>
      <c r="I215" s="4" t="e">
        <f t="shared" si="167"/>
        <v>#DIV/0!</v>
      </c>
      <c r="J215" s="4">
        <f t="shared" si="168"/>
        <v>0</v>
      </c>
      <c r="K215" s="27">
        <f t="shared" si="169"/>
        <v>0</v>
      </c>
      <c r="L215" s="30">
        <f t="shared" si="170"/>
        <v>0</v>
      </c>
      <c r="M215" s="23">
        <v>0</v>
      </c>
      <c r="N215" s="2">
        <v>0</v>
      </c>
      <c r="O215" s="4">
        <v>0</v>
      </c>
      <c r="P215" s="5" t="e">
        <f t="shared" si="171"/>
        <v>#DIV/0!</v>
      </c>
      <c r="Q215" s="29" t="e">
        <f t="shared" si="172"/>
        <v>#DIV/0!</v>
      </c>
      <c r="R215" s="29" t="e">
        <f t="shared" si="173"/>
        <v>#DIV/0!</v>
      </c>
      <c r="S215" s="1">
        <v>0</v>
      </c>
      <c r="T215" s="1">
        <v>0</v>
      </c>
      <c r="U215" s="24">
        <v>0</v>
      </c>
      <c r="V215" s="25" t="e">
        <f t="shared" si="152"/>
        <v>#DIV/0!</v>
      </c>
      <c r="W215" s="25" t="e">
        <f t="shared" si="153"/>
        <v>#DIV/0!</v>
      </c>
      <c r="X215" s="25" t="e">
        <f t="shared" si="154"/>
        <v>#DIV/0!</v>
      </c>
      <c r="Y215" s="25" t="e">
        <f t="shared" si="155"/>
        <v>#DIV/0!</v>
      </c>
      <c r="Z215" s="25" t="e">
        <f t="shared" si="156"/>
        <v>#DIV/0!</v>
      </c>
      <c r="AA215" s="25" t="e">
        <f t="shared" si="157"/>
        <v>#DIV/0!</v>
      </c>
      <c r="AB215" s="25" t="e">
        <f t="shared" si="158"/>
        <v>#DIV/0!</v>
      </c>
      <c r="AC215" s="25" t="e">
        <f t="shared" si="159"/>
        <v>#DIV/0!</v>
      </c>
      <c r="AD215" s="63" t="e">
        <f t="shared" si="160"/>
        <v>#DIV/0!</v>
      </c>
      <c r="AE215" s="24">
        <f t="shared" si="161"/>
        <v>0</v>
      </c>
    </row>
    <row r="216" spans="1:31" x14ac:dyDescent="0.2">
      <c r="A216" s="75">
        <f t="shared" si="164"/>
        <v>46280</v>
      </c>
      <c r="B216" s="15" t="str">
        <f>$B$6</f>
        <v>SS</v>
      </c>
      <c r="C216" s="15" t="str">
        <f>$C$6</f>
        <v>Anuj</v>
      </c>
      <c r="D216" s="18">
        <f t="shared" si="162"/>
        <v>3.0544107419628292</v>
      </c>
      <c r="E216" s="4">
        <f t="shared" si="163"/>
        <v>7.6267523283626515</v>
      </c>
      <c r="F216" s="4">
        <v>7535.2313004222997</v>
      </c>
      <c r="G216" s="5">
        <f t="shared" si="165"/>
        <v>2.4969635627530362</v>
      </c>
      <c r="H216" s="4">
        <f t="shared" si="166"/>
        <v>2467</v>
      </c>
      <c r="I216" s="4">
        <f t="shared" si="167"/>
        <v>988</v>
      </c>
      <c r="J216" s="4">
        <f t="shared" si="168"/>
        <v>0.24435285935702636</v>
      </c>
      <c r="K216" s="27">
        <f t="shared" si="169"/>
        <v>0.12217642967851318</v>
      </c>
      <c r="L216" s="30">
        <f t="shared" si="170"/>
        <v>0.76360268549070731</v>
      </c>
      <c r="M216" s="23">
        <v>1</v>
      </c>
      <c r="N216" s="2">
        <v>4</v>
      </c>
      <c r="O216" s="4">
        <v>2588</v>
      </c>
      <c r="P216" s="5">
        <f t="shared" si="171"/>
        <v>4</v>
      </c>
      <c r="Q216" s="29">
        <f t="shared" si="172"/>
        <v>2588</v>
      </c>
      <c r="R216" s="29">
        <f t="shared" si="173"/>
        <v>647</v>
      </c>
      <c r="S216" s="1">
        <v>0</v>
      </c>
      <c r="T216" s="1">
        <v>0</v>
      </c>
      <c r="U216" s="24">
        <v>0</v>
      </c>
      <c r="V216" s="25">
        <f t="shared" si="152"/>
        <v>0.32739539128171702</v>
      </c>
      <c r="W216" s="25">
        <f t="shared" si="153"/>
        <v>0.52446963370301802</v>
      </c>
      <c r="X216" s="25">
        <f t="shared" si="154"/>
        <v>0.34345329251604523</v>
      </c>
      <c r="Y216" s="25">
        <f t="shared" si="155"/>
        <v>1.6019456830158088</v>
      </c>
      <c r="Z216" s="25">
        <f t="shared" si="156"/>
        <v>1.0490474260235103</v>
      </c>
      <c r="AA216" s="25">
        <f t="shared" si="157"/>
        <v>0.65485829959514175</v>
      </c>
      <c r="AB216" s="25">
        <f t="shared" si="158"/>
        <v>0</v>
      </c>
      <c r="AC216" s="25">
        <f t="shared" si="159"/>
        <v>0</v>
      </c>
      <c r="AD216" s="63">
        <f t="shared" si="160"/>
        <v>0</v>
      </c>
      <c r="AE216" s="24">
        <f t="shared" si="161"/>
        <v>1</v>
      </c>
    </row>
    <row r="217" spans="1:31" x14ac:dyDescent="0.2">
      <c r="A217" s="75">
        <f t="shared" si="164"/>
        <v>46280</v>
      </c>
      <c r="B217" s="15" t="str">
        <f>$B$7</f>
        <v>FC</v>
      </c>
      <c r="C217" s="15" t="str">
        <f>$C$7</f>
        <v>Muskan</v>
      </c>
      <c r="D217" s="18">
        <f t="shared" si="162"/>
        <v>6.1088214839256585</v>
      </c>
      <c r="E217" s="4">
        <f t="shared" si="163"/>
        <v>15.253504656725303</v>
      </c>
      <c r="F217" s="4">
        <v>15070.462600844599</v>
      </c>
      <c r="G217" s="5">
        <f t="shared" si="165"/>
        <v>2.4969635627530362</v>
      </c>
      <c r="H217" s="4">
        <f t="shared" si="166"/>
        <v>2467</v>
      </c>
      <c r="I217" s="4">
        <f t="shared" si="167"/>
        <v>988</v>
      </c>
      <c r="J217" s="4">
        <f t="shared" si="168"/>
        <v>0.48870571871405272</v>
      </c>
      <c r="K217" s="27">
        <f t="shared" si="169"/>
        <v>0.24435285935702636</v>
      </c>
      <c r="L217" s="30">
        <f t="shared" si="170"/>
        <v>1.5272053709814146</v>
      </c>
      <c r="M217" s="23">
        <v>5</v>
      </c>
      <c r="N217" s="2">
        <v>14</v>
      </c>
      <c r="O217" s="4">
        <v>15436</v>
      </c>
      <c r="P217" s="5">
        <f t="shared" si="171"/>
        <v>2.8</v>
      </c>
      <c r="Q217" s="29">
        <f t="shared" si="172"/>
        <v>3087.2</v>
      </c>
      <c r="R217" s="29">
        <f t="shared" si="173"/>
        <v>1102.5714285714287</v>
      </c>
      <c r="S217" s="1">
        <v>0</v>
      </c>
      <c r="T217" s="1">
        <v>0</v>
      </c>
      <c r="U217" s="24">
        <v>0</v>
      </c>
      <c r="V217" s="25">
        <f t="shared" si="152"/>
        <v>0.81848847820429249</v>
      </c>
      <c r="W217" s="25">
        <f t="shared" si="153"/>
        <v>0.91782185898028157</v>
      </c>
      <c r="X217" s="25">
        <f t="shared" si="154"/>
        <v>1.0242552208805398</v>
      </c>
      <c r="Y217" s="25">
        <f t="shared" si="155"/>
        <v>1.1213619781110662</v>
      </c>
      <c r="Z217" s="25">
        <f t="shared" si="156"/>
        <v>1.2513984596676124</v>
      </c>
      <c r="AA217" s="25">
        <f t="shared" si="157"/>
        <v>1.1159629843840371</v>
      </c>
      <c r="AB217" s="25">
        <f t="shared" si="158"/>
        <v>0</v>
      </c>
      <c r="AC217" s="25">
        <f t="shared" si="159"/>
        <v>0</v>
      </c>
      <c r="AD217" s="63">
        <f t="shared" si="160"/>
        <v>0</v>
      </c>
      <c r="AE217" s="24">
        <f t="shared" si="161"/>
        <v>1</v>
      </c>
    </row>
    <row r="218" spans="1:31" x14ac:dyDescent="0.2">
      <c r="A218" s="75">
        <f t="shared" si="164"/>
        <v>46280</v>
      </c>
      <c r="B218" s="15" t="str">
        <f>$B$8</f>
        <v>FC</v>
      </c>
      <c r="C218" s="15" t="str">
        <f>$C$8</f>
        <v xml:space="preserve">Kajal  </v>
      </c>
      <c r="D218" s="18">
        <f t="shared" si="162"/>
        <v>1.8326464451776976</v>
      </c>
      <c r="E218" s="4">
        <f t="shared" si="163"/>
        <v>4.5760513970175909</v>
      </c>
      <c r="F218" s="4">
        <v>4521.13878025338</v>
      </c>
      <c r="G218" s="5">
        <f t="shared" si="165"/>
        <v>2.4969635627530362</v>
      </c>
      <c r="H218" s="4">
        <f t="shared" si="166"/>
        <v>2467</v>
      </c>
      <c r="I218" s="4">
        <f t="shared" si="167"/>
        <v>988</v>
      </c>
      <c r="J218" s="4">
        <f t="shared" si="168"/>
        <v>0.14661171561421582</v>
      </c>
      <c r="K218" s="27">
        <f t="shared" si="169"/>
        <v>7.330585780710791E-2</v>
      </c>
      <c r="L218" s="30">
        <f t="shared" si="170"/>
        <v>0.4581616112944244</v>
      </c>
      <c r="M218" s="23">
        <v>2</v>
      </c>
      <c r="N218" s="2">
        <v>2</v>
      </c>
      <c r="O218" s="4">
        <v>2348</v>
      </c>
      <c r="P218" s="5">
        <f t="shared" si="171"/>
        <v>1</v>
      </c>
      <c r="Q218" s="29">
        <f t="shared" si="172"/>
        <v>1174</v>
      </c>
      <c r="R218" s="29">
        <f t="shared" si="173"/>
        <v>1174</v>
      </c>
      <c r="S218" s="1">
        <v>0</v>
      </c>
      <c r="T218" s="1">
        <v>0</v>
      </c>
      <c r="U218" s="24">
        <v>0</v>
      </c>
      <c r="V218" s="25">
        <f t="shared" si="152"/>
        <v>1.0913179709390566</v>
      </c>
      <c r="W218" s="25">
        <f t="shared" si="153"/>
        <v>0.43705802808584837</v>
      </c>
      <c r="X218" s="25">
        <f t="shared" si="154"/>
        <v>0.51933818317083602</v>
      </c>
      <c r="Y218" s="25">
        <f t="shared" si="155"/>
        <v>0.40048642075395219</v>
      </c>
      <c r="Z218" s="25">
        <f t="shared" si="156"/>
        <v>0.47588163761653829</v>
      </c>
      <c r="AA218" s="25">
        <f t="shared" si="157"/>
        <v>1.1882591093117409</v>
      </c>
      <c r="AB218" s="25">
        <f t="shared" si="158"/>
        <v>0</v>
      </c>
      <c r="AC218" s="25">
        <f t="shared" si="159"/>
        <v>0</v>
      </c>
      <c r="AD218" s="63">
        <f t="shared" si="160"/>
        <v>0</v>
      </c>
      <c r="AE218" s="24">
        <f t="shared" si="161"/>
        <v>1</v>
      </c>
    </row>
    <row r="219" spans="1:31" x14ac:dyDescent="0.2">
      <c r="A219" s="75">
        <f t="shared" si="164"/>
        <v>46280</v>
      </c>
      <c r="B219" s="15" t="str">
        <f>$B$9</f>
        <v>FC</v>
      </c>
      <c r="C219" s="15" t="str">
        <f>$C$9</f>
        <v>Pradeep</v>
      </c>
      <c r="D219" s="18">
        <f t="shared" si="162"/>
        <v>3.0544107419628292</v>
      </c>
      <c r="E219" s="4">
        <f t="shared" si="163"/>
        <v>7.6267523283626515</v>
      </c>
      <c r="F219" s="4">
        <v>7535.2313004222997</v>
      </c>
      <c r="G219" s="5">
        <f t="shared" si="165"/>
        <v>2.4969635627530362</v>
      </c>
      <c r="H219" s="4">
        <f t="shared" si="166"/>
        <v>2467</v>
      </c>
      <c r="I219" s="4">
        <f t="shared" si="167"/>
        <v>988</v>
      </c>
      <c r="J219" s="4">
        <f t="shared" si="168"/>
        <v>0.24435285935702636</v>
      </c>
      <c r="K219" s="27">
        <f t="shared" si="169"/>
        <v>0.12217642967851318</v>
      </c>
      <c r="L219" s="30">
        <f t="shared" si="170"/>
        <v>0.76360268549070731</v>
      </c>
      <c r="M219" s="23">
        <v>2</v>
      </c>
      <c r="N219" s="2">
        <v>3</v>
      </c>
      <c r="O219" s="4">
        <v>2347</v>
      </c>
      <c r="P219" s="5">
        <f t="shared" si="171"/>
        <v>1.5</v>
      </c>
      <c r="Q219" s="29">
        <f t="shared" si="172"/>
        <v>1173.5</v>
      </c>
      <c r="R219" s="29">
        <f t="shared" si="173"/>
        <v>782.33333333333337</v>
      </c>
      <c r="S219" s="1">
        <v>0</v>
      </c>
      <c r="T219" s="1">
        <v>0</v>
      </c>
      <c r="U219" s="24">
        <v>0</v>
      </c>
      <c r="V219" s="25">
        <f t="shared" si="152"/>
        <v>0.65479078256343404</v>
      </c>
      <c r="W219" s="25">
        <f t="shared" si="153"/>
        <v>0.39335222527726355</v>
      </c>
      <c r="X219" s="25">
        <f t="shared" si="154"/>
        <v>0.31147019997494518</v>
      </c>
      <c r="Y219" s="25">
        <f t="shared" si="155"/>
        <v>0.60072963113092825</v>
      </c>
      <c r="Z219" s="25">
        <f t="shared" si="156"/>
        <v>0.47567896230239159</v>
      </c>
      <c r="AA219" s="25">
        <f t="shared" si="157"/>
        <v>0.79183535762483137</v>
      </c>
      <c r="AB219" s="25">
        <f t="shared" si="158"/>
        <v>0</v>
      </c>
      <c r="AC219" s="25">
        <f t="shared" si="159"/>
        <v>0</v>
      </c>
      <c r="AD219" s="63">
        <f t="shared" si="160"/>
        <v>0</v>
      </c>
      <c r="AE219" s="24">
        <f t="shared" si="161"/>
        <v>1</v>
      </c>
    </row>
    <row r="220" spans="1:31" x14ac:dyDescent="0.2">
      <c r="A220" s="75">
        <f t="shared" si="164"/>
        <v>46280</v>
      </c>
      <c r="B220" s="15" t="str">
        <f>$B$10</f>
        <v>FC</v>
      </c>
      <c r="C220" s="15" t="str">
        <f>$C$10</f>
        <v>Aftab</v>
      </c>
      <c r="D220" s="18">
        <f t="shared" si="162"/>
        <v>3.0544107419628292</v>
      </c>
      <c r="E220" s="4">
        <f t="shared" si="163"/>
        <v>7.6267523283626515</v>
      </c>
      <c r="F220" s="4">
        <v>7535.2313004222997</v>
      </c>
      <c r="G220" s="5">
        <f t="shared" si="165"/>
        <v>2.4969635627530362</v>
      </c>
      <c r="H220" s="4">
        <f t="shared" si="166"/>
        <v>2467</v>
      </c>
      <c r="I220" s="4">
        <f t="shared" si="167"/>
        <v>988</v>
      </c>
      <c r="J220" s="4">
        <f t="shared" si="168"/>
        <v>0.24435285935702636</v>
      </c>
      <c r="K220" s="27">
        <f t="shared" si="169"/>
        <v>0.12217642967851318</v>
      </c>
      <c r="L220" s="30">
        <f t="shared" si="170"/>
        <v>0.76360268549070731</v>
      </c>
      <c r="M220" s="23">
        <v>5</v>
      </c>
      <c r="N220" s="2">
        <v>7</v>
      </c>
      <c r="O220" s="4">
        <v>9712.16</v>
      </c>
      <c r="P220" s="5">
        <f t="shared" si="171"/>
        <v>1.4</v>
      </c>
      <c r="Q220" s="29">
        <f t="shared" si="172"/>
        <v>1942.432</v>
      </c>
      <c r="R220" s="29">
        <f t="shared" si="173"/>
        <v>1387.4514285714286</v>
      </c>
      <c r="S220" s="1">
        <v>0</v>
      </c>
      <c r="T220" s="1">
        <v>0</v>
      </c>
      <c r="U220" s="24">
        <v>0</v>
      </c>
      <c r="V220" s="25">
        <f t="shared" si="152"/>
        <v>1.636976956408585</v>
      </c>
      <c r="W220" s="25">
        <f t="shared" si="153"/>
        <v>0.91782185898028157</v>
      </c>
      <c r="X220" s="25">
        <f t="shared" si="154"/>
        <v>1.2889000500164736</v>
      </c>
      <c r="Y220" s="25">
        <f t="shared" si="155"/>
        <v>0.5606809890555331</v>
      </c>
      <c r="Z220" s="25">
        <f t="shared" si="156"/>
        <v>0.78736603161734897</v>
      </c>
      <c r="AA220" s="25">
        <f t="shared" si="157"/>
        <v>1.4043030653556969</v>
      </c>
      <c r="AB220" s="25">
        <f t="shared" si="158"/>
        <v>0</v>
      </c>
      <c r="AC220" s="25">
        <f t="shared" si="159"/>
        <v>0</v>
      </c>
      <c r="AD220" s="63">
        <f t="shared" si="160"/>
        <v>0</v>
      </c>
      <c r="AE220" s="24">
        <f t="shared" si="161"/>
        <v>1</v>
      </c>
    </row>
    <row r="221" spans="1:31" x14ac:dyDescent="0.2">
      <c r="A221" s="75">
        <f t="shared" si="164"/>
        <v>46280</v>
      </c>
      <c r="B221" s="15" t="str">
        <f>$B$11</f>
        <v>FC</v>
      </c>
      <c r="C221" s="15" t="str">
        <f>$C$11</f>
        <v>Khushi</v>
      </c>
      <c r="D221" s="18">
        <f t="shared" si="162"/>
        <v>0</v>
      </c>
      <c r="E221" s="4">
        <f t="shared" si="163"/>
        <v>0</v>
      </c>
      <c r="F221" s="4">
        <v>0</v>
      </c>
      <c r="G221" s="5" t="e">
        <f t="shared" si="165"/>
        <v>#DIV/0!</v>
      </c>
      <c r="H221" s="4" t="e">
        <f t="shared" si="166"/>
        <v>#DIV/0!</v>
      </c>
      <c r="I221" s="4" t="e">
        <f t="shared" si="167"/>
        <v>#DIV/0!</v>
      </c>
      <c r="J221" s="4">
        <f t="shared" si="168"/>
        <v>0</v>
      </c>
      <c r="K221" s="27">
        <f t="shared" si="169"/>
        <v>0</v>
      </c>
      <c r="L221" s="30">
        <f t="shared" si="170"/>
        <v>0</v>
      </c>
      <c r="M221" s="23">
        <v>0</v>
      </c>
      <c r="N221" s="2">
        <v>0</v>
      </c>
      <c r="O221" s="4">
        <v>0</v>
      </c>
      <c r="P221" s="5" t="e">
        <f t="shared" si="171"/>
        <v>#DIV/0!</v>
      </c>
      <c r="Q221" s="29" t="e">
        <f t="shared" si="172"/>
        <v>#DIV/0!</v>
      </c>
      <c r="R221" s="29" t="e">
        <f t="shared" si="173"/>
        <v>#DIV/0!</v>
      </c>
      <c r="S221" s="1">
        <v>0</v>
      </c>
      <c r="T221" s="1">
        <v>0</v>
      </c>
      <c r="U221" s="24">
        <v>0</v>
      </c>
      <c r="V221" s="25" t="e">
        <f t="shared" si="152"/>
        <v>#DIV/0!</v>
      </c>
      <c r="W221" s="25" t="e">
        <f t="shared" si="153"/>
        <v>#DIV/0!</v>
      </c>
      <c r="X221" s="25" t="e">
        <f t="shared" si="154"/>
        <v>#DIV/0!</v>
      </c>
      <c r="Y221" s="25" t="e">
        <f t="shared" si="155"/>
        <v>#DIV/0!</v>
      </c>
      <c r="Z221" s="25" t="e">
        <f t="shared" si="156"/>
        <v>#DIV/0!</v>
      </c>
      <c r="AA221" s="25" t="e">
        <f t="shared" si="157"/>
        <v>#DIV/0!</v>
      </c>
      <c r="AB221" s="25" t="e">
        <f t="shared" si="158"/>
        <v>#DIV/0!</v>
      </c>
      <c r="AC221" s="25" t="e">
        <f t="shared" si="159"/>
        <v>#DIV/0!</v>
      </c>
      <c r="AD221" s="63" t="e">
        <f t="shared" si="160"/>
        <v>#DIV/0!</v>
      </c>
      <c r="AE221" s="24">
        <f t="shared" si="161"/>
        <v>0</v>
      </c>
    </row>
    <row r="222" spans="1:31" x14ac:dyDescent="0.2">
      <c r="A222" s="75">
        <f t="shared" si="164"/>
        <v>46280</v>
      </c>
      <c r="B222" s="15" t="str">
        <f>$B$12</f>
        <v>FC</v>
      </c>
      <c r="C222" s="15" t="str">
        <f>$C$12</f>
        <v>Kishan</v>
      </c>
      <c r="D222" s="18">
        <f t="shared" si="162"/>
        <v>3.0544107419628292</v>
      </c>
      <c r="E222" s="4">
        <f t="shared" si="163"/>
        <v>7.6267523283626515</v>
      </c>
      <c r="F222" s="4">
        <v>7535.2313004222997</v>
      </c>
      <c r="G222" s="5">
        <f t="shared" si="165"/>
        <v>2.4969635627530362</v>
      </c>
      <c r="H222" s="4">
        <f t="shared" si="166"/>
        <v>2467</v>
      </c>
      <c r="I222" s="4">
        <f t="shared" si="167"/>
        <v>988</v>
      </c>
      <c r="J222" s="4">
        <f t="shared" si="168"/>
        <v>0.24435285935702636</v>
      </c>
      <c r="K222" s="27">
        <f t="shared" si="169"/>
        <v>0.12217642967851318</v>
      </c>
      <c r="L222" s="30">
        <f t="shared" si="170"/>
        <v>0.76360268549070731</v>
      </c>
      <c r="M222" s="23">
        <v>0</v>
      </c>
      <c r="N222" s="2">
        <v>0</v>
      </c>
      <c r="O222" s="4">
        <v>0</v>
      </c>
      <c r="P222" s="5" t="e">
        <f t="shared" si="171"/>
        <v>#DIV/0!</v>
      </c>
      <c r="Q222" s="29" t="e">
        <f t="shared" si="172"/>
        <v>#DIV/0!</v>
      </c>
      <c r="R222" s="29" t="e">
        <f t="shared" si="173"/>
        <v>#DIV/0!</v>
      </c>
      <c r="S222" s="1">
        <v>0</v>
      </c>
      <c r="T222" s="1">
        <v>0</v>
      </c>
      <c r="U222" s="24">
        <v>0</v>
      </c>
      <c r="V222" s="25">
        <f t="shared" si="152"/>
        <v>0</v>
      </c>
      <c r="W222" s="25">
        <f t="shared" si="153"/>
        <v>0</v>
      </c>
      <c r="X222" s="25">
        <f t="shared" si="154"/>
        <v>0</v>
      </c>
      <c r="Y222" s="25" t="e">
        <f t="shared" si="155"/>
        <v>#DIV/0!</v>
      </c>
      <c r="Z222" s="25" t="e">
        <f t="shared" si="156"/>
        <v>#DIV/0!</v>
      </c>
      <c r="AA222" s="25" t="e">
        <f t="shared" si="157"/>
        <v>#DIV/0!</v>
      </c>
      <c r="AB222" s="25">
        <f t="shared" si="158"/>
        <v>0</v>
      </c>
      <c r="AC222" s="25">
        <f t="shared" si="159"/>
        <v>0</v>
      </c>
      <c r="AD222" s="63">
        <f t="shared" si="160"/>
        <v>0</v>
      </c>
      <c r="AE222" s="24">
        <f t="shared" si="161"/>
        <v>1</v>
      </c>
    </row>
    <row r="223" spans="1:31" x14ac:dyDescent="0.2">
      <c r="A223" s="75">
        <f t="shared" si="164"/>
        <v>46280</v>
      </c>
      <c r="B223" s="15" t="str">
        <f>$B$13</f>
        <v>Partner</v>
      </c>
      <c r="C223" s="15" t="str">
        <f>$C$13</f>
        <v>Rahul</v>
      </c>
      <c r="D223" s="18">
        <f t="shared" si="162"/>
        <v>5.4979393355330926</v>
      </c>
      <c r="E223" s="4">
        <f t="shared" si="163"/>
        <v>13.728154191052772</v>
      </c>
      <c r="F223" s="4">
        <v>13563.416340760139</v>
      </c>
      <c r="G223" s="5">
        <f t="shared" si="165"/>
        <v>2.4969635627530362</v>
      </c>
      <c r="H223" s="4">
        <f t="shared" si="166"/>
        <v>2467</v>
      </c>
      <c r="I223" s="4">
        <f t="shared" si="167"/>
        <v>988</v>
      </c>
      <c r="J223" s="4">
        <f t="shared" si="168"/>
        <v>0.43983514684264741</v>
      </c>
      <c r="K223" s="27">
        <f t="shared" si="169"/>
        <v>0.2199175734213237</v>
      </c>
      <c r="L223" s="30">
        <f t="shared" si="170"/>
        <v>1.3744848338832731</v>
      </c>
      <c r="M223" s="23">
        <v>1</v>
      </c>
      <c r="N223" s="2">
        <v>1</v>
      </c>
      <c r="O223" s="4">
        <v>899</v>
      </c>
      <c r="P223" s="5">
        <f t="shared" si="171"/>
        <v>1</v>
      </c>
      <c r="Q223" s="29">
        <f t="shared" si="172"/>
        <v>899</v>
      </c>
      <c r="R223" s="29">
        <f t="shared" si="173"/>
        <v>899</v>
      </c>
      <c r="S223" s="1">
        <v>0</v>
      </c>
      <c r="T223" s="1">
        <v>0</v>
      </c>
      <c r="U223" s="24">
        <v>0</v>
      </c>
      <c r="V223" s="25">
        <f t="shared" si="152"/>
        <v>0.18188632848984276</v>
      </c>
      <c r="W223" s="25">
        <f t="shared" si="153"/>
        <v>7.2843004680974738E-2</v>
      </c>
      <c r="X223" s="25">
        <f t="shared" si="154"/>
        <v>6.6281236040684505E-2</v>
      </c>
      <c r="Y223" s="25">
        <f t="shared" si="155"/>
        <v>0.40048642075395219</v>
      </c>
      <c r="Z223" s="25">
        <f t="shared" si="156"/>
        <v>0.36441021483583297</v>
      </c>
      <c r="AA223" s="25">
        <f t="shared" si="157"/>
        <v>0.90991902834008098</v>
      </c>
      <c r="AB223" s="25">
        <f t="shared" si="158"/>
        <v>0</v>
      </c>
      <c r="AC223" s="25">
        <f t="shared" si="159"/>
        <v>0</v>
      </c>
      <c r="AD223" s="63">
        <f t="shared" si="160"/>
        <v>0</v>
      </c>
      <c r="AE223" s="24">
        <f t="shared" si="161"/>
        <v>1</v>
      </c>
    </row>
    <row r="224" spans="1:31" x14ac:dyDescent="0.2">
      <c r="A224" s="75">
        <f t="shared" si="164"/>
        <v>46280</v>
      </c>
      <c r="B224" s="15" t="str">
        <f>$B$14</f>
        <v>Partner</v>
      </c>
      <c r="C224" s="15" t="str">
        <f>$C$14</f>
        <v>Prince</v>
      </c>
      <c r="D224" s="18">
        <f t="shared" si="162"/>
        <v>0</v>
      </c>
      <c r="E224" s="4">
        <f t="shared" si="163"/>
        <v>0</v>
      </c>
      <c r="F224" s="4">
        <v>0</v>
      </c>
      <c r="G224" s="5" t="e">
        <f t="shared" si="165"/>
        <v>#DIV/0!</v>
      </c>
      <c r="H224" s="4" t="e">
        <f t="shared" si="166"/>
        <v>#DIV/0!</v>
      </c>
      <c r="I224" s="4" t="e">
        <f t="shared" si="167"/>
        <v>#DIV/0!</v>
      </c>
      <c r="J224" s="4">
        <f t="shared" si="168"/>
        <v>0</v>
      </c>
      <c r="K224" s="27">
        <f t="shared" si="169"/>
        <v>0</v>
      </c>
      <c r="L224" s="30">
        <f t="shared" si="170"/>
        <v>0</v>
      </c>
      <c r="M224" s="23">
        <v>0</v>
      </c>
      <c r="N224" s="2">
        <v>0</v>
      </c>
      <c r="O224" s="4">
        <v>0</v>
      </c>
      <c r="P224" s="5" t="e">
        <f t="shared" si="171"/>
        <v>#DIV/0!</v>
      </c>
      <c r="Q224" s="29" t="e">
        <f t="shared" si="172"/>
        <v>#DIV/0!</v>
      </c>
      <c r="R224" s="29" t="e">
        <f t="shared" si="173"/>
        <v>#DIV/0!</v>
      </c>
      <c r="S224" s="1">
        <v>0</v>
      </c>
      <c r="T224" s="1">
        <v>0</v>
      </c>
      <c r="U224" s="24">
        <v>0</v>
      </c>
      <c r="V224" s="25" t="e">
        <f t="shared" si="152"/>
        <v>#DIV/0!</v>
      </c>
      <c r="W224" s="25" t="e">
        <f t="shared" si="153"/>
        <v>#DIV/0!</v>
      </c>
      <c r="X224" s="25" t="e">
        <f t="shared" si="154"/>
        <v>#DIV/0!</v>
      </c>
      <c r="Y224" s="25" t="e">
        <f t="shared" si="155"/>
        <v>#DIV/0!</v>
      </c>
      <c r="Z224" s="25" t="e">
        <f t="shared" si="156"/>
        <v>#DIV/0!</v>
      </c>
      <c r="AA224" s="25" t="e">
        <f t="shared" si="157"/>
        <v>#DIV/0!</v>
      </c>
      <c r="AB224" s="25" t="e">
        <f t="shared" si="158"/>
        <v>#DIV/0!</v>
      </c>
      <c r="AC224" s="25" t="e">
        <f t="shared" si="159"/>
        <v>#DIV/0!</v>
      </c>
      <c r="AD224" s="63" t="e">
        <f t="shared" si="160"/>
        <v>#DIV/0!</v>
      </c>
      <c r="AE224" s="24">
        <f t="shared" si="161"/>
        <v>0</v>
      </c>
    </row>
    <row r="225" spans="1:31" x14ac:dyDescent="0.2">
      <c r="A225" s="75">
        <f t="shared" si="164"/>
        <v>46280</v>
      </c>
      <c r="B225" s="15" t="str">
        <f>$B$15</f>
        <v>Partner</v>
      </c>
      <c r="C225" s="15" t="str">
        <f>$C$15</f>
        <v>Kunal</v>
      </c>
      <c r="D225" s="18">
        <f t="shared" si="162"/>
        <v>5.4979393355330926</v>
      </c>
      <c r="E225" s="4">
        <f t="shared" si="163"/>
        <v>13.728154191052772</v>
      </c>
      <c r="F225" s="4">
        <v>13563.416340760139</v>
      </c>
      <c r="G225" s="5">
        <f t="shared" si="165"/>
        <v>2.4969635627530362</v>
      </c>
      <c r="H225" s="4">
        <f t="shared" si="166"/>
        <v>2467</v>
      </c>
      <c r="I225" s="4">
        <f t="shared" si="167"/>
        <v>988</v>
      </c>
      <c r="J225" s="4">
        <f t="shared" si="168"/>
        <v>0.43983514684264741</v>
      </c>
      <c r="K225" s="27">
        <f t="shared" si="169"/>
        <v>0.2199175734213237</v>
      </c>
      <c r="L225" s="30">
        <f t="shared" si="170"/>
        <v>1.3744848338832731</v>
      </c>
      <c r="M225" s="23">
        <v>4</v>
      </c>
      <c r="N225" s="2">
        <v>16</v>
      </c>
      <c r="O225" s="4">
        <v>12000.32</v>
      </c>
      <c r="P225" s="5">
        <f t="shared" si="171"/>
        <v>4</v>
      </c>
      <c r="Q225" s="29">
        <f t="shared" si="172"/>
        <v>3000.08</v>
      </c>
      <c r="R225" s="29">
        <f t="shared" si="173"/>
        <v>750.02</v>
      </c>
      <c r="S225" s="1">
        <v>0</v>
      </c>
      <c r="T225" s="1">
        <v>0</v>
      </c>
      <c r="U225" s="24">
        <v>0</v>
      </c>
      <c r="V225" s="25">
        <f t="shared" si="152"/>
        <v>0.72754531395937105</v>
      </c>
      <c r="W225" s="25">
        <f t="shared" si="153"/>
        <v>1.1654880748955958</v>
      </c>
      <c r="X225" s="25">
        <f t="shared" si="154"/>
        <v>0.88475644325222136</v>
      </c>
      <c r="Y225" s="25">
        <f t="shared" si="155"/>
        <v>1.6019456830158088</v>
      </c>
      <c r="Z225" s="25">
        <f t="shared" si="156"/>
        <v>1.2160843129306851</v>
      </c>
      <c r="AA225" s="25">
        <f t="shared" si="157"/>
        <v>0.7591295546558704</v>
      </c>
      <c r="AB225" s="25">
        <f t="shared" si="158"/>
        <v>0</v>
      </c>
      <c r="AC225" s="25">
        <f t="shared" si="159"/>
        <v>0</v>
      </c>
      <c r="AD225" s="63">
        <f t="shared" si="160"/>
        <v>0</v>
      </c>
      <c r="AE225" s="24">
        <f t="shared" si="161"/>
        <v>1</v>
      </c>
    </row>
    <row r="226" spans="1:31" x14ac:dyDescent="0.2">
      <c r="A226" s="75">
        <f t="shared" si="164"/>
        <v>46280</v>
      </c>
      <c r="B226" s="15" t="str">
        <f>$B$16</f>
        <v>NA</v>
      </c>
      <c r="C226" s="15" t="str">
        <f>$C$16</f>
        <v>NA</v>
      </c>
      <c r="D226" s="18">
        <f t="shared" si="162"/>
        <v>0</v>
      </c>
      <c r="E226" s="4">
        <f t="shared" si="163"/>
        <v>0</v>
      </c>
      <c r="F226" s="4">
        <v>0</v>
      </c>
      <c r="G226" s="5" t="e">
        <f t="shared" si="165"/>
        <v>#DIV/0!</v>
      </c>
      <c r="H226" s="4" t="e">
        <f t="shared" si="166"/>
        <v>#DIV/0!</v>
      </c>
      <c r="I226" s="4" t="e">
        <f t="shared" si="167"/>
        <v>#DIV/0!</v>
      </c>
      <c r="J226" s="4">
        <f t="shared" si="168"/>
        <v>0</v>
      </c>
      <c r="K226" s="27">
        <f t="shared" si="169"/>
        <v>0</v>
      </c>
      <c r="L226" s="30">
        <f t="shared" si="170"/>
        <v>0</v>
      </c>
      <c r="M226" s="23">
        <v>0</v>
      </c>
      <c r="N226" s="2">
        <v>0</v>
      </c>
      <c r="O226" s="4">
        <v>0</v>
      </c>
      <c r="P226" s="5" t="e">
        <f t="shared" si="171"/>
        <v>#DIV/0!</v>
      </c>
      <c r="Q226" s="29" t="e">
        <f t="shared" si="172"/>
        <v>#DIV/0!</v>
      </c>
      <c r="R226" s="29" t="e">
        <f t="shared" si="173"/>
        <v>#DIV/0!</v>
      </c>
      <c r="S226" s="1">
        <v>0</v>
      </c>
      <c r="T226" s="1">
        <v>0</v>
      </c>
      <c r="U226" s="24">
        <v>0</v>
      </c>
      <c r="V226" s="25" t="e">
        <f t="shared" si="152"/>
        <v>#DIV/0!</v>
      </c>
      <c r="W226" s="25" t="e">
        <f t="shared" si="153"/>
        <v>#DIV/0!</v>
      </c>
      <c r="X226" s="25" t="e">
        <f t="shared" si="154"/>
        <v>#DIV/0!</v>
      </c>
      <c r="Y226" s="25" t="e">
        <f t="shared" si="155"/>
        <v>#DIV/0!</v>
      </c>
      <c r="Z226" s="25" t="e">
        <f t="shared" si="156"/>
        <v>#DIV/0!</v>
      </c>
      <c r="AA226" s="25" t="e">
        <f t="shared" si="157"/>
        <v>#DIV/0!</v>
      </c>
      <c r="AB226" s="25" t="e">
        <f t="shared" si="158"/>
        <v>#DIV/0!</v>
      </c>
      <c r="AC226" s="25" t="e">
        <f t="shared" si="159"/>
        <v>#DIV/0!</v>
      </c>
      <c r="AD226" s="63" t="e">
        <f t="shared" si="160"/>
        <v>#DIV/0!</v>
      </c>
      <c r="AE226" s="24">
        <f t="shared" si="161"/>
        <v>0</v>
      </c>
    </row>
    <row r="227" spans="1:31" x14ac:dyDescent="0.2">
      <c r="A227" s="75">
        <f t="shared" si="164"/>
        <v>46280</v>
      </c>
      <c r="B227" s="15" t="str">
        <f>$B$17</f>
        <v>NA</v>
      </c>
      <c r="C227" s="15" t="str">
        <f>$C$17</f>
        <v>NA</v>
      </c>
      <c r="D227" s="18">
        <f t="shared" si="162"/>
        <v>0</v>
      </c>
      <c r="E227" s="4">
        <f t="shared" si="163"/>
        <v>0</v>
      </c>
      <c r="F227" s="4">
        <v>0</v>
      </c>
      <c r="G227" s="5" t="e">
        <f t="shared" si="165"/>
        <v>#DIV/0!</v>
      </c>
      <c r="H227" s="4" t="e">
        <f t="shared" si="166"/>
        <v>#DIV/0!</v>
      </c>
      <c r="I227" s="4" t="e">
        <f t="shared" si="167"/>
        <v>#DIV/0!</v>
      </c>
      <c r="J227" s="4">
        <f t="shared" si="168"/>
        <v>0</v>
      </c>
      <c r="K227" s="27">
        <f t="shared" si="169"/>
        <v>0</v>
      </c>
      <c r="L227" s="30">
        <f t="shared" si="170"/>
        <v>0</v>
      </c>
      <c r="M227" s="23">
        <v>0</v>
      </c>
      <c r="N227" s="2">
        <v>0</v>
      </c>
      <c r="O227" s="4">
        <v>0</v>
      </c>
      <c r="P227" s="5" t="e">
        <f t="shared" si="171"/>
        <v>#DIV/0!</v>
      </c>
      <c r="Q227" s="29" t="e">
        <f t="shared" si="172"/>
        <v>#DIV/0!</v>
      </c>
      <c r="R227" s="29" t="e">
        <f t="shared" si="173"/>
        <v>#DIV/0!</v>
      </c>
      <c r="S227" s="1">
        <v>0</v>
      </c>
      <c r="T227" s="1">
        <v>0</v>
      </c>
      <c r="U227" s="24">
        <v>0</v>
      </c>
      <c r="V227" s="25" t="e">
        <f t="shared" si="152"/>
        <v>#DIV/0!</v>
      </c>
      <c r="W227" s="25" t="e">
        <f t="shared" si="153"/>
        <v>#DIV/0!</v>
      </c>
      <c r="X227" s="25" t="e">
        <f t="shared" si="154"/>
        <v>#DIV/0!</v>
      </c>
      <c r="Y227" s="25" t="e">
        <f t="shared" si="155"/>
        <v>#DIV/0!</v>
      </c>
      <c r="Z227" s="25" t="e">
        <f t="shared" si="156"/>
        <v>#DIV/0!</v>
      </c>
      <c r="AA227" s="25" t="e">
        <f t="shared" si="157"/>
        <v>#DIV/0!</v>
      </c>
      <c r="AB227" s="25" t="e">
        <f t="shared" si="158"/>
        <v>#DIV/0!</v>
      </c>
      <c r="AC227" s="25" t="e">
        <f t="shared" si="159"/>
        <v>#DIV/0!</v>
      </c>
      <c r="AD227" s="63" t="e">
        <f t="shared" si="160"/>
        <v>#DIV/0!</v>
      </c>
      <c r="AE227" s="24">
        <f t="shared" si="161"/>
        <v>0</v>
      </c>
    </row>
    <row r="228" spans="1:31" x14ac:dyDescent="0.2">
      <c r="A228" s="75">
        <f t="shared" si="164"/>
        <v>46280</v>
      </c>
      <c r="B228" s="15" t="str">
        <f>$B$18</f>
        <v>NA</v>
      </c>
      <c r="C228" s="15" t="str">
        <f>$C$18</f>
        <v>NA</v>
      </c>
      <c r="D228" s="18">
        <f t="shared" si="162"/>
        <v>0</v>
      </c>
      <c r="E228" s="4">
        <f t="shared" si="163"/>
        <v>0</v>
      </c>
      <c r="F228" s="4">
        <v>0</v>
      </c>
      <c r="G228" s="5" t="e">
        <f t="shared" si="165"/>
        <v>#DIV/0!</v>
      </c>
      <c r="H228" s="4" t="e">
        <f t="shared" si="166"/>
        <v>#DIV/0!</v>
      </c>
      <c r="I228" s="4" t="e">
        <f t="shared" si="167"/>
        <v>#DIV/0!</v>
      </c>
      <c r="J228" s="4">
        <f t="shared" si="168"/>
        <v>0</v>
      </c>
      <c r="K228" s="27">
        <f t="shared" si="169"/>
        <v>0</v>
      </c>
      <c r="L228" s="30">
        <f t="shared" si="170"/>
        <v>0</v>
      </c>
      <c r="M228" s="23">
        <v>0</v>
      </c>
      <c r="N228" s="2">
        <v>0</v>
      </c>
      <c r="O228" s="4">
        <v>0</v>
      </c>
      <c r="P228" s="5" t="e">
        <f t="shared" si="171"/>
        <v>#DIV/0!</v>
      </c>
      <c r="Q228" s="29" t="e">
        <f t="shared" si="172"/>
        <v>#DIV/0!</v>
      </c>
      <c r="R228" s="29" t="e">
        <f t="shared" si="173"/>
        <v>#DIV/0!</v>
      </c>
      <c r="S228" s="1">
        <v>0</v>
      </c>
      <c r="T228" s="1">
        <v>0</v>
      </c>
      <c r="U228" s="24">
        <v>0</v>
      </c>
      <c r="V228" s="25" t="e">
        <f t="shared" si="152"/>
        <v>#DIV/0!</v>
      </c>
      <c r="W228" s="25" t="e">
        <f t="shared" si="153"/>
        <v>#DIV/0!</v>
      </c>
      <c r="X228" s="25" t="e">
        <f t="shared" si="154"/>
        <v>#DIV/0!</v>
      </c>
      <c r="Y228" s="25" t="e">
        <f t="shared" si="155"/>
        <v>#DIV/0!</v>
      </c>
      <c r="Z228" s="25" t="e">
        <f t="shared" si="156"/>
        <v>#DIV/0!</v>
      </c>
      <c r="AA228" s="25" t="e">
        <f t="shared" si="157"/>
        <v>#DIV/0!</v>
      </c>
      <c r="AB228" s="25" t="e">
        <f t="shared" si="158"/>
        <v>#DIV/0!</v>
      </c>
      <c r="AC228" s="25" t="e">
        <f t="shared" si="159"/>
        <v>#DIV/0!</v>
      </c>
      <c r="AD228" s="63" t="e">
        <f t="shared" si="160"/>
        <v>#DIV/0!</v>
      </c>
      <c r="AE228" s="24">
        <f t="shared" si="161"/>
        <v>0</v>
      </c>
    </row>
    <row r="229" spans="1:31" x14ac:dyDescent="0.2">
      <c r="A229" s="75">
        <f t="shared" si="164"/>
        <v>46281</v>
      </c>
      <c r="B229" s="15" t="str">
        <f>$B$4</f>
        <v>DSM</v>
      </c>
      <c r="C229" s="15" t="str">
        <f>$C$4</f>
        <v xml:space="preserve">komal  </v>
      </c>
      <c r="D229" s="18">
        <f t="shared" si="162"/>
        <v>0</v>
      </c>
      <c r="E229" s="4">
        <f t="shared" si="163"/>
        <v>0</v>
      </c>
      <c r="F229" s="4">
        <v>0</v>
      </c>
      <c r="G229" s="5" t="e">
        <f t="shared" si="165"/>
        <v>#DIV/0!</v>
      </c>
      <c r="H229" s="4" t="e">
        <f t="shared" si="166"/>
        <v>#DIV/0!</v>
      </c>
      <c r="I229" s="4" t="e">
        <f t="shared" si="167"/>
        <v>#DIV/0!</v>
      </c>
      <c r="J229" s="4">
        <f t="shared" si="168"/>
        <v>0</v>
      </c>
      <c r="K229" s="27">
        <f t="shared" si="169"/>
        <v>0</v>
      </c>
      <c r="L229" s="30">
        <f t="shared" si="170"/>
        <v>0</v>
      </c>
      <c r="M229" s="23">
        <v>0</v>
      </c>
      <c r="N229" s="2">
        <v>0</v>
      </c>
      <c r="O229" s="4">
        <v>0</v>
      </c>
      <c r="P229" s="5" t="e">
        <f t="shared" si="171"/>
        <v>#DIV/0!</v>
      </c>
      <c r="Q229" s="29" t="e">
        <f t="shared" si="172"/>
        <v>#DIV/0!</v>
      </c>
      <c r="R229" s="29" t="e">
        <f t="shared" si="173"/>
        <v>#DIV/0!</v>
      </c>
      <c r="S229" s="1">
        <v>0</v>
      </c>
      <c r="T229" s="1">
        <v>0</v>
      </c>
      <c r="U229" s="24">
        <v>0</v>
      </c>
      <c r="V229" s="25" t="e">
        <f t="shared" si="152"/>
        <v>#DIV/0!</v>
      </c>
      <c r="W229" s="25" t="e">
        <f t="shared" si="153"/>
        <v>#DIV/0!</v>
      </c>
      <c r="X229" s="25" t="e">
        <f t="shared" si="154"/>
        <v>#DIV/0!</v>
      </c>
      <c r="Y229" s="25" t="e">
        <f t="shared" si="155"/>
        <v>#DIV/0!</v>
      </c>
      <c r="Z229" s="25" t="e">
        <f t="shared" si="156"/>
        <v>#DIV/0!</v>
      </c>
      <c r="AA229" s="25" t="e">
        <f t="shared" si="157"/>
        <v>#DIV/0!</v>
      </c>
      <c r="AB229" s="25" t="e">
        <f t="shared" si="158"/>
        <v>#DIV/0!</v>
      </c>
      <c r="AC229" s="25" t="e">
        <f t="shared" si="159"/>
        <v>#DIV/0!</v>
      </c>
      <c r="AD229" s="63" t="e">
        <f t="shared" si="160"/>
        <v>#DIV/0!</v>
      </c>
      <c r="AE229" s="24">
        <f t="shared" si="161"/>
        <v>0</v>
      </c>
    </row>
    <row r="230" spans="1:31" x14ac:dyDescent="0.2">
      <c r="A230" s="75">
        <f t="shared" si="164"/>
        <v>46281</v>
      </c>
      <c r="B230" s="15" t="str">
        <f>$B$5</f>
        <v>SS</v>
      </c>
      <c r="C230" s="15" t="str">
        <f>$C$5</f>
        <v>Prem</v>
      </c>
      <c r="D230" s="18">
        <f t="shared" si="162"/>
        <v>0</v>
      </c>
      <c r="E230" s="4">
        <f t="shared" si="163"/>
        <v>0</v>
      </c>
      <c r="F230" s="4">
        <v>0</v>
      </c>
      <c r="G230" s="5" t="e">
        <f t="shared" si="165"/>
        <v>#DIV/0!</v>
      </c>
      <c r="H230" s="4" t="e">
        <f t="shared" si="166"/>
        <v>#DIV/0!</v>
      </c>
      <c r="I230" s="4" t="e">
        <f t="shared" si="167"/>
        <v>#DIV/0!</v>
      </c>
      <c r="J230" s="4">
        <f t="shared" si="168"/>
        <v>0</v>
      </c>
      <c r="K230" s="27">
        <f t="shared" si="169"/>
        <v>0</v>
      </c>
      <c r="L230" s="30">
        <f t="shared" si="170"/>
        <v>0</v>
      </c>
      <c r="M230" s="23">
        <v>0</v>
      </c>
      <c r="N230" s="2">
        <v>0</v>
      </c>
      <c r="O230" s="4">
        <v>0</v>
      </c>
      <c r="P230" s="5" t="e">
        <f t="shared" si="171"/>
        <v>#DIV/0!</v>
      </c>
      <c r="Q230" s="29" t="e">
        <f t="shared" si="172"/>
        <v>#DIV/0!</v>
      </c>
      <c r="R230" s="29" t="e">
        <f t="shared" si="173"/>
        <v>#DIV/0!</v>
      </c>
      <c r="S230" s="1">
        <v>0</v>
      </c>
      <c r="T230" s="1">
        <v>0</v>
      </c>
      <c r="U230" s="24">
        <v>0</v>
      </c>
      <c r="V230" s="25" t="e">
        <f t="shared" si="152"/>
        <v>#DIV/0!</v>
      </c>
      <c r="W230" s="25" t="e">
        <f t="shared" si="153"/>
        <v>#DIV/0!</v>
      </c>
      <c r="X230" s="25" t="e">
        <f t="shared" si="154"/>
        <v>#DIV/0!</v>
      </c>
      <c r="Y230" s="25" t="e">
        <f t="shared" si="155"/>
        <v>#DIV/0!</v>
      </c>
      <c r="Z230" s="25" t="e">
        <f t="shared" si="156"/>
        <v>#DIV/0!</v>
      </c>
      <c r="AA230" s="25" t="e">
        <f t="shared" si="157"/>
        <v>#DIV/0!</v>
      </c>
      <c r="AB230" s="25" t="e">
        <f t="shared" si="158"/>
        <v>#DIV/0!</v>
      </c>
      <c r="AC230" s="25" t="e">
        <f t="shared" si="159"/>
        <v>#DIV/0!</v>
      </c>
      <c r="AD230" s="63" t="e">
        <f t="shared" si="160"/>
        <v>#DIV/0!</v>
      </c>
      <c r="AE230" s="24">
        <f t="shared" si="161"/>
        <v>0</v>
      </c>
    </row>
    <row r="231" spans="1:31" x14ac:dyDescent="0.2">
      <c r="A231" s="75">
        <f t="shared" si="164"/>
        <v>46281</v>
      </c>
      <c r="B231" s="15" t="str">
        <f>$B$6</f>
        <v>SS</v>
      </c>
      <c r="C231" s="15" t="str">
        <f>$C$6</f>
        <v>Anuj</v>
      </c>
      <c r="D231" s="18">
        <f t="shared" si="162"/>
        <v>3.0544107419628292</v>
      </c>
      <c r="E231" s="4">
        <f t="shared" si="163"/>
        <v>7.6267523283626515</v>
      </c>
      <c r="F231" s="4">
        <v>7535.2313004222997</v>
      </c>
      <c r="G231" s="5">
        <f t="shared" si="165"/>
        <v>2.4969635627530362</v>
      </c>
      <c r="H231" s="4">
        <f t="shared" si="166"/>
        <v>2467</v>
      </c>
      <c r="I231" s="4">
        <f t="shared" si="167"/>
        <v>988</v>
      </c>
      <c r="J231" s="4">
        <f t="shared" si="168"/>
        <v>0.24435285935702636</v>
      </c>
      <c r="K231" s="27">
        <f t="shared" si="169"/>
        <v>0.12217642967851318</v>
      </c>
      <c r="L231" s="30">
        <f t="shared" si="170"/>
        <v>0.76360268549070731</v>
      </c>
      <c r="M231" s="23">
        <v>1</v>
      </c>
      <c r="N231" s="2">
        <v>4</v>
      </c>
      <c r="O231" s="4">
        <v>2588</v>
      </c>
      <c r="P231" s="5">
        <f t="shared" si="171"/>
        <v>4</v>
      </c>
      <c r="Q231" s="29">
        <f t="shared" si="172"/>
        <v>2588</v>
      </c>
      <c r="R231" s="29">
        <f t="shared" si="173"/>
        <v>647</v>
      </c>
      <c r="S231" s="1">
        <v>0</v>
      </c>
      <c r="T231" s="1">
        <v>0</v>
      </c>
      <c r="U231" s="24">
        <v>0</v>
      </c>
      <c r="V231" s="25">
        <f t="shared" si="152"/>
        <v>0.32739539128171702</v>
      </c>
      <c r="W231" s="25">
        <f t="shared" si="153"/>
        <v>0.52446963370301802</v>
      </c>
      <c r="X231" s="25">
        <f t="shared" si="154"/>
        <v>0.34345329251604523</v>
      </c>
      <c r="Y231" s="25">
        <f t="shared" si="155"/>
        <v>1.6019456830158088</v>
      </c>
      <c r="Z231" s="25">
        <f t="shared" si="156"/>
        <v>1.0490474260235103</v>
      </c>
      <c r="AA231" s="25">
        <f t="shared" si="157"/>
        <v>0.65485829959514175</v>
      </c>
      <c r="AB231" s="25">
        <f t="shared" si="158"/>
        <v>0</v>
      </c>
      <c r="AC231" s="25">
        <f t="shared" si="159"/>
        <v>0</v>
      </c>
      <c r="AD231" s="63">
        <f t="shared" si="160"/>
        <v>0</v>
      </c>
      <c r="AE231" s="24">
        <f t="shared" si="161"/>
        <v>1</v>
      </c>
    </row>
    <row r="232" spans="1:31" x14ac:dyDescent="0.2">
      <c r="A232" s="75">
        <f t="shared" si="164"/>
        <v>46281</v>
      </c>
      <c r="B232" s="15" t="str">
        <f>$B$7</f>
        <v>FC</v>
      </c>
      <c r="C232" s="15" t="str">
        <f>$C$7</f>
        <v>Muskan</v>
      </c>
      <c r="D232" s="18">
        <f t="shared" si="162"/>
        <v>6.1088214839256585</v>
      </c>
      <c r="E232" s="4">
        <f t="shared" si="163"/>
        <v>15.253504656725303</v>
      </c>
      <c r="F232" s="4">
        <v>15070.462600844599</v>
      </c>
      <c r="G232" s="5">
        <f t="shared" si="165"/>
        <v>2.4969635627530362</v>
      </c>
      <c r="H232" s="4">
        <f t="shared" si="166"/>
        <v>2467</v>
      </c>
      <c r="I232" s="4">
        <f t="shared" si="167"/>
        <v>988</v>
      </c>
      <c r="J232" s="4">
        <f t="shared" si="168"/>
        <v>0.48870571871405272</v>
      </c>
      <c r="K232" s="27">
        <f t="shared" si="169"/>
        <v>0.24435285935702636</v>
      </c>
      <c r="L232" s="30">
        <f t="shared" si="170"/>
        <v>1.5272053709814146</v>
      </c>
      <c r="M232" s="23">
        <v>5</v>
      </c>
      <c r="N232" s="2">
        <v>14</v>
      </c>
      <c r="O232" s="4">
        <v>15436</v>
      </c>
      <c r="P232" s="5">
        <f t="shared" si="171"/>
        <v>2.8</v>
      </c>
      <c r="Q232" s="29">
        <f t="shared" si="172"/>
        <v>3087.2</v>
      </c>
      <c r="R232" s="29">
        <f t="shared" si="173"/>
        <v>1102.5714285714287</v>
      </c>
      <c r="S232" s="1">
        <v>0</v>
      </c>
      <c r="T232" s="1">
        <v>0</v>
      </c>
      <c r="U232" s="24">
        <v>0</v>
      </c>
      <c r="V232" s="25">
        <f t="shared" si="152"/>
        <v>0.81848847820429249</v>
      </c>
      <c r="W232" s="25">
        <f t="shared" si="153"/>
        <v>0.91782185898028157</v>
      </c>
      <c r="X232" s="25">
        <f t="shared" si="154"/>
        <v>1.0242552208805398</v>
      </c>
      <c r="Y232" s="25">
        <f t="shared" si="155"/>
        <v>1.1213619781110662</v>
      </c>
      <c r="Z232" s="25">
        <f t="shared" si="156"/>
        <v>1.2513984596676124</v>
      </c>
      <c r="AA232" s="25">
        <f t="shared" si="157"/>
        <v>1.1159629843840371</v>
      </c>
      <c r="AB232" s="25">
        <f t="shared" si="158"/>
        <v>0</v>
      </c>
      <c r="AC232" s="25">
        <f t="shared" si="159"/>
        <v>0</v>
      </c>
      <c r="AD232" s="63">
        <f t="shared" si="160"/>
        <v>0</v>
      </c>
      <c r="AE232" s="24">
        <f t="shared" si="161"/>
        <v>1</v>
      </c>
    </row>
    <row r="233" spans="1:31" x14ac:dyDescent="0.2">
      <c r="A233" s="75">
        <f t="shared" si="164"/>
        <v>46281</v>
      </c>
      <c r="B233" s="15" t="str">
        <f>$B$8</f>
        <v>FC</v>
      </c>
      <c r="C233" s="15" t="str">
        <f>$C$8</f>
        <v xml:space="preserve">Kajal  </v>
      </c>
      <c r="D233" s="18">
        <f t="shared" si="162"/>
        <v>1.8326464451776976</v>
      </c>
      <c r="E233" s="4">
        <f t="shared" si="163"/>
        <v>4.5760513970175909</v>
      </c>
      <c r="F233" s="4">
        <v>4521.13878025338</v>
      </c>
      <c r="G233" s="5">
        <f t="shared" si="165"/>
        <v>2.4969635627530362</v>
      </c>
      <c r="H233" s="4">
        <f t="shared" si="166"/>
        <v>2467</v>
      </c>
      <c r="I233" s="4">
        <f t="shared" si="167"/>
        <v>988</v>
      </c>
      <c r="J233" s="4">
        <f t="shared" si="168"/>
        <v>0.14661171561421582</v>
      </c>
      <c r="K233" s="27">
        <f t="shared" si="169"/>
        <v>7.330585780710791E-2</v>
      </c>
      <c r="L233" s="30">
        <f t="shared" si="170"/>
        <v>0.4581616112944244</v>
      </c>
      <c r="M233" s="23">
        <v>2</v>
      </c>
      <c r="N233" s="2">
        <v>2</v>
      </c>
      <c r="O233" s="4">
        <v>2348</v>
      </c>
      <c r="P233" s="5">
        <f t="shared" si="171"/>
        <v>1</v>
      </c>
      <c r="Q233" s="29">
        <f t="shared" si="172"/>
        <v>1174</v>
      </c>
      <c r="R233" s="29">
        <f t="shared" si="173"/>
        <v>1174</v>
      </c>
      <c r="S233" s="1">
        <v>0</v>
      </c>
      <c r="T233" s="1">
        <v>0</v>
      </c>
      <c r="U233" s="24">
        <v>0</v>
      </c>
      <c r="V233" s="25">
        <f t="shared" si="152"/>
        <v>1.0913179709390566</v>
      </c>
      <c r="W233" s="25">
        <f t="shared" si="153"/>
        <v>0.43705802808584837</v>
      </c>
      <c r="X233" s="25">
        <f t="shared" si="154"/>
        <v>0.51933818317083602</v>
      </c>
      <c r="Y233" s="25">
        <f t="shared" si="155"/>
        <v>0.40048642075395219</v>
      </c>
      <c r="Z233" s="25">
        <f t="shared" si="156"/>
        <v>0.47588163761653829</v>
      </c>
      <c r="AA233" s="25">
        <f t="shared" si="157"/>
        <v>1.1882591093117409</v>
      </c>
      <c r="AB233" s="25">
        <f t="shared" si="158"/>
        <v>0</v>
      </c>
      <c r="AC233" s="25">
        <f t="shared" si="159"/>
        <v>0</v>
      </c>
      <c r="AD233" s="63">
        <f t="shared" si="160"/>
        <v>0</v>
      </c>
      <c r="AE233" s="24">
        <f t="shared" si="161"/>
        <v>1</v>
      </c>
    </row>
    <row r="234" spans="1:31" x14ac:dyDescent="0.2">
      <c r="A234" s="75">
        <f t="shared" si="164"/>
        <v>46281</v>
      </c>
      <c r="B234" s="15" t="str">
        <f>$B$9</f>
        <v>FC</v>
      </c>
      <c r="C234" s="15" t="str">
        <f>$C$9</f>
        <v>Pradeep</v>
      </c>
      <c r="D234" s="18">
        <f t="shared" si="162"/>
        <v>3.0544107419628292</v>
      </c>
      <c r="E234" s="4">
        <f t="shared" si="163"/>
        <v>7.6267523283626515</v>
      </c>
      <c r="F234" s="4">
        <v>7535.2313004222997</v>
      </c>
      <c r="G234" s="5">
        <f t="shared" si="165"/>
        <v>2.4969635627530362</v>
      </c>
      <c r="H234" s="4">
        <f t="shared" si="166"/>
        <v>2467</v>
      </c>
      <c r="I234" s="4">
        <f t="shared" si="167"/>
        <v>988</v>
      </c>
      <c r="J234" s="4">
        <f t="shared" si="168"/>
        <v>0.24435285935702636</v>
      </c>
      <c r="K234" s="27">
        <f t="shared" si="169"/>
        <v>0.12217642967851318</v>
      </c>
      <c r="L234" s="30">
        <f t="shared" si="170"/>
        <v>0.76360268549070731</v>
      </c>
      <c r="M234" s="23">
        <v>2</v>
      </c>
      <c r="N234" s="2">
        <v>3</v>
      </c>
      <c r="O234" s="4">
        <v>2347</v>
      </c>
      <c r="P234" s="5">
        <f t="shared" si="171"/>
        <v>1.5</v>
      </c>
      <c r="Q234" s="29">
        <f t="shared" si="172"/>
        <v>1173.5</v>
      </c>
      <c r="R234" s="29">
        <f t="shared" si="173"/>
        <v>782.33333333333337</v>
      </c>
      <c r="S234" s="1">
        <v>0</v>
      </c>
      <c r="T234" s="1">
        <v>0</v>
      </c>
      <c r="U234" s="24">
        <v>0</v>
      </c>
      <c r="V234" s="25">
        <f t="shared" si="152"/>
        <v>0.65479078256343404</v>
      </c>
      <c r="W234" s="25">
        <f t="shared" si="153"/>
        <v>0.39335222527726355</v>
      </c>
      <c r="X234" s="25">
        <f t="shared" si="154"/>
        <v>0.31147019997494518</v>
      </c>
      <c r="Y234" s="25">
        <f t="shared" si="155"/>
        <v>0.60072963113092825</v>
      </c>
      <c r="Z234" s="25">
        <f t="shared" si="156"/>
        <v>0.47567896230239159</v>
      </c>
      <c r="AA234" s="25">
        <f t="shared" si="157"/>
        <v>0.79183535762483137</v>
      </c>
      <c r="AB234" s="25">
        <f t="shared" si="158"/>
        <v>0</v>
      </c>
      <c r="AC234" s="25">
        <f t="shared" si="159"/>
        <v>0</v>
      </c>
      <c r="AD234" s="63">
        <f t="shared" si="160"/>
        <v>0</v>
      </c>
      <c r="AE234" s="24">
        <f t="shared" si="161"/>
        <v>1</v>
      </c>
    </row>
    <row r="235" spans="1:31" x14ac:dyDescent="0.2">
      <c r="A235" s="75">
        <f t="shared" si="164"/>
        <v>46281</v>
      </c>
      <c r="B235" s="15" t="str">
        <f>$B$10</f>
        <v>FC</v>
      </c>
      <c r="C235" s="15" t="str">
        <f>$C$10</f>
        <v>Aftab</v>
      </c>
      <c r="D235" s="18">
        <f t="shared" si="162"/>
        <v>3.0544107419628292</v>
      </c>
      <c r="E235" s="4">
        <f t="shared" si="163"/>
        <v>7.6267523283626515</v>
      </c>
      <c r="F235" s="4">
        <v>7535.2313004222997</v>
      </c>
      <c r="G235" s="5">
        <f t="shared" si="165"/>
        <v>2.4969635627530362</v>
      </c>
      <c r="H235" s="4">
        <f t="shared" si="166"/>
        <v>2467</v>
      </c>
      <c r="I235" s="4">
        <f t="shared" si="167"/>
        <v>988</v>
      </c>
      <c r="J235" s="4">
        <f t="shared" si="168"/>
        <v>0.24435285935702636</v>
      </c>
      <c r="K235" s="27">
        <f t="shared" si="169"/>
        <v>0.12217642967851318</v>
      </c>
      <c r="L235" s="30">
        <f t="shared" si="170"/>
        <v>0.76360268549070731</v>
      </c>
      <c r="M235" s="23">
        <v>5</v>
      </c>
      <c r="N235" s="2">
        <v>7</v>
      </c>
      <c r="O235" s="4">
        <v>9712.16</v>
      </c>
      <c r="P235" s="5">
        <f t="shared" si="171"/>
        <v>1.4</v>
      </c>
      <c r="Q235" s="29">
        <f t="shared" si="172"/>
        <v>1942.432</v>
      </c>
      <c r="R235" s="29">
        <f t="shared" si="173"/>
        <v>1387.4514285714286</v>
      </c>
      <c r="S235" s="1">
        <v>0</v>
      </c>
      <c r="T235" s="1">
        <v>0</v>
      </c>
      <c r="U235" s="24">
        <v>0</v>
      </c>
      <c r="V235" s="25">
        <f t="shared" si="152"/>
        <v>1.636976956408585</v>
      </c>
      <c r="W235" s="25">
        <f t="shared" si="153"/>
        <v>0.91782185898028157</v>
      </c>
      <c r="X235" s="25">
        <f t="shared" si="154"/>
        <v>1.2889000500164736</v>
      </c>
      <c r="Y235" s="25">
        <f t="shared" si="155"/>
        <v>0.5606809890555331</v>
      </c>
      <c r="Z235" s="25">
        <f t="shared" si="156"/>
        <v>0.78736603161734897</v>
      </c>
      <c r="AA235" s="25">
        <f t="shared" si="157"/>
        <v>1.4043030653556969</v>
      </c>
      <c r="AB235" s="25">
        <f t="shared" si="158"/>
        <v>0</v>
      </c>
      <c r="AC235" s="25">
        <f t="shared" si="159"/>
        <v>0</v>
      </c>
      <c r="AD235" s="63">
        <f t="shared" si="160"/>
        <v>0</v>
      </c>
      <c r="AE235" s="24">
        <f t="shared" si="161"/>
        <v>1</v>
      </c>
    </row>
    <row r="236" spans="1:31" x14ac:dyDescent="0.2">
      <c r="A236" s="75">
        <f t="shared" si="164"/>
        <v>46281</v>
      </c>
      <c r="B236" s="15" t="str">
        <f>$B$11</f>
        <v>FC</v>
      </c>
      <c r="C236" s="15" t="str">
        <f>$C$11</f>
        <v>Khushi</v>
      </c>
      <c r="D236" s="18">
        <f t="shared" si="162"/>
        <v>0</v>
      </c>
      <c r="E236" s="4">
        <f t="shared" si="163"/>
        <v>0</v>
      </c>
      <c r="F236" s="4">
        <v>0</v>
      </c>
      <c r="G236" s="5" t="e">
        <f t="shared" si="165"/>
        <v>#DIV/0!</v>
      </c>
      <c r="H236" s="4" t="e">
        <f t="shared" si="166"/>
        <v>#DIV/0!</v>
      </c>
      <c r="I236" s="4" t="e">
        <f t="shared" si="167"/>
        <v>#DIV/0!</v>
      </c>
      <c r="J236" s="4">
        <f t="shared" si="168"/>
        <v>0</v>
      </c>
      <c r="K236" s="27">
        <f t="shared" si="169"/>
        <v>0</v>
      </c>
      <c r="L236" s="30">
        <f t="shared" si="170"/>
        <v>0</v>
      </c>
      <c r="M236" s="23">
        <v>0</v>
      </c>
      <c r="N236" s="2">
        <v>0</v>
      </c>
      <c r="O236" s="4">
        <v>0</v>
      </c>
      <c r="P236" s="5" t="e">
        <f t="shared" si="171"/>
        <v>#DIV/0!</v>
      </c>
      <c r="Q236" s="29" t="e">
        <f t="shared" si="172"/>
        <v>#DIV/0!</v>
      </c>
      <c r="R236" s="29" t="e">
        <f t="shared" si="173"/>
        <v>#DIV/0!</v>
      </c>
      <c r="S236" s="1">
        <v>0</v>
      </c>
      <c r="T236" s="1">
        <v>0</v>
      </c>
      <c r="U236" s="24">
        <v>0</v>
      </c>
      <c r="V236" s="25" t="e">
        <f t="shared" si="152"/>
        <v>#DIV/0!</v>
      </c>
      <c r="W236" s="25" t="e">
        <f t="shared" si="153"/>
        <v>#DIV/0!</v>
      </c>
      <c r="X236" s="25" t="e">
        <f t="shared" si="154"/>
        <v>#DIV/0!</v>
      </c>
      <c r="Y236" s="25" t="e">
        <f t="shared" si="155"/>
        <v>#DIV/0!</v>
      </c>
      <c r="Z236" s="25" t="e">
        <f t="shared" si="156"/>
        <v>#DIV/0!</v>
      </c>
      <c r="AA236" s="25" t="e">
        <f t="shared" si="157"/>
        <v>#DIV/0!</v>
      </c>
      <c r="AB236" s="25" t="e">
        <f t="shared" si="158"/>
        <v>#DIV/0!</v>
      </c>
      <c r="AC236" s="25" t="e">
        <f t="shared" si="159"/>
        <v>#DIV/0!</v>
      </c>
      <c r="AD236" s="63" t="e">
        <f t="shared" si="160"/>
        <v>#DIV/0!</v>
      </c>
      <c r="AE236" s="24">
        <f t="shared" si="161"/>
        <v>0</v>
      </c>
    </row>
    <row r="237" spans="1:31" x14ac:dyDescent="0.2">
      <c r="A237" s="75">
        <f t="shared" si="164"/>
        <v>46281</v>
      </c>
      <c r="B237" s="15" t="str">
        <f>$B$12</f>
        <v>FC</v>
      </c>
      <c r="C237" s="15" t="str">
        <f>$C$12</f>
        <v>Kishan</v>
      </c>
      <c r="D237" s="18">
        <f t="shared" si="162"/>
        <v>3.0544107419628292</v>
      </c>
      <c r="E237" s="4">
        <f t="shared" si="163"/>
        <v>7.6267523283626515</v>
      </c>
      <c r="F237" s="4">
        <v>7535.2313004222997</v>
      </c>
      <c r="G237" s="5">
        <f t="shared" si="165"/>
        <v>2.4969635627530362</v>
      </c>
      <c r="H237" s="4">
        <f t="shared" si="166"/>
        <v>2467</v>
      </c>
      <c r="I237" s="4">
        <f t="shared" si="167"/>
        <v>988</v>
      </c>
      <c r="J237" s="4">
        <f t="shared" si="168"/>
        <v>0.24435285935702636</v>
      </c>
      <c r="K237" s="27">
        <f t="shared" si="169"/>
        <v>0.12217642967851318</v>
      </c>
      <c r="L237" s="30">
        <f t="shared" si="170"/>
        <v>0.76360268549070731</v>
      </c>
      <c r="M237" s="23">
        <v>0</v>
      </c>
      <c r="N237" s="2">
        <v>0</v>
      </c>
      <c r="O237" s="4">
        <v>0</v>
      </c>
      <c r="P237" s="5" t="e">
        <f t="shared" si="171"/>
        <v>#DIV/0!</v>
      </c>
      <c r="Q237" s="29" t="e">
        <f t="shared" si="172"/>
        <v>#DIV/0!</v>
      </c>
      <c r="R237" s="29" t="e">
        <f t="shared" si="173"/>
        <v>#DIV/0!</v>
      </c>
      <c r="S237" s="1">
        <v>0</v>
      </c>
      <c r="T237" s="1">
        <v>0</v>
      </c>
      <c r="U237" s="24">
        <v>0</v>
      </c>
      <c r="V237" s="25">
        <f t="shared" si="152"/>
        <v>0</v>
      </c>
      <c r="W237" s="25">
        <f t="shared" si="153"/>
        <v>0</v>
      </c>
      <c r="X237" s="25">
        <f t="shared" si="154"/>
        <v>0</v>
      </c>
      <c r="Y237" s="25" t="e">
        <f t="shared" si="155"/>
        <v>#DIV/0!</v>
      </c>
      <c r="Z237" s="25" t="e">
        <f t="shared" si="156"/>
        <v>#DIV/0!</v>
      </c>
      <c r="AA237" s="25" t="e">
        <f t="shared" si="157"/>
        <v>#DIV/0!</v>
      </c>
      <c r="AB237" s="25">
        <f t="shared" si="158"/>
        <v>0</v>
      </c>
      <c r="AC237" s="25">
        <f t="shared" si="159"/>
        <v>0</v>
      </c>
      <c r="AD237" s="63">
        <f t="shared" si="160"/>
        <v>0</v>
      </c>
      <c r="AE237" s="24">
        <f t="shared" si="161"/>
        <v>1</v>
      </c>
    </row>
    <row r="238" spans="1:31" x14ac:dyDescent="0.2">
      <c r="A238" s="75">
        <f t="shared" si="164"/>
        <v>46281</v>
      </c>
      <c r="B238" s="15" t="str">
        <f>$B$13</f>
        <v>Partner</v>
      </c>
      <c r="C238" s="15" t="str">
        <f>$C$13</f>
        <v>Rahul</v>
      </c>
      <c r="D238" s="18">
        <f t="shared" si="162"/>
        <v>5.4979393355330926</v>
      </c>
      <c r="E238" s="4">
        <f t="shared" si="163"/>
        <v>13.728154191052772</v>
      </c>
      <c r="F238" s="4">
        <v>13563.416340760139</v>
      </c>
      <c r="G238" s="5">
        <f t="shared" si="165"/>
        <v>2.4969635627530362</v>
      </c>
      <c r="H238" s="4">
        <f t="shared" si="166"/>
        <v>2467</v>
      </c>
      <c r="I238" s="4">
        <f t="shared" si="167"/>
        <v>988</v>
      </c>
      <c r="J238" s="4">
        <f t="shared" si="168"/>
        <v>0.43983514684264741</v>
      </c>
      <c r="K238" s="27">
        <f t="shared" si="169"/>
        <v>0.2199175734213237</v>
      </c>
      <c r="L238" s="30">
        <f t="shared" si="170"/>
        <v>1.3744848338832731</v>
      </c>
      <c r="M238" s="23">
        <v>1</v>
      </c>
      <c r="N238" s="2">
        <v>1</v>
      </c>
      <c r="O238" s="4">
        <v>899</v>
      </c>
      <c r="P238" s="5">
        <f t="shared" si="171"/>
        <v>1</v>
      </c>
      <c r="Q238" s="29">
        <f t="shared" si="172"/>
        <v>899</v>
      </c>
      <c r="R238" s="29">
        <f t="shared" si="173"/>
        <v>899</v>
      </c>
      <c r="S238" s="1">
        <v>0</v>
      </c>
      <c r="T238" s="1">
        <v>0</v>
      </c>
      <c r="U238" s="24">
        <v>0</v>
      </c>
      <c r="V238" s="25">
        <f t="shared" si="152"/>
        <v>0.18188632848984276</v>
      </c>
      <c r="W238" s="25">
        <f t="shared" si="153"/>
        <v>7.2843004680974738E-2</v>
      </c>
      <c r="X238" s="25">
        <f t="shared" si="154"/>
        <v>6.6281236040684505E-2</v>
      </c>
      <c r="Y238" s="25">
        <f t="shared" si="155"/>
        <v>0.40048642075395219</v>
      </c>
      <c r="Z238" s="25">
        <f t="shared" si="156"/>
        <v>0.36441021483583297</v>
      </c>
      <c r="AA238" s="25">
        <f t="shared" si="157"/>
        <v>0.90991902834008098</v>
      </c>
      <c r="AB238" s="25">
        <f t="shared" si="158"/>
        <v>0</v>
      </c>
      <c r="AC238" s="25">
        <f t="shared" si="159"/>
        <v>0</v>
      </c>
      <c r="AD238" s="63">
        <f t="shared" si="160"/>
        <v>0</v>
      </c>
      <c r="AE238" s="24">
        <f t="shared" si="161"/>
        <v>1</v>
      </c>
    </row>
    <row r="239" spans="1:31" x14ac:dyDescent="0.2">
      <c r="A239" s="75">
        <f t="shared" si="164"/>
        <v>46281</v>
      </c>
      <c r="B239" s="15" t="str">
        <f>$B$14</f>
        <v>Partner</v>
      </c>
      <c r="C239" s="15" t="str">
        <f>$C$14</f>
        <v>Prince</v>
      </c>
      <c r="D239" s="18">
        <f t="shared" si="162"/>
        <v>0</v>
      </c>
      <c r="E239" s="4">
        <f t="shared" si="163"/>
        <v>0</v>
      </c>
      <c r="F239" s="4">
        <v>0</v>
      </c>
      <c r="G239" s="5" t="e">
        <f t="shared" si="165"/>
        <v>#DIV/0!</v>
      </c>
      <c r="H239" s="4" t="e">
        <f t="shared" si="166"/>
        <v>#DIV/0!</v>
      </c>
      <c r="I239" s="4" t="e">
        <f t="shared" si="167"/>
        <v>#DIV/0!</v>
      </c>
      <c r="J239" s="4">
        <f t="shared" si="168"/>
        <v>0</v>
      </c>
      <c r="K239" s="27">
        <f t="shared" si="169"/>
        <v>0</v>
      </c>
      <c r="L239" s="30">
        <f t="shared" si="170"/>
        <v>0</v>
      </c>
      <c r="M239" s="23">
        <v>0</v>
      </c>
      <c r="N239" s="2">
        <v>0</v>
      </c>
      <c r="O239" s="4">
        <v>0</v>
      </c>
      <c r="P239" s="5" t="e">
        <f t="shared" si="171"/>
        <v>#DIV/0!</v>
      </c>
      <c r="Q239" s="29" t="e">
        <f t="shared" si="172"/>
        <v>#DIV/0!</v>
      </c>
      <c r="R239" s="29" t="e">
        <f t="shared" si="173"/>
        <v>#DIV/0!</v>
      </c>
      <c r="S239" s="1">
        <v>0</v>
      </c>
      <c r="T239" s="1">
        <v>0</v>
      </c>
      <c r="U239" s="24">
        <v>0</v>
      </c>
      <c r="V239" s="25" t="e">
        <f t="shared" si="152"/>
        <v>#DIV/0!</v>
      </c>
      <c r="W239" s="25" t="e">
        <f t="shared" si="153"/>
        <v>#DIV/0!</v>
      </c>
      <c r="X239" s="25" t="e">
        <f t="shared" si="154"/>
        <v>#DIV/0!</v>
      </c>
      <c r="Y239" s="25" t="e">
        <f t="shared" si="155"/>
        <v>#DIV/0!</v>
      </c>
      <c r="Z239" s="25" t="e">
        <f t="shared" si="156"/>
        <v>#DIV/0!</v>
      </c>
      <c r="AA239" s="25" t="e">
        <f t="shared" si="157"/>
        <v>#DIV/0!</v>
      </c>
      <c r="AB239" s="25" t="e">
        <f t="shared" si="158"/>
        <v>#DIV/0!</v>
      </c>
      <c r="AC239" s="25" t="e">
        <f t="shared" si="159"/>
        <v>#DIV/0!</v>
      </c>
      <c r="AD239" s="63" t="e">
        <f t="shared" si="160"/>
        <v>#DIV/0!</v>
      </c>
      <c r="AE239" s="24">
        <f t="shared" si="161"/>
        <v>0</v>
      </c>
    </row>
    <row r="240" spans="1:31" x14ac:dyDescent="0.2">
      <c r="A240" s="75">
        <f t="shared" si="164"/>
        <v>46281</v>
      </c>
      <c r="B240" s="15" t="str">
        <f>$B$15</f>
        <v>Partner</v>
      </c>
      <c r="C240" s="15" t="str">
        <f>$C$15</f>
        <v>Kunal</v>
      </c>
      <c r="D240" s="18">
        <f t="shared" si="162"/>
        <v>5.4979393355330926</v>
      </c>
      <c r="E240" s="4">
        <f t="shared" si="163"/>
        <v>13.728154191052772</v>
      </c>
      <c r="F240" s="4">
        <v>13563.416340760139</v>
      </c>
      <c r="G240" s="5">
        <f t="shared" si="165"/>
        <v>2.4969635627530362</v>
      </c>
      <c r="H240" s="4">
        <f t="shared" si="166"/>
        <v>2467</v>
      </c>
      <c r="I240" s="4">
        <f t="shared" si="167"/>
        <v>988</v>
      </c>
      <c r="J240" s="4">
        <f t="shared" si="168"/>
        <v>0.43983514684264741</v>
      </c>
      <c r="K240" s="27">
        <f t="shared" si="169"/>
        <v>0.2199175734213237</v>
      </c>
      <c r="L240" s="30">
        <f t="shared" si="170"/>
        <v>1.3744848338832731</v>
      </c>
      <c r="M240" s="23">
        <v>4</v>
      </c>
      <c r="N240" s="2">
        <v>16</v>
      </c>
      <c r="O240" s="4">
        <v>12000.32</v>
      </c>
      <c r="P240" s="5">
        <f t="shared" si="171"/>
        <v>4</v>
      </c>
      <c r="Q240" s="29">
        <f t="shared" si="172"/>
        <v>3000.08</v>
      </c>
      <c r="R240" s="29">
        <f t="shared" si="173"/>
        <v>750.02</v>
      </c>
      <c r="S240" s="1">
        <v>0</v>
      </c>
      <c r="T240" s="1">
        <v>0</v>
      </c>
      <c r="U240" s="24">
        <v>0</v>
      </c>
      <c r="V240" s="25">
        <f t="shared" ref="V240:V303" si="174">M240/D240</f>
        <v>0.72754531395937105</v>
      </c>
      <c r="W240" s="25">
        <f t="shared" ref="W240:W303" si="175">N240/E240</f>
        <v>1.1654880748955958</v>
      </c>
      <c r="X240" s="25">
        <f t="shared" ref="X240:X303" si="176">O240/F240</f>
        <v>0.88475644325222136</v>
      </c>
      <c r="Y240" s="25">
        <f t="shared" ref="Y240:Y303" si="177">P240/G240</f>
        <v>1.6019456830158088</v>
      </c>
      <c r="Z240" s="25">
        <f t="shared" ref="Z240:Z303" si="178">Q240/H240</f>
        <v>1.2160843129306851</v>
      </c>
      <c r="AA240" s="25">
        <f t="shared" ref="AA240:AA303" si="179">R240/I240</f>
        <v>0.7591295546558704</v>
      </c>
      <c r="AB240" s="25">
        <f t="shared" ref="AB240:AB303" si="180">S240/J240</f>
        <v>0</v>
      </c>
      <c r="AC240" s="25">
        <f t="shared" ref="AC240:AC303" si="181">T240/K240</f>
        <v>0</v>
      </c>
      <c r="AD240" s="63">
        <f t="shared" ref="AD240:AD303" si="182">U240/L240</f>
        <v>0</v>
      </c>
      <c r="AE240" s="24">
        <f t="shared" si="161"/>
        <v>1</v>
      </c>
    </row>
    <row r="241" spans="1:31" x14ac:dyDescent="0.2">
      <c r="A241" s="75">
        <f t="shared" si="164"/>
        <v>46281</v>
      </c>
      <c r="B241" s="15" t="str">
        <f>$B$16</f>
        <v>NA</v>
      </c>
      <c r="C241" s="15" t="str">
        <f>$C$16</f>
        <v>NA</v>
      </c>
      <c r="D241" s="18">
        <f t="shared" si="162"/>
        <v>0</v>
      </c>
      <c r="E241" s="4">
        <f t="shared" si="163"/>
        <v>0</v>
      </c>
      <c r="F241" s="4">
        <v>0</v>
      </c>
      <c r="G241" s="5" t="e">
        <f t="shared" si="165"/>
        <v>#DIV/0!</v>
      </c>
      <c r="H241" s="4" t="e">
        <f t="shared" si="166"/>
        <v>#DIV/0!</v>
      </c>
      <c r="I241" s="4" t="e">
        <f t="shared" si="167"/>
        <v>#DIV/0!</v>
      </c>
      <c r="J241" s="4">
        <f t="shared" si="168"/>
        <v>0</v>
      </c>
      <c r="K241" s="27">
        <f t="shared" si="169"/>
        <v>0</v>
      </c>
      <c r="L241" s="30">
        <f t="shared" si="170"/>
        <v>0</v>
      </c>
      <c r="M241" s="23">
        <v>0</v>
      </c>
      <c r="N241" s="2">
        <v>0</v>
      </c>
      <c r="O241" s="4">
        <v>0</v>
      </c>
      <c r="P241" s="5" t="e">
        <f t="shared" si="171"/>
        <v>#DIV/0!</v>
      </c>
      <c r="Q241" s="29" t="e">
        <f t="shared" si="172"/>
        <v>#DIV/0!</v>
      </c>
      <c r="R241" s="29" t="e">
        <f t="shared" si="173"/>
        <v>#DIV/0!</v>
      </c>
      <c r="S241" s="1">
        <v>0</v>
      </c>
      <c r="T241" s="1">
        <v>0</v>
      </c>
      <c r="U241" s="24">
        <v>0</v>
      </c>
      <c r="V241" s="25" t="e">
        <f t="shared" si="174"/>
        <v>#DIV/0!</v>
      </c>
      <c r="W241" s="25" t="e">
        <f t="shared" si="175"/>
        <v>#DIV/0!</v>
      </c>
      <c r="X241" s="25" t="e">
        <f t="shared" si="176"/>
        <v>#DIV/0!</v>
      </c>
      <c r="Y241" s="25" t="e">
        <f t="shared" si="177"/>
        <v>#DIV/0!</v>
      </c>
      <c r="Z241" s="25" t="e">
        <f t="shared" si="178"/>
        <v>#DIV/0!</v>
      </c>
      <c r="AA241" s="25" t="e">
        <f t="shared" si="179"/>
        <v>#DIV/0!</v>
      </c>
      <c r="AB241" s="25" t="e">
        <f t="shared" si="180"/>
        <v>#DIV/0!</v>
      </c>
      <c r="AC241" s="25" t="e">
        <f t="shared" si="181"/>
        <v>#DIV/0!</v>
      </c>
      <c r="AD241" s="63" t="e">
        <f t="shared" si="182"/>
        <v>#DIV/0!</v>
      </c>
      <c r="AE241" s="24">
        <f t="shared" si="161"/>
        <v>0</v>
      </c>
    </row>
    <row r="242" spans="1:31" x14ac:dyDescent="0.2">
      <c r="A242" s="75">
        <f t="shared" si="164"/>
        <v>46281</v>
      </c>
      <c r="B242" s="15" t="str">
        <f>$B$17</f>
        <v>NA</v>
      </c>
      <c r="C242" s="15" t="str">
        <f>$C$17</f>
        <v>NA</v>
      </c>
      <c r="D242" s="18">
        <f t="shared" si="162"/>
        <v>0</v>
      </c>
      <c r="E242" s="4">
        <f t="shared" si="163"/>
        <v>0</v>
      </c>
      <c r="F242" s="4">
        <v>0</v>
      </c>
      <c r="G242" s="5" t="e">
        <f t="shared" si="165"/>
        <v>#DIV/0!</v>
      </c>
      <c r="H242" s="4" t="e">
        <f t="shared" si="166"/>
        <v>#DIV/0!</v>
      </c>
      <c r="I242" s="4" t="e">
        <f t="shared" si="167"/>
        <v>#DIV/0!</v>
      </c>
      <c r="J242" s="4">
        <f t="shared" si="168"/>
        <v>0</v>
      </c>
      <c r="K242" s="27">
        <f t="shared" si="169"/>
        <v>0</v>
      </c>
      <c r="L242" s="30">
        <f t="shared" si="170"/>
        <v>0</v>
      </c>
      <c r="M242" s="23">
        <v>0</v>
      </c>
      <c r="N242" s="2">
        <v>0</v>
      </c>
      <c r="O242" s="4">
        <v>0</v>
      </c>
      <c r="P242" s="5" t="e">
        <f t="shared" si="171"/>
        <v>#DIV/0!</v>
      </c>
      <c r="Q242" s="29" t="e">
        <f t="shared" si="172"/>
        <v>#DIV/0!</v>
      </c>
      <c r="R242" s="29" t="e">
        <f t="shared" si="173"/>
        <v>#DIV/0!</v>
      </c>
      <c r="S242" s="1">
        <v>0</v>
      </c>
      <c r="T242" s="1">
        <v>0</v>
      </c>
      <c r="U242" s="24">
        <v>0</v>
      </c>
      <c r="V242" s="25" t="e">
        <f t="shared" si="174"/>
        <v>#DIV/0!</v>
      </c>
      <c r="W242" s="25" t="e">
        <f t="shared" si="175"/>
        <v>#DIV/0!</v>
      </c>
      <c r="X242" s="25" t="e">
        <f t="shared" si="176"/>
        <v>#DIV/0!</v>
      </c>
      <c r="Y242" s="25" t="e">
        <f t="shared" si="177"/>
        <v>#DIV/0!</v>
      </c>
      <c r="Z242" s="25" t="e">
        <f t="shared" si="178"/>
        <v>#DIV/0!</v>
      </c>
      <c r="AA242" s="25" t="e">
        <f t="shared" si="179"/>
        <v>#DIV/0!</v>
      </c>
      <c r="AB242" s="25" t="e">
        <f t="shared" si="180"/>
        <v>#DIV/0!</v>
      </c>
      <c r="AC242" s="25" t="e">
        <f t="shared" si="181"/>
        <v>#DIV/0!</v>
      </c>
      <c r="AD242" s="63" t="e">
        <f t="shared" si="182"/>
        <v>#DIV/0!</v>
      </c>
      <c r="AE242" s="24">
        <f t="shared" si="161"/>
        <v>0</v>
      </c>
    </row>
    <row r="243" spans="1:31" x14ac:dyDescent="0.2">
      <c r="A243" s="75">
        <f t="shared" si="164"/>
        <v>46281</v>
      </c>
      <c r="B243" s="15" t="str">
        <f>$B$18</f>
        <v>NA</v>
      </c>
      <c r="C243" s="15" t="str">
        <f>$C$18</f>
        <v>NA</v>
      </c>
      <c r="D243" s="18">
        <f t="shared" si="162"/>
        <v>0</v>
      </c>
      <c r="E243" s="4">
        <f t="shared" si="163"/>
        <v>0</v>
      </c>
      <c r="F243" s="4">
        <v>0</v>
      </c>
      <c r="G243" s="5" t="e">
        <f t="shared" si="165"/>
        <v>#DIV/0!</v>
      </c>
      <c r="H243" s="4" t="e">
        <f t="shared" si="166"/>
        <v>#DIV/0!</v>
      </c>
      <c r="I243" s="4" t="e">
        <f t="shared" si="167"/>
        <v>#DIV/0!</v>
      </c>
      <c r="J243" s="4">
        <f t="shared" si="168"/>
        <v>0</v>
      </c>
      <c r="K243" s="27">
        <f t="shared" si="169"/>
        <v>0</v>
      </c>
      <c r="L243" s="30">
        <f t="shared" si="170"/>
        <v>0</v>
      </c>
      <c r="M243" s="23">
        <v>0</v>
      </c>
      <c r="N243" s="2">
        <v>0</v>
      </c>
      <c r="O243" s="4">
        <v>0</v>
      </c>
      <c r="P243" s="5" t="e">
        <f t="shared" si="171"/>
        <v>#DIV/0!</v>
      </c>
      <c r="Q243" s="29" t="e">
        <f t="shared" si="172"/>
        <v>#DIV/0!</v>
      </c>
      <c r="R243" s="29" t="e">
        <f t="shared" si="173"/>
        <v>#DIV/0!</v>
      </c>
      <c r="S243" s="1">
        <v>0</v>
      </c>
      <c r="T243" s="1">
        <v>0</v>
      </c>
      <c r="U243" s="24">
        <v>0</v>
      </c>
      <c r="V243" s="25" t="e">
        <f t="shared" si="174"/>
        <v>#DIV/0!</v>
      </c>
      <c r="W243" s="25" t="e">
        <f t="shared" si="175"/>
        <v>#DIV/0!</v>
      </c>
      <c r="X243" s="25" t="e">
        <f t="shared" si="176"/>
        <v>#DIV/0!</v>
      </c>
      <c r="Y243" s="25" t="e">
        <f t="shared" si="177"/>
        <v>#DIV/0!</v>
      </c>
      <c r="Z243" s="25" t="e">
        <f t="shared" si="178"/>
        <v>#DIV/0!</v>
      </c>
      <c r="AA243" s="25" t="e">
        <f t="shared" si="179"/>
        <v>#DIV/0!</v>
      </c>
      <c r="AB243" s="25" t="e">
        <f t="shared" si="180"/>
        <v>#DIV/0!</v>
      </c>
      <c r="AC243" s="25" t="e">
        <f t="shared" si="181"/>
        <v>#DIV/0!</v>
      </c>
      <c r="AD243" s="63" t="e">
        <f t="shared" si="182"/>
        <v>#DIV/0!</v>
      </c>
      <c r="AE243" s="24">
        <f t="shared" si="161"/>
        <v>0</v>
      </c>
    </row>
    <row r="244" spans="1:31" x14ac:dyDescent="0.2">
      <c r="A244" s="75">
        <f t="shared" si="164"/>
        <v>46282</v>
      </c>
      <c r="B244" s="15" t="str">
        <f>$B$4</f>
        <v>DSM</v>
      </c>
      <c r="C244" s="15" t="str">
        <f>$C$4</f>
        <v xml:space="preserve">komal  </v>
      </c>
      <c r="D244" s="18">
        <f t="shared" si="162"/>
        <v>0</v>
      </c>
      <c r="E244" s="4">
        <f t="shared" si="163"/>
        <v>0</v>
      </c>
      <c r="F244" s="4">
        <v>0</v>
      </c>
      <c r="G244" s="5" t="e">
        <f t="shared" si="165"/>
        <v>#DIV/0!</v>
      </c>
      <c r="H244" s="4" t="e">
        <f t="shared" si="166"/>
        <v>#DIV/0!</v>
      </c>
      <c r="I244" s="4" t="e">
        <f t="shared" si="167"/>
        <v>#DIV/0!</v>
      </c>
      <c r="J244" s="4">
        <f t="shared" si="168"/>
        <v>0</v>
      </c>
      <c r="K244" s="27">
        <f t="shared" si="169"/>
        <v>0</v>
      </c>
      <c r="L244" s="30">
        <f t="shared" si="170"/>
        <v>0</v>
      </c>
      <c r="M244" s="23">
        <v>0</v>
      </c>
      <c r="N244" s="4">
        <v>0</v>
      </c>
      <c r="O244" s="4">
        <v>0</v>
      </c>
      <c r="P244" s="5" t="e">
        <f t="shared" si="171"/>
        <v>#DIV/0!</v>
      </c>
      <c r="Q244" s="29" t="e">
        <f t="shared" si="172"/>
        <v>#DIV/0!</v>
      </c>
      <c r="R244" s="29" t="e">
        <f t="shared" si="173"/>
        <v>#DIV/0!</v>
      </c>
      <c r="S244" s="1">
        <v>0</v>
      </c>
      <c r="T244" s="1">
        <v>0</v>
      </c>
      <c r="U244" s="24">
        <v>0</v>
      </c>
      <c r="V244" s="25" t="e">
        <f t="shared" si="174"/>
        <v>#DIV/0!</v>
      </c>
      <c r="W244" s="25" t="e">
        <f t="shared" si="175"/>
        <v>#DIV/0!</v>
      </c>
      <c r="X244" s="25" t="e">
        <f t="shared" si="176"/>
        <v>#DIV/0!</v>
      </c>
      <c r="Y244" s="25" t="e">
        <f t="shared" si="177"/>
        <v>#DIV/0!</v>
      </c>
      <c r="Z244" s="25" t="e">
        <f t="shared" si="178"/>
        <v>#DIV/0!</v>
      </c>
      <c r="AA244" s="25" t="e">
        <f t="shared" si="179"/>
        <v>#DIV/0!</v>
      </c>
      <c r="AB244" s="25" t="e">
        <f t="shared" si="180"/>
        <v>#DIV/0!</v>
      </c>
      <c r="AC244" s="25" t="e">
        <f t="shared" si="181"/>
        <v>#DIV/0!</v>
      </c>
      <c r="AD244" s="63" t="e">
        <f t="shared" si="182"/>
        <v>#DIV/0!</v>
      </c>
      <c r="AE244" s="24">
        <f t="shared" si="161"/>
        <v>0</v>
      </c>
    </row>
    <row r="245" spans="1:31" x14ac:dyDescent="0.2">
      <c r="A245" s="75">
        <f t="shared" si="164"/>
        <v>46282</v>
      </c>
      <c r="B245" s="15" t="str">
        <f>$B$5</f>
        <v>SS</v>
      </c>
      <c r="C245" s="15" t="str">
        <f>$C$5</f>
        <v>Prem</v>
      </c>
      <c r="D245" s="18">
        <f t="shared" si="162"/>
        <v>0</v>
      </c>
      <c r="E245" s="4">
        <f t="shared" si="163"/>
        <v>0</v>
      </c>
      <c r="F245" s="4">
        <v>0</v>
      </c>
      <c r="G245" s="5" t="e">
        <f t="shared" si="165"/>
        <v>#DIV/0!</v>
      </c>
      <c r="H245" s="4" t="e">
        <f t="shared" si="166"/>
        <v>#DIV/0!</v>
      </c>
      <c r="I245" s="4" t="e">
        <f t="shared" si="167"/>
        <v>#DIV/0!</v>
      </c>
      <c r="J245" s="4">
        <f t="shared" si="168"/>
        <v>0</v>
      </c>
      <c r="K245" s="27">
        <f t="shared" si="169"/>
        <v>0</v>
      </c>
      <c r="L245" s="30">
        <f t="shared" si="170"/>
        <v>0</v>
      </c>
      <c r="M245" s="23">
        <v>0</v>
      </c>
      <c r="N245" s="4">
        <v>0</v>
      </c>
      <c r="O245" s="4">
        <v>0</v>
      </c>
      <c r="P245" s="5" t="e">
        <f t="shared" si="171"/>
        <v>#DIV/0!</v>
      </c>
      <c r="Q245" s="29" t="e">
        <f t="shared" si="172"/>
        <v>#DIV/0!</v>
      </c>
      <c r="R245" s="29" t="e">
        <f t="shared" si="173"/>
        <v>#DIV/0!</v>
      </c>
      <c r="S245" s="1">
        <v>0</v>
      </c>
      <c r="T245" s="1">
        <v>0</v>
      </c>
      <c r="U245" s="24">
        <v>0</v>
      </c>
      <c r="V245" s="25" t="e">
        <f t="shared" si="174"/>
        <v>#DIV/0!</v>
      </c>
      <c r="W245" s="25" t="e">
        <f t="shared" si="175"/>
        <v>#DIV/0!</v>
      </c>
      <c r="X245" s="25" t="e">
        <f t="shared" si="176"/>
        <v>#DIV/0!</v>
      </c>
      <c r="Y245" s="25" t="e">
        <f t="shared" si="177"/>
        <v>#DIV/0!</v>
      </c>
      <c r="Z245" s="25" t="e">
        <f t="shared" si="178"/>
        <v>#DIV/0!</v>
      </c>
      <c r="AA245" s="25" t="e">
        <f t="shared" si="179"/>
        <v>#DIV/0!</v>
      </c>
      <c r="AB245" s="25" t="e">
        <f t="shared" si="180"/>
        <v>#DIV/0!</v>
      </c>
      <c r="AC245" s="25" t="e">
        <f t="shared" si="181"/>
        <v>#DIV/0!</v>
      </c>
      <c r="AD245" s="63" t="e">
        <f t="shared" si="182"/>
        <v>#DIV/0!</v>
      </c>
      <c r="AE245" s="24">
        <f t="shared" si="161"/>
        <v>0</v>
      </c>
    </row>
    <row r="246" spans="1:31" x14ac:dyDescent="0.2">
      <c r="A246" s="75">
        <f t="shared" si="164"/>
        <v>46282</v>
      </c>
      <c r="B246" s="15" t="str">
        <f>$B$6</f>
        <v>SS</v>
      </c>
      <c r="C246" s="15" t="str">
        <f>$C$6</f>
        <v>Anuj</v>
      </c>
      <c r="D246" s="18">
        <f t="shared" si="162"/>
        <v>1.2533616492881956</v>
      </c>
      <c r="E246" s="4">
        <f t="shared" si="163"/>
        <v>3.1295983692246745</v>
      </c>
      <c r="F246" s="4">
        <v>3092.0431887939785</v>
      </c>
      <c r="G246" s="5">
        <f t="shared" si="165"/>
        <v>2.4969635627530362</v>
      </c>
      <c r="H246" s="4">
        <f t="shared" si="166"/>
        <v>2467</v>
      </c>
      <c r="I246" s="4">
        <f t="shared" si="167"/>
        <v>988</v>
      </c>
      <c r="J246" s="4">
        <f t="shared" si="168"/>
        <v>0.10026893194305565</v>
      </c>
      <c r="K246" s="27">
        <f t="shared" si="169"/>
        <v>5.0134465971527827E-2</v>
      </c>
      <c r="L246" s="30">
        <f t="shared" si="170"/>
        <v>0.3133404123220489</v>
      </c>
      <c r="M246" s="23">
        <v>2</v>
      </c>
      <c r="N246" s="4">
        <v>4</v>
      </c>
      <c r="O246" s="4">
        <v>3092</v>
      </c>
      <c r="P246" s="5">
        <f t="shared" si="171"/>
        <v>2</v>
      </c>
      <c r="Q246" s="29">
        <f t="shared" si="172"/>
        <v>1546</v>
      </c>
      <c r="R246" s="29">
        <f t="shared" si="173"/>
        <v>773</v>
      </c>
      <c r="S246" s="1">
        <v>0</v>
      </c>
      <c r="T246" s="1">
        <v>0</v>
      </c>
      <c r="U246" s="24">
        <v>0</v>
      </c>
      <c r="V246" s="25">
        <f t="shared" si="174"/>
        <v>1.5957086297764356</v>
      </c>
      <c r="W246" s="25">
        <f t="shared" si="175"/>
        <v>1.2781192754107162</v>
      </c>
      <c r="X246" s="25">
        <f t="shared" si="176"/>
        <v>0.99998603227984173</v>
      </c>
      <c r="Y246" s="25">
        <f t="shared" si="177"/>
        <v>0.80097284150790438</v>
      </c>
      <c r="Z246" s="25">
        <f t="shared" si="178"/>
        <v>0.62667207134171055</v>
      </c>
      <c r="AA246" s="25">
        <f t="shared" si="179"/>
        <v>0.78238866396761131</v>
      </c>
      <c r="AB246" s="25">
        <f t="shared" si="180"/>
        <v>0</v>
      </c>
      <c r="AC246" s="25">
        <f t="shared" si="181"/>
        <v>0</v>
      </c>
      <c r="AD246" s="63">
        <f t="shared" si="182"/>
        <v>0</v>
      </c>
      <c r="AE246" s="24">
        <f t="shared" si="161"/>
        <v>1</v>
      </c>
    </row>
    <row r="247" spans="1:31" x14ac:dyDescent="0.2">
      <c r="A247" s="75">
        <f t="shared" si="164"/>
        <v>46282</v>
      </c>
      <c r="B247" s="15" t="str">
        <f>$B$7</f>
        <v>FC</v>
      </c>
      <c r="C247" s="15" t="str">
        <f>$C$7</f>
        <v>Muskan</v>
      </c>
      <c r="D247" s="18">
        <f t="shared" si="162"/>
        <v>6.266808246440978</v>
      </c>
      <c r="E247" s="4">
        <f t="shared" si="163"/>
        <v>15.647991846123372</v>
      </c>
      <c r="F247" s="4">
        <v>15460.215943969892</v>
      </c>
      <c r="G247" s="5">
        <f t="shared" si="165"/>
        <v>2.4969635627530362</v>
      </c>
      <c r="H247" s="4">
        <f t="shared" si="166"/>
        <v>2467</v>
      </c>
      <c r="I247" s="4">
        <f t="shared" si="167"/>
        <v>988</v>
      </c>
      <c r="J247" s="4">
        <f t="shared" si="168"/>
        <v>0.5013446597152782</v>
      </c>
      <c r="K247" s="27">
        <f t="shared" si="169"/>
        <v>0.2506723298576391</v>
      </c>
      <c r="L247" s="30">
        <f t="shared" si="170"/>
        <v>1.5667020616102445</v>
      </c>
      <c r="M247" s="23">
        <v>7</v>
      </c>
      <c r="N247" s="4">
        <v>15</v>
      </c>
      <c r="O247" s="4">
        <v>15383.56</v>
      </c>
      <c r="P247" s="5">
        <f t="shared" si="171"/>
        <v>2.1428571428571428</v>
      </c>
      <c r="Q247" s="29">
        <f t="shared" si="172"/>
        <v>2197.6514285714284</v>
      </c>
      <c r="R247" s="29">
        <f t="shared" si="173"/>
        <v>1025.5706666666667</v>
      </c>
      <c r="S247" s="1">
        <v>0</v>
      </c>
      <c r="T247" s="1">
        <v>0</v>
      </c>
      <c r="U247" s="24">
        <v>0</v>
      </c>
      <c r="V247" s="25">
        <f t="shared" si="174"/>
        <v>1.1169960408435049</v>
      </c>
      <c r="W247" s="25">
        <f t="shared" si="175"/>
        <v>0.95858945655803718</v>
      </c>
      <c r="X247" s="25">
        <f t="shared" si="176"/>
        <v>0.99504172876706865</v>
      </c>
      <c r="Y247" s="25">
        <f t="shared" si="177"/>
        <v>0.85818518732989757</v>
      </c>
      <c r="Z247" s="25">
        <f t="shared" si="178"/>
        <v>0.89081938734147892</v>
      </c>
      <c r="AA247" s="25">
        <f t="shared" si="179"/>
        <v>1.0380269905533064</v>
      </c>
      <c r="AB247" s="25">
        <f t="shared" si="180"/>
        <v>0</v>
      </c>
      <c r="AC247" s="25">
        <f t="shared" si="181"/>
        <v>0</v>
      </c>
      <c r="AD247" s="63">
        <f t="shared" si="182"/>
        <v>0</v>
      </c>
      <c r="AE247" s="24">
        <f t="shared" si="161"/>
        <v>1</v>
      </c>
    </row>
    <row r="248" spans="1:31" x14ac:dyDescent="0.2">
      <c r="A248" s="75">
        <f t="shared" si="164"/>
        <v>46282</v>
      </c>
      <c r="B248" s="15" t="str">
        <f>$B$8</f>
        <v>FC</v>
      </c>
      <c r="C248" s="15" t="str">
        <f>$C$8</f>
        <v xml:space="preserve">Kajal  </v>
      </c>
      <c r="D248" s="18">
        <f t="shared" si="162"/>
        <v>1.8800424739322932</v>
      </c>
      <c r="E248" s="4">
        <f t="shared" si="163"/>
        <v>4.6943975538370113</v>
      </c>
      <c r="F248" s="4">
        <v>4638.0647831909673</v>
      </c>
      <c r="G248" s="5">
        <f t="shared" si="165"/>
        <v>2.4969635627530362</v>
      </c>
      <c r="H248" s="4">
        <f t="shared" si="166"/>
        <v>2467</v>
      </c>
      <c r="I248" s="4">
        <f t="shared" si="167"/>
        <v>988</v>
      </c>
      <c r="J248" s="4">
        <f t="shared" si="168"/>
        <v>0.15040339791458346</v>
      </c>
      <c r="K248" s="27">
        <f t="shared" si="169"/>
        <v>7.5201698957291729E-2</v>
      </c>
      <c r="L248" s="30">
        <f t="shared" si="170"/>
        <v>0.47001061848307329</v>
      </c>
      <c r="M248" s="23">
        <v>3</v>
      </c>
      <c r="N248" s="4">
        <v>5</v>
      </c>
      <c r="O248" s="4">
        <v>4636.1499999999996</v>
      </c>
      <c r="P248" s="5">
        <f t="shared" si="171"/>
        <v>1.6666666666666667</v>
      </c>
      <c r="Q248" s="29">
        <f t="shared" si="172"/>
        <v>1545.3833333333332</v>
      </c>
      <c r="R248" s="29">
        <f t="shared" si="173"/>
        <v>927.2299999999999</v>
      </c>
      <c r="S248" s="1">
        <v>0</v>
      </c>
      <c r="T248" s="1">
        <v>0</v>
      </c>
      <c r="U248" s="24">
        <v>0</v>
      </c>
      <c r="V248" s="25">
        <f t="shared" si="174"/>
        <v>1.5957086297764358</v>
      </c>
      <c r="W248" s="25">
        <f t="shared" si="175"/>
        <v>1.065099396175597</v>
      </c>
      <c r="X248" s="25">
        <f t="shared" si="176"/>
        <v>0.99958715902418893</v>
      </c>
      <c r="Y248" s="25">
        <f t="shared" si="177"/>
        <v>0.66747736792325374</v>
      </c>
      <c r="Z248" s="25">
        <f t="shared" si="178"/>
        <v>0.62642210512092955</v>
      </c>
      <c r="AA248" s="25">
        <f t="shared" si="179"/>
        <v>0.93849190283400796</v>
      </c>
      <c r="AB248" s="25">
        <f t="shared" si="180"/>
        <v>0</v>
      </c>
      <c r="AC248" s="25">
        <f t="shared" si="181"/>
        <v>0</v>
      </c>
      <c r="AD248" s="63">
        <f t="shared" si="182"/>
        <v>0</v>
      </c>
      <c r="AE248" s="24">
        <f t="shared" si="161"/>
        <v>1</v>
      </c>
    </row>
    <row r="249" spans="1:31" x14ac:dyDescent="0.2">
      <c r="A249" s="75">
        <f t="shared" si="164"/>
        <v>46282</v>
      </c>
      <c r="B249" s="15" t="str">
        <f>$B$9</f>
        <v>FC</v>
      </c>
      <c r="C249" s="15" t="str">
        <f>$C$9</f>
        <v>Pradeep</v>
      </c>
      <c r="D249" s="18">
        <f t="shared" si="162"/>
        <v>1.2533616492881956</v>
      </c>
      <c r="E249" s="4">
        <f t="shared" si="163"/>
        <v>3.1295983692246745</v>
      </c>
      <c r="F249" s="4">
        <v>3092.0431887939785</v>
      </c>
      <c r="G249" s="5">
        <f t="shared" si="165"/>
        <v>2.4969635627530362</v>
      </c>
      <c r="H249" s="4">
        <f t="shared" si="166"/>
        <v>2467</v>
      </c>
      <c r="I249" s="4">
        <f t="shared" si="167"/>
        <v>988</v>
      </c>
      <c r="J249" s="4">
        <f t="shared" si="168"/>
        <v>0.10026893194305565</v>
      </c>
      <c r="K249" s="27">
        <f t="shared" si="169"/>
        <v>5.0134465971527827E-2</v>
      </c>
      <c r="L249" s="30">
        <f t="shared" si="170"/>
        <v>0.3133404123220489</v>
      </c>
      <c r="M249" s="23">
        <v>2</v>
      </c>
      <c r="N249" s="4">
        <v>4</v>
      </c>
      <c r="O249" s="4">
        <v>1185</v>
      </c>
      <c r="P249" s="5">
        <f t="shared" si="171"/>
        <v>2</v>
      </c>
      <c r="Q249" s="29">
        <f t="shared" si="172"/>
        <v>592.5</v>
      </c>
      <c r="R249" s="29">
        <f t="shared" si="173"/>
        <v>296.25</v>
      </c>
      <c r="S249" s="1">
        <v>0</v>
      </c>
      <c r="T249" s="1">
        <v>0</v>
      </c>
      <c r="U249" s="24">
        <v>0</v>
      </c>
      <c r="V249" s="25">
        <f t="shared" si="174"/>
        <v>1.5957086297764356</v>
      </c>
      <c r="W249" s="25">
        <f t="shared" si="175"/>
        <v>1.2781192754107162</v>
      </c>
      <c r="X249" s="25">
        <f t="shared" si="176"/>
        <v>0.3832417361745189</v>
      </c>
      <c r="Y249" s="25">
        <f t="shared" si="177"/>
        <v>0.80097284150790438</v>
      </c>
      <c r="Z249" s="25">
        <f t="shared" si="178"/>
        <v>0.24017024726388325</v>
      </c>
      <c r="AA249" s="25">
        <f t="shared" si="179"/>
        <v>0.2998481781376518</v>
      </c>
      <c r="AB249" s="25">
        <f t="shared" si="180"/>
        <v>0</v>
      </c>
      <c r="AC249" s="25">
        <f t="shared" si="181"/>
        <v>0</v>
      </c>
      <c r="AD249" s="63">
        <f t="shared" si="182"/>
        <v>0</v>
      </c>
      <c r="AE249" s="24">
        <f t="shared" si="161"/>
        <v>1</v>
      </c>
    </row>
    <row r="250" spans="1:31" x14ac:dyDescent="0.2">
      <c r="A250" s="75">
        <f t="shared" si="164"/>
        <v>46282</v>
      </c>
      <c r="B250" s="15" t="str">
        <f>$B$10</f>
        <v>FC</v>
      </c>
      <c r="C250" s="15" t="str">
        <f>$C$10</f>
        <v>Aftab</v>
      </c>
      <c r="D250" s="18">
        <f t="shared" si="162"/>
        <v>3.133404123220489</v>
      </c>
      <c r="E250" s="4">
        <f t="shared" si="163"/>
        <v>7.8239959230616858</v>
      </c>
      <c r="F250" s="4">
        <v>7730.1079719849458</v>
      </c>
      <c r="G250" s="5">
        <f t="shared" si="165"/>
        <v>2.4969635627530362</v>
      </c>
      <c r="H250" s="4">
        <f t="shared" si="166"/>
        <v>2467</v>
      </c>
      <c r="I250" s="4">
        <f t="shared" si="167"/>
        <v>988</v>
      </c>
      <c r="J250" s="4">
        <f t="shared" si="168"/>
        <v>0.2506723298576391</v>
      </c>
      <c r="K250" s="27">
        <f t="shared" si="169"/>
        <v>0.12533616492881955</v>
      </c>
      <c r="L250" s="30">
        <f t="shared" si="170"/>
        <v>0.78335103080512225</v>
      </c>
      <c r="M250" s="23">
        <v>1</v>
      </c>
      <c r="N250" s="4">
        <v>1</v>
      </c>
      <c r="O250" s="4">
        <v>1359.2</v>
      </c>
      <c r="P250" s="5">
        <f t="shared" si="171"/>
        <v>1</v>
      </c>
      <c r="Q250" s="29">
        <f t="shared" si="172"/>
        <v>1359.2</v>
      </c>
      <c r="R250" s="29">
        <f t="shared" si="173"/>
        <v>1359.2</v>
      </c>
      <c r="S250" s="1">
        <v>0</v>
      </c>
      <c r="T250" s="1">
        <v>0</v>
      </c>
      <c r="U250" s="24">
        <v>0</v>
      </c>
      <c r="V250" s="25">
        <f t="shared" si="174"/>
        <v>0.31914172595528711</v>
      </c>
      <c r="W250" s="25">
        <f t="shared" si="175"/>
        <v>0.12781192754107162</v>
      </c>
      <c r="X250" s="25">
        <f t="shared" si="176"/>
        <v>0.17583195537836493</v>
      </c>
      <c r="Y250" s="25">
        <f t="shared" si="177"/>
        <v>0.40048642075395219</v>
      </c>
      <c r="Z250" s="25">
        <f t="shared" si="178"/>
        <v>0.55095257397648967</v>
      </c>
      <c r="AA250" s="25">
        <f t="shared" si="179"/>
        <v>1.3757085020242916</v>
      </c>
      <c r="AB250" s="25">
        <f t="shared" si="180"/>
        <v>0</v>
      </c>
      <c r="AC250" s="25">
        <f t="shared" si="181"/>
        <v>0</v>
      </c>
      <c r="AD250" s="63">
        <f t="shared" si="182"/>
        <v>0</v>
      </c>
      <c r="AE250" s="24">
        <f t="shared" si="161"/>
        <v>1</v>
      </c>
    </row>
    <row r="251" spans="1:31" x14ac:dyDescent="0.2">
      <c r="A251" s="75">
        <f t="shared" si="164"/>
        <v>46282</v>
      </c>
      <c r="B251" s="15" t="str">
        <f>$B$11</f>
        <v>FC</v>
      </c>
      <c r="C251" s="15" t="str">
        <f>$C$11</f>
        <v>Khushi</v>
      </c>
      <c r="D251" s="18">
        <f t="shared" si="162"/>
        <v>6.266808246440978</v>
      </c>
      <c r="E251" s="4">
        <f t="shared" si="163"/>
        <v>15.647991846123372</v>
      </c>
      <c r="F251" s="4">
        <v>15460.215943969892</v>
      </c>
      <c r="G251" s="5">
        <f t="shared" si="165"/>
        <v>2.4969635627530362</v>
      </c>
      <c r="H251" s="4">
        <f t="shared" si="166"/>
        <v>2467</v>
      </c>
      <c r="I251" s="4">
        <f t="shared" si="167"/>
        <v>988</v>
      </c>
      <c r="J251" s="4">
        <f t="shared" si="168"/>
        <v>0.5013446597152782</v>
      </c>
      <c r="K251" s="27">
        <f t="shared" si="169"/>
        <v>0.2506723298576391</v>
      </c>
      <c r="L251" s="30">
        <f t="shared" si="170"/>
        <v>1.5667020616102445</v>
      </c>
      <c r="M251" s="23">
        <v>4</v>
      </c>
      <c r="N251" s="4">
        <v>8</v>
      </c>
      <c r="O251" s="4">
        <v>7406</v>
      </c>
      <c r="P251" s="5">
        <f t="shared" si="171"/>
        <v>2</v>
      </c>
      <c r="Q251" s="29">
        <f t="shared" si="172"/>
        <v>1851.5</v>
      </c>
      <c r="R251" s="29">
        <f t="shared" si="173"/>
        <v>925.75</v>
      </c>
      <c r="S251" s="1">
        <v>0</v>
      </c>
      <c r="T251" s="1">
        <v>0</v>
      </c>
      <c r="U251" s="24">
        <v>0</v>
      </c>
      <c r="V251" s="25">
        <f t="shared" si="174"/>
        <v>0.63828345191057423</v>
      </c>
      <c r="W251" s="25">
        <f t="shared" si="175"/>
        <v>0.5112477101642865</v>
      </c>
      <c r="X251" s="25">
        <f t="shared" si="176"/>
        <v>0.47903599968075733</v>
      </c>
      <c r="Y251" s="25">
        <f t="shared" si="177"/>
        <v>0.80097284150790438</v>
      </c>
      <c r="Z251" s="25">
        <f t="shared" si="178"/>
        <v>0.75050668828536682</v>
      </c>
      <c r="AA251" s="25">
        <f t="shared" si="179"/>
        <v>0.93699392712550611</v>
      </c>
      <c r="AB251" s="25">
        <f t="shared" si="180"/>
        <v>0</v>
      </c>
      <c r="AC251" s="25">
        <f t="shared" si="181"/>
        <v>0</v>
      </c>
      <c r="AD251" s="63">
        <f t="shared" si="182"/>
        <v>0</v>
      </c>
      <c r="AE251" s="24">
        <f t="shared" si="161"/>
        <v>1</v>
      </c>
    </row>
    <row r="252" spans="1:31" x14ac:dyDescent="0.2">
      <c r="A252" s="75">
        <f t="shared" si="164"/>
        <v>46282</v>
      </c>
      <c r="B252" s="15" t="str">
        <f>$B$12</f>
        <v>FC</v>
      </c>
      <c r="C252" s="15" t="str">
        <f>$C$12</f>
        <v>Kishan</v>
      </c>
      <c r="D252" s="18">
        <f t="shared" si="162"/>
        <v>6.266808246440978</v>
      </c>
      <c r="E252" s="4">
        <f t="shared" si="163"/>
        <v>15.647991846123372</v>
      </c>
      <c r="F252" s="4">
        <v>15460.215943969892</v>
      </c>
      <c r="G252" s="5">
        <f t="shared" si="165"/>
        <v>2.4969635627530362</v>
      </c>
      <c r="H252" s="4">
        <f t="shared" si="166"/>
        <v>2467</v>
      </c>
      <c r="I252" s="4">
        <f t="shared" si="167"/>
        <v>988</v>
      </c>
      <c r="J252" s="4">
        <f t="shared" si="168"/>
        <v>0.5013446597152782</v>
      </c>
      <c r="K252" s="27">
        <f t="shared" si="169"/>
        <v>0.2506723298576391</v>
      </c>
      <c r="L252" s="30">
        <f t="shared" si="170"/>
        <v>1.5667020616102445</v>
      </c>
      <c r="M252" s="23">
        <v>3</v>
      </c>
      <c r="N252" s="4">
        <v>11</v>
      </c>
      <c r="O252" s="4">
        <v>7209.7999999999993</v>
      </c>
      <c r="P252" s="5">
        <f t="shared" si="171"/>
        <v>3.6666666666666665</v>
      </c>
      <c r="Q252" s="29">
        <f t="shared" si="172"/>
        <v>2403.2666666666664</v>
      </c>
      <c r="R252" s="29">
        <f t="shared" si="173"/>
        <v>655.43636363636358</v>
      </c>
      <c r="S252" s="1">
        <v>0</v>
      </c>
      <c r="T252" s="1">
        <v>0</v>
      </c>
      <c r="U252" s="24">
        <v>0</v>
      </c>
      <c r="V252" s="25">
        <f t="shared" si="174"/>
        <v>0.47871258893293067</v>
      </c>
      <c r="W252" s="25">
        <f t="shared" si="175"/>
        <v>0.70296560147589393</v>
      </c>
      <c r="X252" s="25">
        <f t="shared" si="176"/>
        <v>0.46634536193604154</v>
      </c>
      <c r="Y252" s="25">
        <f t="shared" si="177"/>
        <v>1.468450209431158</v>
      </c>
      <c r="Z252" s="25">
        <f t="shared" si="178"/>
        <v>0.97416565329009586</v>
      </c>
      <c r="AA252" s="25">
        <f t="shared" si="179"/>
        <v>0.66339712918660276</v>
      </c>
      <c r="AB252" s="25">
        <f t="shared" si="180"/>
        <v>0</v>
      </c>
      <c r="AC252" s="25">
        <f t="shared" si="181"/>
        <v>0</v>
      </c>
      <c r="AD252" s="63">
        <f t="shared" si="182"/>
        <v>0</v>
      </c>
      <c r="AE252" s="24">
        <f t="shared" si="161"/>
        <v>1</v>
      </c>
    </row>
    <row r="253" spans="1:31" x14ac:dyDescent="0.2">
      <c r="A253" s="75">
        <f t="shared" si="164"/>
        <v>46282</v>
      </c>
      <c r="B253" s="15" t="str">
        <f>$B$13</f>
        <v>Partner</v>
      </c>
      <c r="C253" s="15" t="str">
        <f>$C$13</f>
        <v>Rahul</v>
      </c>
      <c r="D253" s="18">
        <f t="shared" si="162"/>
        <v>5.6401274217968789</v>
      </c>
      <c r="E253" s="4">
        <f t="shared" si="163"/>
        <v>14.083192661511033</v>
      </c>
      <c r="F253" s="4">
        <v>13914.194349572901</v>
      </c>
      <c r="G253" s="5">
        <f t="shared" si="165"/>
        <v>2.4969635627530367</v>
      </c>
      <c r="H253" s="4">
        <f t="shared" si="166"/>
        <v>2467</v>
      </c>
      <c r="I253" s="4">
        <f t="shared" si="167"/>
        <v>988</v>
      </c>
      <c r="J253" s="4">
        <f t="shared" si="168"/>
        <v>0.45121019374375032</v>
      </c>
      <c r="K253" s="27">
        <f t="shared" si="169"/>
        <v>0.22560509687187516</v>
      </c>
      <c r="L253" s="30">
        <f t="shared" si="170"/>
        <v>1.4100318554492197</v>
      </c>
      <c r="M253" s="23">
        <v>2</v>
      </c>
      <c r="N253" s="4">
        <v>3</v>
      </c>
      <c r="O253" s="4">
        <v>2597</v>
      </c>
      <c r="P253" s="5">
        <f t="shared" si="171"/>
        <v>1.5</v>
      </c>
      <c r="Q253" s="29">
        <f t="shared" si="172"/>
        <v>1298.5</v>
      </c>
      <c r="R253" s="29">
        <f t="shared" si="173"/>
        <v>865.66666666666663</v>
      </c>
      <c r="S253" s="1">
        <v>0</v>
      </c>
      <c r="T253" s="1">
        <v>0</v>
      </c>
      <c r="U253" s="24">
        <v>0</v>
      </c>
      <c r="V253" s="25">
        <f t="shared" si="174"/>
        <v>0.3546019177280969</v>
      </c>
      <c r="W253" s="25">
        <f t="shared" si="175"/>
        <v>0.21301987923511939</v>
      </c>
      <c r="X253" s="25">
        <f t="shared" si="176"/>
        <v>0.18664393602348348</v>
      </c>
      <c r="Y253" s="25">
        <f t="shared" si="177"/>
        <v>0.60072963113092825</v>
      </c>
      <c r="Z253" s="25">
        <f t="shared" si="178"/>
        <v>0.52634779083907579</v>
      </c>
      <c r="AA253" s="25">
        <f t="shared" si="179"/>
        <v>0.87618083670715241</v>
      </c>
      <c r="AB253" s="25">
        <f t="shared" si="180"/>
        <v>0</v>
      </c>
      <c r="AC253" s="25">
        <f t="shared" si="181"/>
        <v>0</v>
      </c>
      <c r="AD253" s="63">
        <f t="shared" si="182"/>
        <v>0</v>
      </c>
      <c r="AE253" s="24">
        <f t="shared" si="161"/>
        <v>1</v>
      </c>
    </row>
    <row r="254" spans="1:31" x14ac:dyDescent="0.2">
      <c r="A254" s="75">
        <f t="shared" si="164"/>
        <v>46282</v>
      </c>
      <c r="B254" s="15" t="str">
        <f>$B$14</f>
        <v>Partner</v>
      </c>
      <c r="C254" s="15" t="str">
        <f>$C$14</f>
        <v>Prince</v>
      </c>
      <c r="D254" s="18">
        <f t="shared" si="162"/>
        <v>4.3867657725086842</v>
      </c>
      <c r="E254" s="4">
        <f t="shared" si="163"/>
        <v>10.953594292286359</v>
      </c>
      <c r="F254" s="4">
        <v>10822.151160778923</v>
      </c>
      <c r="G254" s="5">
        <f t="shared" si="165"/>
        <v>2.4969635627530362</v>
      </c>
      <c r="H254" s="4">
        <f t="shared" si="166"/>
        <v>2467</v>
      </c>
      <c r="I254" s="4">
        <f t="shared" si="167"/>
        <v>988</v>
      </c>
      <c r="J254" s="4">
        <f t="shared" si="168"/>
        <v>0.35094126180069474</v>
      </c>
      <c r="K254" s="27">
        <f t="shared" si="169"/>
        <v>0.17547063090034737</v>
      </c>
      <c r="L254" s="30">
        <f t="shared" si="170"/>
        <v>1.096691443127171</v>
      </c>
      <c r="M254" s="23">
        <v>1</v>
      </c>
      <c r="N254" s="4">
        <v>1</v>
      </c>
      <c r="O254" s="4">
        <v>899</v>
      </c>
      <c r="P254" s="5">
        <f t="shared" si="171"/>
        <v>1</v>
      </c>
      <c r="Q254" s="29">
        <f t="shared" si="172"/>
        <v>899</v>
      </c>
      <c r="R254" s="29">
        <f t="shared" si="173"/>
        <v>899</v>
      </c>
      <c r="S254" s="1">
        <v>0</v>
      </c>
      <c r="T254" s="1">
        <v>0</v>
      </c>
      <c r="U254" s="24">
        <v>0</v>
      </c>
      <c r="V254" s="25">
        <f t="shared" si="174"/>
        <v>0.22795837568234797</v>
      </c>
      <c r="W254" s="25">
        <f t="shared" si="175"/>
        <v>9.1294233957908311E-2</v>
      </c>
      <c r="X254" s="25">
        <f t="shared" si="176"/>
        <v>8.3070360656031947E-2</v>
      </c>
      <c r="Y254" s="25">
        <f t="shared" si="177"/>
        <v>0.40048642075395219</v>
      </c>
      <c r="Z254" s="25">
        <f t="shared" si="178"/>
        <v>0.36441021483583297</v>
      </c>
      <c r="AA254" s="25">
        <f t="shared" si="179"/>
        <v>0.90991902834008098</v>
      </c>
      <c r="AB254" s="25">
        <f t="shared" si="180"/>
        <v>0</v>
      </c>
      <c r="AC254" s="25">
        <f t="shared" si="181"/>
        <v>0</v>
      </c>
      <c r="AD254" s="63">
        <f t="shared" si="182"/>
        <v>0</v>
      </c>
      <c r="AE254" s="24">
        <f t="shared" si="161"/>
        <v>1</v>
      </c>
    </row>
    <row r="255" spans="1:31" x14ac:dyDescent="0.2">
      <c r="A255" s="75">
        <f t="shared" si="164"/>
        <v>46282</v>
      </c>
      <c r="B255" s="15" t="str">
        <f>$B$15</f>
        <v>Partner</v>
      </c>
      <c r="C255" s="15" t="str">
        <f>$C$15</f>
        <v>Kunal</v>
      </c>
      <c r="D255" s="18">
        <f t="shared" si="162"/>
        <v>0</v>
      </c>
      <c r="E255" s="4">
        <f t="shared" si="163"/>
        <v>0</v>
      </c>
      <c r="F255" s="4">
        <v>0</v>
      </c>
      <c r="G255" s="5" t="e">
        <f t="shared" si="165"/>
        <v>#DIV/0!</v>
      </c>
      <c r="H255" s="4" t="e">
        <f t="shared" si="166"/>
        <v>#DIV/0!</v>
      </c>
      <c r="I255" s="4" t="e">
        <f t="shared" si="167"/>
        <v>#DIV/0!</v>
      </c>
      <c r="J255" s="4">
        <f t="shared" si="168"/>
        <v>0</v>
      </c>
      <c r="K255" s="27">
        <f t="shared" si="169"/>
        <v>0</v>
      </c>
      <c r="L255" s="30">
        <f t="shared" si="170"/>
        <v>0</v>
      </c>
      <c r="M255" s="23">
        <v>0</v>
      </c>
      <c r="N255" s="4">
        <v>0</v>
      </c>
      <c r="O255" s="4">
        <v>0</v>
      </c>
      <c r="P255" s="5" t="e">
        <f t="shared" si="171"/>
        <v>#DIV/0!</v>
      </c>
      <c r="Q255" s="29" t="e">
        <f t="shared" si="172"/>
        <v>#DIV/0!</v>
      </c>
      <c r="R255" s="29" t="e">
        <f t="shared" si="173"/>
        <v>#DIV/0!</v>
      </c>
      <c r="S255" s="1">
        <v>0</v>
      </c>
      <c r="T255" s="1">
        <v>0</v>
      </c>
      <c r="U255" s="24">
        <v>0</v>
      </c>
      <c r="V255" s="25" t="e">
        <f t="shared" si="174"/>
        <v>#DIV/0!</v>
      </c>
      <c r="W255" s="25" t="e">
        <f t="shared" si="175"/>
        <v>#DIV/0!</v>
      </c>
      <c r="X255" s="25" t="e">
        <f t="shared" si="176"/>
        <v>#DIV/0!</v>
      </c>
      <c r="Y255" s="25" t="e">
        <f t="shared" si="177"/>
        <v>#DIV/0!</v>
      </c>
      <c r="Z255" s="25" t="e">
        <f t="shared" si="178"/>
        <v>#DIV/0!</v>
      </c>
      <c r="AA255" s="25" t="e">
        <f t="shared" si="179"/>
        <v>#DIV/0!</v>
      </c>
      <c r="AB255" s="25" t="e">
        <f t="shared" si="180"/>
        <v>#DIV/0!</v>
      </c>
      <c r="AC255" s="25" t="e">
        <f t="shared" si="181"/>
        <v>#DIV/0!</v>
      </c>
      <c r="AD255" s="63" t="e">
        <f t="shared" si="182"/>
        <v>#DIV/0!</v>
      </c>
      <c r="AE255" s="24">
        <f t="shared" si="161"/>
        <v>0</v>
      </c>
    </row>
    <row r="256" spans="1:31" x14ac:dyDescent="0.2">
      <c r="A256" s="75">
        <f t="shared" si="164"/>
        <v>46282</v>
      </c>
      <c r="B256" s="15" t="str">
        <f>$B$16</f>
        <v>NA</v>
      </c>
      <c r="C256" s="15" t="str">
        <f>$C$16</f>
        <v>NA</v>
      </c>
      <c r="D256" s="18">
        <f t="shared" si="162"/>
        <v>0</v>
      </c>
      <c r="E256" s="4">
        <f t="shared" si="163"/>
        <v>0</v>
      </c>
      <c r="F256" s="4">
        <v>0</v>
      </c>
      <c r="G256" s="5" t="e">
        <f t="shared" si="165"/>
        <v>#DIV/0!</v>
      </c>
      <c r="H256" s="4" t="e">
        <f t="shared" si="166"/>
        <v>#DIV/0!</v>
      </c>
      <c r="I256" s="4" t="e">
        <f t="shared" si="167"/>
        <v>#DIV/0!</v>
      </c>
      <c r="J256" s="4">
        <f t="shared" si="168"/>
        <v>0</v>
      </c>
      <c r="K256" s="27">
        <f t="shared" si="169"/>
        <v>0</v>
      </c>
      <c r="L256" s="30">
        <f t="shared" si="170"/>
        <v>0</v>
      </c>
      <c r="M256" s="23">
        <v>0</v>
      </c>
      <c r="N256" s="4">
        <v>0</v>
      </c>
      <c r="O256" s="4">
        <v>0</v>
      </c>
      <c r="P256" s="5" t="e">
        <f t="shared" si="171"/>
        <v>#DIV/0!</v>
      </c>
      <c r="Q256" s="29" t="e">
        <f t="shared" si="172"/>
        <v>#DIV/0!</v>
      </c>
      <c r="R256" s="29" t="e">
        <f t="shared" si="173"/>
        <v>#DIV/0!</v>
      </c>
      <c r="S256" s="1">
        <v>0</v>
      </c>
      <c r="T256" s="1">
        <v>0</v>
      </c>
      <c r="U256" s="24">
        <v>0</v>
      </c>
      <c r="V256" s="25" t="e">
        <f t="shared" si="174"/>
        <v>#DIV/0!</v>
      </c>
      <c r="W256" s="25" t="e">
        <f t="shared" si="175"/>
        <v>#DIV/0!</v>
      </c>
      <c r="X256" s="25" t="e">
        <f t="shared" si="176"/>
        <v>#DIV/0!</v>
      </c>
      <c r="Y256" s="25" t="e">
        <f t="shared" si="177"/>
        <v>#DIV/0!</v>
      </c>
      <c r="Z256" s="25" t="e">
        <f t="shared" si="178"/>
        <v>#DIV/0!</v>
      </c>
      <c r="AA256" s="25" t="e">
        <f t="shared" si="179"/>
        <v>#DIV/0!</v>
      </c>
      <c r="AB256" s="25" t="e">
        <f t="shared" si="180"/>
        <v>#DIV/0!</v>
      </c>
      <c r="AC256" s="25" t="e">
        <f t="shared" si="181"/>
        <v>#DIV/0!</v>
      </c>
      <c r="AD256" s="63" t="e">
        <f t="shared" si="182"/>
        <v>#DIV/0!</v>
      </c>
      <c r="AE256" s="24">
        <f t="shared" si="161"/>
        <v>0</v>
      </c>
    </row>
    <row r="257" spans="1:31" x14ac:dyDescent="0.2">
      <c r="A257" s="75">
        <f t="shared" si="164"/>
        <v>46282</v>
      </c>
      <c r="B257" s="15" t="str">
        <f>$B$17</f>
        <v>NA</v>
      </c>
      <c r="C257" s="15" t="str">
        <f>$C$17</f>
        <v>NA</v>
      </c>
      <c r="D257" s="18">
        <f t="shared" si="162"/>
        <v>0</v>
      </c>
      <c r="E257" s="4">
        <f t="shared" si="163"/>
        <v>0</v>
      </c>
      <c r="F257" s="4">
        <v>0</v>
      </c>
      <c r="G257" s="5" t="e">
        <f t="shared" si="165"/>
        <v>#DIV/0!</v>
      </c>
      <c r="H257" s="4" t="e">
        <f t="shared" si="166"/>
        <v>#DIV/0!</v>
      </c>
      <c r="I257" s="4" t="e">
        <f t="shared" si="167"/>
        <v>#DIV/0!</v>
      </c>
      <c r="J257" s="4">
        <f t="shared" si="168"/>
        <v>0</v>
      </c>
      <c r="K257" s="27">
        <f t="shared" si="169"/>
        <v>0</v>
      </c>
      <c r="L257" s="30">
        <f t="shared" si="170"/>
        <v>0</v>
      </c>
      <c r="M257" s="23">
        <v>0</v>
      </c>
      <c r="N257" s="4">
        <v>0</v>
      </c>
      <c r="O257" s="4">
        <v>0</v>
      </c>
      <c r="P257" s="5" t="e">
        <f t="shared" si="171"/>
        <v>#DIV/0!</v>
      </c>
      <c r="Q257" s="29" t="e">
        <f t="shared" si="172"/>
        <v>#DIV/0!</v>
      </c>
      <c r="R257" s="29" t="e">
        <f t="shared" si="173"/>
        <v>#DIV/0!</v>
      </c>
      <c r="S257" s="1">
        <v>0</v>
      </c>
      <c r="T257" s="1">
        <v>0</v>
      </c>
      <c r="U257" s="24">
        <v>0</v>
      </c>
      <c r="V257" s="25" t="e">
        <f t="shared" si="174"/>
        <v>#DIV/0!</v>
      </c>
      <c r="W257" s="25" t="e">
        <f t="shared" si="175"/>
        <v>#DIV/0!</v>
      </c>
      <c r="X257" s="25" t="e">
        <f t="shared" si="176"/>
        <v>#DIV/0!</v>
      </c>
      <c r="Y257" s="25" t="e">
        <f t="shared" si="177"/>
        <v>#DIV/0!</v>
      </c>
      <c r="Z257" s="25" t="e">
        <f t="shared" si="178"/>
        <v>#DIV/0!</v>
      </c>
      <c r="AA257" s="25" t="e">
        <f t="shared" si="179"/>
        <v>#DIV/0!</v>
      </c>
      <c r="AB257" s="25" t="e">
        <f t="shared" si="180"/>
        <v>#DIV/0!</v>
      </c>
      <c r="AC257" s="25" t="e">
        <f t="shared" si="181"/>
        <v>#DIV/0!</v>
      </c>
      <c r="AD257" s="63" t="e">
        <f t="shared" si="182"/>
        <v>#DIV/0!</v>
      </c>
      <c r="AE257" s="24">
        <f t="shared" si="161"/>
        <v>0</v>
      </c>
    </row>
    <row r="258" spans="1:31" x14ac:dyDescent="0.2">
      <c r="A258" s="75">
        <f t="shared" si="164"/>
        <v>46282</v>
      </c>
      <c r="B258" s="15" t="str">
        <f>$B$18</f>
        <v>NA</v>
      </c>
      <c r="C258" s="15" t="str">
        <f>$C$18</f>
        <v>NA</v>
      </c>
      <c r="D258" s="18">
        <f t="shared" si="162"/>
        <v>0</v>
      </c>
      <c r="E258" s="4">
        <f t="shared" si="163"/>
        <v>0</v>
      </c>
      <c r="F258" s="4">
        <v>0</v>
      </c>
      <c r="G258" s="5" t="e">
        <f t="shared" si="165"/>
        <v>#DIV/0!</v>
      </c>
      <c r="H258" s="4" t="e">
        <f t="shared" si="166"/>
        <v>#DIV/0!</v>
      </c>
      <c r="I258" s="4" t="e">
        <f t="shared" si="167"/>
        <v>#DIV/0!</v>
      </c>
      <c r="J258" s="4">
        <f t="shared" si="168"/>
        <v>0</v>
      </c>
      <c r="K258" s="27">
        <f t="shared" si="169"/>
        <v>0</v>
      </c>
      <c r="L258" s="30">
        <f t="shared" si="170"/>
        <v>0</v>
      </c>
      <c r="M258" s="23">
        <v>0</v>
      </c>
      <c r="N258" s="4">
        <v>0</v>
      </c>
      <c r="O258" s="4">
        <v>0</v>
      </c>
      <c r="P258" s="5" t="e">
        <f t="shared" si="171"/>
        <v>#DIV/0!</v>
      </c>
      <c r="Q258" s="29" t="e">
        <f t="shared" si="172"/>
        <v>#DIV/0!</v>
      </c>
      <c r="R258" s="29" t="e">
        <f t="shared" si="173"/>
        <v>#DIV/0!</v>
      </c>
      <c r="S258" s="1">
        <v>0</v>
      </c>
      <c r="T258" s="1">
        <v>0</v>
      </c>
      <c r="U258" s="24">
        <v>0</v>
      </c>
      <c r="V258" s="25" t="e">
        <f t="shared" si="174"/>
        <v>#DIV/0!</v>
      </c>
      <c r="W258" s="25" t="e">
        <f t="shared" si="175"/>
        <v>#DIV/0!</v>
      </c>
      <c r="X258" s="25" t="e">
        <f t="shared" si="176"/>
        <v>#DIV/0!</v>
      </c>
      <c r="Y258" s="25" t="e">
        <f t="shared" si="177"/>
        <v>#DIV/0!</v>
      </c>
      <c r="Z258" s="25" t="e">
        <f t="shared" si="178"/>
        <v>#DIV/0!</v>
      </c>
      <c r="AA258" s="25" t="e">
        <f t="shared" si="179"/>
        <v>#DIV/0!</v>
      </c>
      <c r="AB258" s="25" t="e">
        <f t="shared" si="180"/>
        <v>#DIV/0!</v>
      </c>
      <c r="AC258" s="25" t="e">
        <f t="shared" si="181"/>
        <v>#DIV/0!</v>
      </c>
      <c r="AD258" s="63" t="e">
        <f t="shared" si="182"/>
        <v>#DIV/0!</v>
      </c>
      <c r="AE258" s="24">
        <f t="shared" si="161"/>
        <v>0</v>
      </c>
    </row>
    <row r="259" spans="1:31" ht="15" x14ac:dyDescent="0.25">
      <c r="A259" s="75">
        <f t="shared" si="164"/>
        <v>46283</v>
      </c>
      <c r="B259" s="15" t="str">
        <f>$B$4</f>
        <v>DSM</v>
      </c>
      <c r="C259" s="15" t="str">
        <f>$C$4</f>
        <v xml:space="preserve">komal  </v>
      </c>
      <c r="D259" s="18">
        <f t="shared" si="162"/>
        <v>0</v>
      </c>
      <c r="E259" s="4">
        <f t="shared" si="163"/>
        <v>0</v>
      </c>
      <c r="F259" s="31">
        <v>0</v>
      </c>
      <c r="G259" s="5" t="e">
        <f t="shared" si="165"/>
        <v>#DIV/0!</v>
      </c>
      <c r="H259" s="4" t="e">
        <f t="shared" si="166"/>
        <v>#DIV/0!</v>
      </c>
      <c r="I259" s="4" t="e">
        <f t="shared" si="167"/>
        <v>#DIV/0!</v>
      </c>
      <c r="J259" s="4">
        <f t="shared" si="168"/>
        <v>0</v>
      </c>
      <c r="K259" s="27">
        <f t="shared" si="169"/>
        <v>0</v>
      </c>
      <c r="L259" s="30">
        <f t="shared" si="170"/>
        <v>0</v>
      </c>
      <c r="M259" s="120">
        <v>0</v>
      </c>
      <c r="N259" s="119">
        <v>0</v>
      </c>
      <c r="O259" s="119">
        <v>0</v>
      </c>
      <c r="P259" s="5" t="e">
        <f t="shared" si="171"/>
        <v>#DIV/0!</v>
      </c>
      <c r="Q259" s="29" t="e">
        <f t="shared" si="172"/>
        <v>#DIV/0!</v>
      </c>
      <c r="R259" s="29" t="e">
        <f t="shared" si="173"/>
        <v>#DIV/0!</v>
      </c>
      <c r="S259" s="1">
        <v>0</v>
      </c>
      <c r="T259" s="1">
        <v>0</v>
      </c>
      <c r="U259" s="24">
        <v>0</v>
      </c>
      <c r="V259" s="25" t="e">
        <f t="shared" si="174"/>
        <v>#DIV/0!</v>
      </c>
      <c r="W259" s="25" t="e">
        <f t="shared" si="175"/>
        <v>#DIV/0!</v>
      </c>
      <c r="X259" s="25" t="e">
        <f t="shared" si="176"/>
        <v>#DIV/0!</v>
      </c>
      <c r="Y259" s="25" t="e">
        <f t="shared" si="177"/>
        <v>#DIV/0!</v>
      </c>
      <c r="Z259" s="25" t="e">
        <f t="shared" si="178"/>
        <v>#DIV/0!</v>
      </c>
      <c r="AA259" s="25" t="e">
        <f t="shared" si="179"/>
        <v>#DIV/0!</v>
      </c>
      <c r="AB259" s="25" t="e">
        <f t="shared" si="180"/>
        <v>#DIV/0!</v>
      </c>
      <c r="AC259" s="25" t="e">
        <f t="shared" si="181"/>
        <v>#DIV/0!</v>
      </c>
      <c r="AD259" s="63" t="e">
        <f t="shared" si="182"/>
        <v>#DIV/0!</v>
      </c>
      <c r="AE259" s="24">
        <f t="shared" si="161"/>
        <v>0</v>
      </c>
    </row>
    <row r="260" spans="1:31" ht="15" x14ac:dyDescent="0.25">
      <c r="A260" s="75">
        <f t="shared" si="164"/>
        <v>46283</v>
      </c>
      <c r="B260" s="15" t="str">
        <f>$B$5</f>
        <v>SS</v>
      </c>
      <c r="C260" s="15" t="str">
        <f>$C$5</f>
        <v>Prem</v>
      </c>
      <c r="D260" s="18">
        <f t="shared" si="162"/>
        <v>0.98591739139306522</v>
      </c>
      <c r="E260" s="4">
        <f t="shared" si="163"/>
        <v>2.4617998021930081</v>
      </c>
      <c r="F260" s="118">
        <v>2432.2582045666918</v>
      </c>
      <c r="G260" s="5">
        <f t="shared" si="165"/>
        <v>2.4969635627530367</v>
      </c>
      <c r="H260" s="4">
        <f t="shared" si="166"/>
        <v>2467</v>
      </c>
      <c r="I260" s="4">
        <f t="shared" si="167"/>
        <v>987.99999999999989</v>
      </c>
      <c r="J260" s="4">
        <f t="shared" si="168"/>
        <v>7.8873391311445218E-2</v>
      </c>
      <c r="K260" s="27">
        <f t="shared" si="169"/>
        <v>3.9436695655722609E-2</v>
      </c>
      <c r="L260" s="30">
        <f t="shared" si="170"/>
        <v>0.24647934784826631</v>
      </c>
      <c r="M260" s="124">
        <v>1</v>
      </c>
      <c r="N260" s="123">
        <v>1</v>
      </c>
      <c r="O260" s="123">
        <v>599</v>
      </c>
      <c r="P260" s="5">
        <f t="shared" si="171"/>
        <v>1</v>
      </c>
      <c r="Q260" s="29">
        <f t="shared" si="172"/>
        <v>599</v>
      </c>
      <c r="R260" s="29">
        <f t="shared" si="173"/>
        <v>599</v>
      </c>
      <c r="S260" s="1">
        <v>0</v>
      </c>
      <c r="T260" s="1">
        <v>0</v>
      </c>
      <c r="U260" s="24">
        <v>0</v>
      </c>
      <c r="V260" s="25">
        <f t="shared" si="174"/>
        <v>1.0142837612257114</v>
      </c>
      <c r="W260" s="25">
        <f t="shared" si="175"/>
        <v>0.40620687316214138</v>
      </c>
      <c r="X260" s="25">
        <f t="shared" si="176"/>
        <v>0.24627319536854525</v>
      </c>
      <c r="Y260" s="25">
        <f t="shared" si="177"/>
        <v>0.40048642075395213</v>
      </c>
      <c r="Z260" s="25">
        <f t="shared" si="178"/>
        <v>0.24280502634779083</v>
      </c>
      <c r="AA260" s="25">
        <f t="shared" si="179"/>
        <v>0.60627530364372473</v>
      </c>
      <c r="AB260" s="25">
        <f t="shared" si="180"/>
        <v>0</v>
      </c>
      <c r="AC260" s="25">
        <f t="shared" si="181"/>
        <v>0</v>
      </c>
      <c r="AD260" s="63">
        <f t="shared" si="182"/>
        <v>0</v>
      </c>
      <c r="AE260" s="24">
        <f t="shared" si="161"/>
        <v>1</v>
      </c>
    </row>
    <row r="261" spans="1:31" ht="15" x14ac:dyDescent="0.25">
      <c r="A261" s="75">
        <f t="shared" si="164"/>
        <v>46283</v>
      </c>
      <c r="B261" s="15" t="str">
        <f>$B$6</f>
        <v>SS</v>
      </c>
      <c r="C261" s="15" t="str">
        <f>$C$6</f>
        <v>Anuj</v>
      </c>
      <c r="D261" s="18">
        <f t="shared" si="162"/>
        <v>4.9295869569653252</v>
      </c>
      <c r="E261" s="4">
        <f t="shared" si="163"/>
        <v>12.308999010965037</v>
      </c>
      <c r="F261" s="31">
        <v>12161.291022833457</v>
      </c>
      <c r="G261" s="5">
        <f t="shared" si="165"/>
        <v>2.4969635627530362</v>
      </c>
      <c r="H261" s="4">
        <f t="shared" si="166"/>
        <v>2467</v>
      </c>
      <c r="I261" s="4">
        <f t="shared" si="167"/>
        <v>988</v>
      </c>
      <c r="J261" s="4">
        <f t="shared" si="168"/>
        <v>0.39436695655722603</v>
      </c>
      <c r="K261" s="27">
        <f t="shared" si="169"/>
        <v>0.19718347827861302</v>
      </c>
      <c r="L261" s="30">
        <f t="shared" si="170"/>
        <v>1.2323967392413313</v>
      </c>
      <c r="M261" s="120">
        <v>5</v>
      </c>
      <c r="N261" s="119">
        <v>9</v>
      </c>
      <c r="O261" s="119">
        <v>11973</v>
      </c>
      <c r="P261" s="5">
        <f t="shared" si="171"/>
        <v>1.8</v>
      </c>
      <c r="Q261" s="29">
        <f t="shared" si="172"/>
        <v>2394.6</v>
      </c>
      <c r="R261" s="29">
        <f t="shared" si="173"/>
        <v>1330.3333333333333</v>
      </c>
      <c r="S261" s="1">
        <v>0</v>
      </c>
      <c r="T261" s="1">
        <v>0</v>
      </c>
      <c r="U261" s="24">
        <v>0</v>
      </c>
      <c r="V261" s="25">
        <f t="shared" si="174"/>
        <v>1.0142837612257116</v>
      </c>
      <c r="W261" s="25">
        <f t="shared" si="175"/>
        <v>0.73117237169185467</v>
      </c>
      <c r="X261" s="25">
        <f t="shared" si="176"/>
        <v>0.98451718469034821</v>
      </c>
      <c r="Y261" s="25">
        <f t="shared" si="177"/>
        <v>0.72087555735711395</v>
      </c>
      <c r="Z261" s="25">
        <f t="shared" si="178"/>
        <v>0.97065261451155249</v>
      </c>
      <c r="AA261" s="25">
        <f t="shared" si="179"/>
        <v>1.3464912280701753</v>
      </c>
      <c r="AB261" s="25">
        <f t="shared" si="180"/>
        <v>0</v>
      </c>
      <c r="AC261" s="25">
        <f t="shared" si="181"/>
        <v>0</v>
      </c>
      <c r="AD261" s="63">
        <f t="shared" si="182"/>
        <v>0</v>
      </c>
      <c r="AE261" s="24">
        <f t="shared" ref="AE261:AE324" si="183">IF(F261&gt;10,1,0)</f>
        <v>1</v>
      </c>
    </row>
    <row r="262" spans="1:31" ht="15" x14ac:dyDescent="0.25">
      <c r="A262" s="75">
        <f t="shared" si="164"/>
        <v>46283</v>
      </c>
      <c r="B262" s="15" t="str">
        <f>$B$7</f>
        <v>FC</v>
      </c>
      <c r="C262" s="15" t="str">
        <f>$C$7</f>
        <v>Muskan</v>
      </c>
      <c r="D262" s="18">
        <f t="shared" si="162"/>
        <v>4.9295869569653252</v>
      </c>
      <c r="E262" s="4">
        <f t="shared" si="163"/>
        <v>12.308999010965037</v>
      </c>
      <c r="F262" s="31">
        <v>12161.291022833457</v>
      </c>
      <c r="G262" s="5">
        <f t="shared" si="165"/>
        <v>2.4969635627530362</v>
      </c>
      <c r="H262" s="4">
        <f t="shared" si="166"/>
        <v>2467</v>
      </c>
      <c r="I262" s="4">
        <f t="shared" si="167"/>
        <v>988</v>
      </c>
      <c r="J262" s="4">
        <f t="shared" si="168"/>
        <v>0.39436695655722603</v>
      </c>
      <c r="K262" s="27">
        <f t="shared" si="169"/>
        <v>0.19718347827861302</v>
      </c>
      <c r="L262" s="30">
        <f t="shared" si="170"/>
        <v>1.2323967392413313</v>
      </c>
      <c r="M262" s="120">
        <v>9</v>
      </c>
      <c r="N262" s="119">
        <v>18</v>
      </c>
      <c r="O262" s="119">
        <v>16117.75</v>
      </c>
      <c r="P262" s="5">
        <f t="shared" si="171"/>
        <v>2</v>
      </c>
      <c r="Q262" s="29">
        <f t="shared" si="172"/>
        <v>1790.8611111111111</v>
      </c>
      <c r="R262" s="29">
        <f t="shared" si="173"/>
        <v>895.43055555555554</v>
      </c>
      <c r="S262" s="1">
        <v>0</v>
      </c>
      <c r="T262" s="1">
        <v>0</v>
      </c>
      <c r="U262" s="24">
        <v>0</v>
      </c>
      <c r="V262" s="25">
        <f t="shared" si="174"/>
        <v>1.8257107702062809</v>
      </c>
      <c r="W262" s="25">
        <f t="shared" si="175"/>
        <v>1.4623447433837093</v>
      </c>
      <c r="X262" s="25">
        <f t="shared" si="176"/>
        <v>1.3253321518034629</v>
      </c>
      <c r="Y262" s="25">
        <f t="shared" si="177"/>
        <v>0.80097284150790438</v>
      </c>
      <c r="Z262" s="25">
        <f t="shared" si="178"/>
        <v>0.72592667657523757</v>
      </c>
      <c r="AA262" s="25">
        <f t="shared" si="179"/>
        <v>0.90630623031938817</v>
      </c>
      <c r="AB262" s="25">
        <f t="shared" si="180"/>
        <v>0</v>
      </c>
      <c r="AC262" s="25">
        <f t="shared" si="181"/>
        <v>0</v>
      </c>
      <c r="AD262" s="63">
        <f t="shared" si="182"/>
        <v>0</v>
      </c>
      <c r="AE262" s="24">
        <f t="shared" si="183"/>
        <v>1</v>
      </c>
    </row>
    <row r="263" spans="1:31" ht="15" x14ac:dyDescent="0.25">
      <c r="A263" s="75">
        <f t="shared" si="164"/>
        <v>46283</v>
      </c>
      <c r="B263" s="15" t="str">
        <f>$B$8</f>
        <v>FC</v>
      </c>
      <c r="C263" s="15" t="str">
        <f>$C$8</f>
        <v xml:space="preserve">Kajal  </v>
      </c>
      <c r="D263" s="18">
        <f t="shared" ref="D263:D326" si="184">F263/$B$1</f>
        <v>1.4788760870895974</v>
      </c>
      <c r="E263" s="4">
        <f t="shared" ref="E263:E326" si="185">F263/$C$1</f>
        <v>3.6926997032895112</v>
      </c>
      <c r="F263" s="31">
        <v>3648.387306850037</v>
      </c>
      <c r="G263" s="5">
        <f t="shared" si="165"/>
        <v>2.4969635627530367</v>
      </c>
      <c r="H263" s="4">
        <f t="shared" si="166"/>
        <v>2467</v>
      </c>
      <c r="I263" s="4">
        <f t="shared" si="167"/>
        <v>988</v>
      </c>
      <c r="J263" s="4">
        <f t="shared" si="168"/>
        <v>0.1183100869671678</v>
      </c>
      <c r="K263" s="27">
        <f t="shared" si="169"/>
        <v>5.91550434835839E-2</v>
      </c>
      <c r="L263" s="30">
        <f t="shared" si="170"/>
        <v>0.36971902177239935</v>
      </c>
      <c r="M263" s="120">
        <v>2</v>
      </c>
      <c r="N263" s="119">
        <v>3</v>
      </c>
      <c r="O263" s="119">
        <v>857.6</v>
      </c>
      <c r="P263" s="5">
        <f t="shared" si="171"/>
        <v>1.5</v>
      </c>
      <c r="Q263" s="29">
        <f t="shared" si="172"/>
        <v>428.8</v>
      </c>
      <c r="R263" s="29">
        <f t="shared" si="173"/>
        <v>285.86666666666667</v>
      </c>
      <c r="S263" s="1">
        <v>0</v>
      </c>
      <c r="T263" s="1">
        <v>0</v>
      </c>
      <c r="U263" s="24">
        <v>0</v>
      </c>
      <c r="V263" s="25">
        <f t="shared" si="174"/>
        <v>1.3523783483009488</v>
      </c>
      <c r="W263" s="25">
        <f t="shared" si="175"/>
        <v>0.81241374632428298</v>
      </c>
      <c r="X263" s="25">
        <f t="shared" si="176"/>
        <v>0.23506276276913127</v>
      </c>
      <c r="Y263" s="25">
        <f t="shared" si="177"/>
        <v>0.60072963113092825</v>
      </c>
      <c r="Z263" s="25">
        <f t="shared" si="178"/>
        <v>0.17381434941224158</v>
      </c>
      <c r="AA263" s="25">
        <f t="shared" si="179"/>
        <v>0.28933873144399463</v>
      </c>
      <c r="AB263" s="25">
        <f t="shared" si="180"/>
        <v>0</v>
      </c>
      <c r="AC263" s="25">
        <f t="shared" si="181"/>
        <v>0</v>
      </c>
      <c r="AD263" s="63">
        <f t="shared" si="182"/>
        <v>0</v>
      </c>
      <c r="AE263" s="24">
        <f t="shared" si="183"/>
        <v>1</v>
      </c>
    </row>
    <row r="264" spans="1:31" ht="15" x14ac:dyDescent="0.25">
      <c r="A264" s="75">
        <f t="shared" si="164"/>
        <v>46283</v>
      </c>
      <c r="B264" s="15" t="str">
        <f>$B$9</f>
        <v>FC</v>
      </c>
      <c r="C264" s="15" t="str">
        <f>$C$9</f>
        <v>Pradeep</v>
      </c>
      <c r="D264" s="18">
        <f t="shared" si="184"/>
        <v>2.9577521741791948</v>
      </c>
      <c r="E264" s="4">
        <f t="shared" si="185"/>
        <v>7.3853994065790225</v>
      </c>
      <c r="F264" s="31">
        <v>7296.774613700074</v>
      </c>
      <c r="G264" s="5">
        <f t="shared" si="165"/>
        <v>2.4969635627530367</v>
      </c>
      <c r="H264" s="4">
        <f t="shared" si="166"/>
        <v>2467</v>
      </c>
      <c r="I264" s="4">
        <f t="shared" si="167"/>
        <v>988</v>
      </c>
      <c r="J264" s="4">
        <f t="shared" si="168"/>
        <v>0.2366201739343356</v>
      </c>
      <c r="K264" s="27">
        <f t="shared" si="169"/>
        <v>0.1183100869671678</v>
      </c>
      <c r="L264" s="30">
        <f t="shared" si="170"/>
        <v>0.7394380435447987</v>
      </c>
      <c r="M264" s="120">
        <v>3</v>
      </c>
      <c r="N264" s="119">
        <v>8</v>
      </c>
      <c r="O264" s="119">
        <v>6992</v>
      </c>
      <c r="P264" s="5">
        <f t="shared" si="171"/>
        <v>2.6666666666666665</v>
      </c>
      <c r="Q264" s="29">
        <f t="shared" si="172"/>
        <v>2330.6666666666665</v>
      </c>
      <c r="R264" s="29">
        <f t="shared" si="173"/>
        <v>874</v>
      </c>
      <c r="S264" s="1">
        <v>0</v>
      </c>
      <c r="T264" s="1">
        <v>0</v>
      </c>
      <c r="U264" s="24">
        <v>0</v>
      </c>
      <c r="V264" s="25">
        <f t="shared" si="174"/>
        <v>1.0142837612257116</v>
      </c>
      <c r="W264" s="25">
        <f t="shared" si="175"/>
        <v>1.0832183284323773</v>
      </c>
      <c r="X264" s="25">
        <f t="shared" si="176"/>
        <v>0.95823159822864146</v>
      </c>
      <c r="Y264" s="25">
        <f t="shared" si="177"/>
        <v>1.0679637886772055</v>
      </c>
      <c r="Z264" s="25">
        <f t="shared" si="178"/>
        <v>0.94473719767598963</v>
      </c>
      <c r="AA264" s="25">
        <f t="shared" si="179"/>
        <v>0.88461538461538458</v>
      </c>
      <c r="AB264" s="25">
        <f t="shared" si="180"/>
        <v>0</v>
      </c>
      <c r="AC264" s="25">
        <f t="shared" si="181"/>
        <v>0</v>
      </c>
      <c r="AD264" s="63">
        <f t="shared" si="182"/>
        <v>0</v>
      </c>
      <c r="AE264" s="24">
        <f t="shared" si="183"/>
        <v>1</v>
      </c>
    </row>
    <row r="265" spans="1:31" ht="15" x14ac:dyDescent="0.25">
      <c r="A265" s="75">
        <f t="shared" si="164"/>
        <v>46283</v>
      </c>
      <c r="B265" s="15" t="str">
        <f>$B$10</f>
        <v>FC</v>
      </c>
      <c r="C265" s="15" t="str">
        <f>$C$10</f>
        <v>Aftab</v>
      </c>
      <c r="D265" s="18">
        <f t="shared" si="184"/>
        <v>0</v>
      </c>
      <c r="E265" s="4">
        <f t="shared" si="185"/>
        <v>0</v>
      </c>
      <c r="F265" s="31">
        <v>0</v>
      </c>
      <c r="G265" s="5" t="e">
        <f t="shared" si="165"/>
        <v>#DIV/0!</v>
      </c>
      <c r="H265" s="4" t="e">
        <f t="shared" si="166"/>
        <v>#DIV/0!</v>
      </c>
      <c r="I265" s="4" t="e">
        <f t="shared" si="167"/>
        <v>#DIV/0!</v>
      </c>
      <c r="J265" s="4">
        <f t="shared" si="168"/>
        <v>0</v>
      </c>
      <c r="K265" s="27">
        <f t="shared" si="169"/>
        <v>0</v>
      </c>
      <c r="L265" s="30">
        <f t="shared" si="170"/>
        <v>0</v>
      </c>
      <c r="M265" s="120">
        <v>0</v>
      </c>
      <c r="N265" s="119">
        <v>0</v>
      </c>
      <c r="O265" s="119">
        <v>0</v>
      </c>
      <c r="P265" s="5" t="e">
        <f t="shared" si="171"/>
        <v>#DIV/0!</v>
      </c>
      <c r="Q265" s="29" t="e">
        <f t="shared" si="172"/>
        <v>#DIV/0!</v>
      </c>
      <c r="R265" s="29" t="e">
        <f t="shared" si="173"/>
        <v>#DIV/0!</v>
      </c>
      <c r="S265" s="1">
        <v>0</v>
      </c>
      <c r="T265" s="1">
        <v>0</v>
      </c>
      <c r="U265" s="24">
        <v>0</v>
      </c>
      <c r="V265" s="25" t="e">
        <f t="shared" si="174"/>
        <v>#DIV/0!</v>
      </c>
      <c r="W265" s="25" t="e">
        <f t="shared" si="175"/>
        <v>#DIV/0!</v>
      </c>
      <c r="X265" s="25" t="e">
        <f t="shared" si="176"/>
        <v>#DIV/0!</v>
      </c>
      <c r="Y265" s="25" t="e">
        <f t="shared" si="177"/>
        <v>#DIV/0!</v>
      </c>
      <c r="Z265" s="25" t="e">
        <f t="shared" si="178"/>
        <v>#DIV/0!</v>
      </c>
      <c r="AA265" s="25" t="e">
        <f t="shared" si="179"/>
        <v>#DIV/0!</v>
      </c>
      <c r="AB265" s="25" t="e">
        <f t="shared" si="180"/>
        <v>#DIV/0!</v>
      </c>
      <c r="AC265" s="25" t="e">
        <f t="shared" si="181"/>
        <v>#DIV/0!</v>
      </c>
      <c r="AD265" s="63" t="e">
        <f t="shared" si="182"/>
        <v>#DIV/0!</v>
      </c>
      <c r="AE265" s="24">
        <f t="shared" si="183"/>
        <v>0</v>
      </c>
    </row>
    <row r="266" spans="1:31" ht="15" x14ac:dyDescent="0.25">
      <c r="A266" s="75">
        <f t="shared" si="164"/>
        <v>46283</v>
      </c>
      <c r="B266" s="15" t="str">
        <f>$B$11</f>
        <v>FC</v>
      </c>
      <c r="C266" s="15" t="str">
        <f>$C$11</f>
        <v>Khushi</v>
      </c>
      <c r="D266" s="18">
        <f t="shared" si="184"/>
        <v>4.9295869569653252</v>
      </c>
      <c r="E266" s="4">
        <f t="shared" si="185"/>
        <v>12.308999010965037</v>
      </c>
      <c r="F266" s="31">
        <v>12161.291022833457</v>
      </c>
      <c r="G266" s="5">
        <f t="shared" si="165"/>
        <v>2.4969635627530362</v>
      </c>
      <c r="H266" s="4">
        <f t="shared" si="166"/>
        <v>2467</v>
      </c>
      <c r="I266" s="4">
        <f t="shared" si="167"/>
        <v>988</v>
      </c>
      <c r="J266" s="4">
        <f t="shared" si="168"/>
        <v>0.39436695655722603</v>
      </c>
      <c r="K266" s="27">
        <f t="shared" si="169"/>
        <v>0.19718347827861302</v>
      </c>
      <c r="L266" s="30">
        <f t="shared" si="170"/>
        <v>1.2323967392413313</v>
      </c>
      <c r="M266" s="120">
        <v>4</v>
      </c>
      <c r="N266" s="119">
        <v>10</v>
      </c>
      <c r="O266" s="119">
        <v>9360.15</v>
      </c>
      <c r="P266" s="5">
        <f t="shared" si="171"/>
        <v>2.5</v>
      </c>
      <c r="Q266" s="29">
        <f t="shared" si="172"/>
        <v>2340.0374999999999</v>
      </c>
      <c r="R266" s="29">
        <f t="shared" si="173"/>
        <v>936.01499999999999</v>
      </c>
      <c r="S266" s="1">
        <v>0</v>
      </c>
      <c r="T266" s="1">
        <v>0</v>
      </c>
      <c r="U266" s="24">
        <v>0</v>
      </c>
      <c r="V266" s="25">
        <f t="shared" si="174"/>
        <v>0.8114270089805693</v>
      </c>
      <c r="W266" s="25">
        <f t="shared" si="175"/>
        <v>0.81241374632428298</v>
      </c>
      <c r="X266" s="25">
        <f t="shared" si="176"/>
        <v>0.7696674623134856</v>
      </c>
      <c r="Y266" s="25">
        <f t="shared" si="177"/>
        <v>1.0012160518848805</v>
      </c>
      <c r="Z266" s="25">
        <f t="shared" si="178"/>
        <v>0.94853567085528978</v>
      </c>
      <c r="AA266" s="25">
        <f t="shared" si="179"/>
        <v>0.94738360323886639</v>
      </c>
      <c r="AB266" s="25">
        <f t="shared" si="180"/>
        <v>0</v>
      </c>
      <c r="AC266" s="25">
        <f t="shared" si="181"/>
        <v>0</v>
      </c>
      <c r="AD266" s="63">
        <f t="shared" si="182"/>
        <v>0</v>
      </c>
      <c r="AE266" s="24">
        <f t="shared" si="183"/>
        <v>1</v>
      </c>
    </row>
    <row r="267" spans="1:31" ht="15" x14ac:dyDescent="0.25">
      <c r="A267" s="75">
        <f t="shared" si="164"/>
        <v>46283</v>
      </c>
      <c r="B267" s="15" t="str">
        <f>$B$12</f>
        <v>FC</v>
      </c>
      <c r="C267" s="15" t="str">
        <f>$C$12</f>
        <v>Kishan</v>
      </c>
      <c r="D267" s="18">
        <f t="shared" si="184"/>
        <v>4.9295869569653252</v>
      </c>
      <c r="E267" s="4">
        <f t="shared" si="185"/>
        <v>12.308999010965037</v>
      </c>
      <c r="F267" s="31">
        <v>12161.291022833457</v>
      </c>
      <c r="G267" s="5">
        <f t="shared" si="165"/>
        <v>2.4969635627530362</v>
      </c>
      <c r="H267" s="4">
        <f t="shared" si="166"/>
        <v>2467</v>
      </c>
      <c r="I267" s="4">
        <f t="shared" si="167"/>
        <v>988</v>
      </c>
      <c r="J267" s="4">
        <f t="shared" si="168"/>
        <v>0.39436695655722603</v>
      </c>
      <c r="K267" s="27">
        <f t="shared" si="169"/>
        <v>0.19718347827861302</v>
      </c>
      <c r="L267" s="30">
        <f t="shared" si="170"/>
        <v>1.2323967392413313</v>
      </c>
      <c r="M267" s="120">
        <v>5</v>
      </c>
      <c r="N267" s="119">
        <v>17</v>
      </c>
      <c r="O267" s="119">
        <v>23750</v>
      </c>
      <c r="P267" s="5">
        <f t="shared" si="171"/>
        <v>3.4</v>
      </c>
      <c r="Q267" s="29">
        <f t="shared" si="172"/>
        <v>4750</v>
      </c>
      <c r="R267" s="29">
        <f t="shared" si="173"/>
        <v>1397.0588235294117</v>
      </c>
      <c r="S267" s="1">
        <v>0</v>
      </c>
      <c r="T267" s="1">
        <v>0</v>
      </c>
      <c r="U267" s="24">
        <v>0</v>
      </c>
      <c r="V267" s="25">
        <f t="shared" si="174"/>
        <v>1.0142837612257116</v>
      </c>
      <c r="W267" s="25">
        <f t="shared" si="175"/>
        <v>1.381103368751281</v>
      </c>
      <c r="X267" s="25">
        <f t="shared" si="176"/>
        <v>1.9529176594333726</v>
      </c>
      <c r="Y267" s="25">
        <f t="shared" si="177"/>
        <v>1.3616538305634374</v>
      </c>
      <c r="Z267" s="25">
        <f t="shared" si="178"/>
        <v>1.9254154843940008</v>
      </c>
      <c r="AA267" s="25">
        <f t="shared" si="179"/>
        <v>1.4140271493212668</v>
      </c>
      <c r="AB267" s="25">
        <f t="shared" si="180"/>
        <v>0</v>
      </c>
      <c r="AC267" s="25">
        <f t="shared" si="181"/>
        <v>0</v>
      </c>
      <c r="AD267" s="63">
        <f t="shared" si="182"/>
        <v>0</v>
      </c>
      <c r="AE267" s="24">
        <f t="shared" si="183"/>
        <v>1</v>
      </c>
    </row>
    <row r="268" spans="1:31" ht="15" x14ac:dyDescent="0.25">
      <c r="A268" s="75">
        <f t="shared" si="164"/>
        <v>46283</v>
      </c>
      <c r="B268" s="15" t="str">
        <f>$B$13</f>
        <v>Partner</v>
      </c>
      <c r="C268" s="15" t="str">
        <f>$C$13</f>
        <v>Rahul</v>
      </c>
      <c r="D268" s="18">
        <f t="shared" si="184"/>
        <v>4.9295869569653252</v>
      </c>
      <c r="E268" s="4">
        <f t="shared" si="185"/>
        <v>12.308999010965037</v>
      </c>
      <c r="F268" s="31">
        <v>12161.291022833457</v>
      </c>
      <c r="G268" s="5">
        <f t="shared" si="165"/>
        <v>2.4969635627530362</v>
      </c>
      <c r="H268" s="4">
        <f t="shared" si="166"/>
        <v>2467</v>
      </c>
      <c r="I268" s="4">
        <f t="shared" si="167"/>
        <v>988</v>
      </c>
      <c r="J268" s="4">
        <f t="shared" si="168"/>
        <v>0.39436695655722603</v>
      </c>
      <c r="K268" s="27">
        <f t="shared" si="169"/>
        <v>0.19718347827861302</v>
      </c>
      <c r="L268" s="30">
        <f t="shared" si="170"/>
        <v>1.2323967392413313</v>
      </c>
      <c r="M268" s="120">
        <v>3</v>
      </c>
      <c r="N268" s="119">
        <v>8</v>
      </c>
      <c r="O268" s="119">
        <v>18338</v>
      </c>
      <c r="P268" s="5">
        <f t="shared" si="171"/>
        <v>2.6666666666666665</v>
      </c>
      <c r="Q268" s="29">
        <f t="shared" si="172"/>
        <v>6112.666666666667</v>
      </c>
      <c r="R268" s="29">
        <f t="shared" si="173"/>
        <v>2292.25</v>
      </c>
      <c r="S268" s="1">
        <v>0</v>
      </c>
      <c r="T268" s="1">
        <v>0</v>
      </c>
      <c r="U268" s="24">
        <v>0</v>
      </c>
      <c r="V268" s="25">
        <f t="shared" si="174"/>
        <v>0.60857025673542697</v>
      </c>
      <c r="W268" s="25">
        <f t="shared" si="175"/>
        <v>0.64993099705942636</v>
      </c>
      <c r="X268" s="25">
        <f t="shared" si="176"/>
        <v>1.5078991174184921</v>
      </c>
      <c r="Y268" s="25">
        <f t="shared" si="177"/>
        <v>1.0679637886772058</v>
      </c>
      <c r="Z268" s="25">
        <f t="shared" si="178"/>
        <v>2.4777732738819078</v>
      </c>
      <c r="AA268" s="25">
        <f t="shared" si="179"/>
        <v>2.320091093117409</v>
      </c>
      <c r="AB268" s="25">
        <f t="shared" si="180"/>
        <v>0</v>
      </c>
      <c r="AC268" s="25">
        <f t="shared" si="181"/>
        <v>0</v>
      </c>
      <c r="AD268" s="63">
        <f t="shared" si="182"/>
        <v>0</v>
      </c>
      <c r="AE268" s="24">
        <f t="shared" si="183"/>
        <v>1</v>
      </c>
    </row>
    <row r="269" spans="1:31" ht="15" x14ac:dyDescent="0.25">
      <c r="A269" s="75">
        <f t="shared" si="164"/>
        <v>46283</v>
      </c>
      <c r="B269" s="15" t="str">
        <f>$B$14</f>
        <v>Partner</v>
      </c>
      <c r="C269" s="15" t="str">
        <f>$C$14</f>
        <v>Prince</v>
      </c>
      <c r="D269" s="18">
        <f t="shared" si="184"/>
        <v>4.4366282612687931</v>
      </c>
      <c r="E269" s="4">
        <f t="shared" si="185"/>
        <v>11.078099109868534</v>
      </c>
      <c r="F269" s="31">
        <v>10945.161920550112</v>
      </c>
      <c r="G269" s="5">
        <f t="shared" si="165"/>
        <v>2.4969635627530362</v>
      </c>
      <c r="H269" s="4">
        <f t="shared" si="166"/>
        <v>2467</v>
      </c>
      <c r="I269" s="4">
        <f t="shared" si="167"/>
        <v>988.00000000000011</v>
      </c>
      <c r="J269" s="4">
        <f t="shared" si="168"/>
        <v>0.35493026090150342</v>
      </c>
      <c r="K269" s="27">
        <f t="shared" si="169"/>
        <v>0.17746513045075171</v>
      </c>
      <c r="L269" s="30">
        <f t="shared" si="170"/>
        <v>1.1091570653171983</v>
      </c>
      <c r="M269" s="120">
        <v>4</v>
      </c>
      <c r="N269" s="119">
        <v>11</v>
      </c>
      <c r="O269" s="119">
        <v>9849.6</v>
      </c>
      <c r="P269" s="5">
        <f t="shared" si="171"/>
        <v>2.75</v>
      </c>
      <c r="Q269" s="29">
        <f t="shared" si="172"/>
        <v>2462.4</v>
      </c>
      <c r="R269" s="29">
        <f t="shared" si="173"/>
        <v>895.41818181818189</v>
      </c>
      <c r="S269" s="1">
        <v>0</v>
      </c>
      <c r="T269" s="1">
        <v>0</v>
      </c>
      <c r="U269" s="24">
        <v>0</v>
      </c>
      <c r="V269" s="25">
        <f t="shared" si="174"/>
        <v>0.90158556553396574</v>
      </c>
      <c r="W269" s="25">
        <f t="shared" si="175"/>
        <v>0.99295013439634583</v>
      </c>
      <c r="X269" s="25">
        <f t="shared" si="176"/>
        <v>0.89990445746689807</v>
      </c>
      <c r="Y269" s="25">
        <f t="shared" si="177"/>
        <v>1.1013376570733686</v>
      </c>
      <c r="Z269" s="25">
        <f t="shared" si="178"/>
        <v>0.99813538710985006</v>
      </c>
      <c r="AA269" s="25">
        <f t="shared" si="179"/>
        <v>0.90629370629370631</v>
      </c>
      <c r="AB269" s="25">
        <f t="shared" si="180"/>
        <v>0</v>
      </c>
      <c r="AC269" s="25">
        <f t="shared" si="181"/>
        <v>0</v>
      </c>
      <c r="AD269" s="63">
        <f t="shared" si="182"/>
        <v>0</v>
      </c>
      <c r="AE269" s="24">
        <f t="shared" si="183"/>
        <v>1</v>
      </c>
    </row>
    <row r="270" spans="1:31" ht="15" x14ac:dyDescent="0.25">
      <c r="A270" s="75">
        <f t="shared" si="164"/>
        <v>46283</v>
      </c>
      <c r="B270" s="15" t="str">
        <f>$B$15</f>
        <v>Partner</v>
      </c>
      <c r="C270" s="15" t="str">
        <f>$C$15</f>
        <v>Kunal</v>
      </c>
      <c r="D270" s="18">
        <f t="shared" si="184"/>
        <v>4.4366282612687931</v>
      </c>
      <c r="E270" s="4">
        <f t="shared" si="185"/>
        <v>11.078099109868534</v>
      </c>
      <c r="F270" s="31">
        <v>10945.161920550112</v>
      </c>
      <c r="G270" s="5">
        <f t="shared" si="165"/>
        <v>2.4969635627530362</v>
      </c>
      <c r="H270" s="4">
        <f t="shared" si="166"/>
        <v>2467</v>
      </c>
      <c r="I270" s="4">
        <f t="shared" si="167"/>
        <v>988.00000000000011</v>
      </c>
      <c r="J270" s="4">
        <f t="shared" si="168"/>
        <v>0.35493026090150342</v>
      </c>
      <c r="K270" s="27">
        <f t="shared" si="169"/>
        <v>0.17746513045075171</v>
      </c>
      <c r="L270" s="30">
        <f t="shared" si="170"/>
        <v>1.1091570653171983</v>
      </c>
      <c r="M270" s="120">
        <v>5</v>
      </c>
      <c r="N270" s="119">
        <v>8</v>
      </c>
      <c r="O270" s="119">
        <v>5322.21</v>
      </c>
      <c r="P270" s="5">
        <f t="shared" si="171"/>
        <v>1.6</v>
      </c>
      <c r="Q270" s="29">
        <f t="shared" si="172"/>
        <v>1064.442</v>
      </c>
      <c r="R270" s="29">
        <f t="shared" si="173"/>
        <v>665.27625</v>
      </c>
      <c r="S270" s="1">
        <v>0</v>
      </c>
      <c r="T270" s="1">
        <v>0</v>
      </c>
      <c r="U270" s="24">
        <v>0</v>
      </c>
      <c r="V270" s="25">
        <f t="shared" si="174"/>
        <v>1.1269819569174573</v>
      </c>
      <c r="W270" s="25">
        <f t="shared" si="175"/>
        <v>0.7221455522882515</v>
      </c>
      <c r="X270" s="25">
        <f t="shared" si="176"/>
        <v>0.48626142204504746</v>
      </c>
      <c r="Y270" s="25">
        <f t="shared" si="177"/>
        <v>0.64077827320632352</v>
      </c>
      <c r="Z270" s="25">
        <f t="shared" si="178"/>
        <v>0.4314722334819619</v>
      </c>
      <c r="AA270" s="25">
        <f t="shared" si="179"/>
        <v>0.67335652834008086</v>
      </c>
      <c r="AB270" s="25">
        <f t="shared" si="180"/>
        <v>0</v>
      </c>
      <c r="AC270" s="25">
        <f t="shared" si="181"/>
        <v>0</v>
      </c>
      <c r="AD270" s="63">
        <f t="shared" si="182"/>
        <v>0</v>
      </c>
      <c r="AE270" s="24">
        <f t="shared" si="183"/>
        <v>1</v>
      </c>
    </row>
    <row r="271" spans="1:31" ht="15" x14ac:dyDescent="0.25">
      <c r="A271" s="75">
        <f t="shared" si="164"/>
        <v>46283</v>
      </c>
      <c r="B271" s="15" t="str">
        <f>$B$16</f>
        <v>NA</v>
      </c>
      <c r="C271" s="15" t="str">
        <f>$C$16</f>
        <v>NA</v>
      </c>
      <c r="D271" s="18">
        <f t="shared" si="184"/>
        <v>0</v>
      </c>
      <c r="E271" s="4">
        <f t="shared" si="185"/>
        <v>0</v>
      </c>
      <c r="F271" s="31">
        <v>0</v>
      </c>
      <c r="G271" s="5" t="e">
        <f t="shared" si="165"/>
        <v>#DIV/0!</v>
      </c>
      <c r="H271" s="4" t="e">
        <f t="shared" si="166"/>
        <v>#DIV/0!</v>
      </c>
      <c r="I271" s="4" t="e">
        <f t="shared" si="167"/>
        <v>#DIV/0!</v>
      </c>
      <c r="J271" s="4">
        <f t="shared" si="168"/>
        <v>0</v>
      </c>
      <c r="K271" s="27">
        <f t="shared" si="169"/>
        <v>0</v>
      </c>
      <c r="L271" s="30">
        <f t="shared" si="170"/>
        <v>0</v>
      </c>
      <c r="M271" s="120">
        <v>1</v>
      </c>
      <c r="N271" s="119">
        <v>1</v>
      </c>
      <c r="O271" s="119">
        <v>199</v>
      </c>
      <c r="P271" s="5">
        <f t="shared" si="171"/>
        <v>1</v>
      </c>
      <c r="Q271" s="29">
        <f t="shared" si="172"/>
        <v>199</v>
      </c>
      <c r="R271" s="29">
        <f t="shared" si="173"/>
        <v>199</v>
      </c>
      <c r="S271" s="1">
        <v>0</v>
      </c>
      <c r="T271" s="1">
        <v>0</v>
      </c>
      <c r="U271" s="24">
        <v>0</v>
      </c>
      <c r="V271" s="25" t="e">
        <f t="shared" si="174"/>
        <v>#DIV/0!</v>
      </c>
      <c r="W271" s="25" t="e">
        <f t="shared" si="175"/>
        <v>#DIV/0!</v>
      </c>
      <c r="X271" s="25" t="e">
        <f t="shared" si="176"/>
        <v>#DIV/0!</v>
      </c>
      <c r="Y271" s="25" t="e">
        <f t="shared" si="177"/>
        <v>#DIV/0!</v>
      </c>
      <c r="Z271" s="25" t="e">
        <f t="shared" si="178"/>
        <v>#DIV/0!</v>
      </c>
      <c r="AA271" s="25" t="e">
        <f t="shared" si="179"/>
        <v>#DIV/0!</v>
      </c>
      <c r="AB271" s="25" t="e">
        <f t="shared" si="180"/>
        <v>#DIV/0!</v>
      </c>
      <c r="AC271" s="25" t="e">
        <f t="shared" si="181"/>
        <v>#DIV/0!</v>
      </c>
      <c r="AD271" s="63" t="e">
        <f t="shared" si="182"/>
        <v>#DIV/0!</v>
      </c>
      <c r="AE271" s="24">
        <f t="shared" si="183"/>
        <v>0</v>
      </c>
    </row>
    <row r="272" spans="1:31" ht="15" x14ac:dyDescent="0.25">
      <c r="A272" s="75">
        <f t="shared" si="164"/>
        <v>46283</v>
      </c>
      <c r="B272" s="15" t="str">
        <f>$B$17</f>
        <v>NA</v>
      </c>
      <c r="C272" s="15" t="str">
        <f>$C$17</f>
        <v>NA</v>
      </c>
      <c r="D272" s="18">
        <f t="shared" si="184"/>
        <v>0</v>
      </c>
      <c r="E272" s="4">
        <f t="shared" si="185"/>
        <v>0</v>
      </c>
      <c r="F272" s="31">
        <v>0</v>
      </c>
      <c r="G272" s="5" t="e">
        <f t="shared" si="165"/>
        <v>#DIV/0!</v>
      </c>
      <c r="H272" s="4" t="e">
        <f t="shared" si="166"/>
        <v>#DIV/0!</v>
      </c>
      <c r="I272" s="4" t="e">
        <f t="shared" si="167"/>
        <v>#DIV/0!</v>
      </c>
      <c r="J272" s="4">
        <f t="shared" si="168"/>
        <v>0</v>
      </c>
      <c r="K272" s="27">
        <f t="shared" si="169"/>
        <v>0</v>
      </c>
      <c r="L272" s="30">
        <f t="shared" si="170"/>
        <v>0</v>
      </c>
      <c r="M272" s="120">
        <v>0</v>
      </c>
      <c r="N272" s="119">
        <v>0</v>
      </c>
      <c r="O272" s="119">
        <v>0</v>
      </c>
      <c r="P272" s="5" t="e">
        <f t="shared" si="171"/>
        <v>#DIV/0!</v>
      </c>
      <c r="Q272" s="29" t="e">
        <f t="shared" si="172"/>
        <v>#DIV/0!</v>
      </c>
      <c r="R272" s="29" t="e">
        <f t="shared" si="173"/>
        <v>#DIV/0!</v>
      </c>
      <c r="S272" s="1">
        <v>0</v>
      </c>
      <c r="T272" s="1">
        <v>0</v>
      </c>
      <c r="U272" s="24">
        <v>0</v>
      </c>
      <c r="V272" s="25" t="e">
        <f t="shared" si="174"/>
        <v>#DIV/0!</v>
      </c>
      <c r="W272" s="25" t="e">
        <f t="shared" si="175"/>
        <v>#DIV/0!</v>
      </c>
      <c r="X272" s="25" t="e">
        <f t="shared" si="176"/>
        <v>#DIV/0!</v>
      </c>
      <c r="Y272" s="25" t="e">
        <f t="shared" si="177"/>
        <v>#DIV/0!</v>
      </c>
      <c r="Z272" s="25" t="e">
        <f t="shared" si="178"/>
        <v>#DIV/0!</v>
      </c>
      <c r="AA272" s="25" t="e">
        <f t="shared" si="179"/>
        <v>#DIV/0!</v>
      </c>
      <c r="AB272" s="25" t="e">
        <f t="shared" si="180"/>
        <v>#DIV/0!</v>
      </c>
      <c r="AC272" s="25" t="e">
        <f t="shared" si="181"/>
        <v>#DIV/0!</v>
      </c>
      <c r="AD272" s="63" t="e">
        <f t="shared" si="182"/>
        <v>#DIV/0!</v>
      </c>
      <c r="AE272" s="24">
        <f t="shared" si="183"/>
        <v>0</v>
      </c>
    </row>
    <row r="273" spans="1:31" ht="15" x14ac:dyDescent="0.25">
      <c r="A273" s="75">
        <f t="shared" si="164"/>
        <v>46283</v>
      </c>
      <c r="B273" s="15" t="str">
        <f>$B$18</f>
        <v>NA</v>
      </c>
      <c r="C273" s="15" t="str">
        <f>$C$18</f>
        <v>NA</v>
      </c>
      <c r="D273" s="18">
        <f t="shared" si="184"/>
        <v>0</v>
      </c>
      <c r="E273" s="4">
        <f t="shared" si="185"/>
        <v>0</v>
      </c>
      <c r="F273" s="31">
        <v>0</v>
      </c>
      <c r="G273" s="5" t="e">
        <f t="shared" si="165"/>
        <v>#DIV/0!</v>
      </c>
      <c r="H273" s="4" t="e">
        <f t="shared" si="166"/>
        <v>#DIV/0!</v>
      </c>
      <c r="I273" s="4" t="e">
        <f t="shared" si="167"/>
        <v>#DIV/0!</v>
      </c>
      <c r="J273" s="4">
        <f t="shared" si="168"/>
        <v>0</v>
      </c>
      <c r="K273" s="27">
        <f t="shared" si="169"/>
        <v>0</v>
      </c>
      <c r="L273" s="30">
        <f t="shared" si="170"/>
        <v>0</v>
      </c>
      <c r="M273" s="120">
        <v>0</v>
      </c>
      <c r="N273" s="119">
        <v>0</v>
      </c>
      <c r="O273" s="119">
        <v>0</v>
      </c>
      <c r="P273" s="5" t="e">
        <f t="shared" si="171"/>
        <v>#DIV/0!</v>
      </c>
      <c r="Q273" s="29" t="e">
        <f t="shared" si="172"/>
        <v>#DIV/0!</v>
      </c>
      <c r="R273" s="29" t="e">
        <f t="shared" si="173"/>
        <v>#DIV/0!</v>
      </c>
      <c r="S273" s="1">
        <v>0</v>
      </c>
      <c r="T273" s="1">
        <v>0</v>
      </c>
      <c r="U273" s="24">
        <v>0</v>
      </c>
      <c r="V273" s="25" t="e">
        <f t="shared" si="174"/>
        <v>#DIV/0!</v>
      </c>
      <c r="W273" s="25" t="e">
        <f t="shared" si="175"/>
        <v>#DIV/0!</v>
      </c>
      <c r="X273" s="25" t="e">
        <f t="shared" si="176"/>
        <v>#DIV/0!</v>
      </c>
      <c r="Y273" s="25" t="e">
        <f t="shared" si="177"/>
        <v>#DIV/0!</v>
      </c>
      <c r="Z273" s="25" t="e">
        <f t="shared" si="178"/>
        <v>#DIV/0!</v>
      </c>
      <c r="AA273" s="25" t="e">
        <f t="shared" si="179"/>
        <v>#DIV/0!</v>
      </c>
      <c r="AB273" s="25" t="e">
        <f t="shared" si="180"/>
        <v>#DIV/0!</v>
      </c>
      <c r="AC273" s="25" t="e">
        <f t="shared" si="181"/>
        <v>#DIV/0!</v>
      </c>
      <c r="AD273" s="63" t="e">
        <f t="shared" si="182"/>
        <v>#DIV/0!</v>
      </c>
      <c r="AE273" s="24">
        <f t="shared" si="183"/>
        <v>0</v>
      </c>
    </row>
    <row r="274" spans="1:31" x14ac:dyDescent="0.2">
      <c r="A274" s="75">
        <f t="shared" si="164"/>
        <v>46284</v>
      </c>
      <c r="B274" s="15" t="str">
        <f>$B$4</f>
        <v>DSM</v>
      </c>
      <c r="C274" s="15" t="str">
        <f>$C$4</f>
        <v xml:space="preserve">komal  </v>
      </c>
      <c r="D274" s="18">
        <f t="shared" si="184"/>
        <v>0</v>
      </c>
      <c r="E274" s="4">
        <f t="shared" si="185"/>
        <v>0</v>
      </c>
      <c r="F274" s="4">
        <v>0</v>
      </c>
      <c r="G274" s="5" t="e">
        <f t="shared" si="165"/>
        <v>#DIV/0!</v>
      </c>
      <c r="H274" s="4" t="e">
        <f t="shared" si="166"/>
        <v>#DIV/0!</v>
      </c>
      <c r="I274" s="4" t="e">
        <f t="shared" si="167"/>
        <v>#DIV/0!</v>
      </c>
      <c r="J274" s="4">
        <f t="shared" si="168"/>
        <v>0</v>
      </c>
      <c r="K274" s="27">
        <f t="shared" si="169"/>
        <v>0</v>
      </c>
      <c r="L274" s="30">
        <f t="shared" si="170"/>
        <v>0</v>
      </c>
      <c r="M274" s="23">
        <v>0</v>
      </c>
      <c r="N274" s="2">
        <v>0</v>
      </c>
      <c r="O274" s="4">
        <v>0</v>
      </c>
      <c r="P274" s="5" t="e">
        <f t="shared" si="171"/>
        <v>#DIV/0!</v>
      </c>
      <c r="Q274" s="29" t="e">
        <f t="shared" si="172"/>
        <v>#DIV/0!</v>
      </c>
      <c r="R274" s="29" t="e">
        <f t="shared" si="173"/>
        <v>#DIV/0!</v>
      </c>
      <c r="S274" s="1">
        <v>0</v>
      </c>
      <c r="T274" s="1">
        <v>0</v>
      </c>
      <c r="U274" s="24">
        <v>0</v>
      </c>
      <c r="V274" s="25" t="e">
        <f t="shared" si="174"/>
        <v>#DIV/0!</v>
      </c>
      <c r="W274" s="25" t="e">
        <f t="shared" si="175"/>
        <v>#DIV/0!</v>
      </c>
      <c r="X274" s="25" t="e">
        <f t="shared" si="176"/>
        <v>#DIV/0!</v>
      </c>
      <c r="Y274" s="25" t="e">
        <f t="shared" si="177"/>
        <v>#DIV/0!</v>
      </c>
      <c r="Z274" s="25" t="e">
        <f t="shared" si="178"/>
        <v>#DIV/0!</v>
      </c>
      <c r="AA274" s="25" t="e">
        <f t="shared" si="179"/>
        <v>#DIV/0!</v>
      </c>
      <c r="AB274" s="25" t="e">
        <f t="shared" si="180"/>
        <v>#DIV/0!</v>
      </c>
      <c r="AC274" s="25" t="e">
        <f t="shared" si="181"/>
        <v>#DIV/0!</v>
      </c>
      <c r="AD274" s="63" t="e">
        <f t="shared" si="182"/>
        <v>#DIV/0!</v>
      </c>
      <c r="AE274" s="24">
        <f t="shared" si="183"/>
        <v>0</v>
      </c>
    </row>
    <row r="275" spans="1:31" x14ac:dyDescent="0.2">
      <c r="A275" s="75">
        <f t="shared" ref="A275:A338" si="186">A260+1</f>
        <v>46284</v>
      </c>
      <c r="B275" s="15" t="str">
        <f>$B$5</f>
        <v>SS</v>
      </c>
      <c r="C275" s="15" t="str">
        <f>$C$5</f>
        <v>Prem</v>
      </c>
      <c r="D275" s="18">
        <f t="shared" si="184"/>
        <v>5.351157930433212</v>
      </c>
      <c r="E275" s="4">
        <f t="shared" si="185"/>
        <v>13.361646370828678</v>
      </c>
      <c r="F275" s="4">
        <v>13201.306614378735</v>
      </c>
      <c r="G275" s="5">
        <f t="shared" si="165"/>
        <v>2.4969635627530367</v>
      </c>
      <c r="H275" s="4">
        <f t="shared" si="166"/>
        <v>2467</v>
      </c>
      <c r="I275" s="4">
        <f t="shared" si="167"/>
        <v>988</v>
      </c>
      <c r="J275" s="4">
        <f t="shared" si="168"/>
        <v>0.42809263443465695</v>
      </c>
      <c r="K275" s="27">
        <f t="shared" si="169"/>
        <v>0.21404631721732847</v>
      </c>
      <c r="L275" s="30">
        <f t="shared" si="170"/>
        <v>1.337789482608303</v>
      </c>
      <c r="M275" s="23">
        <v>7</v>
      </c>
      <c r="N275" s="2">
        <v>18</v>
      </c>
      <c r="O275" s="4">
        <v>14976</v>
      </c>
      <c r="P275" s="5">
        <f t="shared" si="171"/>
        <v>2.5714285714285716</v>
      </c>
      <c r="Q275" s="29">
        <f t="shared" si="172"/>
        <v>2139.4285714285716</v>
      </c>
      <c r="R275" s="29">
        <f t="shared" si="173"/>
        <v>832</v>
      </c>
      <c r="S275" s="1">
        <v>0</v>
      </c>
      <c r="T275" s="1">
        <v>0</v>
      </c>
      <c r="U275" s="24">
        <v>0</v>
      </c>
      <c r="V275" s="25">
        <f t="shared" si="174"/>
        <v>1.3081280894718992</v>
      </c>
      <c r="W275" s="25">
        <f t="shared" si="175"/>
        <v>1.3471393794179314</v>
      </c>
      <c r="X275" s="25">
        <f t="shared" si="176"/>
        <v>1.1344331616151</v>
      </c>
      <c r="Y275" s="25">
        <f t="shared" si="177"/>
        <v>1.029822224795877</v>
      </c>
      <c r="Z275" s="25">
        <f t="shared" si="178"/>
        <v>0.86721871561758068</v>
      </c>
      <c r="AA275" s="25">
        <f t="shared" si="179"/>
        <v>0.84210526315789469</v>
      </c>
      <c r="AB275" s="25">
        <f t="shared" si="180"/>
        <v>0</v>
      </c>
      <c r="AC275" s="25">
        <f t="shared" si="181"/>
        <v>0</v>
      </c>
      <c r="AD275" s="63">
        <f t="shared" si="182"/>
        <v>0</v>
      </c>
      <c r="AE275" s="24">
        <f t="shared" si="183"/>
        <v>1</v>
      </c>
    </row>
    <row r="276" spans="1:31" x14ac:dyDescent="0.2">
      <c r="A276" s="75">
        <f t="shared" si="186"/>
        <v>46284</v>
      </c>
      <c r="B276" s="15" t="str">
        <f>$B$6</f>
        <v>SS</v>
      </c>
      <c r="C276" s="15" t="str">
        <f>$C$6</f>
        <v>Anuj</v>
      </c>
      <c r="D276" s="18">
        <f t="shared" si="184"/>
        <v>7.6445113291903022</v>
      </c>
      <c r="E276" s="4">
        <f t="shared" si="185"/>
        <v>19.088066244040967</v>
      </c>
      <c r="F276" s="4">
        <v>18859.009449112476</v>
      </c>
      <c r="G276" s="5">
        <f t="shared" si="165"/>
        <v>2.4969635627530362</v>
      </c>
      <c r="H276" s="4">
        <f t="shared" si="166"/>
        <v>2467</v>
      </c>
      <c r="I276" s="4">
        <f t="shared" si="167"/>
        <v>988.00000000000011</v>
      </c>
      <c r="J276" s="4">
        <f t="shared" si="168"/>
        <v>0.6115609063352242</v>
      </c>
      <c r="K276" s="27">
        <f t="shared" si="169"/>
        <v>0.3057804531676121</v>
      </c>
      <c r="L276" s="30">
        <f t="shared" si="170"/>
        <v>1.9111278322975755</v>
      </c>
      <c r="M276" s="23">
        <v>9</v>
      </c>
      <c r="N276" s="2">
        <v>21</v>
      </c>
      <c r="O276" s="4">
        <v>24295.4</v>
      </c>
      <c r="P276" s="5">
        <f t="shared" si="171"/>
        <v>2.3333333333333335</v>
      </c>
      <c r="Q276" s="29">
        <f t="shared" si="172"/>
        <v>2699.4888888888891</v>
      </c>
      <c r="R276" s="29">
        <f t="shared" si="173"/>
        <v>1156.9238095238095</v>
      </c>
      <c r="S276" s="1">
        <v>0</v>
      </c>
      <c r="T276" s="1">
        <v>0</v>
      </c>
      <c r="U276" s="24">
        <v>0</v>
      </c>
      <c r="V276" s="25">
        <f t="shared" si="174"/>
        <v>1.1773152805247094</v>
      </c>
      <c r="W276" s="25">
        <f t="shared" si="175"/>
        <v>1.1001638265246441</v>
      </c>
      <c r="X276" s="25">
        <f t="shared" si="176"/>
        <v>1.2882649041327761</v>
      </c>
      <c r="Y276" s="25">
        <f t="shared" si="177"/>
        <v>0.93446831509255524</v>
      </c>
      <c r="Z276" s="25">
        <f t="shared" si="178"/>
        <v>1.0942395171823629</v>
      </c>
      <c r="AA276" s="25">
        <f t="shared" si="179"/>
        <v>1.1709755157123576</v>
      </c>
      <c r="AB276" s="25">
        <f t="shared" si="180"/>
        <v>0</v>
      </c>
      <c r="AC276" s="25">
        <f t="shared" si="181"/>
        <v>0</v>
      </c>
      <c r="AD276" s="63">
        <f t="shared" si="182"/>
        <v>0</v>
      </c>
      <c r="AE276" s="24">
        <f t="shared" si="183"/>
        <v>1</v>
      </c>
    </row>
    <row r="277" spans="1:31" x14ac:dyDescent="0.2">
      <c r="A277" s="75">
        <f t="shared" si="186"/>
        <v>46284</v>
      </c>
      <c r="B277" s="15" t="str">
        <f>$B$7</f>
        <v>FC</v>
      </c>
      <c r="C277" s="15" t="str">
        <f>$C$7</f>
        <v>Muskan</v>
      </c>
      <c r="D277" s="18">
        <f t="shared" si="184"/>
        <v>7.6445113291903022</v>
      </c>
      <c r="E277" s="4">
        <f t="shared" si="185"/>
        <v>19.088066244040967</v>
      </c>
      <c r="F277" s="4">
        <v>18859.009449112476</v>
      </c>
      <c r="G277" s="5">
        <f t="shared" si="165"/>
        <v>2.4969635627530362</v>
      </c>
      <c r="H277" s="4">
        <f t="shared" si="166"/>
        <v>2467</v>
      </c>
      <c r="I277" s="4">
        <f t="shared" si="167"/>
        <v>988.00000000000011</v>
      </c>
      <c r="J277" s="4">
        <f t="shared" si="168"/>
        <v>0.6115609063352242</v>
      </c>
      <c r="K277" s="27">
        <f t="shared" si="169"/>
        <v>0.3057804531676121</v>
      </c>
      <c r="L277" s="30">
        <f t="shared" si="170"/>
        <v>1.9111278322975755</v>
      </c>
      <c r="M277" s="23">
        <v>11</v>
      </c>
      <c r="N277" s="2">
        <v>32</v>
      </c>
      <c r="O277" s="4">
        <v>27250.900000000005</v>
      </c>
      <c r="P277" s="5">
        <f t="shared" si="171"/>
        <v>2.9090909090909092</v>
      </c>
      <c r="Q277" s="29">
        <f t="shared" si="172"/>
        <v>2477.354545454546</v>
      </c>
      <c r="R277" s="29">
        <f t="shared" si="173"/>
        <v>851.59062500000016</v>
      </c>
      <c r="S277" s="1">
        <v>0</v>
      </c>
      <c r="T277" s="1">
        <v>0</v>
      </c>
      <c r="U277" s="24">
        <v>0</v>
      </c>
      <c r="V277" s="25">
        <f t="shared" si="174"/>
        <v>1.4389408984190892</v>
      </c>
      <c r="W277" s="25">
        <f t="shared" si="175"/>
        <v>1.6764401166089815</v>
      </c>
      <c r="X277" s="25">
        <f t="shared" si="176"/>
        <v>1.4449804521033558</v>
      </c>
      <c r="Y277" s="25">
        <f t="shared" si="177"/>
        <v>1.1650514058296793</v>
      </c>
      <c r="Z277" s="25">
        <f t="shared" si="178"/>
        <v>1.0041972215056936</v>
      </c>
      <c r="AA277" s="25">
        <f t="shared" si="179"/>
        <v>0.86193383097165999</v>
      </c>
      <c r="AB277" s="25">
        <f t="shared" si="180"/>
        <v>0</v>
      </c>
      <c r="AC277" s="25">
        <f t="shared" si="181"/>
        <v>0</v>
      </c>
      <c r="AD277" s="63">
        <f t="shared" si="182"/>
        <v>0</v>
      </c>
      <c r="AE277" s="24">
        <f t="shared" si="183"/>
        <v>1</v>
      </c>
    </row>
    <row r="278" spans="1:31" x14ac:dyDescent="0.2">
      <c r="A278" s="75">
        <f t="shared" si="186"/>
        <v>46284</v>
      </c>
      <c r="B278" s="15" t="str">
        <f>$B$8</f>
        <v>FC</v>
      </c>
      <c r="C278" s="15" t="str">
        <f>$C$8</f>
        <v xml:space="preserve">Kajal  </v>
      </c>
      <c r="D278" s="18">
        <f t="shared" si="184"/>
        <v>2.2933533987570911</v>
      </c>
      <c r="E278" s="4">
        <f t="shared" si="185"/>
        <v>5.7264198732122908</v>
      </c>
      <c r="F278" s="4">
        <v>5657.7028347337437</v>
      </c>
      <c r="G278" s="5">
        <f t="shared" si="165"/>
        <v>2.4969635627530362</v>
      </c>
      <c r="H278" s="4">
        <f t="shared" si="166"/>
        <v>2467</v>
      </c>
      <c r="I278" s="4">
        <f t="shared" si="167"/>
        <v>988</v>
      </c>
      <c r="J278" s="4">
        <f t="shared" si="168"/>
        <v>0.1834682719005673</v>
      </c>
      <c r="K278" s="27">
        <f t="shared" si="169"/>
        <v>9.1734135950283652E-2</v>
      </c>
      <c r="L278" s="30">
        <f t="shared" si="170"/>
        <v>0.57333834968927277</v>
      </c>
      <c r="M278" s="23">
        <v>1</v>
      </c>
      <c r="N278" s="2">
        <v>1</v>
      </c>
      <c r="O278" s="4">
        <v>899</v>
      </c>
      <c r="P278" s="5">
        <f t="shared" si="171"/>
        <v>1</v>
      </c>
      <c r="Q278" s="29">
        <f t="shared" si="172"/>
        <v>899</v>
      </c>
      <c r="R278" s="29">
        <f t="shared" si="173"/>
        <v>899</v>
      </c>
      <c r="S278" s="1">
        <v>0</v>
      </c>
      <c r="T278" s="1">
        <v>0</v>
      </c>
      <c r="U278" s="24">
        <v>0</v>
      </c>
      <c r="V278" s="25">
        <f t="shared" si="174"/>
        <v>0.43604269649063304</v>
      </c>
      <c r="W278" s="25">
        <f t="shared" si="175"/>
        <v>0.17462917881343554</v>
      </c>
      <c r="X278" s="25">
        <f t="shared" si="176"/>
        <v>0.1588984127057475</v>
      </c>
      <c r="Y278" s="25">
        <f t="shared" si="177"/>
        <v>0.40048642075395219</v>
      </c>
      <c r="Z278" s="25">
        <f t="shared" si="178"/>
        <v>0.36441021483583297</v>
      </c>
      <c r="AA278" s="25">
        <f t="shared" si="179"/>
        <v>0.90991902834008098</v>
      </c>
      <c r="AB278" s="25">
        <f t="shared" si="180"/>
        <v>0</v>
      </c>
      <c r="AC278" s="25">
        <f t="shared" si="181"/>
        <v>0</v>
      </c>
      <c r="AD278" s="63">
        <f t="shared" si="182"/>
        <v>0</v>
      </c>
      <c r="AE278" s="24">
        <f t="shared" si="183"/>
        <v>1</v>
      </c>
    </row>
    <row r="279" spans="1:31" x14ac:dyDescent="0.2">
      <c r="A279" s="75">
        <f t="shared" si="186"/>
        <v>46284</v>
      </c>
      <c r="B279" s="15" t="str">
        <f>$B$9</f>
        <v>FC</v>
      </c>
      <c r="C279" s="15" t="str">
        <f>$C$9</f>
        <v>Pradeep</v>
      </c>
      <c r="D279" s="18">
        <f t="shared" si="184"/>
        <v>6.1156090633522435</v>
      </c>
      <c r="E279" s="4">
        <f t="shared" si="185"/>
        <v>15.270452995232777</v>
      </c>
      <c r="F279" s="4">
        <v>15087.207559289984</v>
      </c>
      <c r="G279" s="5">
        <f t="shared" si="165"/>
        <v>2.4969635627530362</v>
      </c>
      <c r="H279" s="4">
        <f t="shared" si="166"/>
        <v>2467</v>
      </c>
      <c r="I279" s="4">
        <f t="shared" si="167"/>
        <v>988</v>
      </c>
      <c r="J279" s="4">
        <f t="shared" si="168"/>
        <v>0.48924872506817951</v>
      </c>
      <c r="K279" s="27">
        <f t="shared" si="169"/>
        <v>0.24462436253408976</v>
      </c>
      <c r="L279" s="30">
        <f t="shared" si="170"/>
        <v>1.5289022658380609</v>
      </c>
      <c r="M279" s="23">
        <v>8</v>
      </c>
      <c r="N279" s="2">
        <v>16</v>
      </c>
      <c r="O279" s="4">
        <v>17621.400000000001</v>
      </c>
      <c r="P279" s="5">
        <f t="shared" si="171"/>
        <v>2</v>
      </c>
      <c r="Q279" s="29">
        <f t="shared" si="172"/>
        <v>2202.6750000000002</v>
      </c>
      <c r="R279" s="29">
        <f t="shared" si="173"/>
        <v>1101.3375000000001</v>
      </c>
      <c r="S279" s="1">
        <v>0</v>
      </c>
      <c r="T279" s="1">
        <v>0</v>
      </c>
      <c r="U279" s="24">
        <v>0</v>
      </c>
      <c r="V279" s="25">
        <f t="shared" si="174"/>
        <v>1.308128089471899</v>
      </c>
      <c r="W279" s="25">
        <f t="shared" si="175"/>
        <v>1.0477750728806132</v>
      </c>
      <c r="X279" s="25">
        <f t="shared" si="176"/>
        <v>1.1679696147051137</v>
      </c>
      <c r="Y279" s="25">
        <f t="shared" si="177"/>
        <v>0.80097284150790438</v>
      </c>
      <c r="Z279" s="25">
        <f t="shared" si="178"/>
        <v>0.89285569517632757</v>
      </c>
      <c r="AA279" s="25">
        <f t="shared" si="179"/>
        <v>1.114714068825911</v>
      </c>
      <c r="AB279" s="25">
        <f t="shared" si="180"/>
        <v>0</v>
      </c>
      <c r="AC279" s="25">
        <f t="shared" si="181"/>
        <v>0</v>
      </c>
      <c r="AD279" s="63">
        <f t="shared" si="182"/>
        <v>0</v>
      </c>
      <c r="AE279" s="24">
        <f t="shared" si="183"/>
        <v>1</v>
      </c>
    </row>
    <row r="280" spans="1:31" x14ac:dyDescent="0.2">
      <c r="A280" s="75">
        <f t="shared" si="186"/>
        <v>46284</v>
      </c>
      <c r="B280" s="15" t="str">
        <f>$B$10</f>
        <v>FC</v>
      </c>
      <c r="C280" s="15" t="str">
        <f>$C$10</f>
        <v>Aftab</v>
      </c>
      <c r="D280" s="18">
        <f t="shared" si="184"/>
        <v>3.8222556645951511</v>
      </c>
      <c r="E280" s="4">
        <f t="shared" si="185"/>
        <v>9.5440331220204833</v>
      </c>
      <c r="F280" s="4">
        <v>9429.5047245562382</v>
      </c>
      <c r="G280" s="5">
        <f t="shared" si="165"/>
        <v>2.4969635627530362</v>
      </c>
      <c r="H280" s="4">
        <f t="shared" si="166"/>
        <v>2467</v>
      </c>
      <c r="I280" s="4">
        <f t="shared" si="167"/>
        <v>988.00000000000011</v>
      </c>
      <c r="J280" s="4">
        <f t="shared" si="168"/>
        <v>0.3057804531676121</v>
      </c>
      <c r="K280" s="27">
        <f t="shared" si="169"/>
        <v>0.15289022658380605</v>
      </c>
      <c r="L280" s="30">
        <f t="shared" si="170"/>
        <v>0.95556391614878777</v>
      </c>
      <c r="M280" s="23">
        <v>9</v>
      </c>
      <c r="N280" s="2">
        <v>11</v>
      </c>
      <c r="O280" s="4">
        <v>9485</v>
      </c>
      <c r="P280" s="5">
        <f t="shared" si="171"/>
        <v>1.2222222222222223</v>
      </c>
      <c r="Q280" s="29">
        <f t="shared" si="172"/>
        <v>1053.8888888888889</v>
      </c>
      <c r="R280" s="29">
        <f t="shared" si="173"/>
        <v>862.27272727272725</v>
      </c>
      <c r="S280" s="1">
        <v>0</v>
      </c>
      <c r="T280" s="1">
        <v>0</v>
      </c>
      <c r="U280" s="24">
        <v>0</v>
      </c>
      <c r="V280" s="25">
        <f t="shared" si="174"/>
        <v>2.3546305610494187</v>
      </c>
      <c r="W280" s="25">
        <f t="shared" si="175"/>
        <v>1.1525525801686747</v>
      </c>
      <c r="X280" s="25">
        <f t="shared" si="176"/>
        <v>1.005885279987107</v>
      </c>
      <c r="Y280" s="25">
        <f t="shared" si="177"/>
        <v>0.48948340314371941</v>
      </c>
      <c r="Z280" s="25">
        <f t="shared" si="178"/>
        <v>0.42719452326262219</v>
      </c>
      <c r="AA280" s="25">
        <f t="shared" si="179"/>
        <v>0.87274567537725423</v>
      </c>
      <c r="AB280" s="25">
        <f t="shared" si="180"/>
        <v>0</v>
      </c>
      <c r="AC280" s="25">
        <f t="shared" si="181"/>
        <v>0</v>
      </c>
      <c r="AD280" s="63">
        <f t="shared" si="182"/>
        <v>0</v>
      </c>
      <c r="AE280" s="24">
        <f t="shared" si="183"/>
        <v>1</v>
      </c>
    </row>
    <row r="281" spans="1:31" x14ac:dyDescent="0.2">
      <c r="A281" s="75">
        <f t="shared" si="186"/>
        <v>46284</v>
      </c>
      <c r="B281" s="15" t="str">
        <f>$B$11</f>
        <v>FC</v>
      </c>
      <c r="C281" s="15" t="str">
        <f>$C$11</f>
        <v>Khushi</v>
      </c>
      <c r="D281" s="18">
        <f t="shared" si="184"/>
        <v>7.6445113291903022</v>
      </c>
      <c r="E281" s="4">
        <f t="shared" si="185"/>
        <v>19.088066244040967</v>
      </c>
      <c r="F281" s="4">
        <v>18859.009449112476</v>
      </c>
      <c r="G281" s="5">
        <f t="shared" si="165"/>
        <v>2.4969635627530362</v>
      </c>
      <c r="H281" s="4">
        <f t="shared" si="166"/>
        <v>2467</v>
      </c>
      <c r="I281" s="4">
        <f t="shared" si="167"/>
        <v>988.00000000000011</v>
      </c>
      <c r="J281" s="4">
        <f t="shared" si="168"/>
        <v>0.6115609063352242</v>
      </c>
      <c r="K281" s="27">
        <f t="shared" si="169"/>
        <v>0.3057804531676121</v>
      </c>
      <c r="L281" s="30">
        <f t="shared" si="170"/>
        <v>1.9111278322975755</v>
      </c>
      <c r="M281" s="23">
        <v>4</v>
      </c>
      <c r="N281" s="2">
        <v>6</v>
      </c>
      <c r="O281" s="4">
        <v>8481</v>
      </c>
      <c r="P281" s="5">
        <f t="shared" si="171"/>
        <v>1.5</v>
      </c>
      <c r="Q281" s="29">
        <f t="shared" si="172"/>
        <v>2120.25</v>
      </c>
      <c r="R281" s="29">
        <f t="shared" si="173"/>
        <v>1413.5</v>
      </c>
      <c r="S281" s="1">
        <v>0</v>
      </c>
      <c r="T281" s="1">
        <v>0</v>
      </c>
      <c r="U281" s="24">
        <v>0</v>
      </c>
      <c r="V281" s="25">
        <f t="shared" si="174"/>
        <v>0.52325123578875976</v>
      </c>
      <c r="W281" s="25">
        <f t="shared" si="175"/>
        <v>0.31433252186418403</v>
      </c>
      <c r="X281" s="25">
        <f t="shared" si="176"/>
        <v>0.44970548548079359</v>
      </c>
      <c r="Y281" s="25">
        <f t="shared" si="177"/>
        <v>0.60072963113092825</v>
      </c>
      <c r="Z281" s="25">
        <f t="shared" si="178"/>
        <v>0.85944466963923793</v>
      </c>
      <c r="AA281" s="25">
        <f t="shared" si="179"/>
        <v>1.4306680161943319</v>
      </c>
      <c r="AB281" s="25">
        <f t="shared" si="180"/>
        <v>0</v>
      </c>
      <c r="AC281" s="25">
        <f t="shared" si="181"/>
        <v>0</v>
      </c>
      <c r="AD281" s="63">
        <f t="shared" si="182"/>
        <v>0</v>
      </c>
      <c r="AE281" s="24">
        <f t="shared" si="183"/>
        <v>1</v>
      </c>
    </row>
    <row r="282" spans="1:31" x14ac:dyDescent="0.2">
      <c r="A282" s="75">
        <f t="shared" si="186"/>
        <v>46284</v>
      </c>
      <c r="B282" s="15" t="str">
        <f>$B$12</f>
        <v>FC</v>
      </c>
      <c r="C282" s="15" t="str">
        <f>$C$12</f>
        <v>Kishan</v>
      </c>
      <c r="D282" s="18">
        <f t="shared" si="184"/>
        <v>7.6445113291903022</v>
      </c>
      <c r="E282" s="4">
        <f t="shared" si="185"/>
        <v>19.088066244040967</v>
      </c>
      <c r="F282" s="4">
        <v>18859.009449112476</v>
      </c>
      <c r="G282" s="5">
        <f t="shared" ref="G282:G350" si="187">E282/D282</f>
        <v>2.4969635627530362</v>
      </c>
      <c r="H282" s="4">
        <f t="shared" ref="H282:H350" si="188">F282/D282</f>
        <v>2467</v>
      </c>
      <c r="I282" s="4">
        <f t="shared" ref="I282:I350" si="189">F282/E282</f>
        <v>988.00000000000011</v>
      </c>
      <c r="J282" s="4">
        <f t="shared" ref="J282:J350" si="190">D282*8%</f>
        <v>0.6115609063352242</v>
      </c>
      <c r="K282" s="27">
        <f t="shared" ref="K282:K350" si="191">D282*4%</f>
        <v>0.3057804531676121</v>
      </c>
      <c r="L282" s="30">
        <f t="shared" ref="L282:L350" si="192">D282*25%</f>
        <v>1.9111278322975755</v>
      </c>
      <c r="M282" s="23">
        <v>10</v>
      </c>
      <c r="N282" s="2">
        <v>24</v>
      </c>
      <c r="O282" s="4">
        <v>31916.800000000007</v>
      </c>
      <c r="P282" s="5">
        <f t="shared" ref="P282:P350" si="193">N282/M282</f>
        <v>2.4</v>
      </c>
      <c r="Q282" s="29">
        <f t="shared" ref="Q282:Q350" si="194">O282/M282</f>
        <v>3191.6800000000007</v>
      </c>
      <c r="R282" s="29">
        <f t="shared" ref="R282:R350" si="195">O282/N282</f>
        <v>1329.866666666667</v>
      </c>
      <c r="S282" s="1">
        <v>0</v>
      </c>
      <c r="T282" s="1">
        <v>0</v>
      </c>
      <c r="U282" s="24">
        <v>0</v>
      </c>
      <c r="V282" s="25">
        <f t="shared" si="174"/>
        <v>1.3081280894718994</v>
      </c>
      <c r="W282" s="25">
        <f t="shared" si="175"/>
        <v>1.2573300874567361</v>
      </c>
      <c r="X282" s="25">
        <f t="shared" si="176"/>
        <v>1.6923900529410913</v>
      </c>
      <c r="Y282" s="25">
        <f t="shared" si="177"/>
        <v>0.96116740980948523</v>
      </c>
      <c r="Z282" s="25">
        <f t="shared" si="178"/>
        <v>1.2937494933117148</v>
      </c>
      <c r="AA282" s="25">
        <f t="shared" si="179"/>
        <v>1.3460188933873147</v>
      </c>
      <c r="AB282" s="25">
        <f t="shared" si="180"/>
        <v>0</v>
      </c>
      <c r="AC282" s="25">
        <f t="shared" si="181"/>
        <v>0</v>
      </c>
      <c r="AD282" s="63">
        <f t="shared" si="182"/>
        <v>0</v>
      </c>
      <c r="AE282" s="24">
        <f t="shared" si="183"/>
        <v>1</v>
      </c>
    </row>
    <row r="283" spans="1:31" x14ac:dyDescent="0.2">
      <c r="A283" s="75">
        <f t="shared" si="186"/>
        <v>46284</v>
      </c>
      <c r="B283" s="15" t="str">
        <f>$B$13</f>
        <v>Partner</v>
      </c>
      <c r="C283" s="15" t="str">
        <f>$C$13</f>
        <v>Rahul</v>
      </c>
      <c r="D283" s="18">
        <f t="shared" si="184"/>
        <v>6.8800601962712733</v>
      </c>
      <c r="E283" s="4">
        <f t="shared" si="185"/>
        <v>17.179259619636873</v>
      </c>
      <c r="F283" s="4">
        <v>16973.108504201231</v>
      </c>
      <c r="G283" s="5">
        <f t="shared" si="187"/>
        <v>2.4969635627530362</v>
      </c>
      <c r="H283" s="4">
        <f t="shared" si="188"/>
        <v>2467</v>
      </c>
      <c r="I283" s="4">
        <f t="shared" si="189"/>
        <v>988</v>
      </c>
      <c r="J283" s="4">
        <f t="shared" si="190"/>
        <v>0.55040481570170185</v>
      </c>
      <c r="K283" s="27">
        <f t="shared" si="191"/>
        <v>0.27520240785085093</v>
      </c>
      <c r="L283" s="30">
        <f t="shared" si="192"/>
        <v>1.7200150490678183</v>
      </c>
      <c r="M283" s="23">
        <v>6</v>
      </c>
      <c r="N283" s="2">
        <v>16</v>
      </c>
      <c r="O283" s="4">
        <v>16936.25</v>
      </c>
      <c r="P283" s="5">
        <f t="shared" si="193"/>
        <v>2.6666666666666665</v>
      </c>
      <c r="Q283" s="29">
        <f t="shared" si="194"/>
        <v>2822.7083333333335</v>
      </c>
      <c r="R283" s="29">
        <f t="shared" si="195"/>
        <v>1058.515625</v>
      </c>
      <c r="S283" s="1">
        <v>0</v>
      </c>
      <c r="T283" s="1">
        <v>0</v>
      </c>
      <c r="U283" s="24">
        <v>0</v>
      </c>
      <c r="V283" s="25">
        <f t="shared" si="174"/>
        <v>0.87208539298126608</v>
      </c>
      <c r="W283" s="25">
        <f t="shared" si="175"/>
        <v>0.93135562033832286</v>
      </c>
      <c r="X283" s="25">
        <f t="shared" si="176"/>
        <v>0.99782841757052887</v>
      </c>
      <c r="Y283" s="25">
        <f t="shared" si="177"/>
        <v>1.0679637886772058</v>
      </c>
      <c r="Z283" s="25">
        <f t="shared" si="178"/>
        <v>1.1441865964058913</v>
      </c>
      <c r="AA283" s="25">
        <f t="shared" si="179"/>
        <v>1.0713720900809716</v>
      </c>
      <c r="AB283" s="25">
        <f t="shared" si="180"/>
        <v>0</v>
      </c>
      <c r="AC283" s="25">
        <f t="shared" si="181"/>
        <v>0</v>
      </c>
      <c r="AD283" s="63">
        <f t="shared" si="182"/>
        <v>0</v>
      </c>
      <c r="AE283" s="24">
        <f t="shared" si="183"/>
        <v>1</v>
      </c>
    </row>
    <row r="284" spans="1:31" x14ac:dyDescent="0.2">
      <c r="A284" s="75">
        <f t="shared" si="186"/>
        <v>46284</v>
      </c>
      <c r="B284" s="15" t="str">
        <f>$B$14</f>
        <v>Partner</v>
      </c>
      <c r="C284" s="15" t="str">
        <f>$C$14</f>
        <v>Prince</v>
      </c>
      <c r="D284" s="18">
        <f t="shared" si="184"/>
        <v>6.8800601962712733</v>
      </c>
      <c r="E284" s="4">
        <f t="shared" si="185"/>
        <v>17.179259619636873</v>
      </c>
      <c r="F284" s="4">
        <v>16973.108504201231</v>
      </c>
      <c r="G284" s="5">
        <f t="shared" si="187"/>
        <v>2.4969635627530362</v>
      </c>
      <c r="H284" s="4">
        <f t="shared" si="188"/>
        <v>2467</v>
      </c>
      <c r="I284" s="4">
        <f t="shared" si="189"/>
        <v>988</v>
      </c>
      <c r="J284" s="4">
        <f t="shared" si="190"/>
        <v>0.55040481570170185</v>
      </c>
      <c r="K284" s="27">
        <f t="shared" si="191"/>
        <v>0.27520240785085093</v>
      </c>
      <c r="L284" s="30">
        <f t="shared" si="192"/>
        <v>1.7200150490678183</v>
      </c>
      <c r="M284" s="23">
        <v>11</v>
      </c>
      <c r="N284" s="2">
        <v>28</v>
      </c>
      <c r="O284" s="4">
        <v>29050.550000000003</v>
      </c>
      <c r="P284" s="5">
        <f t="shared" si="193"/>
        <v>2.5454545454545454</v>
      </c>
      <c r="Q284" s="29">
        <f t="shared" si="194"/>
        <v>2640.9590909090912</v>
      </c>
      <c r="R284" s="29">
        <f t="shared" si="195"/>
        <v>1037.519642857143</v>
      </c>
      <c r="S284" s="1">
        <v>0</v>
      </c>
      <c r="T284" s="1">
        <v>0</v>
      </c>
      <c r="U284" s="24">
        <v>0</v>
      </c>
      <c r="V284" s="25">
        <f t="shared" si="174"/>
        <v>1.5988232204656545</v>
      </c>
      <c r="W284" s="25">
        <f t="shared" si="175"/>
        <v>1.629872335592065</v>
      </c>
      <c r="X284" s="25">
        <f t="shared" si="176"/>
        <v>1.7115633234071019</v>
      </c>
      <c r="Y284" s="25">
        <f t="shared" si="177"/>
        <v>1.0194199801009691</v>
      </c>
      <c r="Z284" s="25">
        <f t="shared" si="178"/>
        <v>1.0705144267973616</v>
      </c>
      <c r="AA284" s="25">
        <f t="shared" si="179"/>
        <v>1.0501210960092542</v>
      </c>
      <c r="AB284" s="25">
        <f t="shared" si="180"/>
        <v>0</v>
      </c>
      <c r="AC284" s="25">
        <f t="shared" si="181"/>
        <v>0</v>
      </c>
      <c r="AD284" s="63">
        <f t="shared" si="182"/>
        <v>0</v>
      </c>
      <c r="AE284" s="24">
        <f t="shared" si="183"/>
        <v>1</v>
      </c>
    </row>
    <row r="285" spans="1:31" x14ac:dyDescent="0.2">
      <c r="A285" s="75">
        <f t="shared" si="186"/>
        <v>46284</v>
      </c>
      <c r="B285" s="15" t="str">
        <f>$B$15</f>
        <v>Partner</v>
      </c>
      <c r="C285" s="15" t="str">
        <f>$C$15</f>
        <v>Kunal</v>
      </c>
      <c r="D285" s="18">
        <f t="shared" si="184"/>
        <v>6.8800601962712733</v>
      </c>
      <c r="E285" s="4">
        <f t="shared" si="185"/>
        <v>17.179259619636873</v>
      </c>
      <c r="F285" s="4">
        <v>16973.108504201231</v>
      </c>
      <c r="G285" s="5">
        <f t="shared" si="187"/>
        <v>2.4969635627530362</v>
      </c>
      <c r="H285" s="4">
        <f t="shared" si="188"/>
        <v>2467</v>
      </c>
      <c r="I285" s="4">
        <f t="shared" si="189"/>
        <v>988</v>
      </c>
      <c r="J285" s="4">
        <f t="shared" si="190"/>
        <v>0.55040481570170185</v>
      </c>
      <c r="K285" s="27">
        <f t="shared" si="191"/>
        <v>0.27520240785085093</v>
      </c>
      <c r="L285" s="30">
        <f t="shared" si="192"/>
        <v>1.7200150490678183</v>
      </c>
      <c r="M285" s="23">
        <v>5</v>
      </c>
      <c r="N285" s="2">
        <v>6</v>
      </c>
      <c r="O285" s="4">
        <v>11720.15</v>
      </c>
      <c r="P285" s="5">
        <f t="shared" si="193"/>
        <v>1.2</v>
      </c>
      <c r="Q285" s="29">
        <f t="shared" si="194"/>
        <v>2344.0299999999997</v>
      </c>
      <c r="R285" s="29">
        <f t="shared" si="195"/>
        <v>1953.3583333333333</v>
      </c>
      <c r="S285" s="1">
        <v>0</v>
      </c>
      <c r="T285" s="1">
        <v>0</v>
      </c>
      <c r="U285" s="24">
        <v>0</v>
      </c>
      <c r="V285" s="25">
        <f t="shared" si="174"/>
        <v>0.72673782748438842</v>
      </c>
      <c r="W285" s="25">
        <f t="shared" si="175"/>
        <v>0.34925835762687107</v>
      </c>
      <c r="X285" s="25">
        <f t="shared" si="176"/>
        <v>0.69051287789145965</v>
      </c>
      <c r="Y285" s="25">
        <f t="shared" si="177"/>
        <v>0.48058370490474261</v>
      </c>
      <c r="Z285" s="25">
        <f t="shared" si="178"/>
        <v>0.95015403323875147</v>
      </c>
      <c r="AA285" s="25">
        <f t="shared" si="179"/>
        <v>1.9770833333333333</v>
      </c>
      <c r="AB285" s="25">
        <f t="shared" si="180"/>
        <v>0</v>
      </c>
      <c r="AC285" s="25">
        <f t="shared" si="181"/>
        <v>0</v>
      </c>
      <c r="AD285" s="63">
        <f t="shared" si="182"/>
        <v>0</v>
      </c>
      <c r="AE285" s="24">
        <f t="shared" si="183"/>
        <v>1</v>
      </c>
    </row>
    <row r="286" spans="1:31" x14ac:dyDescent="0.2">
      <c r="A286" s="75">
        <f t="shared" si="186"/>
        <v>46284</v>
      </c>
      <c r="B286" s="15" t="str">
        <f>$B$16</f>
        <v>NA</v>
      </c>
      <c r="C286" s="15" t="str">
        <f>$C$16</f>
        <v>NA</v>
      </c>
      <c r="D286" s="18">
        <f t="shared" si="184"/>
        <v>0</v>
      </c>
      <c r="E286" s="4">
        <f t="shared" si="185"/>
        <v>0</v>
      </c>
      <c r="F286" s="4">
        <v>0</v>
      </c>
      <c r="G286" s="5" t="e">
        <f t="shared" si="187"/>
        <v>#DIV/0!</v>
      </c>
      <c r="H286" s="4" t="e">
        <f t="shared" si="188"/>
        <v>#DIV/0!</v>
      </c>
      <c r="I286" s="4" t="e">
        <f t="shared" si="189"/>
        <v>#DIV/0!</v>
      </c>
      <c r="J286" s="4">
        <f t="shared" si="190"/>
        <v>0</v>
      </c>
      <c r="K286" s="27">
        <f t="shared" si="191"/>
        <v>0</v>
      </c>
      <c r="L286" s="30">
        <f t="shared" si="192"/>
        <v>0</v>
      </c>
      <c r="M286" s="23">
        <v>0</v>
      </c>
      <c r="N286" s="2">
        <v>0</v>
      </c>
      <c r="O286" s="4">
        <v>0</v>
      </c>
      <c r="P286" s="5" t="e">
        <f t="shared" si="193"/>
        <v>#DIV/0!</v>
      </c>
      <c r="Q286" s="29" t="e">
        <f t="shared" si="194"/>
        <v>#DIV/0!</v>
      </c>
      <c r="R286" s="29" t="e">
        <f t="shared" si="195"/>
        <v>#DIV/0!</v>
      </c>
      <c r="S286" s="1">
        <v>0</v>
      </c>
      <c r="T286" s="1">
        <v>0</v>
      </c>
      <c r="U286" s="24">
        <v>0</v>
      </c>
      <c r="V286" s="25" t="e">
        <f t="shared" si="174"/>
        <v>#DIV/0!</v>
      </c>
      <c r="W286" s="25" t="e">
        <f t="shared" si="175"/>
        <v>#DIV/0!</v>
      </c>
      <c r="X286" s="25" t="e">
        <f t="shared" si="176"/>
        <v>#DIV/0!</v>
      </c>
      <c r="Y286" s="25" t="e">
        <f t="shared" si="177"/>
        <v>#DIV/0!</v>
      </c>
      <c r="Z286" s="25" t="e">
        <f t="shared" si="178"/>
        <v>#DIV/0!</v>
      </c>
      <c r="AA286" s="25" t="e">
        <f t="shared" si="179"/>
        <v>#DIV/0!</v>
      </c>
      <c r="AB286" s="25" t="e">
        <f t="shared" si="180"/>
        <v>#DIV/0!</v>
      </c>
      <c r="AC286" s="25" t="e">
        <f t="shared" si="181"/>
        <v>#DIV/0!</v>
      </c>
      <c r="AD286" s="63" t="e">
        <f t="shared" si="182"/>
        <v>#DIV/0!</v>
      </c>
      <c r="AE286" s="24">
        <f t="shared" si="183"/>
        <v>0</v>
      </c>
    </row>
    <row r="287" spans="1:31" x14ac:dyDescent="0.2">
      <c r="A287" s="75">
        <f t="shared" si="186"/>
        <v>46284</v>
      </c>
      <c r="B287" s="15" t="str">
        <f>$B$17</f>
        <v>NA</v>
      </c>
      <c r="C287" s="15" t="str">
        <f>$C$17</f>
        <v>NA</v>
      </c>
      <c r="D287" s="18">
        <f t="shared" si="184"/>
        <v>0</v>
      </c>
      <c r="E287" s="4">
        <f t="shared" si="185"/>
        <v>0</v>
      </c>
      <c r="F287" s="4">
        <v>0</v>
      </c>
      <c r="G287" s="5" t="e">
        <f t="shared" si="187"/>
        <v>#DIV/0!</v>
      </c>
      <c r="H287" s="4" t="e">
        <f t="shared" si="188"/>
        <v>#DIV/0!</v>
      </c>
      <c r="I287" s="4" t="e">
        <f t="shared" si="189"/>
        <v>#DIV/0!</v>
      </c>
      <c r="J287" s="4">
        <f t="shared" si="190"/>
        <v>0</v>
      </c>
      <c r="K287" s="27">
        <f t="shared" si="191"/>
        <v>0</v>
      </c>
      <c r="L287" s="30">
        <f t="shared" si="192"/>
        <v>0</v>
      </c>
      <c r="M287" s="23">
        <v>0</v>
      </c>
      <c r="N287" s="2">
        <v>0</v>
      </c>
      <c r="O287" s="4">
        <v>0</v>
      </c>
      <c r="P287" s="5" t="e">
        <f t="shared" si="193"/>
        <v>#DIV/0!</v>
      </c>
      <c r="Q287" s="29" t="e">
        <f t="shared" si="194"/>
        <v>#DIV/0!</v>
      </c>
      <c r="R287" s="29" t="e">
        <f t="shared" si="195"/>
        <v>#DIV/0!</v>
      </c>
      <c r="S287" s="1">
        <v>0</v>
      </c>
      <c r="T287" s="1">
        <v>0</v>
      </c>
      <c r="U287" s="24">
        <v>0</v>
      </c>
      <c r="V287" s="25" t="e">
        <f t="shared" si="174"/>
        <v>#DIV/0!</v>
      </c>
      <c r="W287" s="25" t="e">
        <f t="shared" si="175"/>
        <v>#DIV/0!</v>
      </c>
      <c r="X287" s="25" t="e">
        <f t="shared" si="176"/>
        <v>#DIV/0!</v>
      </c>
      <c r="Y287" s="25" t="e">
        <f t="shared" si="177"/>
        <v>#DIV/0!</v>
      </c>
      <c r="Z287" s="25" t="e">
        <f t="shared" si="178"/>
        <v>#DIV/0!</v>
      </c>
      <c r="AA287" s="25" t="e">
        <f t="shared" si="179"/>
        <v>#DIV/0!</v>
      </c>
      <c r="AB287" s="25" t="e">
        <f t="shared" si="180"/>
        <v>#DIV/0!</v>
      </c>
      <c r="AC287" s="25" t="e">
        <f t="shared" si="181"/>
        <v>#DIV/0!</v>
      </c>
      <c r="AD287" s="63" t="e">
        <f t="shared" si="182"/>
        <v>#DIV/0!</v>
      </c>
      <c r="AE287" s="24">
        <f t="shared" si="183"/>
        <v>0</v>
      </c>
    </row>
    <row r="288" spans="1:31" x14ac:dyDescent="0.2">
      <c r="A288" s="75">
        <f t="shared" si="186"/>
        <v>46284</v>
      </c>
      <c r="B288" s="15" t="str">
        <f>$B$18</f>
        <v>NA</v>
      </c>
      <c r="C288" s="15" t="str">
        <f>$C$18</f>
        <v>NA</v>
      </c>
      <c r="D288" s="18">
        <f t="shared" si="184"/>
        <v>0</v>
      </c>
      <c r="E288" s="4">
        <f t="shared" si="185"/>
        <v>0</v>
      </c>
      <c r="F288" s="4">
        <v>0</v>
      </c>
      <c r="G288" s="5" t="e">
        <f t="shared" si="187"/>
        <v>#DIV/0!</v>
      </c>
      <c r="H288" s="4" t="e">
        <f t="shared" si="188"/>
        <v>#DIV/0!</v>
      </c>
      <c r="I288" s="4" t="e">
        <f t="shared" si="189"/>
        <v>#DIV/0!</v>
      </c>
      <c r="J288" s="4">
        <f t="shared" si="190"/>
        <v>0</v>
      </c>
      <c r="K288" s="27">
        <f t="shared" si="191"/>
        <v>0</v>
      </c>
      <c r="L288" s="30">
        <f t="shared" si="192"/>
        <v>0</v>
      </c>
      <c r="M288" s="23">
        <v>0</v>
      </c>
      <c r="N288" s="2">
        <v>0</v>
      </c>
      <c r="O288" s="4">
        <v>0</v>
      </c>
      <c r="P288" s="5" t="e">
        <f t="shared" si="193"/>
        <v>#DIV/0!</v>
      </c>
      <c r="Q288" s="29" t="e">
        <f t="shared" si="194"/>
        <v>#DIV/0!</v>
      </c>
      <c r="R288" s="29" t="e">
        <f t="shared" si="195"/>
        <v>#DIV/0!</v>
      </c>
      <c r="S288" s="1">
        <v>0</v>
      </c>
      <c r="T288" s="1">
        <v>0</v>
      </c>
      <c r="U288" s="24">
        <v>0</v>
      </c>
      <c r="V288" s="25" t="e">
        <f t="shared" si="174"/>
        <v>#DIV/0!</v>
      </c>
      <c r="W288" s="25" t="e">
        <f t="shared" si="175"/>
        <v>#DIV/0!</v>
      </c>
      <c r="X288" s="25" t="e">
        <f t="shared" si="176"/>
        <v>#DIV/0!</v>
      </c>
      <c r="Y288" s="25" t="e">
        <f t="shared" si="177"/>
        <v>#DIV/0!</v>
      </c>
      <c r="Z288" s="25" t="e">
        <f t="shared" si="178"/>
        <v>#DIV/0!</v>
      </c>
      <c r="AA288" s="25" t="e">
        <f t="shared" si="179"/>
        <v>#DIV/0!</v>
      </c>
      <c r="AB288" s="25" t="e">
        <f t="shared" si="180"/>
        <v>#DIV/0!</v>
      </c>
      <c r="AC288" s="25" t="e">
        <f t="shared" si="181"/>
        <v>#DIV/0!</v>
      </c>
      <c r="AD288" s="63" t="e">
        <f t="shared" si="182"/>
        <v>#DIV/0!</v>
      </c>
      <c r="AE288" s="24">
        <f t="shared" si="183"/>
        <v>0</v>
      </c>
    </row>
    <row r="289" spans="1:31" x14ac:dyDescent="0.2">
      <c r="A289" s="75">
        <f t="shared" si="186"/>
        <v>46285</v>
      </c>
      <c r="B289" s="15" t="str">
        <f>$B$4</f>
        <v>DSM</v>
      </c>
      <c r="C289" s="15" t="str">
        <f>$C$4</f>
        <v xml:space="preserve">komal  </v>
      </c>
      <c r="D289" s="18">
        <f t="shared" si="184"/>
        <v>0</v>
      </c>
      <c r="E289" s="4">
        <f t="shared" si="185"/>
        <v>0</v>
      </c>
      <c r="F289" s="4">
        <v>0</v>
      </c>
      <c r="G289" s="5" t="e">
        <f t="shared" si="187"/>
        <v>#DIV/0!</v>
      </c>
      <c r="H289" s="4" t="e">
        <f t="shared" si="188"/>
        <v>#DIV/0!</v>
      </c>
      <c r="I289" s="4" t="e">
        <f t="shared" si="189"/>
        <v>#DIV/0!</v>
      </c>
      <c r="J289" s="4">
        <f t="shared" si="190"/>
        <v>0</v>
      </c>
      <c r="K289" s="27">
        <f t="shared" si="191"/>
        <v>0</v>
      </c>
      <c r="L289" s="30">
        <f t="shared" si="192"/>
        <v>0</v>
      </c>
      <c r="M289" s="23">
        <v>0</v>
      </c>
      <c r="N289" s="2">
        <v>0</v>
      </c>
      <c r="O289" s="4">
        <v>0</v>
      </c>
      <c r="P289" s="5" t="e">
        <f t="shared" si="193"/>
        <v>#DIV/0!</v>
      </c>
      <c r="Q289" s="29" t="e">
        <f t="shared" si="194"/>
        <v>#DIV/0!</v>
      </c>
      <c r="R289" s="29" t="e">
        <f t="shared" si="195"/>
        <v>#DIV/0!</v>
      </c>
      <c r="S289" s="1">
        <v>0</v>
      </c>
      <c r="T289" s="1">
        <v>0</v>
      </c>
      <c r="U289" s="24">
        <v>0</v>
      </c>
      <c r="V289" s="25" t="e">
        <f t="shared" si="174"/>
        <v>#DIV/0!</v>
      </c>
      <c r="W289" s="25" t="e">
        <f t="shared" si="175"/>
        <v>#DIV/0!</v>
      </c>
      <c r="X289" s="25" t="e">
        <f t="shared" si="176"/>
        <v>#DIV/0!</v>
      </c>
      <c r="Y289" s="25" t="e">
        <f t="shared" si="177"/>
        <v>#DIV/0!</v>
      </c>
      <c r="Z289" s="25" t="e">
        <f t="shared" si="178"/>
        <v>#DIV/0!</v>
      </c>
      <c r="AA289" s="25" t="e">
        <f t="shared" si="179"/>
        <v>#DIV/0!</v>
      </c>
      <c r="AB289" s="25" t="e">
        <f t="shared" si="180"/>
        <v>#DIV/0!</v>
      </c>
      <c r="AC289" s="25" t="e">
        <f t="shared" si="181"/>
        <v>#DIV/0!</v>
      </c>
      <c r="AD289" s="63" t="e">
        <f t="shared" si="182"/>
        <v>#DIV/0!</v>
      </c>
      <c r="AE289" s="24">
        <f t="shared" si="183"/>
        <v>0</v>
      </c>
    </row>
    <row r="290" spans="1:31" x14ac:dyDescent="0.2">
      <c r="A290" s="75">
        <f t="shared" si="186"/>
        <v>46285</v>
      </c>
      <c r="B290" s="15" t="str">
        <f>$B$5</f>
        <v>SS</v>
      </c>
      <c r="C290" s="15" t="str">
        <f>$C$5</f>
        <v>Prem</v>
      </c>
      <c r="D290" s="18">
        <f t="shared" si="184"/>
        <v>5.4112833004380798</v>
      </c>
      <c r="E290" s="4">
        <f t="shared" si="185"/>
        <v>13.511777228927876</v>
      </c>
      <c r="F290" s="4">
        <v>13349.635902180742</v>
      </c>
      <c r="G290" s="5">
        <f t="shared" si="187"/>
        <v>2.4969635627530362</v>
      </c>
      <c r="H290" s="4">
        <f t="shared" si="188"/>
        <v>2467</v>
      </c>
      <c r="I290" s="4">
        <f t="shared" si="189"/>
        <v>988</v>
      </c>
      <c r="J290" s="4">
        <f t="shared" si="190"/>
        <v>0.4329026640350464</v>
      </c>
      <c r="K290" s="27">
        <f t="shared" si="191"/>
        <v>0.2164513320175232</v>
      </c>
      <c r="L290" s="30">
        <f t="shared" si="192"/>
        <v>1.35282082510952</v>
      </c>
      <c r="M290" s="23">
        <v>2</v>
      </c>
      <c r="N290" s="2">
        <v>22</v>
      </c>
      <c r="O290" s="4">
        <v>20605.150000000001</v>
      </c>
      <c r="P290" s="5">
        <f t="shared" si="193"/>
        <v>11</v>
      </c>
      <c r="Q290" s="29">
        <f t="shared" si="194"/>
        <v>10302.575000000001</v>
      </c>
      <c r="R290" s="29">
        <f t="shared" si="195"/>
        <v>936.5977272727273</v>
      </c>
      <c r="S290" s="1">
        <v>0</v>
      </c>
      <c r="T290" s="1">
        <v>0</v>
      </c>
      <c r="U290" s="24">
        <v>0</v>
      </c>
      <c r="V290" s="25">
        <f t="shared" si="174"/>
        <v>0.36959809512063185</v>
      </c>
      <c r="W290" s="25">
        <f t="shared" si="175"/>
        <v>1.6282092005557467</v>
      </c>
      <c r="X290" s="25">
        <f t="shared" si="176"/>
        <v>1.5434990250658467</v>
      </c>
      <c r="Y290" s="25">
        <f t="shared" si="177"/>
        <v>4.4053506282934745</v>
      </c>
      <c r="Z290" s="25">
        <f t="shared" si="178"/>
        <v>4.1761552492906366</v>
      </c>
      <c r="AA290" s="25">
        <f t="shared" si="179"/>
        <v>0.94797340817077658</v>
      </c>
      <c r="AB290" s="25">
        <f t="shared" si="180"/>
        <v>0</v>
      </c>
      <c r="AC290" s="25">
        <f t="shared" si="181"/>
        <v>0</v>
      </c>
      <c r="AD290" s="63">
        <f t="shared" si="182"/>
        <v>0</v>
      </c>
      <c r="AE290" s="24">
        <f t="shared" si="183"/>
        <v>1</v>
      </c>
    </row>
    <row r="291" spans="1:31" x14ac:dyDescent="0.2">
      <c r="A291" s="75">
        <f t="shared" si="186"/>
        <v>46285</v>
      </c>
      <c r="B291" s="15" t="str">
        <f>$B$6</f>
        <v>SS</v>
      </c>
      <c r="C291" s="15" t="str">
        <f>$C$6</f>
        <v>Anuj</v>
      </c>
      <c r="D291" s="18">
        <f t="shared" si="184"/>
        <v>7.7304047149115416</v>
      </c>
      <c r="E291" s="4">
        <f t="shared" si="185"/>
        <v>19.302538898468395</v>
      </c>
      <c r="F291" s="4">
        <v>19070.908431686774</v>
      </c>
      <c r="G291" s="5">
        <f t="shared" si="187"/>
        <v>2.4969635627530367</v>
      </c>
      <c r="H291" s="4">
        <f t="shared" si="188"/>
        <v>2467</v>
      </c>
      <c r="I291" s="4">
        <f t="shared" si="189"/>
        <v>988</v>
      </c>
      <c r="J291" s="4">
        <f t="shared" si="190"/>
        <v>0.61843237719292332</v>
      </c>
      <c r="K291" s="27">
        <f t="shared" si="191"/>
        <v>0.30921618859646166</v>
      </c>
      <c r="L291" s="30">
        <f t="shared" si="192"/>
        <v>1.9326011787278854</v>
      </c>
      <c r="M291" s="23">
        <v>4</v>
      </c>
      <c r="N291" s="2">
        <v>6</v>
      </c>
      <c r="O291" s="4">
        <v>13495.4</v>
      </c>
      <c r="P291" s="5">
        <f t="shared" si="193"/>
        <v>1.5</v>
      </c>
      <c r="Q291" s="29">
        <f t="shared" si="194"/>
        <v>3373.85</v>
      </c>
      <c r="R291" s="29">
        <f t="shared" si="195"/>
        <v>2249.2333333333331</v>
      </c>
      <c r="S291" s="1">
        <v>0</v>
      </c>
      <c r="T291" s="1">
        <v>0</v>
      </c>
      <c r="U291" s="24">
        <v>0</v>
      </c>
      <c r="V291" s="25">
        <f t="shared" si="174"/>
        <v>0.51743733316888463</v>
      </c>
      <c r="W291" s="25">
        <f t="shared" si="175"/>
        <v>0.31083993828791529</v>
      </c>
      <c r="X291" s="25">
        <f t="shared" si="176"/>
        <v>0.70764326976564307</v>
      </c>
      <c r="Y291" s="25">
        <f t="shared" si="177"/>
        <v>0.60072963113092825</v>
      </c>
      <c r="Z291" s="25">
        <f t="shared" si="178"/>
        <v>1.3675922172679367</v>
      </c>
      <c r="AA291" s="25">
        <f t="shared" si="179"/>
        <v>2.2765519568151147</v>
      </c>
      <c r="AB291" s="25">
        <f t="shared" si="180"/>
        <v>0</v>
      </c>
      <c r="AC291" s="25">
        <f t="shared" si="181"/>
        <v>0</v>
      </c>
      <c r="AD291" s="63">
        <f t="shared" si="182"/>
        <v>0</v>
      </c>
      <c r="AE291" s="24">
        <f t="shared" si="183"/>
        <v>1</v>
      </c>
    </row>
    <row r="292" spans="1:31" x14ac:dyDescent="0.2">
      <c r="A292" s="75">
        <f t="shared" si="186"/>
        <v>46285</v>
      </c>
      <c r="B292" s="15" t="str">
        <f>$B$7</f>
        <v>FC</v>
      </c>
      <c r="C292" s="15" t="str">
        <f>$C$7</f>
        <v>Muskan</v>
      </c>
      <c r="D292" s="18">
        <f t="shared" si="184"/>
        <v>7.7304047149115416</v>
      </c>
      <c r="E292" s="4">
        <f t="shared" si="185"/>
        <v>19.302538898468395</v>
      </c>
      <c r="F292" s="4">
        <v>19070.908431686774</v>
      </c>
      <c r="G292" s="5">
        <f t="shared" si="187"/>
        <v>2.4969635627530367</v>
      </c>
      <c r="H292" s="4">
        <f t="shared" si="188"/>
        <v>2467</v>
      </c>
      <c r="I292" s="4">
        <f t="shared" si="189"/>
        <v>988</v>
      </c>
      <c r="J292" s="4">
        <f t="shared" si="190"/>
        <v>0.61843237719292332</v>
      </c>
      <c r="K292" s="27">
        <f t="shared" si="191"/>
        <v>0.30921618859646166</v>
      </c>
      <c r="L292" s="30">
        <f t="shared" si="192"/>
        <v>1.9326011787278854</v>
      </c>
      <c r="M292" s="23">
        <v>13</v>
      </c>
      <c r="N292" s="2">
        <v>39</v>
      </c>
      <c r="O292" s="4">
        <v>36480.350000000006</v>
      </c>
      <c r="P292" s="5">
        <f t="shared" si="193"/>
        <v>3</v>
      </c>
      <c r="Q292" s="29">
        <f t="shared" si="194"/>
        <v>2806.1807692307698</v>
      </c>
      <c r="R292" s="29">
        <f t="shared" si="195"/>
        <v>935.39358974358993</v>
      </c>
      <c r="S292" s="1">
        <v>0</v>
      </c>
      <c r="T292" s="1">
        <v>0</v>
      </c>
      <c r="U292" s="24">
        <v>0</v>
      </c>
      <c r="V292" s="25">
        <f t="shared" si="174"/>
        <v>1.681671332798875</v>
      </c>
      <c r="W292" s="25">
        <f t="shared" si="175"/>
        <v>2.0204595988714491</v>
      </c>
      <c r="X292" s="25">
        <f t="shared" si="176"/>
        <v>1.9128795112553225</v>
      </c>
      <c r="Y292" s="25">
        <f t="shared" si="177"/>
        <v>1.2014592622618565</v>
      </c>
      <c r="Z292" s="25">
        <f t="shared" si="178"/>
        <v>1.1374871379127562</v>
      </c>
      <c r="AA292" s="25">
        <f t="shared" si="179"/>
        <v>0.94675464548946353</v>
      </c>
      <c r="AB292" s="25">
        <f t="shared" si="180"/>
        <v>0</v>
      </c>
      <c r="AC292" s="25">
        <f t="shared" si="181"/>
        <v>0</v>
      </c>
      <c r="AD292" s="63">
        <f t="shared" si="182"/>
        <v>0</v>
      </c>
      <c r="AE292" s="24">
        <f t="shared" si="183"/>
        <v>1</v>
      </c>
    </row>
    <row r="293" spans="1:31" x14ac:dyDescent="0.2">
      <c r="A293" s="75">
        <f t="shared" si="186"/>
        <v>46285</v>
      </c>
      <c r="B293" s="15" t="str">
        <f>$B$8</f>
        <v>FC</v>
      </c>
      <c r="C293" s="15" t="str">
        <f>$C$8</f>
        <v xml:space="preserve">Kajal  </v>
      </c>
      <c r="D293" s="18">
        <f t="shared" si="184"/>
        <v>2.3191214144734627</v>
      </c>
      <c r="E293" s="4">
        <f t="shared" si="185"/>
        <v>5.7907616695405189</v>
      </c>
      <c r="F293" s="4">
        <v>5721.2725295060327</v>
      </c>
      <c r="G293" s="5">
        <f t="shared" si="187"/>
        <v>2.4969635627530367</v>
      </c>
      <c r="H293" s="4">
        <f t="shared" si="188"/>
        <v>2467</v>
      </c>
      <c r="I293" s="4">
        <f t="shared" si="189"/>
        <v>988</v>
      </c>
      <c r="J293" s="4">
        <f t="shared" si="190"/>
        <v>0.185529713157877</v>
      </c>
      <c r="K293" s="27">
        <f t="shared" si="191"/>
        <v>9.2764856578938501E-2</v>
      </c>
      <c r="L293" s="30">
        <f t="shared" si="192"/>
        <v>0.57978035361836566</v>
      </c>
      <c r="M293" s="23">
        <v>2</v>
      </c>
      <c r="N293" s="2">
        <v>4</v>
      </c>
      <c r="O293" s="4">
        <v>676</v>
      </c>
      <c r="P293" s="5">
        <f t="shared" si="193"/>
        <v>2</v>
      </c>
      <c r="Q293" s="29">
        <f t="shared" si="194"/>
        <v>338</v>
      </c>
      <c r="R293" s="29">
        <f t="shared" si="195"/>
        <v>169</v>
      </c>
      <c r="S293" s="1">
        <v>0</v>
      </c>
      <c r="T293" s="1">
        <v>0</v>
      </c>
      <c r="U293" s="24">
        <v>0</v>
      </c>
      <c r="V293" s="25">
        <f t="shared" si="174"/>
        <v>0.86239555528147438</v>
      </c>
      <c r="W293" s="25">
        <f t="shared" si="175"/>
        <v>0.69075541841758947</v>
      </c>
      <c r="X293" s="25">
        <f t="shared" si="176"/>
        <v>0.11815553209774557</v>
      </c>
      <c r="Y293" s="25">
        <f t="shared" si="177"/>
        <v>0.80097284150790427</v>
      </c>
      <c r="Z293" s="25">
        <f t="shared" si="178"/>
        <v>0.13700851236319417</v>
      </c>
      <c r="AA293" s="25">
        <f t="shared" si="179"/>
        <v>0.17105263157894737</v>
      </c>
      <c r="AB293" s="25">
        <f t="shared" si="180"/>
        <v>0</v>
      </c>
      <c r="AC293" s="25">
        <f t="shared" si="181"/>
        <v>0</v>
      </c>
      <c r="AD293" s="63">
        <f t="shared" si="182"/>
        <v>0</v>
      </c>
      <c r="AE293" s="24">
        <f t="shared" si="183"/>
        <v>1</v>
      </c>
    </row>
    <row r="294" spans="1:31" x14ac:dyDescent="0.2">
      <c r="A294" s="75">
        <f t="shared" si="186"/>
        <v>46285</v>
      </c>
      <c r="B294" s="15" t="str">
        <f>$B$9</f>
        <v>FC</v>
      </c>
      <c r="C294" s="15" t="str">
        <f>$C$9</f>
        <v>Pradeep</v>
      </c>
      <c r="D294" s="18">
        <f t="shared" si="184"/>
        <v>5.4112833004380798</v>
      </c>
      <c r="E294" s="4">
        <f t="shared" si="185"/>
        <v>13.511777228927876</v>
      </c>
      <c r="F294" s="4">
        <v>13349.635902180742</v>
      </c>
      <c r="G294" s="5">
        <f t="shared" si="187"/>
        <v>2.4969635627530362</v>
      </c>
      <c r="H294" s="4">
        <f t="shared" si="188"/>
        <v>2467</v>
      </c>
      <c r="I294" s="4">
        <f t="shared" si="189"/>
        <v>988</v>
      </c>
      <c r="J294" s="4">
        <f t="shared" si="190"/>
        <v>0.4329026640350464</v>
      </c>
      <c r="K294" s="27">
        <f t="shared" si="191"/>
        <v>0.2164513320175232</v>
      </c>
      <c r="L294" s="30">
        <f t="shared" si="192"/>
        <v>1.35282082510952</v>
      </c>
      <c r="M294" s="23">
        <v>9</v>
      </c>
      <c r="N294" s="2">
        <v>23</v>
      </c>
      <c r="O294" s="4">
        <v>17692.309999999998</v>
      </c>
      <c r="P294" s="5">
        <f t="shared" si="193"/>
        <v>2.5555555555555554</v>
      </c>
      <c r="Q294" s="29">
        <f t="shared" si="194"/>
        <v>1965.8122222222219</v>
      </c>
      <c r="R294" s="29">
        <f t="shared" si="195"/>
        <v>769.23086956521729</v>
      </c>
      <c r="S294" s="1">
        <v>0</v>
      </c>
      <c r="T294" s="1">
        <v>0</v>
      </c>
      <c r="U294" s="24">
        <v>0</v>
      </c>
      <c r="V294" s="25">
        <f t="shared" si="174"/>
        <v>1.6631914280428433</v>
      </c>
      <c r="W294" s="25">
        <f t="shared" si="175"/>
        <v>1.702218709671917</v>
      </c>
      <c r="X294" s="25">
        <f t="shared" si="176"/>
        <v>1.3253028119748085</v>
      </c>
      <c r="Y294" s="25">
        <f t="shared" si="177"/>
        <v>1.0234652974823222</v>
      </c>
      <c r="Z294" s="25">
        <f t="shared" si="178"/>
        <v>0.79684321938476765</v>
      </c>
      <c r="AA294" s="25">
        <f t="shared" si="179"/>
        <v>0.77857375462066525</v>
      </c>
      <c r="AB294" s="25">
        <f t="shared" si="180"/>
        <v>0</v>
      </c>
      <c r="AC294" s="25">
        <f t="shared" si="181"/>
        <v>0</v>
      </c>
      <c r="AD294" s="63">
        <f t="shared" si="182"/>
        <v>0</v>
      </c>
      <c r="AE294" s="24">
        <f t="shared" si="183"/>
        <v>1</v>
      </c>
    </row>
    <row r="295" spans="1:31" x14ac:dyDescent="0.2">
      <c r="A295" s="75">
        <f t="shared" si="186"/>
        <v>46285</v>
      </c>
      <c r="B295" s="15" t="str">
        <f>$B$10</f>
        <v>FC</v>
      </c>
      <c r="C295" s="15" t="str">
        <f>$C$10</f>
        <v>Aftab</v>
      </c>
      <c r="D295" s="18">
        <f t="shared" si="184"/>
        <v>3.8652023574557708</v>
      </c>
      <c r="E295" s="4">
        <f t="shared" si="185"/>
        <v>9.6512694492341975</v>
      </c>
      <c r="F295" s="4">
        <v>9535.4542158433869</v>
      </c>
      <c r="G295" s="5">
        <f t="shared" si="187"/>
        <v>2.4969635627530367</v>
      </c>
      <c r="H295" s="4">
        <f t="shared" si="188"/>
        <v>2467</v>
      </c>
      <c r="I295" s="4">
        <f t="shared" si="189"/>
        <v>988</v>
      </c>
      <c r="J295" s="4">
        <f t="shared" si="190"/>
        <v>0.30921618859646166</v>
      </c>
      <c r="K295" s="27">
        <f t="shared" si="191"/>
        <v>0.15460809429823083</v>
      </c>
      <c r="L295" s="30">
        <f t="shared" si="192"/>
        <v>0.9663005893639427</v>
      </c>
      <c r="M295" s="23">
        <v>13</v>
      </c>
      <c r="N295" s="2">
        <v>16</v>
      </c>
      <c r="O295" s="4">
        <v>12895.220000000001</v>
      </c>
      <c r="P295" s="5">
        <f t="shared" si="193"/>
        <v>1.2307692307692308</v>
      </c>
      <c r="Q295" s="29">
        <f t="shared" si="194"/>
        <v>991.94</v>
      </c>
      <c r="R295" s="29">
        <f t="shared" si="195"/>
        <v>805.95125000000007</v>
      </c>
      <c r="S295" s="1">
        <v>0</v>
      </c>
      <c r="T295" s="1">
        <v>0</v>
      </c>
      <c r="U295" s="24">
        <v>0</v>
      </c>
      <c r="V295" s="25">
        <f t="shared" si="174"/>
        <v>3.3633426655977501</v>
      </c>
      <c r="W295" s="25">
        <f t="shared" si="175"/>
        <v>1.6578130042022148</v>
      </c>
      <c r="X295" s="25">
        <f t="shared" si="176"/>
        <v>1.3523445981812048</v>
      </c>
      <c r="Y295" s="25">
        <f t="shared" si="177"/>
        <v>0.49290636400486421</v>
      </c>
      <c r="Z295" s="25">
        <f t="shared" si="178"/>
        <v>0.40208350222942846</v>
      </c>
      <c r="AA295" s="25">
        <f t="shared" si="179"/>
        <v>0.81574013157894742</v>
      </c>
      <c r="AB295" s="25">
        <f t="shared" si="180"/>
        <v>0</v>
      </c>
      <c r="AC295" s="25">
        <f t="shared" si="181"/>
        <v>0</v>
      </c>
      <c r="AD295" s="63">
        <f t="shared" si="182"/>
        <v>0</v>
      </c>
      <c r="AE295" s="24">
        <f t="shared" si="183"/>
        <v>1</v>
      </c>
    </row>
    <row r="296" spans="1:31" x14ac:dyDescent="0.2">
      <c r="A296" s="75">
        <f t="shared" si="186"/>
        <v>46285</v>
      </c>
      <c r="B296" s="15" t="str">
        <f>$B$11</f>
        <v>FC</v>
      </c>
      <c r="C296" s="15" t="str">
        <f>$C$11</f>
        <v>Khushi</v>
      </c>
      <c r="D296" s="18">
        <f t="shared" si="184"/>
        <v>7.7304047149115416</v>
      </c>
      <c r="E296" s="4">
        <f t="shared" si="185"/>
        <v>19.302538898468395</v>
      </c>
      <c r="F296" s="4">
        <v>19070.908431686774</v>
      </c>
      <c r="G296" s="5">
        <f t="shared" si="187"/>
        <v>2.4969635627530367</v>
      </c>
      <c r="H296" s="4">
        <f t="shared" si="188"/>
        <v>2467</v>
      </c>
      <c r="I296" s="4">
        <f t="shared" si="189"/>
        <v>988</v>
      </c>
      <c r="J296" s="4">
        <f t="shared" si="190"/>
        <v>0.61843237719292332</v>
      </c>
      <c r="K296" s="27">
        <f t="shared" si="191"/>
        <v>0.30921618859646166</v>
      </c>
      <c r="L296" s="30">
        <f t="shared" si="192"/>
        <v>1.9326011787278854</v>
      </c>
      <c r="M296" s="23">
        <v>10</v>
      </c>
      <c r="N296" s="2">
        <v>25</v>
      </c>
      <c r="O296" s="4">
        <v>27775.9</v>
      </c>
      <c r="P296" s="5">
        <f t="shared" si="193"/>
        <v>2.5</v>
      </c>
      <c r="Q296" s="29">
        <f t="shared" si="194"/>
        <v>2777.59</v>
      </c>
      <c r="R296" s="29">
        <f t="shared" si="195"/>
        <v>1111.0360000000001</v>
      </c>
      <c r="S296" s="1">
        <v>0</v>
      </c>
      <c r="T296" s="1">
        <v>0</v>
      </c>
      <c r="U296" s="24">
        <v>0</v>
      </c>
      <c r="V296" s="25">
        <f t="shared" si="174"/>
        <v>1.2935933329222116</v>
      </c>
      <c r="W296" s="25">
        <f t="shared" si="175"/>
        <v>1.2951664095329802</v>
      </c>
      <c r="X296" s="25">
        <f t="shared" si="176"/>
        <v>1.4564539544351056</v>
      </c>
      <c r="Y296" s="25">
        <f t="shared" si="177"/>
        <v>1.0012160518848803</v>
      </c>
      <c r="Z296" s="25">
        <f t="shared" si="178"/>
        <v>1.12589785164167</v>
      </c>
      <c r="AA296" s="25">
        <f t="shared" si="179"/>
        <v>1.1245303643724698</v>
      </c>
      <c r="AB296" s="25">
        <f t="shared" si="180"/>
        <v>0</v>
      </c>
      <c r="AC296" s="25">
        <f t="shared" si="181"/>
        <v>0</v>
      </c>
      <c r="AD296" s="63">
        <f t="shared" si="182"/>
        <v>0</v>
      </c>
      <c r="AE296" s="24">
        <f t="shared" si="183"/>
        <v>1</v>
      </c>
    </row>
    <row r="297" spans="1:31" x14ac:dyDescent="0.2">
      <c r="A297" s="75">
        <f t="shared" si="186"/>
        <v>46285</v>
      </c>
      <c r="B297" s="15" t="str">
        <f>$B$12</f>
        <v>FC</v>
      </c>
      <c r="C297" s="15" t="str">
        <f>$C$12</f>
        <v>Kishan</v>
      </c>
      <c r="D297" s="18">
        <f t="shared" si="184"/>
        <v>7.7304047149115416</v>
      </c>
      <c r="E297" s="4">
        <f t="shared" si="185"/>
        <v>19.302538898468395</v>
      </c>
      <c r="F297" s="4">
        <v>19070.908431686774</v>
      </c>
      <c r="G297" s="5">
        <f t="shared" si="187"/>
        <v>2.4969635627530367</v>
      </c>
      <c r="H297" s="4">
        <f t="shared" si="188"/>
        <v>2467</v>
      </c>
      <c r="I297" s="4">
        <f t="shared" si="189"/>
        <v>988</v>
      </c>
      <c r="J297" s="4">
        <f t="shared" si="190"/>
        <v>0.61843237719292332</v>
      </c>
      <c r="K297" s="27">
        <f t="shared" si="191"/>
        <v>0.30921618859646166</v>
      </c>
      <c r="L297" s="30">
        <f t="shared" si="192"/>
        <v>1.9326011787278854</v>
      </c>
      <c r="M297" s="23">
        <v>12</v>
      </c>
      <c r="N297" s="2">
        <v>28</v>
      </c>
      <c r="O297" s="4">
        <v>28714.899999999998</v>
      </c>
      <c r="P297" s="5">
        <f t="shared" si="193"/>
        <v>2.3333333333333335</v>
      </c>
      <c r="Q297" s="29">
        <f t="shared" si="194"/>
        <v>2392.9083333333333</v>
      </c>
      <c r="R297" s="29">
        <f t="shared" si="195"/>
        <v>1025.5321428571428</v>
      </c>
      <c r="S297" s="1">
        <v>0</v>
      </c>
      <c r="T297" s="1">
        <v>0</v>
      </c>
      <c r="U297" s="24">
        <v>0</v>
      </c>
      <c r="V297" s="25">
        <f t="shared" si="174"/>
        <v>1.5523119995066539</v>
      </c>
      <c r="W297" s="25">
        <f t="shared" si="175"/>
        <v>1.450586378676938</v>
      </c>
      <c r="X297" s="25">
        <f t="shared" si="176"/>
        <v>1.5056912523521691</v>
      </c>
      <c r="Y297" s="25">
        <f t="shared" si="177"/>
        <v>0.93446831509255501</v>
      </c>
      <c r="Z297" s="25">
        <f t="shared" si="178"/>
        <v>0.96996689636535605</v>
      </c>
      <c r="AA297" s="25">
        <f t="shared" si="179"/>
        <v>1.0379879988432621</v>
      </c>
      <c r="AB297" s="25">
        <f t="shared" si="180"/>
        <v>0</v>
      </c>
      <c r="AC297" s="25">
        <f t="shared" si="181"/>
        <v>0</v>
      </c>
      <c r="AD297" s="63">
        <f t="shared" si="182"/>
        <v>0</v>
      </c>
      <c r="AE297" s="24">
        <f t="shared" si="183"/>
        <v>1</v>
      </c>
    </row>
    <row r="298" spans="1:31" x14ac:dyDescent="0.2">
      <c r="A298" s="75">
        <f t="shared" si="186"/>
        <v>46285</v>
      </c>
      <c r="B298" s="15" t="str">
        <f>$B$13</f>
        <v>Partner</v>
      </c>
      <c r="C298" s="15" t="str">
        <f>$C$13</f>
        <v>Rahul</v>
      </c>
      <c r="D298" s="18">
        <f t="shared" si="184"/>
        <v>6.957364243420388</v>
      </c>
      <c r="E298" s="4">
        <f t="shared" si="185"/>
        <v>17.372285008621557</v>
      </c>
      <c r="F298" s="4">
        <v>17163.817588518097</v>
      </c>
      <c r="G298" s="5">
        <f t="shared" si="187"/>
        <v>2.4969635627530367</v>
      </c>
      <c r="H298" s="4">
        <f t="shared" si="188"/>
        <v>2467</v>
      </c>
      <c r="I298" s="4">
        <f t="shared" si="189"/>
        <v>988</v>
      </c>
      <c r="J298" s="4">
        <f t="shared" si="190"/>
        <v>0.55658913947363109</v>
      </c>
      <c r="K298" s="27">
        <f t="shared" si="191"/>
        <v>0.27829456973681554</v>
      </c>
      <c r="L298" s="30">
        <f t="shared" si="192"/>
        <v>1.739341060855097</v>
      </c>
      <c r="M298" s="23">
        <v>8</v>
      </c>
      <c r="N298" s="2">
        <v>22</v>
      </c>
      <c r="O298" s="4">
        <v>28495.200000000001</v>
      </c>
      <c r="P298" s="5">
        <f t="shared" si="193"/>
        <v>2.75</v>
      </c>
      <c r="Q298" s="29">
        <f t="shared" si="194"/>
        <v>3561.9</v>
      </c>
      <c r="R298" s="29">
        <f t="shared" si="195"/>
        <v>1295.2363636363636</v>
      </c>
      <c r="S298" s="1">
        <v>0</v>
      </c>
      <c r="T298" s="1">
        <v>0</v>
      </c>
      <c r="U298" s="24">
        <v>0</v>
      </c>
      <c r="V298" s="25">
        <f t="shared" si="174"/>
        <v>1.1498607403752992</v>
      </c>
      <c r="W298" s="25">
        <f t="shared" si="175"/>
        <v>1.2663849337655806</v>
      </c>
      <c r="X298" s="25">
        <f t="shared" si="176"/>
        <v>1.6601900977473765</v>
      </c>
      <c r="Y298" s="25">
        <f t="shared" si="177"/>
        <v>1.1013376570733684</v>
      </c>
      <c r="Z298" s="25">
        <f t="shared" si="178"/>
        <v>1.4438184029185246</v>
      </c>
      <c r="AA298" s="25">
        <f t="shared" si="179"/>
        <v>1.3109679793890321</v>
      </c>
      <c r="AB298" s="25">
        <f t="shared" si="180"/>
        <v>0</v>
      </c>
      <c r="AC298" s="25">
        <f t="shared" si="181"/>
        <v>0</v>
      </c>
      <c r="AD298" s="63">
        <f t="shared" si="182"/>
        <v>0</v>
      </c>
      <c r="AE298" s="24">
        <f t="shared" si="183"/>
        <v>1</v>
      </c>
    </row>
    <row r="299" spans="1:31" x14ac:dyDescent="0.2">
      <c r="A299" s="75">
        <f t="shared" si="186"/>
        <v>46285</v>
      </c>
      <c r="B299" s="15" t="str">
        <f>$B$14</f>
        <v>Partner</v>
      </c>
      <c r="C299" s="15" t="str">
        <f>$C$14</f>
        <v>Prince</v>
      </c>
      <c r="D299" s="18">
        <f t="shared" si="184"/>
        <v>6.957364243420388</v>
      </c>
      <c r="E299" s="4">
        <f t="shared" si="185"/>
        <v>17.372285008621557</v>
      </c>
      <c r="F299" s="4">
        <v>17163.817588518097</v>
      </c>
      <c r="G299" s="5">
        <f t="shared" si="187"/>
        <v>2.4969635627530367</v>
      </c>
      <c r="H299" s="4">
        <f t="shared" si="188"/>
        <v>2467</v>
      </c>
      <c r="I299" s="4">
        <f t="shared" si="189"/>
        <v>988</v>
      </c>
      <c r="J299" s="4">
        <f t="shared" si="190"/>
        <v>0.55658913947363109</v>
      </c>
      <c r="K299" s="27">
        <f t="shared" si="191"/>
        <v>0.27829456973681554</v>
      </c>
      <c r="L299" s="30">
        <f t="shared" si="192"/>
        <v>1.739341060855097</v>
      </c>
      <c r="M299" s="23">
        <v>6</v>
      </c>
      <c r="N299" s="2">
        <v>25</v>
      </c>
      <c r="O299" s="4">
        <v>20801.150000000001</v>
      </c>
      <c r="P299" s="5">
        <f t="shared" si="193"/>
        <v>4.166666666666667</v>
      </c>
      <c r="Q299" s="29">
        <f t="shared" si="194"/>
        <v>3466.8583333333336</v>
      </c>
      <c r="R299" s="29">
        <f t="shared" si="195"/>
        <v>832.04600000000005</v>
      </c>
      <c r="S299" s="1">
        <v>0</v>
      </c>
      <c r="T299" s="1">
        <v>0</v>
      </c>
      <c r="U299" s="24">
        <v>0</v>
      </c>
      <c r="V299" s="25">
        <f t="shared" si="174"/>
        <v>0.86239555528147438</v>
      </c>
      <c r="W299" s="25">
        <f t="shared" si="175"/>
        <v>1.439073788369978</v>
      </c>
      <c r="X299" s="25">
        <f t="shared" si="176"/>
        <v>1.2119186126701285</v>
      </c>
      <c r="Y299" s="25">
        <f t="shared" si="177"/>
        <v>1.668693419808134</v>
      </c>
      <c r="Z299" s="25">
        <f t="shared" si="178"/>
        <v>1.4052932036211323</v>
      </c>
      <c r="AA299" s="25">
        <f t="shared" si="179"/>
        <v>0.84215182186234827</v>
      </c>
      <c r="AB299" s="25">
        <f t="shared" si="180"/>
        <v>0</v>
      </c>
      <c r="AC299" s="25">
        <f t="shared" si="181"/>
        <v>0</v>
      </c>
      <c r="AD299" s="63">
        <f t="shared" si="182"/>
        <v>0</v>
      </c>
      <c r="AE299" s="24">
        <f t="shared" si="183"/>
        <v>1</v>
      </c>
    </row>
    <row r="300" spans="1:31" x14ac:dyDescent="0.2">
      <c r="A300" s="75">
        <f t="shared" si="186"/>
        <v>46285</v>
      </c>
      <c r="B300" s="15" t="str">
        <f>$B$15</f>
        <v>Partner</v>
      </c>
      <c r="C300" s="15" t="str">
        <f>$C$15</f>
        <v>Kunal</v>
      </c>
      <c r="D300" s="18">
        <f t="shared" si="184"/>
        <v>6.957364243420388</v>
      </c>
      <c r="E300" s="4">
        <f t="shared" si="185"/>
        <v>17.372285008621557</v>
      </c>
      <c r="F300" s="4">
        <v>17163.817588518097</v>
      </c>
      <c r="G300" s="5">
        <f t="shared" si="187"/>
        <v>2.4969635627530367</v>
      </c>
      <c r="H300" s="4">
        <f t="shared" si="188"/>
        <v>2467</v>
      </c>
      <c r="I300" s="4">
        <f t="shared" si="189"/>
        <v>988</v>
      </c>
      <c r="J300" s="4">
        <f t="shared" si="190"/>
        <v>0.55658913947363109</v>
      </c>
      <c r="K300" s="27">
        <f t="shared" si="191"/>
        <v>0.27829456973681554</v>
      </c>
      <c r="L300" s="30">
        <f t="shared" si="192"/>
        <v>1.739341060855097</v>
      </c>
      <c r="M300" s="23">
        <v>5</v>
      </c>
      <c r="N300" s="2">
        <v>11</v>
      </c>
      <c r="O300" s="4">
        <v>31505.149999999998</v>
      </c>
      <c r="P300" s="5">
        <f t="shared" si="193"/>
        <v>2.2000000000000002</v>
      </c>
      <c r="Q300" s="29">
        <f t="shared" si="194"/>
        <v>6301.03</v>
      </c>
      <c r="R300" s="29">
        <f t="shared" si="195"/>
        <v>2864.1045454545451</v>
      </c>
      <c r="S300" s="1">
        <v>0</v>
      </c>
      <c r="T300" s="1">
        <v>0</v>
      </c>
      <c r="U300" s="24">
        <v>0</v>
      </c>
      <c r="V300" s="25">
        <f t="shared" si="174"/>
        <v>0.71866296273456198</v>
      </c>
      <c r="W300" s="25">
        <f t="shared" si="175"/>
        <v>0.63319246688279029</v>
      </c>
      <c r="X300" s="25">
        <f t="shared" si="176"/>
        <v>1.8355560956949155</v>
      </c>
      <c r="Y300" s="25">
        <f t="shared" si="177"/>
        <v>0.8810701256586948</v>
      </c>
      <c r="Z300" s="25">
        <f t="shared" si="178"/>
        <v>2.5541264693960275</v>
      </c>
      <c r="AA300" s="25">
        <f t="shared" si="179"/>
        <v>2.8988912403386085</v>
      </c>
      <c r="AB300" s="25">
        <f t="shared" si="180"/>
        <v>0</v>
      </c>
      <c r="AC300" s="25">
        <f t="shared" si="181"/>
        <v>0</v>
      </c>
      <c r="AD300" s="63">
        <f t="shared" si="182"/>
        <v>0</v>
      </c>
      <c r="AE300" s="24">
        <f t="shared" si="183"/>
        <v>1</v>
      </c>
    </row>
    <row r="301" spans="1:31" x14ac:dyDescent="0.2">
      <c r="A301" s="75">
        <f t="shared" si="186"/>
        <v>46285</v>
      </c>
      <c r="B301" s="15" t="str">
        <f>$B$16</f>
        <v>NA</v>
      </c>
      <c r="C301" s="15" t="str">
        <f>$C$16</f>
        <v>NA</v>
      </c>
      <c r="D301" s="18">
        <f t="shared" si="184"/>
        <v>0</v>
      </c>
      <c r="E301" s="4">
        <f t="shared" si="185"/>
        <v>0</v>
      </c>
      <c r="F301" s="4">
        <v>0</v>
      </c>
      <c r="G301" s="5" t="e">
        <f t="shared" si="187"/>
        <v>#DIV/0!</v>
      </c>
      <c r="H301" s="4" t="e">
        <f t="shared" si="188"/>
        <v>#DIV/0!</v>
      </c>
      <c r="I301" s="4" t="e">
        <f t="shared" si="189"/>
        <v>#DIV/0!</v>
      </c>
      <c r="J301" s="4">
        <f t="shared" si="190"/>
        <v>0</v>
      </c>
      <c r="K301" s="27">
        <f t="shared" si="191"/>
        <v>0</v>
      </c>
      <c r="L301" s="30">
        <f t="shared" si="192"/>
        <v>0</v>
      </c>
      <c r="M301" s="23">
        <v>0</v>
      </c>
      <c r="N301" s="2">
        <v>0</v>
      </c>
      <c r="O301" s="4">
        <v>0</v>
      </c>
      <c r="P301" s="5" t="e">
        <f t="shared" si="193"/>
        <v>#DIV/0!</v>
      </c>
      <c r="Q301" s="29" t="e">
        <f t="shared" si="194"/>
        <v>#DIV/0!</v>
      </c>
      <c r="R301" s="29" t="e">
        <f t="shared" si="195"/>
        <v>#DIV/0!</v>
      </c>
      <c r="S301" s="1">
        <v>0</v>
      </c>
      <c r="T301" s="1">
        <v>0</v>
      </c>
      <c r="U301" s="24">
        <v>0</v>
      </c>
      <c r="V301" s="25" t="e">
        <f t="shared" si="174"/>
        <v>#DIV/0!</v>
      </c>
      <c r="W301" s="25" t="e">
        <f t="shared" si="175"/>
        <v>#DIV/0!</v>
      </c>
      <c r="X301" s="25" t="e">
        <f t="shared" si="176"/>
        <v>#DIV/0!</v>
      </c>
      <c r="Y301" s="25" t="e">
        <f t="shared" si="177"/>
        <v>#DIV/0!</v>
      </c>
      <c r="Z301" s="25" t="e">
        <f t="shared" si="178"/>
        <v>#DIV/0!</v>
      </c>
      <c r="AA301" s="25" t="e">
        <f t="shared" si="179"/>
        <v>#DIV/0!</v>
      </c>
      <c r="AB301" s="25" t="e">
        <f t="shared" si="180"/>
        <v>#DIV/0!</v>
      </c>
      <c r="AC301" s="25" t="e">
        <f t="shared" si="181"/>
        <v>#DIV/0!</v>
      </c>
      <c r="AD301" s="63" t="e">
        <f t="shared" si="182"/>
        <v>#DIV/0!</v>
      </c>
      <c r="AE301" s="24">
        <f t="shared" si="183"/>
        <v>0</v>
      </c>
    </row>
    <row r="302" spans="1:31" x14ac:dyDescent="0.2">
      <c r="A302" s="75">
        <f t="shared" si="186"/>
        <v>46285</v>
      </c>
      <c r="B302" s="15" t="str">
        <f>$B$17</f>
        <v>NA</v>
      </c>
      <c r="C302" s="15" t="str">
        <f>$C$17</f>
        <v>NA</v>
      </c>
      <c r="D302" s="18">
        <f t="shared" si="184"/>
        <v>0</v>
      </c>
      <c r="E302" s="4">
        <f t="shared" si="185"/>
        <v>0</v>
      </c>
      <c r="F302" s="4">
        <v>0</v>
      </c>
      <c r="G302" s="5" t="e">
        <f t="shared" si="187"/>
        <v>#DIV/0!</v>
      </c>
      <c r="H302" s="4" t="e">
        <f t="shared" si="188"/>
        <v>#DIV/0!</v>
      </c>
      <c r="I302" s="4" t="e">
        <f t="shared" si="189"/>
        <v>#DIV/0!</v>
      </c>
      <c r="J302" s="4">
        <f t="shared" si="190"/>
        <v>0</v>
      </c>
      <c r="K302" s="27">
        <f t="shared" si="191"/>
        <v>0</v>
      </c>
      <c r="L302" s="30">
        <f t="shared" si="192"/>
        <v>0</v>
      </c>
      <c r="M302" s="23">
        <v>0</v>
      </c>
      <c r="N302" s="2">
        <v>0</v>
      </c>
      <c r="O302" s="4">
        <v>0</v>
      </c>
      <c r="P302" s="5" t="e">
        <f t="shared" si="193"/>
        <v>#DIV/0!</v>
      </c>
      <c r="Q302" s="29" t="e">
        <f t="shared" si="194"/>
        <v>#DIV/0!</v>
      </c>
      <c r="R302" s="29" t="e">
        <f t="shared" si="195"/>
        <v>#DIV/0!</v>
      </c>
      <c r="S302" s="1">
        <v>0</v>
      </c>
      <c r="T302" s="1">
        <v>0</v>
      </c>
      <c r="U302" s="24">
        <v>0</v>
      </c>
      <c r="V302" s="25" t="e">
        <f t="shared" si="174"/>
        <v>#DIV/0!</v>
      </c>
      <c r="W302" s="25" t="e">
        <f t="shared" si="175"/>
        <v>#DIV/0!</v>
      </c>
      <c r="X302" s="25" t="e">
        <f t="shared" si="176"/>
        <v>#DIV/0!</v>
      </c>
      <c r="Y302" s="25" t="e">
        <f t="shared" si="177"/>
        <v>#DIV/0!</v>
      </c>
      <c r="Z302" s="25" t="e">
        <f t="shared" si="178"/>
        <v>#DIV/0!</v>
      </c>
      <c r="AA302" s="25" t="e">
        <f t="shared" si="179"/>
        <v>#DIV/0!</v>
      </c>
      <c r="AB302" s="25" t="e">
        <f t="shared" si="180"/>
        <v>#DIV/0!</v>
      </c>
      <c r="AC302" s="25" t="e">
        <f t="shared" si="181"/>
        <v>#DIV/0!</v>
      </c>
      <c r="AD302" s="63" t="e">
        <f t="shared" si="182"/>
        <v>#DIV/0!</v>
      </c>
      <c r="AE302" s="24">
        <f t="shared" si="183"/>
        <v>0</v>
      </c>
    </row>
    <row r="303" spans="1:31" x14ac:dyDescent="0.2">
      <c r="A303" s="75">
        <f t="shared" si="186"/>
        <v>46285</v>
      </c>
      <c r="B303" s="15" t="str">
        <f>$B$18</f>
        <v>NA</v>
      </c>
      <c r="C303" s="15" t="str">
        <f>$C$18</f>
        <v>NA</v>
      </c>
      <c r="D303" s="18">
        <f t="shared" si="184"/>
        <v>0</v>
      </c>
      <c r="E303" s="4">
        <f t="shared" si="185"/>
        <v>0</v>
      </c>
      <c r="F303" s="4">
        <v>0</v>
      </c>
      <c r="G303" s="5" t="e">
        <f t="shared" si="187"/>
        <v>#DIV/0!</v>
      </c>
      <c r="H303" s="4" t="e">
        <f t="shared" si="188"/>
        <v>#DIV/0!</v>
      </c>
      <c r="I303" s="4" t="e">
        <f t="shared" si="189"/>
        <v>#DIV/0!</v>
      </c>
      <c r="J303" s="4">
        <f t="shared" si="190"/>
        <v>0</v>
      </c>
      <c r="K303" s="27">
        <f t="shared" si="191"/>
        <v>0</v>
      </c>
      <c r="L303" s="30">
        <f t="shared" si="192"/>
        <v>0</v>
      </c>
      <c r="M303" s="23">
        <v>0</v>
      </c>
      <c r="N303" s="2">
        <v>0</v>
      </c>
      <c r="O303" s="4">
        <v>0</v>
      </c>
      <c r="P303" s="5" t="e">
        <f t="shared" si="193"/>
        <v>#DIV/0!</v>
      </c>
      <c r="Q303" s="29" t="e">
        <f t="shared" si="194"/>
        <v>#DIV/0!</v>
      </c>
      <c r="R303" s="29" t="e">
        <f t="shared" si="195"/>
        <v>#DIV/0!</v>
      </c>
      <c r="S303" s="1">
        <v>0</v>
      </c>
      <c r="T303" s="1">
        <v>0</v>
      </c>
      <c r="U303" s="24">
        <v>0</v>
      </c>
      <c r="V303" s="25" t="e">
        <f t="shared" si="174"/>
        <v>#DIV/0!</v>
      </c>
      <c r="W303" s="25" t="e">
        <f t="shared" si="175"/>
        <v>#DIV/0!</v>
      </c>
      <c r="X303" s="25" t="e">
        <f t="shared" si="176"/>
        <v>#DIV/0!</v>
      </c>
      <c r="Y303" s="25" t="e">
        <f t="shared" si="177"/>
        <v>#DIV/0!</v>
      </c>
      <c r="Z303" s="25" t="e">
        <f t="shared" si="178"/>
        <v>#DIV/0!</v>
      </c>
      <c r="AA303" s="25" t="e">
        <f t="shared" si="179"/>
        <v>#DIV/0!</v>
      </c>
      <c r="AB303" s="25" t="e">
        <f t="shared" si="180"/>
        <v>#DIV/0!</v>
      </c>
      <c r="AC303" s="25" t="e">
        <f t="shared" si="181"/>
        <v>#DIV/0!</v>
      </c>
      <c r="AD303" s="63" t="e">
        <f t="shared" si="182"/>
        <v>#DIV/0!</v>
      </c>
      <c r="AE303" s="24">
        <f t="shared" si="183"/>
        <v>0</v>
      </c>
    </row>
    <row r="304" spans="1:31" x14ac:dyDescent="0.2">
      <c r="A304" s="75">
        <f t="shared" si="186"/>
        <v>46286</v>
      </c>
      <c r="B304" s="15" t="str">
        <f>$B$4</f>
        <v>DSM</v>
      </c>
      <c r="C304" s="15" t="str">
        <f>$C$4</f>
        <v xml:space="preserve">komal  </v>
      </c>
      <c r="D304" s="18">
        <f t="shared" si="184"/>
        <v>0</v>
      </c>
      <c r="E304" s="4">
        <f t="shared" si="185"/>
        <v>0</v>
      </c>
      <c r="F304" s="4">
        <v>0</v>
      </c>
      <c r="G304" s="5" t="e">
        <f t="shared" si="187"/>
        <v>#DIV/0!</v>
      </c>
      <c r="H304" s="4" t="e">
        <f t="shared" si="188"/>
        <v>#DIV/0!</v>
      </c>
      <c r="I304" s="4" t="e">
        <f t="shared" si="189"/>
        <v>#DIV/0!</v>
      </c>
      <c r="J304" s="4">
        <f t="shared" si="190"/>
        <v>0</v>
      </c>
      <c r="K304" s="27">
        <f t="shared" si="191"/>
        <v>0</v>
      </c>
      <c r="L304" s="30">
        <f t="shared" si="192"/>
        <v>0</v>
      </c>
      <c r="M304" s="23">
        <v>0</v>
      </c>
      <c r="N304" s="2">
        <v>0</v>
      </c>
      <c r="O304" s="4">
        <v>0</v>
      </c>
      <c r="P304" s="5" t="e">
        <f t="shared" si="193"/>
        <v>#DIV/0!</v>
      </c>
      <c r="Q304" s="29" t="e">
        <f t="shared" si="194"/>
        <v>#DIV/0!</v>
      </c>
      <c r="R304" s="29" t="e">
        <f t="shared" si="195"/>
        <v>#DIV/0!</v>
      </c>
      <c r="S304" s="1">
        <v>0</v>
      </c>
      <c r="T304" s="1">
        <v>0</v>
      </c>
      <c r="U304" s="24">
        <v>0</v>
      </c>
      <c r="V304" s="25" t="e">
        <f t="shared" ref="V304:V367" si="196">M304/D304</f>
        <v>#DIV/0!</v>
      </c>
      <c r="W304" s="25" t="e">
        <f t="shared" ref="W304:W367" si="197">N304/E304</f>
        <v>#DIV/0!</v>
      </c>
      <c r="X304" s="25" t="e">
        <f t="shared" ref="X304:X367" si="198">O304/F304</f>
        <v>#DIV/0!</v>
      </c>
      <c r="Y304" s="25" t="e">
        <f t="shared" ref="Y304:Y367" si="199">P304/G304</f>
        <v>#DIV/0!</v>
      </c>
      <c r="Z304" s="25" t="e">
        <f t="shared" ref="Z304:Z367" si="200">Q304/H304</f>
        <v>#DIV/0!</v>
      </c>
      <c r="AA304" s="25" t="e">
        <f t="shared" ref="AA304:AA367" si="201">R304/I304</f>
        <v>#DIV/0!</v>
      </c>
      <c r="AB304" s="25" t="e">
        <f t="shared" ref="AB304:AB367" si="202">S304/J304</f>
        <v>#DIV/0!</v>
      </c>
      <c r="AC304" s="25" t="e">
        <f t="shared" ref="AC304:AC367" si="203">T304/K304</f>
        <v>#DIV/0!</v>
      </c>
      <c r="AD304" s="63" t="e">
        <f t="shared" ref="AD304:AD367" si="204">U304/L304</f>
        <v>#DIV/0!</v>
      </c>
      <c r="AE304" s="24">
        <f t="shared" si="183"/>
        <v>0</v>
      </c>
    </row>
    <row r="305" spans="1:31" x14ac:dyDescent="0.2">
      <c r="A305" s="75">
        <f t="shared" si="186"/>
        <v>46286</v>
      </c>
      <c r="B305" s="15" t="str">
        <f>$B$5</f>
        <v>SS</v>
      </c>
      <c r="C305" s="15" t="str">
        <f>$C$5</f>
        <v>Prem</v>
      </c>
      <c r="D305" s="18">
        <f t="shared" si="184"/>
        <v>0.59713730005373311</v>
      </c>
      <c r="E305" s="4">
        <f t="shared" si="185"/>
        <v>1.4910300801948984</v>
      </c>
      <c r="F305" s="4">
        <v>1473.1377192325597</v>
      </c>
      <c r="G305" s="5">
        <f t="shared" si="187"/>
        <v>2.4969635627530362</v>
      </c>
      <c r="H305" s="4">
        <f t="shared" si="188"/>
        <v>2467</v>
      </c>
      <c r="I305" s="4">
        <f t="shared" si="189"/>
        <v>988.00000000000011</v>
      </c>
      <c r="J305" s="4">
        <f t="shared" si="190"/>
        <v>4.7770984004298647E-2</v>
      </c>
      <c r="K305" s="27">
        <f t="shared" si="191"/>
        <v>2.3885492002149324E-2</v>
      </c>
      <c r="L305" s="30">
        <f t="shared" si="192"/>
        <v>0.14928432501343328</v>
      </c>
      <c r="M305" s="23">
        <v>2</v>
      </c>
      <c r="N305" s="2">
        <v>2</v>
      </c>
      <c r="O305" s="4">
        <v>598</v>
      </c>
      <c r="P305" s="5">
        <f t="shared" si="193"/>
        <v>1</v>
      </c>
      <c r="Q305" s="29">
        <f t="shared" si="194"/>
        <v>299</v>
      </c>
      <c r="R305" s="29">
        <f t="shared" si="195"/>
        <v>299</v>
      </c>
      <c r="S305" s="1">
        <v>0</v>
      </c>
      <c r="T305" s="1">
        <v>0</v>
      </c>
      <c r="U305" s="24">
        <v>0</v>
      </c>
      <c r="V305" s="25">
        <f t="shared" si="196"/>
        <v>3.3493134657976165</v>
      </c>
      <c r="W305" s="25">
        <f t="shared" si="197"/>
        <v>1.341354561900302</v>
      </c>
      <c r="X305" s="25">
        <f t="shared" si="198"/>
        <v>0.405936248996144</v>
      </c>
      <c r="Y305" s="25">
        <f t="shared" si="199"/>
        <v>0.40048642075395219</v>
      </c>
      <c r="Z305" s="25">
        <f t="shared" si="200"/>
        <v>0.12119983785974868</v>
      </c>
      <c r="AA305" s="25">
        <f t="shared" si="201"/>
        <v>0.30263157894736836</v>
      </c>
      <c r="AB305" s="25">
        <f t="shared" si="202"/>
        <v>0</v>
      </c>
      <c r="AC305" s="25">
        <f t="shared" si="203"/>
        <v>0</v>
      </c>
      <c r="AD305" s="63">
        <f t="shared" si="204"/>
        <v>0</v>
      </c>
      <c r="AE305" s="24">
        <f t="shared" si="183"/>
        <v>1</v>
      </c>
    </row>
    <row r="306" spans="1:31" x14ac:dyDescent="0.2">
      <c r="A306" s="75">
        <f t="shared" si="186"/>
        <v>46286</v>
      </c>
      <c r="B306" s="15" t="str">
        <f>$B$6</f>
        <v>SS</v>
      </c>
      <c r="C306" s="15" t="str">
        <f>$C$6</f>
        <v>Anuj</v>
      </c>
      <c r="D306" s="18">
        <f t="shared" si="184"/>
        <v>3.5828238003223989</v>
      </c>
      <c r="E306" s="4">
        <f t="shared" si="185"/>
        <v>8.9461804811693906</v>
      </c>
      <c r="F306" s="4">
        <v>8838.8263153953576</v>
      </c>
      <c r="G306" s="5">
        <f t="shared" si="187"/>
        <v>2.4969635627530362</v>
      </c>
      <c r="H306" s="4">
        <f t="shared" si="188"/>
        <v>2467</v>
      </c>
      <c r="I306" s="4">
        <f t="shared" si="189"/>
        <v>988</v>
      </c>
      <c r="J306" s="4">
        <f t="shared" si="190"/>
        <v>0.28662590402579191</v>
      </c>
      <c r="K306" s="27">
        <f t="shared" si="191"/>
        <v>0.14331295201289596</v>
      </c>
      <c r="L306" s="30">
        <f t="shared" si="192"/>
        <v>0.89570595008059972</v>
      </c>
      <c r="M306" s="23">
        <v>3</v>
      </c>
      <c r="N306" s="2">
        <v>6</v>
      </c>
      <c r="O306" s="4">
        <v>5844</v>
      </c>
      <c r="P306" s="5">
        <f t="shared" si="193"/>
        <v>2</v>
      </c>
      <c r="Q306" s="29">
        <f t="shared" si="194"/>
        <v>1948</v>
      </c>
      <c r="R306" s="29">
        <f t="shared" si="195"/>
        <v>974</v>
      </c>
      <c r="S306" s="1">
        <v>0</v>
      </c>
      <c r="T306" s="1">
        <v>0</v>
      </c>
      <c r="U306" s="24">
        <v>0</v>
      </c>
      <c r="V306" s="25">
        <f t="shared" si="196"/>
        <v>0.837328366449404</v>
      </c>
      <c r="W306" s="25">
        <f t="shared" si="197"/>
        <v>0.670677280950151</v>
      </c>
      <c r="X306" s="25">
        <f t="shared" si="198"/>
        <v>0.66117375672616097</v>
      </c>
      <c r="Y306" s="25">
        <f t="shared" si="199"/>
        <v>0.80097284150790438</v>
      </c>
      <c r="Z306" s="25">
        <f t="shared" si="200"/>
        <v>0.78962302391568706</v>
      </c>
      <c r="AA306" s="25">
        <f t="shared" si="201"/>
        <v>0.98582995951417007</v>
      </c>
      <c r="AB306" s="25">
        <f t="shared" si="202"/>
        <v>0</v>
      </c>
      <c r="AC306" s="25">
        <f t="shared" si="203"/>
        <v>0</v>
      </c>
      <c r="AD306" s="63">
        <f t="shared" si="204"/>
        <v>0</v>
      </c>
      <c r="AE306" s="24">
        <f t="shared" si="183"/>
        <v>1</v>
      </c>
    </row>
    <row r="307" spans="1:31" x14ac:dyDescent="0.2">
      <c r="A307" s="75">
        <f t="shared" si="186"/>
        <v>46286</v>
      </c>
      <c r="B307" s="15" t="str">
        <f>$B$7</f>
        <v>FC</v>
      </c>
      <c r="C307" s="15" t="str">
        <f>$C$7</f>
        <v>Muskan</v>
      </c>
      <c r="D307" s="18">
        <f t="shared" si="184"/>
        <v>5.9713730005373318</v>
      </c>
      <c r="E307" s="4">
        <f t="shared" si="185"/>
        <v>14.910300801948985</v>
      </c>
      <c r="F307" s="4">
        <v>14731.377192325597</v>
      </c>
      <c r="G307" s="5">
        <f t="shared" si="187"/>
        <v>2.4969635627530362</v>
      </c>
      <c r="H307" s="4">
        <f t="shared" si="188"/>
        <v>2467</v>
      </c>
      <c r="I307" s="4">
        <f t="shared" si="189"/>
        <v>988</v>
      </c>
      <c r="J307" s="4">
        <f t="shared" si="190"/>
        <v>0.47770984004298656</v>
      </c>
      <c r="K307" s="27">
        <f t="shared" si="191"/>
        <v>0.23885492002149328</v>
      </c>
      <c r="L307" s="30">
        <f t="shared" si="192"/>
        <v>1.4928432501343329</v>
      </c>
      <c r="M307" s="23">
        <v>4</v>
      </c>
      <c r="N307" s="2">
        <v>11</v>
      </c>
      <c r="O307" s="4">
        <v>12712</v>
      </c>
      <c r="P307" s="5">
        <f t="shared" si="193"/>
        <v>2.75</v>
      </c>
      <c r="Q307" s="29">
        <f t="shared" si="194"/>
        <v>3178</v>
      </c>
      <c r="R307" s="29">
        <f t="shared" si="195"/>
        <v>1155.6363636363637</v>
      </c>
      <c r="S307" s="1">
        <v>0</v>
      </c>
      <c r="T307" s="1">
        <v>0</v>
      </c>
      <c r="U307" s="24">
        <v>0</v>
      </c>
      <c r="V307" s="25">
        <f t="shared" si="196"/>
        <v>0.66986269315952318</v>
      </c>
      <c r="W307" s="25">
        <f t="shared" si="197"/>
        <v>0.73774500904516604</v>
      </c>
      <c r="X307" s="25">
        <f t="shared" si="198"/>
        <v>0.86291999953829135</v>
      </c>
      <c r="Y307" s="25">
        <f t="shared" si="199"/>
        <v>1.1013376570733686</v>
      </c>
      <c r="Z307" s="25">
        <f t="shared" si="200"/>
        <v>1.2882042967166598</v>
      </c>
      <c r="AA307" s="25">
        <f t="shared" si="201"/>
        <v>1.1696724328303276</v>
      </c>
      <c r="AB307" s="25">
        <f t="shared" si="202"/>
        <v>0</v>
      </c>
      <c r="AC307" s="25">
        <f t="shared" si="203"/>
        <v>0</v>
      </c>
      <c r="AD307" s="63">
        <f t="shared" si="204"/>
        <v>0</v>
      </c>
      <c r="AE307" s="24">
        <f t="shared" si="183"/>
        <v>1</v>
      </c>
    </row>
    <row r="308" spans="1:31" x14ac:dyDescent="0.2">
      <c r="A308" s="75">
        <f t="shared" si="186"/>
        <v>46286</v>
      </c>
      <c r="B308" s="15" t="str">
        <f>$B$8</f>
        <v>FC</v>
      </c>
      <c r="C308" s="15" t="str">
        <f>$C$8</f>
        <v xml:space="preserve">Kajal  </v>
      </c>
      <c r="D308" s="18">
        <f t="shared" si="184"/>
        <v>0</v>
      </c>
      <c r="E308" s="4">
        <f t="shared" si="185"/>
        <v>0</v>
      </c>
      <c r="F308" s="4">
        <v>0</v>
      </c>
      <c r="G308" s="5" t="e">
        <f t="shared" si="187"/>
        <v>#DIV/0!</v>
      </c>
      <c r="H308" s="4" t="e">
        <f t="shared" si="188"/>
        <v>#DIV/0!</v>
      </c>
      <c r="I308" s="4" t="e">
        <f t="shared" si="189"/>
        <v>#DIV/0!</v>
      </c>
      <c r="J308" s="4">
        <f t="shared" si="190"/>
        <v>0</v>
      </c>
      <c r="K308" s="27">
        <f t="shared" si="191"/>
        <v>0</v>
      </c>
      <c r="L308" s="30">
        <f t="shared" si="192"/>
        <v>0</v>
      </c>
      <c r="M308" s="23">
        <v>0</v>
      </c>
      <c r="N308" s="2">
        <v>0</v>
      </c>
      <c r="O308" s="4">
        <v>0</v>
      </c>
      <c r="P308" s="5" t="e">
        <f t="shared" si="193"/>
        <v>#DIV/0!</v>
      </c>
      <c r="Q308" s="29" t="e">
        <f t="shared" si="194"/>
        <v>#DIV/0!</v>
      </c>
      <c r="R308" s="29" t="e">
        <f t="shared" si="195"/>
        <v>#DIV/0!</v>
      </c>
      <c r="S308" s="1">
        <v>0</v>
      </c>
      <c r="T308" s="1">
        <v>0</v>
      </c>
      <c r="U308" s="24">
        <v>0</v>
      </c>
      <c r="V308" s="25" t="e">
        <f t="shared" si="196"/>
        <v>#DIV/0!</v>
      </c>
      <c r="W308" s="25" t="e">
        <f t="shared" si="197"/>
        <v>#DIV/0!</v>
      </c>
      <c r="X308" s="25" t="e">
        <f t="shared" si="198"/>
        <v>#DIV/0!</v>
      </c>
      <c r="Y308" s="25" t="e">
        <f t="shared" si="199"/>
        <v>#DIV/0!</v>
      </c>
      <c r="Z308" s="25" t="e">
        <f t="shared" si="200"/>
        <v>#DIV/0!</v>
      </c>
      <c r="AA308" s="25" t="e">
        <f t="shared" si="201"/>
        <v>#DIV/0!</v>
      </c>
      <c r="AB308" s="25" t="e">
        <f t="shared" si="202"/>
        <v>#DIV/0!</v>
      </c>
      <c r="AC308" s="25" t="e">
        <f t="shared" si="203"/>
        <v>#DIV/0!</v>
      </c>
      <c r="AD308" s="63" t="e">
        <f t="shared" si="204"/>
        <v>#DIV/0!</v>
      </c>
      <c r="AE308" s="24">
        <f t="shared" si="183"/>
        <v>0</v>
      </c>
    </row>
    <row r="309" spans="1:31" x14ac:dyDescent="0.2">
      <c r="A309" s="75">
        <f t="shared" si="186"/>
        <v>46286</v>
      </c>
      <c r="B309" s="15" t="str">
        <f>$B$9</f>
        <v>FC</v>
      </c>
      <c r="C309" s="15" t="str">
        <f>$C$9</f>
        <v>Pradeep</v>
      </c>
      <c r="D309" s="18">
        <f t="shared" si="184"/>
        <v>0</v>
      </c>
      <c r="E309" s="4">
        <f t="shared" si="185"/>
        <v>0</v>
      </c>
      <c r="F309" s="4">
        <v>0</v>
      </c>
      <c r="G309" s="5" t="e">
        <f t="shared" si="187"/>
        <v>#DIV/0!</v>
      </c>
      <c r="H309" s="4" t="e">
        <f t="shared" si="188"/>
        <v>#DIV/0!</v>
      </c>
      <c r="I309" s="4" t="e">
        <f t="shared" si="189"/>
        <v>#DIV/0!</v>
      </c>
      <c r="J309" s="4">
        <f t="shared" si="190"/>
        <v>0</v>
      </c>
      <c r="K309" s="27">
        <f t="shared" si="191"/>
        <v>0</v>
      </c>
      <c r="L309" s="30">
        <f t="shared" si="192"/>
        <v>0</v>
      </c>
      <c r="M309" s="23">
        <v>0</v>
      </c>
      <c r="N309" s="2">
        <v>0</v>
      </c>
      <c r="O309" s="4">
        <v>0</v>
      </c>
      <c r="P309" s="5" t="e">
        <f t="shared" si="193"/>
        <v>#DIV/0!</v>
      </c>
      <c r="Q309" s="29" t="e">
        <f t="shared" si="194"/>
        <v>#DIV/0!</v>
      </c>
      <c r="R309" s="29" t="e">
        <f t="shared" si="195"/>
        <v>#DIV/0!</v>
      </c>
      <c r="S309" s="1">
        <v>0</v>
      </c>
      <c r="T309" s="1">
        <v>0</v>
      </c>
      <c r="U309" s="24">
        <v>0</v>
      </c>
      <c r="V309" s="25" t="e">
        <f t="shared" si="196"/>
        <v>#DIV/0!</v>
      </c>
      <c r="W309" s="25" t="e">
        <f t="shared" si="197"/>
        <v>#DIV/0!</v>
      </c>
      <c r="X309" s="25" t="e">
        <f t="shared" si="198"/>
        <v>#DIV/0!</v>
      </c>
      <c r="Y309" s="25" t="e">
        <f t="shared" si="199"/>
        <v>#DIV/0!</v>
      </c>
      <c r="Z309" s="25" t="e">
        <f t="shared" si="200"/>
        <v>#DIV/0!</v>
      </c>
      <c r="AA309" s="25" t="e">
        <f t="shared" si="201"/>
        <v>#DIV/0!</v>
      </c>
      <c r="AB309" s="25" t="e">
        <f t="shared" si="202"/>
        <v>#DIV/0!</v>
      </c>
      <c r="AC309" s="25" t="e">
        <f t="shared" si="203"/>
        <v>#DIV/0!</v>
      </c>
      <c r="AD309" s="63" t="e">
        <f t="shared" si="204"/>
        <v>#DIV/0!</v>
      </c>
      <c r="AE309" s="24">
        <f t="shared" si="183"/>
        <v>0</v>
      </c>
    </row>
    <row r="310" spans="1:31" x14ac:dyDescent="0.2">
      <c r="A310" s="75">
        <f t="shared" si="186"/>
        <v>46286</v>
      </c>
      <c r="B310" s="15" t="str">
        <f>$B$10</f>
        <v>FC</v>
      </c>
      <c r="C310" s="15" t="str">
        <f>$C$10</f>
        <v>Aftab</v>
      </c>
      <c r="D310" s="18">
        <f t="shared" si="184"/>
        <v>1.1942746001074662</v>
      </c>
      <c r="E310" s="4">
        <f t="shared" si="185"/>
        <v>2.9820601603897967</v>
      </c>
      <c r="F310" s="4">
        <v>2946.2754384651194</v>
      </c>
      <c r="G310" s="5">
        <f t="shared" si="187"/>
        <v>2.4969635627530362</v>
      </c>
      <c r="H310" s="4">
        <f t="shared" si="188"/>
        <v>2467</v>
      </c>
      <c r="I310" s="4">
        <f t="shared" si="189"/>
        <v>988.00000000000011</v>
      </c>
      <c r="J310" s="4">
        <f t="shared" si="190"/>
        <v>9.5541968008597294E-2</v>
      </c>
      <c r="K310" s="27">
        <f t="shared" si="191"/>
        <v>4.7770984004298647E-2</v>
      </c>
      <c r="L310" s="30">
        <f t="shared" si="192"/>
        <v>0.29856865002686656</v>
      </c>
      <c r="M310" s="23">
        <v>1</v>
      </c>
      <c r="N310" s="2">
        <v>2</v>
      </c>
      <c r="O310" s="4">
        <v>598</v>
      </c>
      <c r="P310" s="5">
        <f t="shared" si="193"/>
        <v>2</v>
      </c>
      <c r="Q310" s="29">
        <f t="shared" si="194"/>
        <v>598</v>
      </c>
      <c r="R310" s="29">
        <f t="shared" si="195"/>
        <v>299</v>
      </c>
      <c r="S310" s="1">
        <v>0</v>
      </c>
      <c r="T310" s="1">
        <v>0</v>
      </c>
      <c r="U310" s="24">
        <v>0</v>
      </c>
      <c r="V310" s="25">
        <f t="shared" si="196"/>
        <v>0.83732836644940412</v>
      </c>
      <c r="W310" s="25">
        <f t="shared" si="197"/>
        <v>0.670677280950151</v>
      </c>
      <c r="X310" s="25">
        <f t="shared" si="198"/>
        <v>0.202968124498072</v>
      </c>
      <c r="Y310" s="25">
        <f t="shared" si="199"/>
        <v>0.80097284150790438</v>
      </c>
      <c r="Z310" s="25">
        <f t="shared" si="200"/>
        <v>0.24239967571949736</v>
      </c>
      <c r="AA310" s="25">
        <f t="shared" si="201"/>
        <v>0.30263157894736836</v>
      </c>
      <c r="AB310" s="25">
        <f t="shared" si="202"/>
        <v>0</v>
      </c>
      <c r="AC310" s="25">
        <f t="shared" si="203"/>
        <v>0</v>
      </c>
      <c r="AD310" s="63">
        <f t="shared" si="204"/>
        <v>0</v>
      </c>
      <c r="AE310" s="24">
        <f t="shared" si="183"/>
        <v>1</v>
      </c>
    </row>
    <row r="311" spans="1:31" x14ac:dyDescent="0.2">
      <c r="A311" s="75">
        <f t="shared" si="186"/>
        <v>46286</v>
      </c>
      <c r="B311" s="15" t="str">
        <f>$B$11</f>
        <v>FC</v>
      </c>
      <c r="C311" s="15" t="str">
        <f>$C$11</f>
        <v>Khushi</v>
      </c>
      <c r="D311" s="18">
        <f t="shared" si="184"/>
        <v>5.9713730005373318</v>
      </c>
      <c r="E311" s="4">
        <f t="shared" si="185"/>
        <v>14.910300801948985</v>
      </c>
      <c r="F311" s="4">
        <v>14731.377192325597</v>
      </c>
      <c r="G311" s="5">
        <f t="shared" si="187"/>
        <v>2.4969635627530362</v>
      </c>
      <c r="H311" s="4">
        <f t="shared" si="188"/>
        <v>2467</v>
      </c>
      <c r="I311" s="4">
        <f t="shared" si="189"/>
        <v>988</v>
      </c>
      <c r="J311" s="4">
        <f t="shared" si="190"/>
        <v>0.47770984004298656</v>
      </c>
      <c r="K311" s="27">
        <f t="shared" si="191"/>
        <v>0.23885492002149328</v>
      </c>
      <c r="L311" s="30">
        <f t="shared" si="192"/>
        <v>1.4928432501343329</v>
      </c>
      <c r="M311" s="23">
        <v>9</v>
      </c>
      <c r="N311" s="2">
        <v>18</v>
      </c>
      <c r="O311" s="4">
        <v>24925.599999999999</v>
      </c>
      <c r="P311" s="5">
        <f t="shared" si="193"/>
        <v>2</v>
      </c>
      <c r="Q311" s="29">
        <f t="shared" si="194"/>
        <v>2769.5111111111109</v>
      </c>
      <c r="R311" s="29">
        <f t="shared" si="195"/>
        <v>1384.7555555555555</v>
      </c>
      <c r="S311" s="1">
        <v>0</v>
      </c>
      <c r="T311" s="1">
        <v>0</v>
      </c>
      <c r="U311" s="24">
        <v>0</v>
      </c>
      <c r="V311" s="25">
        <f t="shared" si="196"/>
        <v>1.5071910596089271</v>
      </c>
      <c r="W311" s="25">
        <f t="shared" si="197"/>
        <v>1.2072191057102717</v>
      </c>
      <c r="X311" s="25">
        <f t="shared" si="198"/>
        <v>1.6920074528391782</v>
      </c>
      <c r="Y311" s="25">
        <f t="shared" si="199"/>
        <v>0.80097284150790438</v>
      </c>
      <c r="Z311" s="25">
        <f t="shared" si="200"/>
        <v>1.1226230689546457</v>
      </c>
      <c r="AA311" s="25">
        <f t="shared" si="201"/>
        <v>1.4015744489428699</v>
      </c>
      <c r="AB311" s="25">
        <f t="shared" si="202"/>
        <v>0</v>
      </c>
      <c r="AC311" s="25">
        <f t="shared" si="203"/>
        <v>0</v>
      </c>
      <c r="AD311" s="63">
        <f t="shared" si="204"/>
        <v>0</v>
      </c>
      <c r="AE311" s="24">
        <f t="shared" si="183"/>
        <v>1</v>
      </c>
    </row>
    <row r="312" spans="1:31" x14ac:dyDescent="0.2">
      <c r="A312" s="75">
        <f t="shared" si="186"/>
        <v>46286</v>
      </c>
      <c r="B312" s="15" t="str">
        <f>$B$12</f>
        <v>FC</v>
      </c>
      <c r="C312" s="15" t="str">
        <f>$C$12</f>
        <v>Kishan</v>
      </c>
      <c r="D312" s="18">
        <f t="shared" si="184"/>
        <v>2.9856865002686659</v>
      </c>
      <c r="E312" s="4">
        <f t="shared" si="185"/>
        <v>7.4551504009744924</v>
      </c>
      <c r="F312" s="4">
        <v>7365.6885961627986</v>
      </c>
      <c r="G312" s="5">
        <f t="shared" si="187"/>
        <v>2.4969635627530362</v>
      </c>
      <c r="H312" s="4">
        <f t="shared" si="188"/>
        <v>2467</v>
      </c>
      <c r="I312" s="4">
        <f t="shared" si="189"/>
        <v>988</v>
      </c>
      <c r="J312" s="4">
        <f t="shared" si="190"/>
        <v>0.23885492002149328</v>
      </c>
      <c r="K312" s="27">
        <f t="shared" si="191"/>
        <v>0.11942746001074664</v>
      </c>
      <c r="L312" s="30">
        <f t="shared" si="192"/>
        <v>0.74642162506716647</v>
      </c>
      <c r="M312" s="23">
        <v>1</v>
      </c>
      <c r="N312" s="2">
        <v>4</v>
      </c>
      <c r="O312" s="4">
        <v>1718</v>
      </c>
      <c r="P312" s="5">
        <f t="shared" si="193"/>
        <v>4</v>
      </c>
      <c r="Q312" s="29">
        <f t="shared" si="194"/>
        <v>1718</v>
      </c>
      <c r="R312" s="29">
        <f t="shared" si="195"/>
        <v>429.5</v>
      </c>
      <c r="S312" s="1">
        <v>0</v>
      </c>
      <c r="T312" s="1">
        <v>0</v>
      </c>
      <c r="U312" s="24">
        <v>0</v>
      </c>
      <c r="V312" s="25">
        <f t="shared" si="196"/>
        <v>0.33493134657976159</v>
      </c>
      <c r="W312" s="25">
        <f t="shared" si="197"/>
        <v>0.53654182476012069</v>
      </c>
      <c r="X312" s="25">
        <f t="shared" si="198"/>
        <v>0.23324363738306869</v>
      </c>
      <c r="Y312" s="25">
        <f t="shared" si="199"/>
        <v>1.6019456830158088</v>
      </c>
      <c r="Z312" s="25">
        <f t="shared" si="200"/>
        <v>0.6963923794081881</v>
      </c>
      <c r="AA312" s="25">
        <f t="shared" si="201"/>
        <v>0.43471659919028338</v>
      </c>
      <c r="AB312" s="25">
        <f t="shared" si="202"/>
        <v>0</v>
      </c>
      <c r="AC312" s="25">
        <f t="shared" si="203"/>
        <v>0</v>
      </c>
      <c r="AD312" s="63">
        <f t="shared" si="204"/>
        <v>0</v>
      </c>
      <c r="AE312" s="24">
        <f t="shared" si="183"/>
        <v>1</v>
      </c>
    </row>
    <row r="313" spans="1:31" x14ac:dyDescent="0.2">
      <c r="A313" s="75">
        <f t="shared" si="186"/>
        <v>46286</v>
      </c>
      <c r="B313" s="15" t="str">
        <f>$B$13</f>
        <v>Partner</v>
      </c>
      <c r="C313" s="15" t="str">
        <f>$C$13</f>
        <v>Rahul</v>
      </c>
      <c r="D313" s="18">
        <f t="shared" si="184"/>
        <v>0</v>
      </c>
      <c r="E313" s="4">
        <f t="shared" si="185"/>
        <v>0</v>
      </c>
      <c r="F313" s="4">
        <v>0</v>
      </c>
      <c r="G313" s="5" t="e">
        <f t="shared" si="187"/>
        <v>#DIV/0!</v>
      </c>
      <c r="H313" s="4" t="e">
        <f t="shared" si="188"/>
        <v>#DIV/0!</v>
      </c>
      <c r="I313" s="4" t="e">
        <f t="shared" si="189"/>
        <v>#DIV/0!</v>
      </c>
      <c r="J313" s="4">
        <f t="shared" si="190"/>
        <v>0</v>
      </c>
      <c r="K313" s="27">
        <f t="shared" si="191"/>
        <v>0</v>
      </c>
      <c r="L313" s="30">
        <f t="shared" si="192"/>
        <v>0</v>
      </c>
      <c r="M313" s="23">
        <v>0</v>
      </c>
      <c r="N313" s="2">
        <v>0</v>
      </c>
      <c r="O313" s="4">
        <v>0</v>
      </c>
      <c r="P313" s="5" t="e">
        <f t="shared" si="193"/>
        <v>#DIV/0!</v>
      </c>
      <c r="Q313" s="29" t="e">
        <f t="shared" si="194"/>
        <v>#DIV/0!</v>
      </c>
      <c r="R313" s="29" t="e">
        <f t="shared" si="195"/>
        <v>#DIV/0!</v>
      </c>
      <c r="S313" s="1">
        <v>0</v>
      </c>
      <c r="T313" s="1">
        <v>0</v>
      </c>
      <c r="U313" s="24">
        <v>0</v>
      </c>
      <c r="V313" s="25" t="e">
        <f t="shared" si="196"/>
        <v>#DIV/0!</v>
      </c>
      <c r="W313" s="25" t="e">
        <f t="shared" si="197"/>
        <v>#DIV/0!</v>
      </c>
      <c r="X313" s="25" t="e">
        <f t="shared" si="198"/>
        <v>#DIV/0!</v>
      </c>
      <c r="Y313" s="25" t="e">
        <f t="shared" si="199"/>
        <v>#DIV/0!</v>
      </c>
      <c r="Z313" s="25" t="e">
        <f t="shared" si="200"/>
        <v>#DIV/0!</v>
      </c>
      <c r="AA313" s="25" t="e">
        <f t="shared" si="201"/>
        <v>#DIV/0!</v>
      </c>
      <c r="AB313" s="25" t="e">
        <f t="shared" si="202"/>
        <v>#DIV/0!</v>
      </c>
      <c r="AC313" s="25" t="e">
        <f t="shared" si="203"/>
        <v>#DIV/0!</v>
      </c>
      <c r="AD313" s="63" t="e">
        <f t="shared" si="204"/>
        <v>#DIV/0!</v>
      </c>
      <c r="AE313" s="24">
        <f t="shared" si="183"/>
        <v>0</v>
      </c>
    </row>
    <row r="314" spans="1:31" x14ac:dyDescent="0.2">
      <c r="A314" s="75">
        <f t="shared" si="186"/>
        <v>46286</v>
      </c>
      <c r="B314" s="15" t="str">
        <f>$B$14</f>
        <v>Partner</v>
      </c>
      <c r="C314" s="15" t="str">
        <f>$C$14</f>
        <v>Prince</v>
      </c>
      <c r="D314" s="18">
        <f t="shared" si="184"/>
        <v>4.7770984004298649</v>
      </c>
      <c r="E314" s="4">
        <f t="shared" si="185"/>
        <v>11.928240641559187</v>
      </c>
      <c r="F314" s="4">
        <v>11785.101753860477</v>
      </c>
      <c r="G314" s="5">
        <f t="shared" si="187"/>
        <v>2.4969635627530362</v>
      </c>
      <c r="H314" s="4">
        <f t="shared" si="188"/>
        <v>2467</v>
      </c>
      <c r="I314" s="4">
        <f t="shared" si="189"/>
        <v>988.00000000000011</v>
      </c>
      <c r="J314" s="4">
        <f t="shared" si="190"/>
        <v>0.38216787203438918</v>
      </c>
      <c r="K314" s="27">
        <f t="shared" si="191"/>
        <v>0.19108393601719459</v>
      </c>
      <c r="L314" s="30">
        <f t="shared" si="192"/>
        <v>1.1942746001074662</v>
      </c>
      <c r="M314" s="23">
        <v>5</v>
      </c>
      <c r="N314" s="2">
        <v>7</v>
      </c>
      <c r="O314" s="4">
        <v>6939</v>
      </c>
      <c r="P314" s="5">
        <f t="shared" si="193"/>
        <v>1.4</v>
      </c>
      <c r="Q314" s="29">
        <f t="shared" si="194"/>
        <v>1387.8</v>
      </c>
      <c r="R314" s="29">
        <f t="shared" si="195"/>
        <v>991.28571428571433</v>
      </c>
      <c r="S314" s="1">
        <v>0</v>
      </c>
      <c r="T314" s="1">
        <v>0</v>
      </c>
      <c r="U314" s="24">
        <v>0</v>
      </c>
      <c r="V314" s="25">
        <f t="shared" si="196"/>
        <v>1.0466604580617551</v>
      </c>
      <c r="W314" s="25">
        <f t="shared" si="197"/>
        <v>0.58684262083138217</v>
      </c>
      <c r="X314" s="25">
        <f t="shared" si="198"/>
        <v>0.58879423741309433</v>
      </c>
      <c r="Y314" s="25">
        <f t="shared" si="199"/>
        <v>0.5606809890555331</v>
      </c>
      <c r="Z314" s="25">
        <f t="shared" si="200"/>
        <v>0.56254560194568304</v>
      </c>
      <c r="AA314" s="25">
        <f t="shared" si="201"/>
        <v>1.0033256217466744</v>
      </c>
      <c r="AB314" s="25">
        <f t="shared" si="202"/>
        <v>0</v>
      </c>
      <c r="AC314" s="25">
        <f t="shared" si="203"/>
        <v>0</v>
      </c>
      <c r="AD314" s="63">
        <f t="shared" si="204"/>
        <v>0</v>
      </c>
      <c r="AE314" s="24">
        <f t="shared" si="183"/>
        <v>1</v>
      </c>
    </row>
    <row r="315" spans="1:31" x14ac:dyDescent="0.2">
      <c r="A315" s="75">
        <f t="shared" si="186"/>
        <v>46286</v>
      </c>
      <c r="B315" s="15" t="str">
        <f>$B$15</f>
        <v>Partner</v>
      </c>
      <c r="C315" s="15" t="str">
        <f>$C$15</f>
        <v>Kunal</v>
      </c>
      <c r="D315" s="18">
        <f t="shared" si="184"/>
        <v>4.7770984004298649</v>
      </c>
      <c r="E315" s="4">
        <f t="shared" si="185"/>
        <v>11.928240641559187</v>
      </c>
      <c r="F315" s="4">
        <v>11785.101753860477</v>
      </c>
      <c r="G315" s="5">
        <f t="shared" si="187"/>
        <v>2.4969635627530362</v>
      </c>
      <c r="H315" s="4">
        <f t="shared" si="188"/>
        <v>2467</v>
      </c>
      <c r="I315" s="4">
        <f t="shared" si="189"/>
        <v>988.00000000000011</v>
      </c>
      <c r="J315" s="4">
        <f t="shared" si="190"/>
        <v>0.38216787203438918</v>
      </c>
      <c r="K315" s="27">
        <f t="shared" si="191"/>
        <v>0.19108393601719459</v>
      </c>
      <c r="L315" s="30">
        <f t="shared" si="192"/>
        <v>1.1942746001074662</v>
      </c>
      <c r="M315" s="23">
        <v>5</v>
      </c>
      <c r="N315" s="2">
        <v>5</v>
      </c>
      <c r="O315" s="4">
        <v>8177</v>
      </c>
      <c r="P315" s="5">
        <f t="shared" si="193"/>
        <v>1</v>
      </c>
      <c r="Q315" s="29">
        <f t="shared" si="194"/>
        <v>1635.4</v>
      </c>
      <c r="R315" s="29">
        <f t="shared" si="195"/>
        <v>1635.4</v>
      </c>
      <c r="S315" s="1">
        <v>0</v>
      </c>
      <c r="T315" s="1">
        <v>0</v>
      </c>
      <c r="U315" s="24">
        <v>0</v>
      </c>
      <c r="V315" s="25">
        <f t="shared" si="196"/>
        <v>1.0466604580617551</v>
      </c>
      <c r="W315" s="25">
        <f t="shared" si="197"/>
        <v>0.41917330059384439</v>
      </c>
      <c r="X315" s="25">
        <f t="shared" si="198"/>
        <v>0.69384212124612654</v>
      </c>
      <c r="Y315" s="25">
        <f t="shared" si="199"/>
        <v>0.40048642075395219</v>
      </c>
      <c r="Z315" s="25">
        <f t="shared" si="200"/>
        <v>0.66291041751114721</v>
      </c>
      <c r="AA315" s="25">
        <f t="shared" si="201"/>
        <v>1.6552631578947368</v>
      </c>
      <c r="AB315" s="25">
        <f t="shared" si="202"/>
        <v>0</v>
      </c>
      <c r="AC315" s="25">
        <f t="shared" si="203"/>
        <v>0</v>
      </c>
      <c r="AD315" s="63">
        <f t="shared" si="204"/>
        <v>0</v>
      </c>
      <c r="AE315" s="24">
        <f t="shared" si="183"/>
        <v>1</v>
      </c>
    </row>
    <row r="316" spans="1:31" x14ac:dyDescent="0.2">
      <c r="A316" s="75">
        <f t="shared" si="186"/>
        <v>46286</v>
      </c>
      <c r="B316" s="15" t="str">
        <f>$B$16</f>
        <v>NA</v>
      </c>
      <c r="C316" s="15" t="str">
        <f>$C$16</f>
        <v>NA</v>
      </c>
      <c r="D316" s="18">
        <f t="shared" si="184"/>
        <v>0</v>
      </c>
      <c r="E316" s="4">
        <f t="shared" si="185"/>
        <v>0</v>
      </c>
      <c r="F316" s="4">
        <v>0</v>
      </c>
      <c r="G316" s="5" t="e">
        <f t="shared" si="187"/>
        <v>#DIV/0!</v>
      </c>
      <c r="H316" s="4" t="e">
        <f t="shared" si="188"/>
        <v>#DIV/0!</v>
      </c>
      <c r="I316" s="4" t="e">
        <f t="shared" si="189"/>
        <v>#DIV/0!</v>
      </c>
      <c r="J316" s="4">
        <f t="shared" si="190"/>
        <v>0</v>
      </c>
      <c r="K316" s="27">
        <f t="shared" si="191"/>
        <v>0</v>
      </c>
      <c r="L316" s="30">
        <f t="shared" si="192"/>
        <v>0</v>
      </c>
      <c r="M316" s="23">
        <v>0</v>
      </c>
      <c r="N316" s="2">
        <v>0</v>
      </c>
      <c r="O316" s="4">
        <v>0</v>
      </c>
      <c r="P316" s="5" t="e">
        <f t="shared" si="193"/>
        <v>#DIV/0!</v>
      </c>
      <c r="Q316" s="29" t="e">
        <f t="shared" si="194"/>
        <v>#DIV/0!</v>
      </c>
      <c r="R316" s="29" t="e">
        <f t="shared" si="195"/>
        <v>#DIV/0!</v>
      </c>
      <c r="S316" s="1">
        <v>0</v>
      </c>
      <c r="T316" s="1">
        <v>0</v>
      </c>
      <c r="U316" s="24">
        <v>0</v>
      </c>
      <c r="V316" s="25" t="e">
        <f t="shared" si="196"/>
        <v>#DIV/0!</v>
      </c>
      <c r="W316" s="25" t="e">
        <f t="shared" si="197"/>
        <v>#DIV/0!</v>
      </c>
      <c r="X316" s="25" t="e">
        <f t="shared" si="198"/>
        <v>#DIV/0!</v>
      </c>
      <c r="Y316" s="25" t="e">
        <f t="shared" si="199"/>
        <v>#DIV/0!</v>
      </c>
      <c r="Z316" s="25" t="e">
        <f t="shared" si="200"/>
        <v>#DIV/0!</v>
      </c>
      <c r="AA316" s="25" t="e">
        <f t="shared" si="201"/>
        <v>#DIV/0!</v>
      </c>
      <c r="AB316" s="25" t="e">
        <f t="shared" si="202"/>
        <v>#DIV/0!</v>
      </c>
      <c r="AC316" s="25" t="e">
        <f t="shared" si="203"/>
        <v>#DIV/0!</v>
      </c>
      <c r="AD316" s="63" t="e">
        <f t="shared" si="204"/>
        <v>#DIV/0!</v>
      </c>
      <c r="AE316" s="24">
        <f t="shared" si="183"/>
        <v>0</v>
      </c>
    </row>
    <row r="317" spans="1:31" x14ac:dyDescent="0.2">
      <c r="A317" s="75">
        <f t="shared" si="186"/>
        <v>46286</v>
      </c>
      <c r="B317" s="15" t="str">
        <f>$B$17</f>
        <v>NA</v>
      </c>
      <c r="C317" s="15" t="str">
        <f>$C$17</f>
        <v>NA</v>
      </c>
      <c r="D317" s="18">
        <f t="shared" si="184"/>
        <v>0</v>
      </c>
      <c r="E317" s="4">
        <f t="shared" si="185"/>
        <v>0</v>
      </c>
      <c r="F317" s="4">
        <v>0</v>
      </c>
      <c r="G317" s="5" t="e">
        <f t="shared" si="187"/>
        <v>#DIV/0!</v>
      </c>
      <c r="H317" s="4" t="e">
        <f t="shared" si="188"/>
        <v>#DIV/0!</v>
      </c>
      <c r="I317" s="4" t="e">
        <f t="shared" si="189"/>
        <v>#DIV/0!</v>
      </c>
      <c r="J317" s="4">
        <f t="shared" si="190"/>
        <v>0</v>
      </c>
      <c r="K317" s="27">
        <f t="shared" si="191"/>
        <v>0</v>
      </c>
      <c r="L317" s="30">
        <f t="shared" si="192"/>
        <v>0</v>
      </c>
      <c r="M317" s="23">
        <v>0</v>
      </c>
      <c r="N317" s="2">
        <v>0</v>
      </c>
      <c r="O317" s="4">
        <v>0</v>
      </c>
      <c r="P317" s="5" t="e">
        <f t="shared" si="193"/>
        <v>#DIV/0!</v>
      </c>
      <c r="Q317" s="29" t="e">
        <f t="shared" si="194"/>
        <v>#DIV/0!</v>
      </c>
      <c r="R317" s="29" t="e">
        <f t="shared" si="195"/>
        <v>#DIV/0!</v>
      </c>
      <c r="S317" s="1">
        <v>0</v>
      </c>
      <c r="T317" s="1">
        <v>0</v>
      </c>
      <c r="U317" s="24">
        <v>0</v>
      </c>
      <c r="V317" s="25" t="e">
        <f t="shared" si="196"/>
        <v>#DIV/0!</v>
      </c>
      <c r="W317" s="25" t="e">
        <f t="shared" si="197"/>
        <v>#DIV/0!</v>
      </c>
      <c r="X317" s="25" t="e">
        <f t="shared" si="198"/>
        <v>#DIV/0!</v>
      </c>
      <c r="Y317" s="25" t="e">
        <f t="shared" si="199"/>
        <v>#DIV/0!</v>
      </c>
      <c r="Z317" s="25" t="e">
        <f t="shared" si="200"/>
        <v>#DIV/0!</v>
      </c>
      <c r="AA317" s="25" t="e">
        <f t="shared" si="201"/>
        <v>#DIV/0!</v>
      </c>
      <c r="AB317" s="25" t="e">
        <f t="shared" si="202"/>
        <v>#DIV/0!</v>
      </c>
      <c r="AC317" s="25" t="e">
        <f t="shared" si="203"/>
        <v>#DIV/0!</v>
      </c>
      <c r="AD317" s="63" t="e">
        <f t="shared" si="204"/>
        <v>#DIV/0!</v>
      </c>
      <c r="AE317" s="24">
        <f t="shared" si="183"/>
        <v>0</v>
      </c>
    </row>
    <row r="318" spans="1:31" x14ac:dyDescent="0.2">
      <c r="A318" s="75">
        <f t="shared" si="186"/>
        <v>46286</v>
      </c>
      <c r="B318" s="15" t="str">
        <f>$B$18</f>
        <v>NA</v>
      </c>
      <c r="C318" s="15" t="str">
        <f>$C$18</f>
        <v>NA</v>
      </c>
      <c r="D318" s="18">
        <f t="shared" si="184"/>
        <v>0</v>
      </c>
      <c r="E318" s="4">
        <f t="shared" si="185"/>
        <v>0</v>
      </c>
      <c r="F318" s="4">
        <v>0</v>
      </c>
      <c r="G318" s="5" t="e">
        <f t="shared" si="187"/>
        <v>#DIV/0!</v>
      </c>
      <c r="H318" s="4" t="e">
        <f t="shared" si="188"/>
        <v>#DIV/0!</v>
      </c>
      <c r="I318" s="4" t="e">
        <f t="shared" si="189"/>
        <v>#DIV/0!</v>
      </c>
      <c r="J318" s="4">
        <f t="shared" si="190"/>
        <v>0</v>
      </c>
      <c r="K318" s="27">
        <f t="shared" si="191"/>
        <v>0</v>
      </c>
      <c r="L318" s="30">
        <f t="shared" si="192"/>
        <v>0</v>
      </c>
      <c r="M318" s="23">
        <v>0</v>
      </c>
      <c r="N318" s="2">
        <v>0</v>
      </c>
      <c r="O318" s="4">
        <v>0</v>
      </c>
      <c r="P318" s="5" t="e">
        <f t="shared" si="193"/>
        <v>#DIV/0!</v>
      </c>
      <c r="Q318" s="29" t="e">
        <f t="shared" si="194"/>
        <v>#DIV/0!</v>
      </c>
      <c r="R318" s="29" t="e">
        <f t="shared" si="195"/>
        <v>#DIV/0!</v>
      </c>
      <c r="S318" s="1">
        <v>0</v>
      </c>
      <c r="T318" s="1">
        <v>0</v>
      </c>
      <c r="U318" s="24">
        <v>0</v>
      </c>
      <c r="V318" s="25" t="e">
        <f t="shared" si="196"/>
        <v>#DIV/0!</v>
      </c>
      <c r="W318" s="25" t="e">
        <f t="shared" si="197"/>
        <v>#DIV/0!</v>
      </c>
      <c r="X318" s="25" t="e">
        <f t="shared" si="198"/>
        <v>#DIV/0!</v>
      </c>
      <c r="Y318" s="25" t="e">
        <f t="shared" si="199"/>
        <v>#DIV/0!</v>
      </c>
      <c r="Z318" s="25" t="e">
        <f t="shared" si="200"/>
        <v>#DIV/0!</v>
      </c>
      <c r="AA318" s="25" t="e">
        <f t="shared" si="201"/>
        <v>#DIV/0!</v>
      </c>
      <c r="AB318" s="25" t="e">
        <f t="shared" si="202"/>
        <v>#DIV/0!</v>
      </c>
      <c r="AC318" s="25" t="e">
        <f t="shared" si="203"/>
        <v>#DIV/0!</v>
      </c>
      <c r="AD318" s="63" t="e">
        <f t="shared" si="204"/>
        <v>#DIV/0!</v>
      </c>
      <c r="AE318" s="24">
        <f t="shared" si="183"/>
        <v>0</v>
      </c>
    </row>
    <row r="319" spans="1:31" x14ac:dyDescent="0.2">
      <c r="A319" s="75">
        <f t="shared" si="186"/>
        <v>46287</v>
      </c>
      <c r="B319" s="15" t="str">
        <f>$B$4</f>
        <v>DSM</v>
      </c>
      <c r="C319" s="15" t="str">
        <f>$C$4</f>
        <v xml:space="preserve">komal  </v>
      </c>
      <c r="D319" s="18">
        <f t="shared" si="184"/>
        <v>0</v>
      </c>
      <c r="E319" s="4">
        <f t="shared" si="185"/>
        <v>0</v>
      </c>
      <c r="F319" s="4">
        <v>0</v>
      </c>
      <c r="G319" s="5" t="e">
        <f t="shared" si="187"/>
        <v>#DIV/0!</v>
      </c>
      <c r="H319" s="4" t="e">
        <f t="shared" si="188"/>
        <v>#DIV/0!</v>
      </c>
      <c r="I319" s="4" t="e">
        <f t="shared" si="189"/>
        <v>#DIV/0!</v>
      </c>
      <c r="J319" s="4">
        <f t="shared" si="190"/>
        <v>0</v>
      </c>
      <c r="K319" s="27">
        <f t="shared" si="191"/>
        <v>0</v>
      </c>
      <c r="L319" s="30">
        <f t="shared" si="192"/>
        <v>0</v>
      </c>
      <c r="M319" s="23">
        <v>0</v>
      </c>
      <c r="N319" s="2">
        <v>0</v>
      </c>
      <c r="O319" s="4">
        <v>0</v>
      </c>
      <c r="P319" s="5" t="e">
        <f t="shared" si="193"/>
        <v>#DIV/0!</v>
      </c>
      <c r="Q319" s="29" t="e">
        <f t="shared" si="194"/>
        <v>#DIV/0!</v>
      </c>
      <c r="R319" s="29" t="e">
        <f t="shared" si="195"/>
        <v>#DIV/0!</v>
      </c>
      <c r="S319" s="1">
        <v>0</v>
      </c>
      <c r="T319" s="1">
        <v>0</v>
      </c>
      <c r="U319" s="24">
        <v>0</v>
      </c>
      <c r="V319" s="25" t="e">
        <f t="shared" si="196"/>
        <v>#DIV/0!</v>
      </c>
      <c r="W319" s="25" t="e">
        <f t="shared" si="197"/>
        <v>#DIV/0!</v>
      </c>
      <c r="X319" s="25" t="e">
        <f t="shared" si="198"/>
        <v>#DIV/0!</v>
      </c>
      <c r="Y319" s="25" t="e">
        <f t="shared" si="199"/>
        <v>#DIV/0!</v>
      </c>
      <c r="Z319" s="25" t="e">
        <f t="shared" si="200"/>
        <v>#DIV/0!</v>
      </c>
      <c r="AA319" s="25" t="e">
        <f t="shared" si="201"/>
        <v>#DIV/0!</v>
      </c>
      <c r="AB319" s="25" t="e">
        <f t="shared" si="202"/>
        <v>#DIV/0!</v>
      </c>
      <c r="AC319" s="25" t="e">
        <f t="shared" si="203"/>
        <v>#DIV/0!</v>
      </c>
      <c r="AD319" s="63" t="e">
        <f t="shared" si="204"/>
        <v>#DIV/0!</v>
      </c>
      <c r="AE319" s="24">
        <f t="shared" si="183"/>
        <v>0</v>
      </c>
    </row>
    <row r="320" spans="1:31" x14ac:dyDescent="0.2">
      <c r="A320" s="75">
        <f t="shared" si="186"/>
        <v>46287</v>
      </c>
      <c r="B320" s="15" t="str">
        <f>$B$5</f>
        <v>SS</v>
      </c>
      <c r="C320" s="15" t="str">
        <f>$C$5</f>
        <v>Prem</v>
      </c>
      <c r="D320" s="18">
        <f t="shared" si="184"/>
        <v>3.1790805681653946</v>
      </c>
      <c r="E320" s="4">
        <f t="shared" si="185"/>
        <v>7.938048341765211</v>
      </c>
      <c r="F320" s="4">
        <v>7842.7917616640289</v>
      </c>
      <c r="G320" s="5">
        <f t="shared" si="187"/>
        <v>2.4969635627530362</v>
      </c>
      <c r="H320" s="4">
        <f t="shared" si="188"/>
        <v>2467</v>
      </c>
      <c r="I320" s="4">
        <f t="shared" si="189"/>
        <v>988</v>
      </c>
      <c r="J320" s="4">
        <f t="shared" si="190"/>
        <v>0.25432644545323158</v>
      </c>
      <c r="K320" s="27">
        <f t="shared" si="191"/>
        <v>0.12716322272661579</v>
      </c>
      <c r="L320" s="30">
        <f t="shared" si="192"/>
        <v>0.79477014204134866</v>
      </c>
      <c r="M320" s="23">
        <v>9</v>
      </c>
      <c r="N320" s="2">
        <v>20</v>
      </c>
      <c r="O320" s="4">
        <v>12155.800000000001</v>
      </c>
      <c r="P320" s="5">
        <f t="shared" si="193"/>
        <v>2.2222222222222223</v>
      </c>
      <c r="Q320" s="29">
        <f t="shared" si="194"/>
        <v>1350.6444444444446</v>
      </c>
      <c r="R320" s="29">
        <f t="shared" si="195"/>
        <v>607.79000000000008</v>
      </c>
      <c r="S320" s="1">
        <v>0</v>
      </c>
      <c r="T320" s="1">
        <v>0</v>
      </c>
      <c r="U320" s="24">
        <v>0</v>
      </c>
      <c r="V320" s="25">
        <f t="shared" si="196"/>
        <v>2.8310072069654342</v>
      </c>
      <c r="W320" s="25">
        <f t="shared" si="197"/>
        <v>2.5195109854360664</v>
      </c>
      <c r="X320" s="25">
        <f t="shared" si="198"/>
        <v>1.5499327751398653</v>
      </c>
      <c r="Y320" s="25">
        <f t="shared" si="199"/>
        <v>0.88996982389767165</v>
      </c>
      <c r="Z320" s="25">
        <f t="shared" si="200"/>
        <v>0.54748457415664553</v>
      </c>
      <c r="AA320" s="25">
        <f t="shared" si="201"/>
        <v>0.615172064777328</v>
      </c>
      <c r="AB320" s="25">
        <f t="shared" si="202"/>
        <v>0</v>
      </c>
      <c r="AC320" s="25">
        <f t="shared" si="203"/>
        <v>0</v>
      </c>
      <c r="AD320" s="63">
        <f t="shared" si="204"/>
        <v>0</v>
      </c>
      <c r="AE320" s="24">
        <f t="shared" si="183"/>
        <v>1</v>
      </c>
    </row>
    <row r="321" spans="1:31" x14ac:dyDescent="0.2">
      <c r="A321" s="75">
        <f t="shared" si="186"/>
        <v>46287</v>
      </c>
      <c r="B321" s="15" t="str">
        <f>$B$6</f>
        <v>SS</v>
      </c>
      <c r="C321" s="15" t="str">
        <f>$C$6</f>
        <v>Anuj</v>
      </c>
      <c r="D321" s="18">
        <f t="shared" si="184"/>
        <v>0</v>
      </c>
      <c r="E321" s="4">
        <f t="shared" si="185"/>
        <v>0</v>
      </c>
      <c r="F321" s="4">
        <v>0</v>
      </c>
      <c r="G321" s="5" t="e">
        <f t="shared" si="187"/>
        <v>#DIV/0!</v>
      </c>
      <c r="H321" s="4" t="e">
        <f t="shared" si="188"/>
        <v>#DIV/0!</v>
      </c>
      <c r="I321" s="4" t="e">
        <f t="shared" si="189"/>
        <v>#DIV/0!</v>
      </c>
      <c r="J321" s="4">
        <f t="shared" si="190"/>
        <v>0</v>
      </c>
      <c r="K321" s="27">
        <f t="shared" si="191"/>
        <v>0</v>
      </c>
      <c r="L321" s="30">
        <f t="shared" si="192"/>
        <v>0</v>
      </c>
      <c r="M321" s="23">
        <v>0</v>
      </c>
      <c r="N321" s="2">
        <v>0</v>
      </c>
      <c r="O321" s="4">
        <v>0</v>
      </c>
      <c r="P321" s="5" t="e">
        <f t="shared" si="193"/>
        <v>#DIV/0!</v>
      </c>
      <c r="Q321" s="29" t="e">
        <f t="shared" si="194"/>
        <v>#DIV/0!</v>
      </c>
      <c r="R321" s="29" t="e">
        <f t="shared" si="195"/>
        <v>#DIV/0!</v>
      </c>
      <c r="S321" s="1">
        <v>0</v>
      </c>
      <c r="T321" s="1">
        <v>0</v>
      </c>
      <c r="U321" s="24">
        <v>0</v>
      </c>
      <c r="V321" s="25" t="e">
        <f t="shared" si="196"/>
        <v>#DIV/0!</v>
      </c>
      <c r="W321" s="25" t="e">
        <f t="shared" si="197"/>
        <v>#DIV/0!</v>
      </c>
      <c r="X321" s="25" t="e">
        <f t="shared" si="198"/>
        <v>#DIV/0!</v>
      </c>
      <c r="Y321" s="25" t="e">
        <f t="shared" si="199"/>
        <v>#DIV/0!</v>
      </c>
      <c r="Z321" s="25" t="e">
        <f t="shared" si="200"/>
        <v>#DIV/0!</v>
      </c>
      <c r="AA321" s="25" t="e">
        <f t="shared" si="201"/>
        <v>#DIV/0!</v>
      </c>
      <c r="AB321" s="25" t="e">
        <f t="shared" si="202"/>
        <v>#DIV/0!</v>
      </c>
      <c r="AC321" s="25" t="e">
        <f t="shared" si="203"/>
        <v>#DIV/0!</v>
      </c>
      <c r="AD321" s="63" t="e">
        <f t="shared" si="204"/>
        <v>#DIV/0!</v>
      </c>
      <c r="AE321" s="24">
        <f t="shared" si="183"/>
        <v>0</v>
      </c>
    </row>
    <row r="322" spans="1:31" x14ac:dyDescent="0.2">
      <c r="A322" s="75">
        <f t="shared" si="186"/>
        <v>46287</v>
      </c>
      <c r="B322" s="15" t="str">
        <f>$B$7</f>
        <v>FC</v>
      </c>
      <c r="C322" s="15" t="str">
        <f>$C$7</f>
        <v>Muskan</v>
      </c>
      <c r="D322" s="18">
        <f t="shared" si="184"/>
        <v>6.3581611363307893</v>
      </c>
      <c r="E322" s="4">
        <f t="shared" si="185"/>
        <v>15.876096683530422</v>
      </c>
      <c r="F322" s="4">
        <v>15685.583523328058</v>
      </c>
      <c r="G322" s="5">
        <f t="shared" si="187"/>
        <v>2.4969635627530362</v>
      </c>
      <c r="H322" s="4">
        <f t="shared" si="188"/>
        <v>2467</v>
      </c>
      <c r="I322" s="4">
        <f t="shared" si="189"/>
        <v>988</v>
      </c>
      <c r="J322" s="4">
        <f t="shared" si="190"/>
        <v>0.50865289090646315</v>
      </c>
      <c r="K322" s="27">
        <f t="shared" si="191"/>
        <v>0.25432644545323158</v>
      </c>
      <c r="L322" s="30">
        <f t="shared" si="192"/>
        <v>1.5895402840826973</v>
      </c>
      <c r="M322" s="23">
        <v>8</v>
      </c>
      <c r="N322" s="2">
        <v>15</v>
      </c>
      <c r="O322" s="4">
        <v>27090</v>
      </c>
      <c r="P322" s="5">
        <f t="shared" si="193"/>
        <v>1.875</v>
      </c>
      <c r="Q322" s="29">
        <f t="shared" si="194"/>
        <v>3386.25</v>
      </c>
      <c r="R322" s="29">
        <f t="shared" si="195"/>
        <v>1806</v>
      </c>
      <c r="S322" s="1">
        <v>0</v>
      </c>
      <c r="T322" s="1">
        <v>0</v>
      </c>
      <c r="U322" s="24">
        <v>0</v>
      </c>
      <c r="V322" s="25">
        <f t="shared" si="196"/>
        <v>1.2582254253179708</v>
      </c>
      <c r="W322" s="25">
        <f t="shared" si="197"/>
        <v>0.94481661953852492</v>
      </c>
      <c r="X322" s="25">
        <f t="shared" si="198"/>
        <v>1.7270635778204211</v>
      </c>
      <c r="Y322" s="25">
        <f t="shared" si="199"/>
        <v>0.75091203891366043</v>
      </c>
      <c r="Z322" s="25">
        <f t="shared" si="200"/>
        <v>1.3726185650587759</v>
      </c>
      <c r="AA322" s="25">
        <f t="shared" si="201"/>
        <v>1.8279352226720649</v>
      </c>
      <c r="AB322" s="25">
        <f t="shared" si="202"/>
        <v>0</v>
      </c>
      <c r="AC322" s="25">
        <f t="shared" si="203"/>
        <v>0</v>
      </c>
      <c r="AD322" s="63">
        <f t="shared" si="204"/>
        <v>0</v>
      </c>
      <c r="AE322" s="24">
        <f t="shared" si="183"/>
        <v>1</v>
      </c>
    </row>
    <row r="323" spans="1:31" x14ac:dyDescent="0.2">
      <c r="A323" s="75">
        <f t="shared" si="186"/>
        <v>46287</v>
      </c>
      <c r="B323" s="15" t="str">
        <f>$B$8</f>
        <v>FC</v>
      </c>
      <c r="C323" s="15" t="str">
        <f>$C$8</f>
        <v xml:space="preserve">Kajal  </v>
      </c>
      <c r="D323" s="18">
        <f t="shared" si="184"/>
        <v>1.9074483408992366</v>
      </c>
      <c r="E323" s="4">
        <f t="shared" si="185"/>
        <v>4.7628290050591264</v>
      </c>
      <c r="F323" s="4">
        <v>4705.6750569984169</v>
      </c>
      <c r="G323" s="5">
        <f t="shared" si="187"/>
        <v>2.4969635627530367</v>
      </c>
      <c r="H323" s="4">
        <f t="shared" si="188"/>
        <v>2467</v>
      </c>
      <c r="I323" s="4">
        <f t="shared" si="189"/>
        <v>988</v>
      </c>
      <c r="J323" s="4">
        <f t="shared" si="190"/>
        <v>0.15259586727193894</v>
      </c>
      <c r="K323" s="27">
        <f t="shared" si="191"/>
        <v>7.629793363596947E-2</v>
      </c>
      <c r="L323" s="30">
        <f t="shared" si="192"/>
        <v>0.47686208522480916</v>
      </c>
      <c r="M323" s="23">
        <v>4</v>
      </c>
      <c r="N323" s="2">
        <v>13</v>
      </c>
      <c r="O323" s="4">
        <v>4100</v>
      </c>
      <c r="P323" s="5">
        <f t="shared" si="193"/>
        <v>3.25</v>
      </c>
      <c r="Q323" s="29">
        <f t="shared" si="194"/>
        <v>1025</v>
      </c>
      <c r="R323" s="29">
        <f t="shared" si="195"/>
        <v>315.38461538461536</v>
      </c>
      <c r="S323" s="1">
        <v>0</v>
      </c>
      <c r="T323" s="1">
        <v>0</v>
      </c>
      <c r="U323" s="24">
        <v>0</v>
      </c>
      <c r="V323" s="25">
        <f t="shared" si="196"/>
        <v>2.0970423755299517</v>
      </c>
      <c r="W323" s="25">
        <f t="shared" si="197"/>
        <v>2.7294702342224055</v>
      </c>
      <c r="X323" s="25">
        <f t="shared" si="198"/>
        <v>0.87128838059108238</v>
      </c>
      <c r="Y323" s="25">
        <f t="shared" si="199"/>
        <v>1.3015808674503444</v>
      </c>
      <c r="Z323" s="25">
        <f t="shared" si="200"/>
        <v>0.41548439400081072</v>
      </c>
      <c r="AA323" s="25">
        <f t="shared" si="201"/>
        <v>0.31921519775770785</v>
      </c>
      <c r="AB323" s="25">
        <f t="shared" si="202"/>
        <v>0</v>
      </c>
      <c r="AC323" s="25">
        <f t="shared" si="203"/>
        <v>0</v>
      </c>
      <c r="AD323" s="63">
        <f t="shared" si="204"/>
        <v>0</v>
      </c>
      <c r="AE323" s="24">
        <f t="shared" si="183"/>
        <v>1</v>
      </c>
    </row>
    <row r="324" spans="1:31" x14ac:dyDescent="0.2">
      <c r="A324" s="75">
        <f t="shared" si="186"/>
        <v>46287</v>
      </c>
      <c r="B324" s="15" t="str">
        <f>$B$9</f>
        <v>FC</v>
      </c>
      <c r="C324" s="15" t="str">
        <f>$C$9</f>
        <v>Pradeep</v>
      </c>
      <c r="D324" s="18">
        <f t="shared" si="184"/>
        <v>0</v>
      </c>
      <c r="E324" s="4">
        <f t="shared" si="185"/>
        <v>0</v>
      </c>
      <c r="F324" s="4">
        <v>0</v>
      </c>
      <c r="G324" s="5" t="e">
        <f t="shared" si="187"/>
        <v>#DIV/0!</v>
      </c>
      <c r="H324" s="4" t="e">
        <f t="shared" si="188"/>
        <v>#DIV/0!</v>
      </c>
      <c r="I324" s="4" t="e">
        <f t="shared" si="189"/>
        <v>#DIV/0!</v>
      </c>
      <c r="J324" s="4">
        <f t="shared" si="190"/>
        <v>0</v>
      </c>
      <c r="K324" s="27">
        <f t="shared" si="191"/>
        <v>0</v>
      </c>
      <c r="L324" s="30">
        <f t="shared" si="192"/>
        <v>0</v>
      </c>
      <c r="M324" s="23">
        <v>0</v>
      </c>
      <c r="N324" s="2">
        <v>0</v>
      </c>
      <c r="O324" s="4">
        <v>0</v>
      </c>
      <c r="P324" s="5" t="e">
        <f t="shared" si="193"/>
        <v>#DIV/0!</v>
      </c>
      <c r="Q324" s="29" t="e">
        <f t="shared" si="194"/>
        <v>#DIV/0!</v>
      </c>
      <c r="R324" s="29" t="e">
        <f t="shared" si="195"/>
        <v>#DIV/0!</v>
      </c>
      <c r="S324" s="1">
        <v>0</v>
      </c>
      <c r="T324" s="1">
        <v>0</v>
      </c>
      <c r="U324" s="24">
        <v>0</v>
      </c>
      <c r="V324" s="25" t="e">
        <f t="shared" si="196"/>
        <v>#DIV/0!</v>
      </c>
      <c r="W324" s="25" t="e">
        <f t="shared" si="197"/>
        <v>#DIV/0!</v>
      </c>
      <c r="X324" s="25" t="e">
        <f t="shared" si="198"/>
        <v>#DIV/0!</v>
      </c>
      <c r="Y324" s="25" t="e">
        <f t="shared" si="199"/>
        <v>#DIV/0!</v>
      </c>
      <c r="Z324" s="25" t="e">
        <f t="shared" si="200"/>
        <v>#DIV/0!</v>
      </c>
      <c r="AA324" s="25" t="e">
        <f t="shared" si="201"/>
        <v>#DIV/0!</v>
      </c>
      <c r="AB324" s="25" t="e">
        <f t="shared" si="202"/>
        <v>#DIV/0!</v>
      </c>
      <c r="AC324" s="25" t="e">
        <f t="shared" si="203"/>
        <v>#DIV/0!</v>
      </c>
      <c r="AD324" s="63" t="e">
        <f t="shared" si="204"/>
        <v>#DIV/0!</v>
      </c>
      <c r="AE324" s="24">
        <f t="shared" si="183"/>
        <v>0</v>
      </c>
    </row>
    <row r="325" spans="1:31" x14ac:dyDescent="0.2">
      <c r="A325" s="75">
        <f t="shared" si="186"/>
        <v>46287</v>
      </c>
      <c r="B325" s="15" t="str">
        <f>$B$10</f>
        <v>FC</v>
      </c>
      <c r="C325" s="15" t="str">
        <f>$C$10</f>
        <v>Aftab</v>
      </c>
      <c r="D325" s="18">
        <f t="shared" si="184"/>
        <v>3.1790805681653946</v>
      </c>
      <c r="E325" s="4">
        <f t="shared" si="185"/>
        <v>7.938048341765211</v>
      </c>
      <c r="F325" s="4">
        <v>7842.7917616640289</v>
      </c>
      <c r="G325" s="5">
        <f t="shared" si="187"/>
        <v>2.4969635627530362</v>
      </c>
      <c r="H325" s="4">
        <f t="shared" si="188"/>
        <v>2467</v>
      </c>
      <c r="I325" s="4">
        <f t="shared" si="189"/>
        <v>988</v>
      </c>
      <c r="J325" s="4">
        <f t="shared" si="190"/>
        <v>0.25432644545323158</v>
      </c>
      <c r="K325" s="27">
        <f t="shared" si="191"/>
        <v>0.12716322272661579</v>
      </c>
      <c r="L325" s="30">
        <f t="shared" si="192"/>
        <v>0.79477014204134866</v>
      </c>
      <c r="M325" s="23">
        <v>8</v>
      </c>
      <c r="N325" s="2">
        <v>16</v>
      </c>
      <c r="O325" s="4">
        <v>17655.96</v>
      </c>
      <c r="P325" s="5">
        <f t="shared" si="193"/>
        <v>2</v>
      </c>
      <c r="Q325" s="29">
        <f t="shared" si="194"/>
        <v>2206.9949999999999</v>
      </c>
      <c r="R325" s="29">
        <f t="shared" si="195"/>
        <v>1103.4974999999999</v>
      </c>
      <c r="S325" s="1">
        <v>0</v>
      </c>
      <c r="T325" s="1">
        <v>0</v>
      </c>
      <c r="U325" s="24">
        <v>0</v>
      </c>
      <c r="V325" s="25">
        <f t="shared" si="196"/>
        <v>2.5164508506359415</v>
      </c>
      <c r="W325" s="25">
        <f t="shared" si="197"/>
        <v>2.0156087883488532</v>
      </c>
      <c r="X325" s="25">
        <f t="shared" si="198"/>
        <v>2.2512340677337939</v>
      </c>
      <c r="Y325" s="25">
        <f t="shared" si="199"/>
        <v>0.80097284150790438</v>
      </c>
      <c r="Z325" s="25">
        <f t="shared" si="200"/>
        <v>0.8946068098905553</v>
      </c>
      <c r="AA325" s="25">
        <f t="shared" si="201"/>
        <v>1.1169003036437246</v>
      </c>
      <c r="AB325" s="25">
        <f t="shared" si="202"/>
        <v>0</v>
      </c>
      <c r="AC325" s="25">
        <f t="shared" si="203"/>
        <v>0</v>
      </c>
      <c r="AD325" s="63">
        <f t="shared" si="204"/>
        <v>0</v>
      </c>
      <c r="AE325" s="24">
        <f t="shared" ref="AE325:AE388" si="205">IF(F325&gt;10,1,0)</f>
        <v>1</v>
      </c>
    </row>
    <row r="326" spans="1:31" x14ac:dyDescent="0.2">
      <c r="A326" s="75">
        <f t="shared" si="186"/>
        <v>46287</v>
      </c>
      <c r="B326" s="15" t="str">
        <f>$B$11</f>
        <v>FC</v>
      </c>
      <c r="C326" s="15" t="str">
        <f>$C$11</f>
        <v>Khushi</v>
      </c>
      <c r="D326" s="18">
        <f t="shared" si="184"/>
        <v>0</v>
      </c>
      <c r="E326" s="4">
        <f t="shared" si="185"/>
        <v>0</v>
      </c>
      <c r="F326" s="4">
        <v>0</v>
      </c>
      <c r="G326" s="5" t="e">
        <f t="shared" si="187"/>
        <v>#DIV/0!</v>
      </c>
      <c r="H326" s="4" t="e">
        <f t="shared" si="188"/>
        <v>#DIV/0!</v>
      </c>
      <c r="I326" s="4" t="e">
        <f t="shared" si="189"/>
        <v>#DIV/0!</v>
      </c>
      <c r="J326" s="4">
        <f t="shared" si="190"/>
        <v>0</v>
      </c>
      <c r="K326" s="27">
        <f t="shared" si="191"/>
        <v>0</v>
      </c>
      <c r="L326" s="30">
        <f t="shared" si="192"/>
        <v>0</v>
      </c>
      <c r="M326" s="23">
        <v>0</v>
      </c>
      <c r="N326" s="2">
        <v>0</v>
      </c>
      <c r="O326" s="4">
        <v>0</v>
      </c>
      <c r="P326" s="5" t="e">
        <f t="shared" si="193"/>
        <v>#DIV/0!</v>
      </c>
      <c r="Q326" s="29" t="e">
        <f t="shared" si="194"/>
        <v>#DIV/0!</v>
      </c>
      <c r="R326" s="29" t="e">
        <f t="shared" si="195"/>
        <v>#DIV/0!</v>
      </c>
      <c r="S326" s="1">
        <v>0</v>
      </c>
      <c r="T326" s="1">
        <v>0</v>
      </c>
      <c r="U326" s="24">
        <v>0</v>
      </c>
      <c r="V326" s="25" t="e">
        <f t="shared" si="196"/>
        <v>#DIV/0!</v>
      </c>
      <c r="W326" s="25" t="e">
        <f t="shared" si="197"/>
        <v>#DIV/0!</v>
      </c>
      <c r="X326" s="25" t="e">
        <f t="shared" si="198"/>
        <v>#DIV/0!</v>
      </c>
      <c r="Y326" s="25" t="e">
        <f t="shared" si="199"/>
        <v>#DIV/0!</v>
      </c>
      <c r="Z326" s="25" t="e">
        <f t="shared" si="200"/>
        <v>#DIV/0!</v>
      </c>
      <c r="AA326" s="25" t="e">
        <f t="shared" si="201"/>
        <v>#DIV/0!</v>
      </c>
      <c r="AB326" s="25" t="e">
        <f t="shared" si="202"/>
        <v>#DIV/0!</v>
      </c>
      <c r="AC326" s="25" t="e">
        <f t="shared" si="203"/>
        <v>#DIV/0!</v>
      </c>
      <c r="AD326" s="63" t="e">
        <f t="shared" si="204"/>
        <v>#DIV/0!</v>
      </c>
      <c r="AE326" s="24">
        <f t="shared" si="205"/>
        <v>0</v>
      </c>
    </row>
    <row r="327" spans="1:31" x14ac:dyDescent="0.2">
      <c r="A327" s="75">
        <f t="shared" si="186"/>
        <v>46287</v>
      </c>
      <c r="B327" s="15" t="str">
        <f>$B$12</f>
        <v>FC</v>
      </c>
      <c r="C327" s="15" t="str">
        <f>$C$12</f>
        <v>Kishan</v>
      </c>
      <c r="D327" s="18">
        <f t="shared" ref="D327:D390" si="206">F327/$B$1</f>
        <v>6.3581611363307893</v>
      </c>
      <c r="E327" s="4">
        <f t="shared" ref="E327:E390" si="207">F327/$C$1</f>
        <v>15.876096683530422</v>
      </c>
      <c r="F327" s="4">
        <v>15685.583523328058</v>
      </c>
      <c r="G327" s="5">
        <f t="shared" si="187"/>
        <v>2.4969635627530362</v>
      </c>
      <c r="H327" s="4">
        <f t="shared" si="188"/>
        <v>2467</v>
      </c>
      <c r="I327" s="4">
        <f t="shared" si="189"/>
        <v>988</v>
      </c>
      <c r="J327" s="4">
        <f t="shared" si="190"/>
        <v>0.50865289090646315</v>
      </c>
      <c r="K327" s="27">
        <f t="shared" si="191"/>
        <v>0.25432644545323158</v>
      </c>
      <c r="L327" s="30">
        <f t="shared" si="192"/>
        <v>1.5895402840826973</v>
      </c>
      <c r="M327" s="23">
        <v>5</v>
      </c>
      <c r="N327" s="2">
        <v>13</v>
      </c>
      <c r="O327" s="4">
        <v>19278.150000000001</v>
      </c>
      <c r="P327" s="5">
        <f t="shared" si="193"/>
        <v>2.6</v>
      </c>
      <c r="Q327" s="29">
        <f t="shared" si="194"/>
        <v>3855.63</v>
      </c>
      <c r="R327" s="29">
        <f t="shared" si="195"/>
        <v>1482.9346153846154</v>
      </c>
      <c r="S327" s="1">
        <v>0</v>
      </c>
      <c r="T327" s="1">
        <v>0</v>
      </c>
      <c r="U327" s="24">
        <v>0</v>
      </c>
      <c r="V327" s="25">
        <f t="shared" si="196"/>
        <v>0.78639089082373181</v>
      </c>
      <c r="W327" s="25">
        <f t="shared" si="197"/>
        <v>0.81884107026672159</v>
      </c>
      <c r="X327" s="25">
        <f t="shared" si="198"/>
        <v>1.2290362020213641</v>
      </c>
      <c r="Y327" s="25">
        <f t="shared" si="199"/>
        <v>1.0412646939602759</v>
      </c>
      <c r="Z327" s="25">
        <f t="shared" si="200"/>
        <v>1.5628820429671666</v>
      </c>
      <c r="AA327" s="25">
        <f t="shared" si="201"/>
        <v>1.500945966988477</v>
      </c>
      <c r="AB327" s="25">
        <f t="shared" si="202"/>
        <v>0</v>
      </c>
      <c r="AC327" s="25">
        <f t="shared" si="203"/>
        <v>0</v>
      </c>
      <c r="AD327" s="63">
        <f t="shared" si="204"/>
        <v>0</v>
      </c>
      <c r="AE327" s="24">
        <f t="shared" si="205"/>
        <v>1</v>
      </c>
    </row>
    <row r="328" spans="1:31" x14ac:dyDescent="0.2">
      <c r="A328" s="75">
        <f t="shared" si="186"/>
        <v>46287</v>
      </c>
      <c r="B328" s="15" t="str">
        <f>$B$13</f>
        <v>Partner</v>
      </c>
      <c r="C328" s="15" t="str">
        <f>$C$13</f>
        <v>Rahul</v>
      </c>
      <c r="D328" s="18">
        <f t="shared" si="206"/>
        <v>0</v>
      </c>
      <c r="E328" s="4">
        <f t="shared" si="207"/>
        <v>0</v>
      </c>
      <c r="F328" s="4">
        <v>0</v>
      </c>
      <c r="G328" s="5" t="e">
        <f t="shared" si="187"/>
        <v>#DIV/0!</v>
      </c>
      <c r="H328" s="4" t="e">
        <f t="shared" si="188"/>
        <v>#DIV/0!</v>
      </c>
      <c r="I328" s="4" t="e">
        <f t="shared" si="189"/>
        <v>#DIV/0!</v>
      </c>
      <c r="J328" s="4">
        <f t="shared" si="190"/>
        <v>0</v>
      </c>
      <c r="K328" s="27">
        <f t="shared" si="191"/>
        <v>0</v>
      </c>
      <c r="L328" s="30">
        <f t="shared" si="192"/>
        <v>0</v>
      </c>
      <c r="M328" s="23">
        <v>0</v>
      </c>
      <c r="N328" s="2">
        <v>0</v>
      </c>
      <c r="O328" s="4">
        <v>0</v>
      </c>
      <c r="P328" s="5" t="e">
        <f t="shared" si="193"/>
        <v>#DIV/0!</v>
      </c>
      <c r="Q328" s="29" t="e">
        <f t="shared" si="194"/>
        <v>#DIV/0!</v>
      </c>
      <c r="R328" s="29" t="e">
        <f t="shared" si="195"/>
        <v>#DIV/0!</v>
      </c>
      <c r="S328" s="1">
        <v>0</v>
      </c>
      <c r="T328" s="1">
        <v>0</v>
      </c>
      <c r="U328" s="24">
        <v>0</v>
      </c>
      <c r="V328" s="25" t="e">
        <f t="shared" si="196"/>
        <v>#DIV/0!</v>
      </c>
      <c r="W328" s="25" t="e">
        <f t="shared" si="197"/>
        <v>#DIV/0!</v>
      </c>
      <c r="X328" s="25" t="e">
        <f t="shared" si="198"/>
        <v>#DIV/0!</v>
      </c>
      <c r="Y328" s="25" t="e">
        <f t="shared" si="199"/>
        <v>#DIV/0!</v>
      </c>
      <c r="Z328" s="25" t="e">
        <f t="shared" si="200"/>
        <v>#DIV/0!</v>
      </c>
      <c r="AA328" s="25" t="e">
        <f t="shared" si="201"/>
        <v>#DIV/0!</v>
      </c>
      <c r="AB328" s="25" t="e">
        <f t="shared" si="202"/>
        <v>#DIV/0!</v>
      </c>
      <c r="AC328" s="25" t="e">
        <f t="shared" si="203"/>
        <v>#DIV/0!</v>
      </c>
      <c r="AD328" s="63" t="e">
        <f t="shared" si="204"/>
        <v>#DIV/0!</v>
      </c>
      <c r="AE328" s="24">
        <f t="shared" si="205"/>
        <v>0</v>
      </c>
    </row>
    <row r="329" spans="1:31" x14ac:dyDescent="0.2">
      <c r="A329" s="75">
        <f t="shared" si="186"/>
        <v>46287</v>
      </c>
      <c r="B329" s="15" t="str">
        <f>$B$14</f>
        <v>Partner</v>
      </c>
      <c r="C329" s="15" t="str">
        <f>$C$14</f>
        <v>Prince</v>
      </c>
      <c r="D329" s="18">
        <f t="shared" si="206"/>
        <v>5.0865289090646311</v>
      </c>
      <c r="E329" s="4">
        <f t="shared" si="207"/>
        <v>12.700877346824337</v>
      </c>
      <c r="F329" s="4">
        <v>12548.466818662444</v>
      </c>
      <c r="G329" s="5">
        <f t="shared" si="187"/>
        <v>2.4969635627530362</v>
      </c>
      <c r="H329" s="4">
        <f t="shared" si="188"/>
        <v>2467</v>
      </c>
      <c r="I329" s="4">
        <f t="shared" si="189"/>
        <v>988</v>
      </c>
      <c r="J329" s="4">
        <f t="shared" si="190"/>
        <v>0.40692231272517049</v>
      </c>
      <c r="K329" s="27">
        <f t="shared" si="191"/>
        <v>0.20346115636258524</v>
      </c>
      <c r="L329" s="30">
        <f t="shared" si="192"/>
        <v>1.2716322272661578</v>
      </c>
      <c r="M329" s="23">
        <v>4</v>
      </c>
      <c r="N329" s="2">
        <v>19</v>
      </c>
      <c r="O329" s="4">
        <v>19714.7</v>
      </c>
      <c r="P329" s="5">
        <f t="shared" si="193"/>
        <v>4.75</v>
      </c>
      <c r="Q329" s="29">
        <f t="shared" si="194"/>
        <v>4928.6750000000002</v>
      </c>
      <c r="R329" s="29">
        <f t="shared" si="195"/>
        <v>1037.6157894736843</v>
      </c>
      <c r="S329" s="1">
        <v>0</v>
      </c>
      <c r="T329" s="1">
        <v>0</v>
      </c>
      <c r="U329" s="24">
        <v>0</v>
      </c>
      <c r="V329" s="25">
        <f t="shared" si="196"/>
        <v>0.78639089082373181</v>
      </c>
      <c r="W329" s="25">
        <f t="shared" si="197"/>
        <v>1.4959596476026646</v>
      </c>
      <c r="X329" s="25">
        <f t="shared" si="198"/>
        <v>1.5710843631255196</v>
      </c>
      <c r="Y329" s="25">
        <f t="shared" si="199"/>
        <v>1.9023104985812729</v>
      </c>
      <c r="Z329" s="25">
        <f t="shared" si="200"/>
        <v>1.9978415079043372</v>
      </c>
      <c r="AA329" s="25">
        <f t="shared" si="201"/>
        <v>1.050218410398466</v>
      </c>
      <c r="AB329" s="25">
        <f t="shared" si="202"/>
        <v>0</v>
      </c>
      <c r="AC329" s="25">
        <f t="shared" si="203"/>
        <v>0</v>
      </c>
      <c r="AD329" s="63">
        <f t="shared" si="204"/>
        <v>0</v>
      </c>
      <c r="AE329" s="24">
        <f t="shared" si="205"/>
        <v>1</v>
      </c>
    </row>
    <row r="330" spans="1:31" x14ac:dyDescent="0.2">
      <c r="A330" s="75">
        <f t="shared" si="186"/>
        <v>46287</v>
      </c>
      <c r="B330" s="15" t="str">
        <f>$B$15</f>
        <v>Partner</v>
      </c>
      <c r="C330" s="15" t="str">
        <f>$C$15</f>
        <v>Kunal</v>
      </c>
      <c r="D330" s="18">
        <f t="shared" si="206"/>
        <v>5.0865289090646311</v>
      </c>
      <c r="E330" s="4">
        <f t="shared" si="207"/>
        <v>12.700877346824337</v>
      </c>
      <c r="F330" s="4">
        <v>12548.466818662444</v>
      </c>
      <c r="G330" s="5">
        <f t="shared" si="187"/>
        <v>2.4969635627530362</v>
      </c>
      <c r="H330" s="4">
        <f t="shared" si="188"/>
        <v>2467</v>
      </c>
      <c r="I330" s="4">
        <f t="shared" si="189"/>
        <v>988</v>
      </c>
      <c r="J330" s="4">
        <f t="shared" si="190"/>
        <v>0.40692231272517049</v>
      </c>
      <c r="K330" s="27">
        <f t="shared" si="191"/>
        <v>0.20346115636258524</v>
      </c>
      <c r="L330" s="30">
        <f t="shared" si="192"/>
        <v>1.2716322272661578</v>
      </c>
      <c r="M330" s="23">
        <v>4</v>
      </c>
      <c r="N330" s="2">
        <v>10</v>
      </c>
      <c r="O330" s="4">
        <v>13386.600000000002</v>
      </c>
      <c r="P330" s="5">
        <f t="shared" si="193"/>
        <v>2.5</v>
      </c>
      <c r="Q330" s="29">
        <f t="shared" si="194"/>
        <v>3346.6500000000005</v>
      </c>
      <c r="R330" s="29">
        <f t="shared" si="195"/>
        <v>1338.6600000000003</v>
      </c>
      <c r="S330" s="1">
        <v>0</v>
      </c>
      <c r="T330" s="1">
        <v>0</v>
      </c>
      <c r="U330" s="24">
        <v>0</v>
      </c>
      <c r="V330" s="25">
        <f t="shared" si="196"/>
        <v>0.78639089082373181</v>
      </c>
      <c r="W330" s="25">
        <f t="shared" si="197"/>
        <v>0.78734718294877082</v>
      </c>
      <c r="X330" s="25">
        <f t="shared" si="198"/>
        <v>1.0667916800872488</v>
      </c>
      <c r="Y330" s="25">
        <f t="shared" si="199"/>
        <v>1.0012160518848805</v>
      </c>
      <c r="Z330" s="25">
        <f t="shared" si="200"/>
        <v>1.3565666801783545</v>
      </c>
      <c r="AA330" s="25">
        <f t="shared" si="201"/>
        <v>1.3549190283400814</v>
      </c>
      <c r="AB330" s="25">
        <f t="shared" si="202"/>
        <v>0</v>
      </c>
      <c r="AC330" s="25">
        <f t="shared" si="203"/>
        <v>0</v>
      </c>
      <c r="AD330" s="63">
        <f t="shared" si="204"/>
        <v>0</v>
      </c>
      <c r="AE330" s="24">
        <f t="shared" si="205"/>
        <v>1</v>
      </c>
    </row>
    <row r="331" spans="1:31" x14ac:dyDescent="0.2">
      <c r="A331" s="75">
        <f t="shared" si="186"/>
        <v>46287</v>
      </c>
      <c r="B331" s="15" t="str">
        <f>$B$16</f>
        <v>NA</v>
      </c>
      <c r="C331" s="15" t="str">
        <f>$C$16</f>
        <v>NA</v>
      </c>
      <c r="D331" s="18">
        <f t="shared" si="206"/>
        <v>0</v>
      </c>
      <c r="E331" s="4">
        <f t="shared" si="207"/>
        <v>0</v>
      </c>
      <c r="F331" s="4">
        <v>0</v>
      </c>
      <c r="G331" s="5" t="e">
        <f t="shared" si="187"/>
        <v>#DIV/0!</v>
      </c>
      <c r="H331" s="4" t="e">
        <f t="shared" si="188"/>
        <v>#DIV/0!</v>
      </c>
      <c r="I331" s="4" t="e">
        <f t="shared" si="189"/>
        <v>#DIV/0!</v>
      </c>
      <c r="J331" s="4">
        <f t="shared" si="190"/>
        <v>0</v>
      </c>
      <c r="K331" s="27">
        <f t="shared" si="191"/>
        <v>0</v>
      </c>
      <c r="L331" s="30">
        <f t="shared" si="192"/>
        <v>0</v>
      </c>
      <c r="M331" s="23">
        <v>1</v>
      </c>
      <c r="N331" s="2">
        <v>-1</v>
      </c>
      <c r="O331" s="4">
        <v>-1999.2</v>
      </c>
      <c r="P331" s="5">
        <f t="shared" si="193"/>
        <v>-1</v>
      </c>
      <c r="Q331" s="29">
        <f t="shared" si="194"/>
        <v>-1999.2</v>
      </c>
      <c r="R331" s="29">
        <f t="shared" si="195"/>
        <v>1999.2</v>
      </c>
      <c r="S331" s="1">
        <v>0</v>
      </c>
      <c r="T331" s="1">
        <v>0</v>
      </c>
      <c r="U331" s="24">
        <v>0</v>
      </c>
      <c r="V331" s="25" t="e">
        <f t="shared" si="196"/>
        <v>#DIV/0!</v>
      </c>
      <c r="W331" s="25" t="e">
        <f t="shared" si="197"/>
        <v>#DIV/0!</v>
      </c>
      <c r="X331" s="25" t="e">
        <f t="shared" si="198"/>
        <v>#DIV/0!</v>
      </c>
      <c r="Y331" s="25" t="e">
        <f t="shared" si="199"/>
        <v>#DIV/0!</v>
      </c>
      <c r="Z331" s="25" t="e">
        <f t="shared" si="200"/>
        <v>#DIV/0!</v>
      </c>
      <c r="AA331" s="25" t="e">
        <f t="shared" si="201"/>
        <v>#DIV/0!</v>
      </c>
      <c r="AB331" s="25" t="e">
        <f t="shared" si="202"/>
        <v>#DIV/0!</v>
      </c>
      <c r="AC331" s="25" t="e">
        <f t="shared" si="203"/>
        <v>#DIV/0!</v>
      </c>
      <c r="AD331" s="63" t="e">
        <f t="shared" si="204"/>
        <v>#DIV/0!</v>
      </c>
      <c r="AE331" s="24">
        <f t="shared" si="205"/>
        <v>0</v>
      </c>
    </row>
    <row r="332" spans="1:31" x14ac:dyDescent="0.2">
      <c r="A332" s="75">
        <f t="shared" si="186"/>
        <v>46287</v>
      </c>
      <c r="B332" s="15" t="str">
        <f>$B$17</f>
        <v>NA</v>
      </c>
      <c r="C332" s="15" t="str">
        <f>$C$17</f>
        <v>NA</v>
      </c>
      <c r="D332" s="18">
        <f t="shared" si="206"/>
        <v>0</v>
      </c>
      <c r="E332" s="4">
        <f t="shared" si="207"/>
        <v>0</v>
      </c>
      <c r="F332" s="4">
        <v>0</v>
      </c>
      <c r="G332" s="5" t="e">
        <f t="shared" si="187"/>
        <v>#DIV/0!</v>
      </c>
      <c r="H332" s="4" t="e">
        <f t="shared" si="188"/>
        <v>#DIV/0!</v>
      </c>
      <c r="I332" s="4" t="e">
        <f t="shared" si="189"/>
        <v>#DIV/0!</v>
      </c>
      <c r="J332" s="4">
        <f t="shared" si="190"/>
        <v>0</v>
      </c>
      <c r="K332" s="27">
        <f t="shared" si="191"/>
        <v>0</v>
      </c>
      <c r="L332" s="30">
        <f t="shared" si="192"/>
        <v>0</v>
      </c>
      <c r="M332" s="23">
        <v>0</v>
      </c>
      <c r="N332" s="2">
        <v>0</v>
      </c>
      <c r="O332" s="4">
        <v>0</v>
      </c>
      <c r="P332" s="5" t="e">
        <f t="shared" si="193"/>
        <v>#DIV/0!</v>
      </c>
      <c r="Q332" s="29" t="e">
        <f t="shared" si="194"/>
        <v>#DIV/0!</v>
      </c>
      <c r="R332" s="29" t="e">
        <f t="shared" si="195"/>
        <v>#DIV/0!</v>
      </c>
      <c r="S332" s="1">
        <v>0</v>
      </c>
      <c r="T332" s="1">
        <v>0</v>
      </c>
      <c r="U332" s="24">
        <v>0</v>
      </c>
      <c r="V332" s="25" t="e">
        <f t="shared" si="196"/>
        <v>#DIV/0!</v>
      </c>
      <c r="W332" s="25" t="e">
        <f t="shared" si="197"/>
        <v>#DIV/0!</v>
      </c>
      <c r="X332" s="25" t="e">
        <f t="shared" si="198"/>
        <v>#DIV/0!</v>
      </c>
      <c r="Y332" s="25" t="e">
        <f t="shared" si="199"/>
        <v>#DIV/0!</v>
      </c>
      <c r="Z332" s="25" t="e">
        <f t="shared" si="200"/>
        <v>#DIV/0!</v>
      </c>
      <c r="AA332" s="25" t="e">
        <f t="shared" si="201"/>
        <v>#DIV/0!</v>
      </c>
      <c r="AB332" s="25" t="e">
        <f t="shared" si="202"/>
        <v>#DIV/0!</v>
      </c>
      <c r="AC332" s="25" t="e">
        <f t="shared" si="203"/>
        <v>#DIV/0!</v>
      </c>
      <c r="AD332" s="63" t="e">
        <f t="shared" si="204"/>
        <v>#DIV/0!</v>
      </c>
      <c r="AE332" s="24">
        <f t="shared" si="205"/>
        <v>0</v>
      </c>
    </row>
    <row r="333" spans="1:31" x14ac:dyDescent="0.2">
      <c r="A333" s="75">
        <f t="shared" si="186"/>
        <v>46287</v>
      </c>
      <c r="B333" s="15" t="str">
        <f>$B$18</f>
        <v>NA</v>
      </c>
      <c r="C333" s="15" t="str">
        <f>$C$18</f>
        <v>NA</v>
      </c>
      <c r="D333" s="18">
        <f t="shared" si="206"/>
        <v>0</v>
      </c>
      <c r="E333" s="4">
        <f t="shared" si="207"/>
        <v>0</v>
      </c>
      <c r="F333" s="4">
        <v>0</v>
      </c>
      <c r="G333" s="5" t="e">
        <f t="shared" si="187"/>
        <v>#DIV/0!</v>
      </c>
      <c r="H333" s="4" t="e">
        <f t="shared" si="188"/>
        <v>#DIV/0!</v>
      </c>
      <c r="I333" s="4" t="e">
        <f t="shared" si="189"/>
        <v>#DIV/0!</v>
      </c>
      <c r="J333" s="4">
        <f t="shared" si="190"/>
        <v>0</v>
      </c>
      <c r="K333" s="27">
        <f t="shared" si="191"/>
        <v>0</v>
      </c>
      <c r="L333" s="30">
        <f t="shared" si="192"/>
        <v>0</v>
      </c>
      <c r="M333" s="23">
        <v>0</v>
      </c>
      <c r="N333" s="2">
        <v>0</v>
      </c>
      <c r="O333" s="4">
        <v>0</v>
      </c>
      <c r="P333" s="5" t="e">
        <f t="shared" si="193"/>
        <v>#DIV/0!</v>
      </c>
      <c r="Q333" s="29" t="e">
        <f t="shared" si="194"/>
        <v>#DIV/0!</v>
      </c>
      <c r="R333" s="29" t="e">
        <f t="shared" si="195"/>
        <v>#DIV/0!</v>
      </c>
      <c r="S333" s="1">
        <v>0</v>
      </c>
      <c r="T333" s="1">
        <v>0</v>
      </c>
      <c r="U333" s="24">
        <v>0</v>
      </c>
      <c r="V333" s="25" t="e">
        <f t="shared" si="196"/>
        <v>#DIV/0!</v>
      </c>
      <c r="W333" s="25" t="e">
        <f t="shared" si="197"/>
        <v>#DIV/0!</v>
      </c>
      <c r="X333" s="25" t="e">
        <f t="shared" si="198"/>
        <v>#DIV/0!</v>
      </c>
      <c r="Y333" s="25" t="e">
        <f t="shared" si="199"/>
        <v>#DIV/0!</v>
      </c>
      <c r="Z333" s="25" t="e">
        <f t="shared" si="200"/>
        <v>#DIV/0!</v>
      </c>
      <c r="AA333" s="25" t="e">
        <f t="shared" si="201"/>
        <v>#DIV/0!</v>
      </c>
      <c r="AB333" s="25" t="e">
        <f t="shared" si="202"/>
        <v>#DIV/0!</v>
      </c>
      <c r="AC333" s="25" t="e">
        <f t="shared" si="203"/>
        <v>#DIV/0!</v>
      </c>
      <c r="AD333" s="63" t="e">
        <f t="shared" si="204"/>
        <v>#DIV/0!</v>
      </c>
      <c r="AE333" s="24">
        <f t="shared" si="205"/>
        <v>0</v>
      </c>
    </row>
    <row r="334" spans="1:31" x14ac:dyDescent="0.2">
      <c r="A334" s="75">
        <f t="shared" si="186"/>
        <v>46288</v>
      </c>
      <c r="B334" s="15" t="str">
        <f>$B$4</f>
        <v>DSM</v>
      </c>
      <c r="C334" s="15" t="str">
        <f>$C$4</f>
        <v xml:space="preserve">komal  </v>
      </c>
      <c r="D334" s="18">
        <f t="shared" si="206"/>
        <v>0</v>
      </c>
      <c r="E334" s="4">
        <f t="shared" si="207"/>
        <v>0</v>
      </c>
      <c r="F334" s="4">
        <v>0</v>
      </c>
      <c r="G334" s="5" t="e">
        <f t="shared" si="187"/>
        <v>#DIV/0!</v>
      </c>
      <c r="H334" s="4" t="e">
        <f t="shared" si="188"/>
        <v>#DIV/0!</v>
      </c>
      <c r="I334" s="4" t="e">
        <f t="shared" si="189"/>
        <v>#DIV/0!</v>
      </c>
      <c r="J334" s="4">
        <f t="shared" si="190"/>
        <v>0</v>
      </c>
      <c r="K334" s="27">
        <f t="shared" si="191"/>
        <v>0</v>
      </c>
      <c r="L334" s="30">
        <f t="shared" si="192"/>
        <v>0</v>
      </c>
      <c r="M334" s="23">
        <v>0</v>
      </c>
      <c r="N334" s="2">
        <v>0</v>
      </c>
      <c r="O334" s="4">
        <v>0</v>
      </c>
      <c r="P334" s="5" t="e">
        <f t="shared" si="193"/>
        <v>#DIV/0!</v>
      </c>
      <c r="Q334" s="29" t="e">
        <f t="shared" si="194"/>
        <v>#DIV/0!</v>
      </c>
      <c r="R334" s="29" t="e">
        <f t="shared" si="195"/>
        <v>#DIV/0!</v>
      </c>
      <c r="S334" s="1">
        <v>0</v>
      </c>
      <c r="T334" s="1">
        <v>0</v>
      </c>
      <c r="U334" s="24">
        <v>0</v>
      </c>
      <c r="V334" s="25" t="e">
        <f t="shared" si="196"/>
        <v>#DIV/0!</v>
      </c>
      <c r="W334" s="25" t="e">
        <f t="shared" si="197"/>
        <v>#DIV/0!</v>
      </c>
      <c r="X334" s="25" t="e">
        <f t="shared" si="198"/>
        <v>#DIV/0!</v>
      </c>
      <c r="Y334" s="25" t="e">
        <f t="shared" si="199"/>
        <v>#DIV/0!</v>
      </c>
      <c r="Z334" s="25" t="e">
        <f t="shared" si="200"/>
        <v>#DIV/0!</v>
      </c>
      <c r="AA334" s="25" t="e">
        <f t="shared" si="201"/>
        <v>#DIV/0!</v>
      </c>
      <c r="AB334" s="25" t="e">
        <f t="shared" si="202"/>
        <v>#DIV/0!</v>
      </c>
      <c r="AC334" s="25" t="e">
        <f t="shared" si="203"/>
        <v>#DIV/0!</v>
      </c>
      <c r="AD334" s="63" t="e">
        <f t="shared" si="204"/>
        <v>#DIV/0!</v>
      </c>
      <c r="AE334" s="24">
        <f t="shared" si="205"/>
        <v>0</v>
      </c>
    </row>
    <row r="335" spans="1:31" x14ac:dyDescent="0.2">
      <c r="A335" s="75">
        <f t="shared" si="186"/>
        <v>46288</v>
      </c>
      <c r="B335" s="15" t="str">
        <f>$B$5</f>
        <v>SS</v>
      </c>
      <c r="C335" s="15" t="str">
        <f>$C$5</f>
        <v>Prem</v>
      </c>
      <c r="D335" s="18">
        <f t="shared" si="206"/>
        <v>0</v>
      </c>
      <c r="E335" s="4">
        <f t="shared" si="207"/>
        <v>0</v>
      </c>
      <c r="F335" s="4">
        <v>0</v>
      </c>
      <c r="G335" s="5" t="e">
        <f t="shared" si="187"/>
        <v>#DIV/0!</v>
      </c>
      <c r="H335" s="4" t="e">
        <f t="shared" si="188"/>
        <v>#DIV/0!</v>
      </c>
      <c r="I335" s="4" t="e">
        <f t="shared" si="189"/>
        <v>#DIV/0!</v>
      </c>
      <c r="J335" s="4">
        <f t="shared" si="190"/>
        <v>0</v>
      </c>
      <c r="K335" s="27">
        <f t="shared" si="191"/>
        <v>0</v>
      </c>
      <c r="L335" s="30">
        <f t="shared" si="192"/>
        <v>0</v>
      </c>
      <c r="M335" s="23">
        <v>0</v>
      </c>
      <c r="N335" s="2">
        <v>0</v>
      </c>
      <c r="O335" s="4">
        <v>0</v>
      </c>
      <c r="P335" s="5" t="e">
        <f t="shared" si="193"/>
        <v>#DIV/0!</v>
      </c>
      <c r="Q335" s="29" t="e">
        <f t="shared" si="194"/>
        <v>#DIV/0!</v>
      </c>
      <c r="R335" s="29" t="e">
        <f t="shared" si="195"/>
        <v>#DIV/0!</v>
      </c>
      <c r="S335" s="1">
        <v>0</v>
      </c>
      <c r="T335" s="1">
        <v>0</v>
      </c>
      <c r="U335" s="24">
        <v>0</v>
      </c>
      <c r="V335" s="25" t="e">
        <f t="shared" si="196"/>
        <v>#DIV/0!</v>
      </c>
      <c r="W335" s="25" t="e">
        <f t="shared" si="197"/>
        <v>#DIV/0!</v>
      </c>
      <c r="X335" s="25" t="e">
        <f t="shared" si="198"/>
        <v>#DIV/0!</v>
      </c>
      <c r="Y335" s="25" t="e">
        <f t="shared" si="199"/>
        <v>#DIV/0!</v>
      </c>
      <c r="Z335" s="25" t="e">
        <f t="shared" si="200"/>
        <v>#DIV/0!</v>
      </c>
      <c r="AA335" s="25" t="e">
        <f t="shared" si="201"/>
        <v>#DIV/0!</v>
      </c>
      <c r="AB335" s="25" t="e">
        <f t="shared" si="202"/>
        <v>#DIV/0!</v>
      </c>
      <c r="AC335" s="25" t="e">
        <f t="shared" si="203"/>
        <v>#DIV/0!</v>
      </c>
      <c r="AD335" s="63" t="e">
        <f t="shared" si="204"/>
        <v>#DIV/0!</v>
      </c>
      <c r="AE335" s="24">
        <f t="shared" si="205"/>
        <v>0</v>
      </c>
    </row>
    <row r="336" spans="1:31" x14ac:dyDescent="0.2">
      <c r="A336" s="75">
        <f t="shared" si="186"/>
        <v>46288</v>
      </c>
      <c r="B336" s="15" t="str">
        <f>$B$6</f>
        <v>SS</v>
      </c>
      <c r="C336" s="15" t="str">
        <f>$C$6</f>
        <v>Anuj</v>
      </c>
      <c r="D336" s="18">
        <f t="shared" si="206"/>
        <v>6.1088214839256603</v>
      </c>
      <c r="E336" s="4">
        <f t="shared" si="207"/>
        <v>15.253504656725307</v>
      </c>
      <c r="F336" s="4">
        <v>15070.462600844603</v>
      </c>
      <c r="G336" s="5">
        <f t="shared" si="187"/>
        <v>2.4969635627530362</v>
      </c>
      <c r="H336" s="4">
        <f t="shared" si="188"/>
        <v>2467</v>
      </c>
      <c r="I336" s="4">
        <f t="shared" si="189"/>
        <v>988</v>
      </c>
      <c r="J336" s="4">
        <f t="shared" si="190"/>
        <v>0.48870571871405283</v>
      </c>
      <c r="K336" s="27">
        <f t="shared" si="191"/>
        <v>0.24435285935702641</v>
      </c>
      <c r="L336" s="30">
        <f t="shared" si="192"/>
        <v>1.5272053709814151</v>
      </c>
      <c r="M336" s="23">
        <v>11</v>
      </c>
      <c r="N336" s="2">
        <v>23</v>
      </c>
      <c r="O336" s="4">
        <v>20200.2</v>
      </c>
      <c r="P336" s="5">
        <f t="shared" si="193"/>
        <v>2.0909090909090908</v>
      </c>
      <c r="Q336" s="29">
        <f t="shared" si="194"/>
        <v>1836.3818181818183</v>
      </c>
      <c r="R336" s="29">
        <f t="shared" si="195"/>
        <v>878.26956521739135</v>
      </c>
      <c r="S336" s="1">
        <v>0</v>
      </c>
      <c r="T336" s="1">
        <v>0</v>
      </c>
      <c r="U336" s="24">
        <v>0</v>
      </c>
      <c r="V336" s="25">
        <f t="shared" si="196"/>
        <v>1.800674652049443</v>
      </c>
      <c r="W336" s="25">
        <f t="shared" si="197"/>
        <v>1.5078501968961766</v>
      </c>
      <c r="X336" s="25">
        <f t="shared" si="198"/>
        <v>1.3403835393127155</v>
      </c>
      <c r="Y336" s="25">
        <f t="shared" si="199"/>
        <v>0.83738069794008185</v>
      </c>
      <c r="Z336" s="25">
        <f t="shared" si="200"/>
        <v>0.74437852378671188</v>
      </c>
      <c r="AA336" s="25">
        <f t="shared" si="201"/>
        <v>0.88893680690019372</v>
      </c>
      <c r="AB336" s="25">
        <f t="shared" si="202"/>
        <v>0</v>
      </c>
      <c r="AC336" s="25">
        <f t="shared" si="203"/>
        <v>0</v>
      </c>
      <c r="AD336" s="63">
        <f t="shared" si="204"/>
        <v>0</v>
      </c>
      <c r="AE336" s="24">
        <f t="shared" si="205"/>
        <v>1</v>
      </c>
    </row>
    <row r="337" spans="1:31" x14ac:dyDescent="0.2">
      <c r="A337" s="75">
        <f t="shared" si="186"/>
        <v>46288</v>
      </c>
      <c r="B337" s="15" t="str">
        <f>$B$7</f>
        <v>FC</v>
      </c>
      <c r="C337" s="15" t="str">
        <f>$C$7</f>
        <v>Muskan</v>
      </c>
      <c r="D337" s="18">
        <f t="shared" si="206"/>
        <v>0</v>
      </c>
      <c r="E337" s="4">
        <f t="shared" si="207"/>
        <v>0</v>
      </c>
      <c r="F337" s="4">
        <v>0</v>
      </c>
      <c r="G337" s="5" t="e">
        <f t="shared" si="187"/>
        <v>#DIV/0!</v>
      </c>
      <c r="H337" s="4" t="e">
        <f t="shared" si="188"/>
        <v>#DIV/0!</v>
      </c>
      <c r="I337" s="4" t="e">
        <f t="shared" si="189"/>
        <v>#DIV/0!</v>
      </c>
      <c r="J337" s="4">
        <f t="shared" si="190"/>
        <v>0</v>
      </c>
      <c r="K337" s="27">
        <f t="shared" si="191"/>
        <v>0</v>
      </c>
      <c r="L337" s="30">
        <f t="shared" si="192"/>
        <v>0</v>
      </c>
      <c r="M337" s="23">
        <v>0</v>
      </c>
      <c r="N337" s="2">
        <v>0</v>
      </c>
      <c r="O337" s="4">
        <v>0</v>
      </c>
      <c r="P337" s="5" t="e">
        <f t="shared" si="193"/>
        <v>#DIV/0!</v>
      </c>
      <c r="Q337" s="29" t="e">
        <f t="shared" si="194"/>
        <v>#DIV/0!</v>
      </c>
      <c r="R337" s="29" t="e">
        <f t="shared" si="195"/>
        <v>#DIV/0!</v>
      </c>
      <c r="S337" s="1">
        <v>0</v>
      </c>
      <c r="T337" s="1">
        <v>0</v>
      </c>
      <c r="U337" s="24">
        <v>0</v>
      </c>
      <c r="V337" s="25" t="e">
        <f t="shared" si="196"/>
        <v>#DIV/0!</v>
      </c>
      <c r="W337" s="25" t="e">
        <f t="shared" si="197"/>
        <v>#DIV/0!</v>
      </c>
      <c r="X337" s="25" t="e">
        <f t="shared" si="198"/>
        <v>#DIV/0!</v>
      </c>
      <c r="Y337" s="25" t="e">
        <f t="shared" si="199"/>
        <v>#DIV/0!</v>
      </c>
      <c r="Z337" s="25" t="e">
        <f t="shared" si="200"/>
        <v>#DIV/0!</v>
      </c>
      <c r="AA337" s="25" t="e">
        <f t="shared" si="201"/>
        <v>#DIV/0!</v>
      </c>
      <c r="AB337" s="25" t="e">
        <f t="shared" si="202"/>
        <v>#DIV/0!</v>
      </c>
      <c r="AC337" s="25" t="e">
        <f t="shared" si="203"/>
        <v>#DIV/0!</v>
      </c>
      <c r="AD337" s="63" t="e">
        <f t="shared" si="204"/>
        <v>#DIV/0!</v>
      </c>
      <c r="AE337" s="24">
        <f t="shared" si="205"/>
        <v>0</v>
      </c>
    </row>
    <row r="338" spans="1:31" x14ac:dyDescent="0.2">
      <c r="A338" s="75">
        <f t="shared" si="186"/>
        <v>46288</v>
      </c>
      <c r="B338" s="15" t="str">
        <f>$B$8</f>
        <v>FC</v>
      </c>
      <c r="C338" s="15" t="str">
        <f>$C$8</f>
        <v xml:space="preserve">Kajal  </v>
      </c>
      <c r="D338" s="18">
        <f t="shared" si="206"/>
        <v>1.8326464451776976</v>
      </c>
      <c r="E338" s="4">
        <f t="shared" si="207"/>
        <v>4.5760513970175909</v>
      </c>
      <c r="F338" s="4">
        <v>4521.13878025338</v>
      </c>
      <c r="G338" s="5">
        <f t="shared" si="187"/>
        <v>2.4969635627530362</v>
      </c>
      <c r="H338" s="4">
        <f t="shared" si="188"/>
        <v>2467</v>
      </c>
      <c r="I338" s="4">
        <f t="shared" si="189"/>
        <v>988</v>
      </c>
      <c r="J338" s="4">
        <f t="shared" si="190"/>
        <v>0.14661171561421582</v>
      </c>
      <c r="K338" s="27">
        <f t="shared" si="191"/>
        <v>7.330585780710791E-2</v>
      </c>
      <c r="L338" s="30">
        <f t="shared" si="192"/>
        <v>0.4581616112944244</v>
      </c>
      <c r="M338" s="23">
        <v>5</v>
      </c>
      <c r="N338" s="2">
        <v>6</v>
      </c>
      <c r="O338" s="4">
        <v>2921.2</v>
      </c>
      <c r="P338" s="5">
        <f t="shared" si="193"/>
        <v>1.2</v>
      </c>
      <c r="Q338" s="29">
        <f t="shared" si="194"/>
        <v>584.24</v>
      </c>
      <c r="R338" s="29">
        <f t="shared" si="195"/>
        <v>486.86666666666662</v>
      </c>
      <c r="S338" s="1">
        <v>0</v>
      </c>
      <c r="T338" s="1">
        <v>0</v>
      </c>
      <c r="U338" s="24">
        <v>0</v>
      </c>
      <c r="V338" s="25">
        <f t="shared" si="196"/>
        <v>2.7282949273476413</v>
      </c>
      <c r="W338" s="25">
        <f t="shared" si="197"/>
        <v>1.3111740842575452</v>
      </c>
      <c r="X338" s="25">
        <f t="shared" si="198"/>
        <v>0.64612040062974707</v>
      </c>
      <c r="Y338" s="25">
        <f t="shared" si="199"/>
        <v>0.48058370490474261</v>
      </c>
      <c r="Z338" s="25">
        <f t="shared" si="200"/>
        <v>0.23682205107417917</v>
      </c>
      <c r="AA338" s="25">
        <f t="shared" si="201"/>
        <v>0.49278002699055323</v>
      </c>
      <c r="AB338" s="25">
        <f t="shared" si="202"/>
        <v>0</v>
      </c>
      <c r="AC338" s="25">
        <f t="shared" si="203"/>
        <v>0</v>
      </c>
      <c r="AD338" s="63">
        <f t="shared" si="204"/>
        <v>0</v>
      </c>
      <c r="AE338" s="24">
        <f t="shared" si="205"/>
        <v>1</v>
      </c>
    </row>
    <row r="339" spans="1:31" x14ac:dyDescent="0.2">
      <c r="A339" s="75">
        <f t="shared" ref="A339:A402" si="208">A324+1</f>
        <v>46288</v>
      </c>
      <c r="B339" s="15" t="str">
        <f>$B$9</f>
        <v>FC</v>
      </c>
      <c r="C339" s="15" t="str">
        <f>$C$9</f>
        <v>Pradeep</v>
      </c>
      <c r="D339" s="18">
        <f t="shared" si="206"/>
        <v>4.2761750387479616</v>
      </c>
      <c r="E339" s="4">
        <f t="shared" si="207"/>
        <v>10.677453259707715</v>
      </c>
      <c r="F339" s="4">
        <v>10549.323820591222</v>
      </c>
      <c r="G339" s="5">
        <f t="shared" si="187"/>
        <v>2.4969635627530367</v>
      </c>
      <c r="H339" s="4">
        <f t="shared" si="188"/>
        <v>2467</v>
      </c>
      <c r="I339" s="4">
        <f t="shared" si="189"/>
        <v>988</v>
      </c>
      <c r="J339" s="4">
        <f t="shared" si="190"/>
        <v>0.34209400309983695</v>
      </c>
      <c r="K339" s="27">
        <f t="shared" si="191"/>
        <v>0.17104700154991848</v>
      </c>
      <c r="L339" s="30">
        <f t="shared" si="192"/>
        <v>1.0690437596869904</v>
      </c>
      <c r="M339" s="23">
        <v>3</v>
      </c>
      <c r="N339" s="2">
        <v>6</v>
      </c>
      <c r="O339" s="4">
        <v>9034.4</v>
      </c>
      <c r="P339" s="5">
        <f t="shared" si="193"/>
        <v>2</v>
      </c>
      <c r="Q339" s="29">
        <f t="shared" si="194"/>
        <v>3011.4666666666667</v>
      </c>
      <c r="R339" s="29">
        <f t="shared" si="195"/>
        <v>1505.7333333333333</v>
      </c>
      <c r="S339" s="1">
        <v>0</v>
      </c>
      <c r="T339" s="1">
        <v>0</v>
      </c>
      <c r="U339" s="24">
        <v>0</v>
      </c>
      <c r="V339" s="25">
        <f t="shared" si="196"/>
        <v>0.70156155274653631</v>
      </c>
      <c r="W339" s="25">
        <f t="shared" si="197"/>
        <v>0.56193175039609067</v>
      </c>
      <c r="X339" s="25">
        <f t="shared" si="198"/>
        <v>0.856396121082733</v>
      </c>
      <c r="Y339" s="25">
        <f t="shared" si="199"/>
        <v>0.80097284150790427</v>
      </c>
      <c r="Z339" s="25">
        <f t="shared" si="200"/>
        <v>1.2206999054181868</v>
      </c>
      <c r="AA339" s="25">
        <f t="shared" si="201"/>
        <v>1.524021592442645</v>
      </c>
      <c r="AB339" s="25">
        <f t="shared" si="202"/>
        <v>0</v>
      </c>
      <c r="AC339" s="25">
        <f t="shared" si="203"/>
        <v>0</v>
      </c>
      <c r="AD339" s="63">
        <f t="shared" si="204"/>
        <v>0</v>
      </c>
      <c r="AE339" s="24">
        <f t="shared" si="205"/>
        <v>1</v>
      </c>
    </row>
    <row r="340" spans="1:31" x14ac:dyDescent="0.2">
      <c r="A340" s="75">
        <f t="shared" si="208"/>
        <v>46288</v>
      </c>
      <c r="B340" s="15" t="str">
        <f>$B$10</f>
        <v>FC</v>
      </c>
      <c r="C340" s="15" t="str">
        <f>$C$10</f>
        <v>Aftab</v>
      </c>
      <c r="D340" s="18">
        <f t="shared" si="206"/>
        <v>3.0544107419628301</v>
      </c>
      <c r="E340" s="4">
        <f t="shared" si="207"/>
        <v>7.6267523283626533</v>
      </c>
      <c r="F340" s="4">
        <v>7535.2313004223015</v>
      </c>
      <c r="G340" s="5">
        <f t="shared" si="187"/>
        <v>2.4969635627530362</v>
      </c>
      <c r="H340" s="4">
        <f t="shared" si="188"/>
        <v>2467</v>
      </c>
      <c r="I340" s="4">
        <f t="shared" si="189"/>
        <v>988</v>
      </c>
      <c r="J340" s="4">
        <f t="shared" si="190"/>
        <v>0.24435285935702641</v>
      </c>
      <c r="K340" s="27">
        <f t="shared" si="191"/>
        <v>0.12217642967851321</v>
      </c>
      <c r="L340" s="30">
        <f t="shared" si="192"/>
        <v>0.76360268549070753</v>
      </c>
      <c r="M340" s="23">
        <v>5</v>
      </c>
      <c r="N340" s="2">
        <v>11</v>
      </c>
      <c r="O340" s="4">
        <v>9446.51</v>
      </c>
      <c r="P340" s="5">
        <f t="shared" si="193"/>
        <v>2.2000000000000002</v>
      </c>
      <c r="Q340" s="29">
        <f t="shared" si="194"/>
        <v>1889.3020000000001</v>
      </c>
      <c r="R340" s="29">
        <f t="shared" si="195"/>
        <v>858.77363636363634</v>
      </c>
      <c r="S340" s="1">
        <v>0</v>
      </c>
      <c r="T340" s="1">
        <v>0</v>
      </c>
      <c r="U340" s="24">
        <v>0</v>
      </c>
      <c r="V340" s="25">
        <f t="shared" si="196"/>
        <v>1.6369769564085845</v>
      </c>
      <c r="W340" s="25">
        <f t="shared" si="197"/>
        <v>1.4422914926832993</v>
      </c>
      <c r="X340" s="25">
        <f t="shared" si="198"/>
        <v>1.2536456577611073</v>
      </c>
      <c r="Y340" s="25">
        <f t="shared" si="199"/>
        <v>0.88107012565869491</v>
      </c>
      <c r="Z340" s="25">
        <f t="shared" si="200"/>
        <v>0.76582975273611675</v>
      </c>
      <c r="AA340" s="25">
        <f t="shared" si="201"/>
        <v>0.86920408538829586</v>
      </c>
      <c r="AB340" s="25">
        <f t="shared" si="202"/>
        <v>0</v>
      </c>
      <c r="AC340" s="25">
        <f t="shared" si="203"/>
        <v>0</v>
      </c>
      <c r="AD340" s="63">
        <f t="shared" si="204"/>
        <v>0</v>
      </c>
      <c r="AE340" s="24">
        <f t="shared" si="205"/>
        <v>1</v>
      </c>
    </row>
    <row r="341" spans="1:31" x14ac:dyDescent="0.2">
      <c r="A341" s="75">
        <f t="shared" si="208"/>
        <v>46288</v>
      </c>
      <c r="B341" s="15" t="str">
        <f>$B$11</f>
        <v>FC</v>
      </c>
      <c r="C341" s="15" t="str">
        <f>$C$11</f>
        <v>Khushi</v>
      </c>
      <c r="D341" s="18">
        <f t="shared" si="206"/>
        <v>6.1088214839256603</v>
      </c>
      <c r="E341" s="4">
        <f t="shared" si="207"/>
        <v>15.253504656725307</v>
      </c>
      <c r="F341" s="4">
        <v>15070.462600844603</v>
      </c>
      <c r="G341" s="5">
        <f t="shared" si="187"/>
        <v>2.4969635627530362</v>
      </c>
      <c r="H341" s="4">
        <f t="shared" si="188"/>
        <v>2467</v>
      </c>
      <c r="I341" s="4">
        <f t="shared" si="189"/>
        <v>988</v>
      </c>
      <c r="J341" s="4">
        <f t="shared" si="190"/>
        <v>0.48870571871405283</v>
      </c>
      <c r="K341" s="27">
        <f t="shared" si="191"/>
        <v>0.24435285935702641</v>
      </c>
      <c r="L341" s="30">
        <f t="shared" si="192"/>
        <v>1.5272053709814151</v>
      </c>
      <c r="M341" s="23">
        <v>7</v>
      </c>
      <c r="N341" s="2">
        <v>11</v>
      </c>
      <c r="O341" s="4">
        <v>20266.300000000003</v>
      </c>
      <c r="P341" s="5">
        <f t="shared" si="193"/>
        <v>1.5714285714285714</v>
      </c>
      <c r="Q341" s="29">
        <f t="shared" si="194"/>
        <v>2895.1857142857148</v>
      </c>
      <c r="R341" s="29">
        <f t="shared" si="195"/>
        <v>1842.3909090909094</v>
      </c>
      <c r="S341" s="1">
        <v>0</v>
      </c>
      <c r="T341" s="1">
        <v>0</v>
      </c>
      <c r="U341" s="24">
        <v>0</v>
      </c>
      <c r="V341" s="25">
        <f t="shared" si="196"/>
        <v>1.1458838694860092</v>
      </c>
      <c r="W341" s="25">
        <f t="shared" si="197"/>
        <v>0.72114574634164963</v>
      </c>
      <c r="X341" s="25">
        <f t="shared" si="198"/>
        <v>1.3447696024184557</v>
      </c>
      <c r="Y341" s="25">
        <f t="shared" si="199"/>
        <v>0.62933580404192491</v>
      </c>
      <c r="Z341" s="25">
        <f t="shared" si="200"/>
        <v>1.1735653483120043</v>
      </c>
      <c r="AA341" s="25">
        <f t="shared" si="201"/>
        <v>1.8647681266102323</v>
      </c>
      <c r="AB341" s="25">
        <f t="shared" si="202"/>
        <v>0</v>
      </c>
      <c r="AC341" s="25">
        <f t="shared" si="203"/>
        <v>0</v>
      </c>
      <c r="AD341" s="63">
        <f t="shared" si="204"/>
        <v>0</v>
      </c>
      <c r="AE341" s="24">
        <f t="shared" si="205"/>
        <v>1</v>
      </c>
    </row>
    <row r="342" spans="1:31" x14ac:dyDescent="0.2">
      <c r="A342" s="75">
        <f t="shared" si="208"/>
        <v>46288</v>
      </c>
      <c r="B342" s="15" t="str">
        <f>$B$12</f>
        <v>FC</v>
      </c>
      <c r="C342" s="15" t="str">
        <f>$C$12</f>
        <v>Kishan</v>
      </c>
      <c r="D342" s="18">
        <f t="shared" si="206"/>
        <v>0</v>
      </c>
      <c r="E342" s="4">
        <f t="shared" si="207"/>
        <v>0</v>
      </c>
      <c r="F342" s="4">
        <v>0</v>
      </c>
      <c r="G342" s="5" t="e">
        <f t="shared" si="187"/>
        <v>#DIV/0!</v>
      </c>
      <c r="H342" s="4" t="e">
        <f t="shared" si="188"/>
        <v>#DIV/0!</v>
      </c>
      <c r="I342" s="4" t="e">
        <f t="shared" si="189"/>
        <v>#DIV/0!</v>
      </c>
      <c r="J342" s="4">
        <f t="shared" si="190"/>
        <v>0</v>
      </c>
      <c r="K342" s="27">
        <f t="shared" si="191"/>
        <v>0</v>
      </c>
      <c r="L342" s="30">
        <f t="shared" si="192"/>
        <v>0</v>
      </c>
      <c r="M342" s="23">
        <v>0</v>
      </c>
      <c r="N342" s="2">
        <v>0</v>
      </c>
      <c r="O342" s="4">
        <v>0</v>
      </c>
      <c r="P342" s="5" t="e">
        <f t="shared" si="193"/>
        <v>#DIV/0!</v>
      </c>
      <c r="Q342" s="29" t="e">
        <f t="shared" si="194"/>
        <v>#DIV/0!</v>
      </c>
      <c r="R342" s="29" t="e">
        <f t="shared" si="195"/>
        <v>#DIV/0!</v>
      </c>
      <c r="S342" s="1">
        <v>0</v>
      </c>
      <c r="T342" s="1">
        <v>0</v>
      </c>
      <c r="U342" s="24">
        <v>0</v>
      </c>
      <c r="V342" s="25" t="e">
        <f t="shared" si="196"/>
        <v>#DIV/0!</v>
      </c>
      <c r="W342" s="25" t="e">
        <f t="shared" si="197"/>
        <v>#DIV/0!</v>
      </c>
      <c r="X342" s="25" t="e">
        <f t="shared" si="198"/>
        <v>#DIV/0!</v>
      </c>
      <c r="Y342" s="25" t="e">
        <f t="shared" si="199"/>
        <v>#DIV/0!</v>
      </c>
      <c r="Z342" s="25" t="e">
        <f t="shared" si="200"/>
        <v>#DIV/0!</v>
      </c>
      <c r="AA342" s="25" t="e">
        <f t="shared" si="201"/>
        <v>#DIV/0!</v>
      </c>
      <c r="AB342" s="25" t="e">
        <f t="shared" si="202"/>
        <v>#DIV/0!</v>
      </c>
      <c r="AC342" s="25" t="e">
        <f t="shared" si="203"/>
        <v>#DIV/0!</v>
      </c>
      <c r="AD342" s="63" t="e">
        <f t="shared" si="204"/>
        <v>#DIV/0!</v>
      </c>
      <c r="AE342" s="24">
        <f t="shared" si="205"/>
        <v>0</v>
      </c>
    </row>
    <row r="343" spans="1:31" x14ac:dyDescent="0.2">
      <c r="A343" s="75">
        <f t="shared" si="208"/>
        <v>46288</v>
      </c>
      <c r="B343" s="15" t="str">
        <f>$B$13</f>
        <v>Partner</v>
      </c>
      <c r="C343" s="15" t="str">
        <f>$C$13</f>
        <v>Rahul</v>
      </c>
      <c r="D343" s="18">
        <f t="shared" si="206"/>
        <v>4.8870571871405275</v>
      </c>
      <c r="E343" s="4">
        <f t="shared" si="207"/>
        <v>12.202803725380246</v>
      </c>
      <c r="F343" s="4">
        <v>12056.370080675682</v>
      </c>
      <c r="G343" s="5">
        <f t="shared" si="187"/>
        <v>2.4969635627530367</v>
      </c>
      <c r="H343" s="4">
        <f t="shared" si="188"/>
        <v>2467</v>
      </c>
      <c r="I343" s="4">
        <f t="shared" si="189"/>
        <v>988</v>
      </c>
      <c r="J343" s="4">
        <f t="shared" si="190"/>
        <v>0.39096457497124221</v>
      </c>
      <c r="K343" s="27">
        <f t="shared" si="191"/>
        <v>0.1954822874856211</v>
      </c>
      <c r="L343" s="30">
        <f t="shared" si="192"/>
        <v>1.2217642967851319</v>
      </c>
      <c r="M343" s="23">
        <v>2</v>
      </c>
      <c r="N343" s="2">
        <v>7</v>
      </c>
      <c r="O343" s="4">
        <v>7993</v>
      </c>
      <c r="P343" s="5">
        <f t="shared" si="193"/>
        <v>3.5</v>
      </c>
      <c r="Q343" s="29">
        <f t="shared" si="194"/>
        <v>3996.5</v>
      </c>
      <c r="R343" s="29">
        <f t="shared" si="195"/>
        <v>1141.8571428571429</v>
      </c>
      <c r="S343" s="1">
        <v>0</v>
      </c>
      <c r="T343" s="1">
        <v>0</v>
      </c>
      <c r="U343" s="24">
        <v>0</v>
      </c>
      <c r="V343" s="25">
        <f t="shared" si="196"/>
        <v>0.40924423910214619</v>
      </c>
      <c r="W343" s="25">
        <f t="shared" si="197"/>
        <v>0.57363866186267587</v>
      </c>
      <c r="X343" s="25">
        <f t="shared" si="198"/>
        <v>0.66296903184909894</v>
      </c>
      <c r="Y343" s="25">
        <f t="shared" si="199"/>
        <v>1.4017024726388325</v>
      </c>
      <c r="Z343" s="25">
        <f t="shared" si="200"/>
        <v>1.6199837859748683</v>
      </c>
      <c r="AA343" s="25">
        <f t="shared" si="201"/>
        <v>1.1557258530942742</v>
      </c>
      <c r="AB343" s="25">
        <f t="shared" si="202"/>
        <v>0</v>
      </c>
      <c r="AC343" s="25">
        <f t="shared" si="203"/>
        <v>0</v>
      </c>
      <c r="AD343" s="63">
        <f t="shared" si="204"/>
        <v>0</v>
      </c>
      <c r="AE343" s="24">
        <f t="shared" si="205"/>
        <v>1</v>
      </c>
    </row>
    <row r="344" spans="1:31" x14ac:dyDescent="0.2">
      <c r="A344" s="75">
        <f t="shared" si="208"/>
        <v>46288</v>
      </c>
      <c r="B344" s="15" t="str">
        <f>$B$14</f>
        <v>Partner</v>
      </c>
      <c r="C344" s="15" t="str">
        <f>$C$14</f>
        <v>Prince</v>
      </c>
      <c r="D344" s="18">
        <f t="shared" si="206"/>
        <v>0</v>
      </c>
      <c r="E344" s="4">
        <f t="shared" si="207"/>
        <v>0</v>
      </c>
      <c r="F344" s="4">
        <v>0</v>
      </c>
      <c r="G344" s="5" t="e">
        <f t="shared" si="187"/>
        <v>#DIV/0!</v>
      </c>
      <c r="H344" s="4" t="e">
        <f t="shared" si="188"/>
        <v>#DIV/0!</v>
      </c>
      <c r="I344" s="4" t="e">
        <f t="shared" si="189"/>
        <v>#DIV/0!</v>
      </c>
      <c r="J344" s="4">
        <f t="shared" si="190"/>
        <v>0</v>
      </c>
      <c r="K344" s="27">
        <f t="shared" si="191"/>
        <v>0</v>
      </c>
      <c r="L344" s="30">
        <f t="shared" si="192"/>
        <v>0</v>
      </c>
      <c r="M344" s="23">
        <v>0</v>
      </c>
      <c r="N344" s="2">
        <v>0</v>
      </c>
      <c r="O344" s="4">
        <v>0</v>
      </c>
      <c r="P344" s="5" t="e">
        <f t="shared" si="193"/>
        <v>#DIV/0!</v>
      </c>
      <c r="Q344" s="29" t="e">
        <f t="shared" si="194"/>
        <v>#DIV/0!</v>
      </c>
      <c r="R344" s="29" t="e">
        <f t="shared" si="195"/>
        <v>#DIV/0!</v>
      </c>
      <c r="S344" s="1">
        <v>0</v>
      </c>
      <c r="T344" s="1">
        <v>0</v>
      </c>
      <c r="U344" s="24">
        <v>0</v>
      </c>
      <c r="V344" s="25" t="e">
        <f t="shared" si="196"/>
        <v>#DIV/0!</v>
      </c>
      <c r="W344" s="25" t="e">
        <f t="shared" si="197"/>
        <v>#DIV/0!</v>
      </c>
      <c r="X344" s="25" t="e">
        <f t="shared" si="198"/>
        <v>#DIV/0!</v>
      </c>
      <c r="Y344" s="25" t="e">
        <f t="shared" si="199"/>
        <v>#DIV/0!</v>
      </c>
      <c r="Z344" s="25" t="e">
        <f t="shared" si="200"/>
        <v>#DIV/0!</v>
      </c>
      <c r="AA344" s="25" t="e">
        <f t="shared" si="201"/>
        <v>#DIV/0!</v>
      </c>
      <c r="AB344" s="25" t="e">
        <f t="shared" si="202"/>
        <v>#DIV/0!</v>
      </c>
      <c r="AC344" s="25" t="e">
        <f t="shared" si="203"/>
        <v>#DIV/0!</v>
      </c>
      <c r="AD344" s="63" t="e">
        <f t="shared" si="204"/>
        <v>#DIV/0!</v>
      </c>
      <c r="AE344" s="24">
        <f t="shared" si="205"/>
        <v>0</v>
      </c>
    </row>
    <row r="345" spans="1:31" x14ac:dyDescent="0.2">
      <c r="A345" s="75">
        <f t="shared" si="208"/>
        <v>46288</v>
      </c>
      <c r="B345" s="15" t="str">
        <f>$B$15</f>
        <v>Partner</v>
      </c>
      <c r="C345" s="15" t="str">
        <f>$C$15</f>
        <v>Kunal</v>
      </c>
      <c r="D345" s="18">
        <f t="shared" si="206"/>
        <v>4.8870571871405275</v>
      </c>
      <c r="E345" s="4">
        <f t="shared" si="207"/>
        <v>12.202803725380246</v>
      </c>
      <c r="F345" s="4">
        <v>12056.370080675682</v>
      </c>
      <c r="G345" s="5">
        <f t="shared" si="187"/>
        <v>2.4969635627530367</v>
      </c>
      <c r="H345" s="4">
        <f t="shared" si="188"/>
        <v>2467</v>
      </c>
      <c r="I345" s="4">
        <f t="shared" si="189"/>
        <v>988</v>
      </c>
      <c r="J345" s="4">
        <f t="shared" si="190"/>
        <v>0.39096457497124221</v>
      </c>
      <c r="K345" s="27">
        <f t="shared" si="191"/>
        <v>0.1954822874856211</v>
      </c>
      <c r="L345" s="30">
        <f t="shared" si="192"/>
        <v>1.2217642967851319</v>
      </c>
      <c r="M345" s="23">
        <v>4</v>
      </c>
      <c r="N345" s="2">
        <v>5</v>
      </c>
      <c r="O345" s="4">
        <v>9195</v>
      </c>
      <c r="P345" s="5">
        <f t="shared" si="193"/>
        <v>1.25</v>
      </c>
      <c r="Q345" s="29">
        <f t="shared" si="194"/>
        <v>2298.75</v>
      </c>
      <c r="R345" s="29">
        <f t="shared" si="195"/>
        <v>1839</v>
      </c>
      <c r="S345" s="1">
        <v>0</v>
      </c>
      <c r="T345" s="1">
        <v>0</v>
      </c>
      <c r="U345" s="24">
        <v>0</v>
      </c>
      <c r="V345" s="25">
        <f t="shared" si="196"/>
        <v>0.81848847820429238</v>
      </c>
      <c r="W345" s="25">
        <f t="shared" si="197"/>
        <v>0.40974190133048277</v>
      </c>
      <c r="X345" s="25">
        <f t="shared" si="198"/>
        <v>0.76266736492586817</v>
      </c>
      <c r="Y345" s="25">
        <f t="shared" si="199"/>
        <v>0.50060802594244014</v>
      </c>
      <c r="Z345" s="25">
        <f t="shared" si="200"/>
        <v>0.93179975678962301</v>
      </c>
      <c r="AA345" s="25">
        <f t="shared" si="201"/>
        <v>1.8613360323886641</v>
      </c>
      <c r="AB345" s="25">
        <f t="shared" si="202"/>
        <v>0</v>
      </c>
      <c r="AC345" s="25">
        <f t="shared" si="203"/>
        <v>0</v>
      </c>
      <c r="AD345" s="63">
        <f t="shared" si="204"/>
        <v>0</v>
      </c>
      <c r="AE345" s="24">
        <f t="shared" si="205"/>
        <v>1</v>
      </c>
    </row>
    <row r="346" spans="1:31" x14ac:dyDescent="0.2">
      <c r="A346" s="75">
        <f t="shared" si="208"/>
        <v>46288</v>
      </c>
      <c r="B346" s="15" t="str">
        <f>$B$16</f>
        <v>NA</v>
      </c>
      <c r="C346" s="15" t="str">
        <f>$C$16</f>
        <v>NA</v>
      </c>
      <c r="D346" s="18">
        <f t="shared" si="206"/>
        <v>0</v>
      </c>
      <c r="E346" s="4">
        <f t="shared" si="207"/>
        <v>0</v>
      </c>
      <c r="F346" s="4">
        <v>0</v>
      </c>
      <c r="G346" s="5" t="e">
        <f t="shared" si="187"/>
        <v>#DIV/0!</v>
      </c>
      <c r="H346" s="4" t="e">
        <f t="shared" si="188"/>
        <v>#DIV/0!</v>
      </c>
      <c r="I346" s="4" t="e">
        <f t="shared" si="189"/>
        <v>#DIV/0!</v>
      </c>
      <c r="J346" s="4">
        <f t="shared" si="190"/>
        <v>0</v>
      </c>
      <c r="K346" s="27">
        <f t="shared" si="191"/>
        <v>0</v>
      </c>
      <c r="L346" s="30">
        <f t="shared" si="192"/>
        <v>0</v>
      </c>
      <c r="M346" s="23">
        <v>2</v>
      </c>
      <c r="N346" s="2">
        <v>0</v>
      </c>
      <c r="O346" s="4">
        <v>-4806.1899999999996</v>
      </c>
      <c r="P346" s="5">
        <f t="shared" si="193"/>
        <v>0</v>
      </c>
      <c r="Q346" s="29">
        <f t="shared" si="194"/>
        <v>-2403.0949999999998</v>
      </c>
      <c r="R346" s="29" t="e">
        <f t="shared" si="195"/>
        <v>#DIV/0!</v>
      </c>
      <c r="S346" s="1">
        <v>0</v>
      </c>
      <c r="T346" s="1">
        <v>0</v>
      </c>
      <c r="U346" s="24">
        <v>0</v>
      </c>
      <c r="V346" s="25" t="e">
        <f t="shared" si="196"/>
        <v>#DIV/0!</v>
      </c>
      <c r="W346" s="25" t="e">
        <f t="shared" si="197"/>
        <v>#DIV/0!</v>
      </c>
      <c r="X346" s="25" t="e">
        <f t="shared" si="198"/>
        <v>#DIV/0!</v>
      </c>
      <c r="Y346" s="25" t="e">
        <f t="shared" si="199"/>
        <v>#DIV/0!</v>
      </c>
      <c r="Z346" s="25" t="e">
        <f t="shared" si="200"/>
        <v>#DIV/0!</v>
      </c>
      <c r="AA346" s="25" t="e">
        <f t="shared" si="201"/>
        <v>#DIV/0!</v>
      </c>
      <c r="AB346" s="25" t="e">
        <f t="shared" si="202"/>
        <v>#DIV/0!</v>
      </c>
      <c r="AC346" s="25" t="e">
        <f t="shared" si="203"/>
        <v>#DIV/0!</v>
      </c>
      <c r="AD346" s="63" t="e">
        <f t="shared" si="204"/>
        <v>#DIV/0!</v>
      </c>
      <c r="AE346" s="24">
        <f t="shared" si="205"/>
        <v>0</v>
      </c>
    </row>
    <row r="347" spans="1:31" x14ac:dyDescent="0.2">
      <c r="A347" s="75">
        <f t="shared" si="208"/>
        <v>46288</v>
      </c>
      <c r="B347" s="15" t="str">
        <f>$B$17</f>
        <v>NA</v>
      </c>
      <c r="C347" s="15" t="str">
        <f>$C$17</f>
        <v>NA</v>
      </c>
      <c r="D347" s="18">
        <f t="shared" si="206"/>
        <v>0</v>
      </c>
      <c r="E347" s="4">
        <f t="shared" si="207"/>
        <v>0</v>
      </c>
      <c r="F347" s="4">
        <v>0</v>
      </c>
      <c r="G347" s="5" t="e">
        <f t="shared" si="187"/>
        <v>#DIV/0!</v>
      </c>
      <c r="H347" s="4" t="e">
        <f t="shared" si="188"/>
        <v>#DIV/0!</v>
      </c>
      <c r="I347" s="4" t="e">
        <f t="shared" si="189"/>
        <v>#DIV/0!</v>
      </c>
      <c r="J347" s="4">
        <f t="shared" si="190"/>
        <v>0</v>
      </c>
      <c r="K347" s="27">
        <f t="shared" si="191"/>
        <v>0</v>
      </c>
      <c r="L347" s="30">
        <f t="shared" si="192"/>
        <v>0</v>
      </c>
      <c r="M347" s="23">
        <v>0</v>
      </c>
      <c r="N347" s="2">
        <v>0</v>
      </c>
      <c r="O347" s="4">
        <v>0</v>
      </c>
      <c r="P347" s="5" t="e">
        <f t="shared" si="193"/>
        <v>#DIV/0!</v>
      </c>
      <c r="Q347" s="29" t="e">
        <f t="shared" si="194"/>
        <v>#DIV/0!</v>
      </c>
      <c r="R347" s="29" t="e">
        <f t="shared" si="195"/>
        <v>#DIV/0!</v>
      </c>
      <c r="S347" s="1">
        <v>0</v>
      </c>
      <c r="T347" s="1">
        <v>0</v>
      </c>
      <c r="U347" s="24">
        <v>0</v>
      </c>
      <c r="V347" s="25" t="e">
        <f t="shared" si="196"/>
        <v>#DIV/0!</v>
      </c>
      <c r="W347" s="25" t="e">
        <f t="shared" si="197"/>
        <v>#DIV/0!</v>
      </c>
      <c r="X347" s="25" t="e">
        <f t="shared" si="198"/>
        <v>#DIV/0!</v>
      </c>
      <c r="Y347" s="25" t="e">
        <f t="shared" si="199"/>
        <v>#DIV/0!</v>
      </c>
      <c r="Z347" s="25" t="e">
        <f t="shared" si="200"/>
        <v>#DIV/0!</v>
      </c>
      <c r="AA347" s="25" t="e">
        <f t="shared" si="201"/>
        <v>#DIV/0!</v>
      </c>
      <c r="AB347" s="25" t="e">
        <f t="shared" si="202"/>
        <v>#DIV/0!</v>
      </c>
      <c r="AC347" s="25" t="e">
        <f t="shared" si="203"/>
        <v>#DIV/0!</v>
      </c>
      <c r="AD347" s="63" t="e">
        <f t="shared" si="204"/>
        <v>#DIV/0!</v>
      </c>
      <c r="AE347" s="24">
        <f t="shared" si="205"/>
        <v>0</v>
      </c>
    </row>
    <row r="348" spans="1:31" x14ac:dyDescent="0.2">
      <c r="A348" s="75">
        <f t="shared" si="208"/>
        <v>46288</v>
      </c>
      <c r="B348" s="15" t="str">
        <f>$B$18</f>
        <v>NA</v>
      </c>
      <c r="C348" s="15" t="str">
        <f>$C$18</f>
        <v>NA</v>
      </c>
      <c r="D348" s="18">
        <f t="shared" si="206"/>
        <v>0</v>
      </c>
      <c r="E348" s="4">
        <f t="shared" si="207"/>
        <v>0</v>
      </c>
      <c r="F348" s="4">
        <v>0</v>
      </c>
      <c r="G348" s="5" t="e">
        <f t="shared" si="187"/>
        <v>#DIV/0!</v>
      </c>
      <c r="H348" s="4" t="e">
        <f t="shared" si="188"/>
        <v>#DIV/0!</v>
      </c>
      <c r="I348" s="4" t="e">
        <f t="shared" si="189"/>
        <v>#DIV/0!</v>
      </c>
      <c r="J348" s="4">
        <f t="shared" si="190"/>
        <v>0</v>
      </c>
      <c r="K348" s="27">
        <f t="shared" si="191"/>
        <v>0</v>
      </c>
      <c r="L348" s="30">
        <f t="shared" si="192"/>
        <v>0</v>
      </c>
      <c r="M348" s="23">
        <v>0</v>
      </c>
      <c r="N348" s="2">
        <v>0</v>
      </c>
      <c r="O348" s="4">
        <v>0</v>
      </c>
      <c r="P348" s="5" t="e">
        <f t="shared" si="193"/>
        <v>#DIV/0!</v>
      </c>
      <c r="Q348" s="29" t="e">
        <f t="shared" si="194"/>
        <v>#DIV/0!</v>
      </c>
      <c r="R348" s="29" t="e">
        <f t="shared" si="195"/>
        <v>#DIV/0!</v>
      </c>
      <c r="S348" s="1">
        <v>0</v>
      </c>
      <c r="T348" s="1">
        <v>0</v>
      </c>
      <c r="U348" s="24">
        <v>0</v>
      </c>
      <c r="V348" s="25" t="e">
        <f t="shared" si="196"/>
        <v>#DIV/0!</v>
      </c>
      <c r="W348" s="25" t="e">
        <f t="shared" si="197"/>
        <v>#DIV/0!</v>
      </c>
      <c r="X348" s="25" t="e">
        <f t="shared" si="198"/>
        <v>#DIV/0!</v>
      </c>
      <c r="Y348" s="25" t="e">
        <f t="shared" si="199"/>
        <v>#DIV/0!</v>
      </c>
      <c r="Z348" s="25" t="e">
        <f t="shared" si="200"/>
        <v>#DIV/0!</v>
      </c>
      <c r="AA348" s="25" t="e">
        <f t="shared" si="201"/>
        <v>#DIV/0!</v>
      </c>
      <c r="AB348" s="25" t="e">
        <f t="shared" si="202"/>
        <v>#DIV/0!</v>
      </c>
      <c r="AC348" s="25" t="e">
        <f t="shared" si="203"/>
        <v>#DIV/0!</v>
      </c>
      <c r="AD348" s="63" t="e">
        <f t="shared" si="204"/>
        <v>#DIV/0!</v>
      </c>
      <c r="AE348" s="24">
        <f t="shared" si="205"/>
        <v>0</v>
      </c>
    </row>
    <row r="349" spans="1:31" x14ac:dyDescent="0.2">
      <c r="A349" s="75">
        <f t="shared" si="208"/>
        <v>46289</v>
      </c>
      <c r="B349" s="15" t="str">
        <f>$B$4</f>
        <v>DSM</v>
      </c>
      <c r="C349" s="15" t="str">
        <f>$C$4</f>
        <v xml:space="preserve">komal  </v>
      </c>
      <c r="D349" s="18">
        <f t="shared" si="206"/>
        <v>0</v>
      </c>
      <c r="E349" s="4">
        <f t="shared" si="207"/>
        <v>0</v>
      </c>
      <c r="F349" s="4">
        <v>0</v>
      </c>
      <c r="G349" s="5" t="e">
        <f t="shared" si="187"/>
        <v>#DIV/0!</v>
      </c>
      <c r="H349" s="4" t="e">
        <f t="shared" si="188"/>
        <v>#DIV/0!</v>
      </c>
      <c r="I349" s="4" t="e">
        <f t="shared" si="189"/>
        <v>#DIV/0!</v>
      </c>
      <c r="J349" s="4">
        <f t="shared" si="190"/>
        <v>0</v>
      </c>
      <c r="K349" s="27">
        <f t="shared" si="191"/>
        <v>0</v>
      </c>
      <c r="L349" s="30">
        <f t="shared" si="192"/>
        <v>0</v>
      </c>
      <c r="M349" s="23">
        <v>0</v>
      </c>
      <c r="N349" s="2">
        <v>0</v>
      </c>
      <c r="O349" s="4">
        <v>0</v>
      </c>
      <c r="P349" s="5" t="e">
        <f t="shared" si="193"/>
        <v>#DIV/0!</v>
      </c>
      <c r="Q349" s="29" t="e">
        <f t="shared" si="194"/>
        <v>#DIV/0!</v>
      </c>
      <c r="R349" s="29" t="e">
        <f t="shared" si="195"/>
        <v>#DIV/0!</v>
      </c>
      <c r="S349" s="1">
        <v>0</v>
      </c>
      <c r="T349" s="1">
        <v>0</v>
      </c>
      <c r="U349" s="24">
        <v>0</v>
      </c>
      <c r="V349" s="25" t="e">
        <f t="shared" si="196"/>
        <v>#DIV/0!</v>
      </c>
      <c r="W349" s="25" t="e">
        <f t="shared" si="197"/>
        <v>#DIV/0!</v>
      </c>
      <c r="X349" s="25" t="e">
        <f t="shared" si="198"/>
        <v>#DIV/0!</v>
      </c>
      <c r="Y349" s="25" t="e">
        <f t="shared" si="199"/>
        <v>#DIV/0!</v>
      </c>
      <c r="Z349" s="25" t="e">
        <f t="shared" si="200"/>
        <v>#DIV/0!</v>
      </c>
      <c r="AA349" s="25" t="e">
        <f t="shared" si="201"/>
        <v>#DIV/0!</v>
      </c>
      <c r="AB349" s="25" t="e">
        <f t="shared" si="202"/>
        <v>#DIV/0!</v>
      </c>
      <c r="AC349" s="25" t="e">
        <f t="shared" si="203"/>
        <v>#DIV/0!</v>
      </c>
      <c r="AD349" s="63" t="e">
        <f t="shared" si="204"/>
        <v>#DIV/0!</v>
      </c>
      <c r="AE349" s="24">
        <f t="shared" si="205"/>
        <v>0</v>
      </c>
    </row>
    <row r="350" spans="1:31" x14ac:dyDescent="0.2">
      <c r="A350" s="75">
        <f t="shared" si="208"/>
        <v>46289</v>
      </c>
      <c r="B350" s="15" t="str">
        <f>$B$5</f>
        <v>SS</v>
      </c>
      <c r="C350" s="15" t="str">
        <f>$C$5</f>
        <v>Prem</v>
      </c>
      <c r="D350" s="18">
        <f t="shared" si="206"/>
        <v>0</v>
      </c>
      <c r="E350" s="4">
        <f t="shared" si="207"/>
        <v>0</v>
      </c>
      <c r="F350" s="4">
        <v>0</v>
      </c>
      <c r="G350" s="5" t="e">
        <f t="shared" si="187"/>
        <v>#DIV/0!</v>
      </c>
      <c r="H350" s="4" t="e">
        <f t="shared" si="188"/>
        <v>#DIV/0!</v>
      </c>
      <c r="I350" s="4" t="e">
        <f t="shared" si="189"/>
        <v>#DIV/0!</v>
      </c>
      <c r="J350" s="4">
        <f t="shared" si="190"/>
        <v>0</v>
      </c>
      <c r="K350" s="27">
        <f t="shared" si="191"/>
        <v>0</v>
      </c>
      <c r="L350" s="30">
        <f t="shared" si="192"/>
        <v>0</v>
      </c>
      <c r="M350" s="23">
        <v>0</v>
      </c>
      <c r="N350" s="2">
        <v>0</v>
      </c>
      <c r="O350" s="4">
        <v>0</v>
      </c>
      <c r="P350" s="5" t="e">
        <f t="shared" si="193"/>
        <v>#DIV/0!</v>
      </c>
      <c r="Q350" s="29" t="e">
        <f t="shared" si="194"/>
        <v>#DIV/0!</v>
      </c>
      <c r="R350" s="29" t="e">
        <f t="shared" si="195"/>
        <v>#DIV/0!</v>
      </c>
      <c r="S350" s="1">
        <v>0</v>
      </c>
      <c r="T350" s="1">
        <v>0</v>
      </c>
      <c r="U350" s="24">
        <v>0</v>
      </c>
      <c r="V350" s="25" t="e">
        <f t="shared" si="196"/>
        <v>#DIV/0!</v>
      </c>
      <c r="W350" s="25" t="e">
        <f t="shared" si="197"/>
        <v>#DIV/0!</v>
      </c>
      <c r="X350" s="25" t="e">
        <f t="shared" si="198"/>
        <v>#DIV/0!</v>
      </c>
      <c r="Y350" s="25" t="e">
        <f t="shared" si="199"/>
        <v>#DIV/0!</v>
      </c>
      <c r="Z350" s="25" t="e">
        <f t="shared" si="200"/>
        <v>#DIV/0!</v>
      </c>
      <c r="AA350" s="25" t="e">
        <f t="shared" si="201"/>
        <v>#DIV/0!</v>
      </c>
      <c r="AB350" s="25" t="e">
        <f t="shared" si="202"/>
        <v>#DIV/0!</v>
      </c>
      <c r="AC350" s="25" t="e">
        <f t="shared" si="203"/>
        <v>#DIV/0!</v>
      </c>
      <c r="AD350" s="63" t="e">
        <f t="shared" si="204"/>
        <v>#DIV/0!</v>
      </c>
      <c r="AE350" s="24">
        <f t="shared" si="205"/>
        <v>0</v>
      </c>
    </row>
    <row r="351" spans="1:31" x14ac:dyDescent="0.2">
      <c r="A351" s="75">
        <f t="shared" si="208"/>
        <v>46289</v>
      </c>
      <c r="B351" s="15" t="str">
        <f>$B$6</f>
        <v>SS</v>
      </c>
      <c r="C351" s="15" t="str">
        <f>$C$6</f>
        <v>Anuj</v>
      </c>
      <c r="D351" s="18">
        <f t="shared" si="206"/>
        <v>4.9791079218298178</v>
      </c>
      <c r="E351" s="4">
        <f t="shared" si="207"/>
        <v>12.432651055824049</v>
      </c>
      <c r="F351" s="4">
        <v>12283.459243154161</v>
      </c>
      <c r="G351" s="5">
        <f t="shared" ref="G351:G419" si="209">E351/D351</f>
        <v>2.4969635627530367</v>
      </c>
      <c r="H351" s="4">
        <f t="shared" ref="H351:H419" si="210">F351/D351</f>
        <v>2467</v>
      </c>
      <c r="I351" s="4">
        <f t="shared" ref="I351:I419" si="211">F351/E351</f>
        <v>988</v>
      </c>
      <c r="J351" s="4">
        <f t="shared" ref="J351:J419" si="212">D351*8%</f>
        <v>0.39832863374638544</v>
      </c>
      <c r="K351" s="27">
        <f t="shared" ref="K351:K419" si="213">D351*4%</f>
        <v>0.19916431687319272</v>
      </c>
      <c r="L351" s="30">
        <f t="shared" ref="L351:L419" si="214">D351*25%</f>
        <v>1.2447769804574544</v>
      </c>
      <c r="M351" s="23">
        <v>7</v>
      </c>
      <c r="N351" s="2">
        <v>15</v>
      </c>
      <c r="O351" s="4">
        <v>21476.51</v>
      </c>
      <c r="P351" s="5">
        <f t="shared" ref="P351:P419" si="215">N351/M351</f>
        <v>2.1428571428571428</v>
      </c>
      <c r="Q351" s="29">
        <f t="shared" ref="Q351:Q419" si="216">O351/M351</f>
        <v>3068.0728571428567</v>
      </c>
      <c r="R351" s="29">
        <f t="shared" ref="R351:R419" si="217">O351/N351</f>
        <v>1431.7673333333332</v>
      </c>
      <c r="S351" s="1">
        <v>0</v>
      </c>
      <c r="T351" s="1">
        <v>0</v>
      </c>
      <c r="U351" s="24">
        <v>0</v>
      </c>
      <c r="V351" s="25">
        <f t="shared" si="196"/>
        <v>1.4058743272685494</v>
      </c>
      <c r="W351" s="25">
        <f t="shared" si="197"/>
        <v>1.2065005229092536</v>
      </c>
      <c r="X351" s="25">
        <f t="shared" si="198"/>
        <v>1.7484089436751562</v>
      </c>
      <c r="Y351" s="25">
        <f t="shared" si="199"/>
        <v>0.85818518732989735</v>
      </c>
      <c r="Z351" s="25">
        <f t="shared" si="200"/>
        <v>1.2436452602930104</v>
      </c>
      <c r="AA351" s="25">
        <f t="shared" si="201"/>
        <v>1.4491572199730094</v>
      </c>
      <c r="AB351" s="25">
        <f t="shared" si="202"/>
        <v>0</v>
      </c>
      <c r="AC351" s="25">
        <f t="shared" si="203"/>
        <v>0</v>
      </c>
      <c r="AD351" s="63">
        <f t="shared" si="204"/>
        <v>0</v>
      </c>
      <c r="AE351" s="24">
        <f t="shared" si="205"/>
        <v>1</v>
      </c>
    </row>
    <row r="352" spans="1:31" x14ac:dyDescent="0.2">
      <c r="A352" s="75">
        <f t="shared" si="208"/>
        <v>46289</v>
      </c>
      <c r="B352" s="15" t="str">
        <f>$B$7</f>
        <v>FC</v>
      </c>
      <c r="C352" s="15" t="str">
        <f>$C$7</f>
        <v>Muskan</v>
      </c>
      <c r="D352" s="18">
        <f t="shared" si="206"/>
        <v>4.9791079218298178</v>
      </c>
      <c r="E352" s="4">
        <f t="shared" si="207"/>
        <v>12.432651055824049</v>
      </c>
      <c r="F352" s="4">
        <v>12283.459243154161</v>
      </c>
      <c r="G352" s="5">
        <f t="shared" si="209"/>
        <v>2.4969635627530367</v>
      </c>
      <c r="H352" s="4">
        <f t="shared" si="210"/>
        <v>2467</v>
      </c>
      <c r="I352" s="4">
        <f t="shared" si="211"/>
        <v>988</v>
      </c>
      <c r="J352" s="4">
        <f t="shared" si="212"/>
        <v>0.39832863374638544</v>
      </c>
      <c r="K352" s="27">
        <f t="shared" si="213"/>
        <v>0.19916431687319272</v>
      </c>
      <c r="L352" s="30">
        <f t="shared" si="214"/>
        <v>1.2447769804574544</v>
      </c>
      <c r="M352" s="23">
        <v>11</v>
      </c>
      <c r="N352" s="2">
        <v>25</v>
      </c>
      <c r="O352" s="4">
        <v>26756.7</v>
      </c>
      <c r="P352" s="5">
        <f t="shared" si="215"/>
        <v>2.2727272727272729</v>
      </c>
      <c r="Q352" s="29">
        <f t="shared" si="216"/>
        <v>2432.4272727272728</v>
      </c>
      <c r="R352" s="29">
        <f t="shared" si="217"/>
        <v>1070.268</v>
      </c>
      <c r="S352" s="1">
        <v>0</v>
      </c>
      <c r="T352" s="1">
        <v>0</v>
      </c>
      <c r="U352" s="24">
        <v>0</v>
      </c>
      <c r="V352" s="25">
        <f t="shared" si="196"/>
        <v>2.2092310857077204</v>
      </c>
      <c r="W352" s="25">
        <f t="shared" si="197"/>
        <v>2.0108342048487562</v>
      </c>
      <c r="X352" s="25">
        <f t="shared" si="198"/>
        <v>2.1782707517763851</v>
      </c>
      <c r="Y352" s="25">
        <f t="shared" si="199"/>
        <v>0.9101964108044367</v>
      </c>
      <c r="Z352" s="25">
        <f t="shared" si="200"/>
        <v>0.98598592327818113</v>
      </c>
      <c r="AA352" s="25">
        <f t="shared" si="201"/>
        <v>1.0832672064777329</v>
      </c>
      <c r="AB352" s="25">
        <f t="shared" si="202"/>
        <v>0</v>
      </c>
      <c r="AC352" s="25">
        <f t="shared" si="203"/>
        <v>0</v>
      </c>
      <c r="AD352" s="63">
        <f t="shared" si="204"/>
        <v>0</v>
      </c>
      <c r="AE352" s="24">
        <f t="shared" si="205"/>
        <v>1</v>
      </c>
    </row>
    <row r="353" spans="1:31" x14ac:dyDescent="0.2">
      <c r="A353" s="75">
        <f t="shared" si="208"/>
        <v>46289</v>
      </c>
      <c r="B353" s="15" t="str">
        <f>$B$8</f>
        <v>FC</v>
      </c>
      <c r="C353" s="15" t="str">
        <f>$C$8</f>
        <v xml:space="preserve">Kajal  </v>
      </c>
      <c r="D353" s="18">
        <f t="shared" si="206"/>
        <v>1.4937323765489454</v>
      </c>
      <c r="E353" s="4">
        <f t="shared" si="207"/>
        <v>3.7297953167472149</v>
      </c>
      <c r="F353" s="4">
        <v>3685.0377729462484</v>
      </c>
      <c r="G353" s="5">
        <f t="shared" si="209"/>
        <v>2.4969635627530362</v>
      </c>
      <c r="H353" s="4">
        <f t="shared" si="210"/>
        <v>2467</v>
      </c>
      <c r="I353" s="4">
        <f t="shared" si="211"/>
        <v>988</v>
      </c>
      <c r="J353" s="4">
        <f t="shared" si="212"/>
        <v>0.11949859012391563</v>
      </c>
      <c r="K353" s="27">
        <f t="shared" si="213"/>
        <v>5.9749295061957815E-2</v>
      </c>
      <c r="L353" s="30">
        <f t="shared" si="214"/>
        <v>0.37343309413723635</v>
      </c>
      <c r="M353" s="23">
        <v>4</v>
      </c>
      <c r="N353" s="2">
        <v>8</v>
      </c>
      <c r="O353" s="4">
        <v>6545.7999999999993</v>
      </c>
      <c r="P353" s="5">
        <f t="shared" si="215"/>
        <v>2</v>
      </c>
      <c r="Q353" s="29">
        <f t="shared" si="216"/>
        <v>1636.4499999999998</v>
      </c>
      <c r="R353" s="29">
        <f t="shared" si="217"/>
        <v>818.22499999999991</v>
      </c>
      <c r="S353" s="1">
        <v>0</v>
      </c>
      <c r="T353" s="1">
        <v>0</v>
      </c>
      <c r="U353" s="24">
        <v>0</v>
      </c>
      <c r="V353" s="25">
        <f t="shared" si="196"/>
        <v>2.6778558614639034</v>
      </c>
      <c r="W353" s="25">
        <f t="shared" si="197"/>
        <v>2.14488981850534</v>
      </c>
      <c r="X353" s="25">
        <f t="shared" si="198"/>
        <v>1.7763182912414286</v>
      </c>
      <c r="Y353" s="25">
        <f t="shared" si="199"/>
        <v>0.80097284150790438</v>
      </c>
      <c r="Z353" s="25">
        <f t="shared" si="200"/>
        <v>0.6633360356708552</v>
      </c>
      <c r="AA353" s="25">
        <f t="shared" si="201"/>
        <v>0.82816295546558694</v>
      </c>
      <c r="AB353" s="25">
        <f t="shared" si="202"/>
        <v>0</v>
      </c>
      <c r="AC353" s="25">
        <f t="shared" si="203"/>
        <v>0</v>
      </c>
      <c r="AD353" s="63">
        <f t="shared" si="204"/>
        <v>0</v>
      </c>
      <c r="AE353" s="24">
        <f t="shared" si="205"/>
        <v>1</v>
      </c>
    </row>
    <row r="354" spans="1:31" x14ac:dyDescent="0.2">
      <c r="A354" s="75">
        <f t="shared" si="208"/>
        <v>46289</v>
      </c>
      <c r="B354" s="15" t="str">
        <f>$B$9</f>
        <v>FC</v>
      </c>
      <c r="C354" s="15" t="str">
        <f>$C$9</f>
        <v>Pradeep</v>
      </c>
      <c r="D354" s="18">
        <f t="shared" si="206"/>
        <v>3.4853755452808728</v>
      </c>
      <c r="E354" s="4">
        <f t="shared" si="207"/>
        <v>8.7028557390768349</v>
      </c>
      <c r="F354" s="4">
        <v>8598.4214702079134</v>
      </c>
      <c r="G354" s="5">
        <f t="shared" si="209"/>
        <v>2.4969635627530362</v>
      </c>
      <c r="H354" s="4">
        <f t="shared" si="210"/>
        <v>2467</v>
      </c>
      <c r="I354" s="4">
        <f t="shared" si="211"/>
        <v>988.00000000000011</v>
      </c>
      <c r="J354" s="4">
        <f t="shared" si="212"/>
        <v>0.27883004362246983</v>
      </c>
      <c r="K354" s="27">
        <f t="shared" si="213"/>
        <v>0.13941502181123491</v>
      </c>
      <c r="L354" s="30">
        <f t="shared" si="214"/>
        <v>0.8713438863202182</v>
      </c>
      <c r="M354" s="23">
        <v>9</v>
      </c>
      <c r="N354" s="2">
        <v>14</v>
      </c>
      <c r="O354" s="4">
        <v>6632.6</v>
      </c>
      <c r="P354" s="5">
        <f t="shared" si="215"/>
        <v>1.5555555555555556</v>
      </c>
      <c r="Q354" s="29">
        <f t="shared" si="216"/>
        <v>736.95555555555563</v>
      </c>
      <c r="R354" s="29">
        <f t="shared" si="217"/>
        <v>473.75714285714287</v>
      </c>
      <c r="S354" s="1">
        <v>0</v>
      </c>
      <c r="T354" s="1">
        <v>0</v>
      </c>
      <c r="U354" s="24">
        <v>0</v>
      </c>
      <c r="V354" s="25">
        <f t="shared" si="196"/>
        <v>2.5822181521259067</v>
      </c>
      <c r="W354" s="25">
        <f t="shared" si="197"/>
        <v>1.6086673638790048</v>
      </c>
      <c r="X354" s="25">
        <f t="shared" si="198"/>
        <v>0.77137414384498892</v>
      </c>
      <c r="Y354" s="25">
        <f t="shared" si="199"/>
        <v>0.62297887672837016</v>
      </c>
      <c r="Z354" s="25">
        <f t="shared" si="200"/>
        <v>0.29872539746881055</v>
      </c>
      <c r="AA354" s="25">
        <f t="shared" si="201"/>
        <v>0.47951127819548867</v>
      </c>
      <c r="AB354" s="25">
        <f t="shared" si="202"/>
        <v>0</v>
      </c>
      <c r="AC354" s="25">
        <f t="shared" si="203"/>
        <v>0</v>
      </c>
      <c r="AD354" s="63">
        <f t="shared" si="204"/>
        <v>0</v>
      </c>
      <c r="AE354" s="24">
        <f t="shared" si="205"/>
        <v>1</v>
      </c>
    </row>
    <row r="355" spans="1:31" x14ac:dyDescent="0.2">
      <c r="A355" s="75">
        <f t="shared" si="208"/>
        <v>46289</v>
      </c>
      <c r="B355" s="15" t="str">
        <f>$B$10</f>
        <v>FC</v>
      </c>
      <c r="C355" s="15" t="str">
        <f>$C$10</f>
        <v>Aftab</v>
      </c>
      <c r="D355" s="18">
        <f t="shared" si="206"/>
        <v>2.4895539609149089</v>
      </c>
      <c r="E355" s="4">
        <f t="shared" si="207"/>
        <v>6.2163255279120246</v>
      </c>
      <c r="F355" s="4">
        <v>6141.7296215770803</v>
      </c>
      <c r="G355" s="5">
        <f t="shared" si="209"/>
        <v>2.4969635627530367</v>
      </c>
      <c r="H355" s="4">
        <f t="shared" si="210"/>
        <v>2467</v>
      </c>
      <c r="I355" s="4">
        <f t="shared" si="211"/>
        <v>988</v>
      </c>
      <c r="J355" s="4">
        <f t="shared" si="212"/>
        <v>0.19916431687319272</v>
      </c>
      <c r="K355" s="27">
        <f t="shared" si="213"/>
        <v>9.958215843659636E-2</v>
      </c>
      <c r="L355" s="30">
        <f t="shared" si="214"/>
        <v>0.62238849022872722</v>
      </c>
      <c r="M355" s="23">
        <v>7</v>
      </c>
      <c r="N355" s="2">
        <v>17</v>
      </c>
      <c r="O355" s="4">
        <v>13550.199999999999</v>
      </c>
      <c r="P355" s="5">
        <f t="shared" si="215"/>
        <v>2.4285714285714284</v>
      </c>
      <c r="Q355" s="29">
        <f t="shared" si="216"/>
        <v>1935.742857142857</v>
      </c>
      <c r="R355" s="29">
        <f t="shared" si="217"/>
        <v>797.07058823529405</v>
      </c>
      <c r="S355" s="1">
        <v>0</v>
      </c>
      <c r="T355" s="1">
        <v>0</v>
      </c>
      <c r="U355" s="24">
        <v>0</v>
      </c>
      <c r="V355" s="25">
        <f t="shared" si="196"/>
        <v>2.8117486545370989</v>
      </c>
      <c r="W355" s="25">
        <f t="shared" si="197"/>
        <v>2.7347345185943084</v>
      </c>
      <c r="X355" s="25">
        <f t="shared" si="198"/>
        <v>2.2062514690317094</v>
      </c>
      <c r="Y355" s="25">
        <f t="shared" si="199"/>
        <v>0.97260987897388362</v>
      </c>
      <c r="Z355" s="25">
        <f t="shared" si="200"/>
        <v>0.7846545833574613</v>
      </c>
      <c r="AA355" s="25">
        <f t="shared" si="201"/>
        <v>0.80675160752560127</v>
      </c>
      <c r="AB355" s="25">
        <f t="shared" si="202"/>
        <v>0</v>
      </c>
      <c r="AC355" s="25">
        <f t="shared" si="203"/>
        <v>0</v>
      </c>
      <c r="AD355" s="63">
        <f t="shared" si="204"/>
        <v>0</v>
      </c>
      <c r="AE355" s="24">
        <f t="shared" si="205"/>
        <v>1</v>
      </c>
    </row>
    <row r="356" spans="1:31" x14ac:dyDescent="0.2">
      <c r="A356" s="75">
        <f t="shared" si="208"/>
        <v>46289</v>
      </c>
      <c r="B356" s="15" t="str">
        <f>$B$11</f>
        <v>FC</v>
      </c>
      <c r="C356" s="15" t="str">
        <f>$C$11</f>
        <v>Khushi</v>
      </c>
      <c r="D356" s="18">
        <f t="shared" si="206"/>
        <v>4.9791079218298178</v>
      </c>
      <c r="E356" s="4">
        <f t="shared" si="207"/>
        <v>12.432651055824049</v>
      </c>
      <c r="F356" s="4">
        <v>12283.459243154161</v>
      </c>
      <c r="G356" s="5">
        <f t="shared" si="209"/>
        <v>2.4969635627530367</v>
      </c>
      <c r="H356" s="4">
        <f t="shared" si="210"/>
        <v>2467</v>
      </c>
      <c r="I356" s="4">
        <f t="shared" si="211"/>
        <v>988</v>
      </c>
      <c r="J356" s="4">
        <f t="shared" si="212"/>
        <v>0.39832863374638544</v>
      </c>
      <c r="K356" s="27">
        <f t="shared" si="213"/>
        <v>0.19916431687319272</v>
      </c>
      <c r="L356" s="30">
        <f t="shared" si="214"/>
        <v>1.2447769804574544</v>
      </c>
      <c r="M356" s="23">
        <v>5</v>
      </c>
      <c r="N356" s="2">
        <v>13</v>
      </c>
      <c r="O356" s="4">
        <v>8803.6</v>
      </c>
      <c r="P356" s="5">
        <f t="shared" si="215"/>
        <v>2.6</v>
      </c>
      <c r="Q356" s="29">
        <f t="shared" si="216"/>
        <v>1760.72</v>
      </c>
      <c r="R356" s="29">
        <f t="shared" si="217"/>
        <v>677.2</v>
      </c>
      <c r="S356" s="1">
        <v>0</v>
      </c>
      <c r="T356" s="1">
        <v>0</v>
      </c>
      <c r="U356" s="24">
        <v>0</v>
      </c>
      <c r="V356" s="25">
        <f t="shared" si="196"/>
        <v>1.0041959480489639</v>
      </c>
      <c r="W356" s="25">
        <f t="shared" si="197"/>
        <v>1.0456337865213532</v>
      </c>
      <c r="X356" s="25">
        <f t="shared" si="198"/>
        <v>0.7167036439597777</v>
      </c>
      <c r="Y356" s="25">
        <f t="shared" si="199"/>
        <v>1.0412646939602757</v>
      </c>
      <c r="Z356" s="25">
        <f t="shared" si="200"/>
        <v>0.71370895824888525</v>
      </c>
      <c r="AA356" s="25">
        <f t="shared" si="201"/>
        <v>0.68542510121457489</v>
      </c>
      <c r="AB356" s="25">
        <f t="shared" si="202"/>
        <v>0</v>
      </c>
      <c r="AC356" s="25">
        <f t="shared" si="203"/>
        <v>0</v>
      </c>
      <c r="AD356" s="63">
        <f t="shared" si="204"/>
        <v>0</v>
      </c>
      <c r="AE356" s="24">
        <f t="shared" si="205"/>
        <v>1</v>
      </c>
    </row>
    <row r="357" spans="1:31" x14ac:dyDescent="0.2">
      <c r="A357" s="75">
        <f t="shared" si="208"/>
        <v>46289</v>
      </c>
      <c r="B357" s="15" t="str">
        <f>$B$12</f>
        <v>FC</v>
      </c>
      <c r="C357" s="15" t="str">
        <f>$C$12</f>
        <v>Kishan</v>
      </c>
      <c r="D357" s="18">
        <f t="shared" si="206"/>
        <v>4.9791079218298178</v>
      </c>
      <c r="E357" s="4">
        <f t="shared" si="207"/>
        <v>12.432651055824049</v>
      </c>
      <c r="F357" s="4">
        <v>12283.459243154161</v>
      </c>
      <c r="G357" s="5">
        <f t="shared" si="209"/>
        <v>2.4969635627530367</v>
      </c>
      <c r="H357" s="4">
        <f t="shared" si="210"/>
        <v>2467</v>
      </c>
      <c r="I357" s="4">
        <f t="shared" si="211"/>
        <v>988</v>
      </c>
      <c r="J357" s="4">
        <f t="shared" si="212"/>
        <v>0.39832863374638544</v>
      </c>
      <c r="K357" s="27">
        <f t="shared" si="213"/>
        <v>0.19916431687319272</v>
      </c>
      <c r="L357" s="30">
        <f t="shared" si="214"/>
        <v>1.2447769804574544</v>
      </c>
      <c r="M357" s="23">
        <v>8</v>
      </c>
      <c r="N357" s="2">
        <v>16</v>
      </c>
      <c r="O357" s="4">
        <v>19893.400000000001</v>
      </c>
      <c r="P357" s="5">
        <f t="shared" si="215"/>
        <v>2</v>
      </c>
      <c r="Q357" s="29">
        <f t="shared" si="216"/>
        <v>2486.6750000000002</v>
      </c>
      <c r="R357" s="29">
        <f t="shared" si="217"/>
        <v>1243.3375000000001</v>
      </c>
      <c r="S357" s="1">
        <v>0</v>
      </c>
      <c r="T357" s="1">
        <v>0</v>
      </c>
      <c r="U357" s="24">
        <v>0</v>
      </c>
      <c r="V357" s="25">
        <f t="shared" si="196"/>
        <v>1.6067135168783422</v>
      </c>
      <c r="W357" s="25">
        <f t="shared" si="197"/>
        <v>1.286933891103204</v>
      </c>
      <c r="X357" s="25">
        <f t="shared" si="198"/>
        <v>1.6195274967910223</v>
      </c>
      <c r="Y357" s="25">
        <f t="shared" si="199"/>
        <v>0.80097284150790427</v>
      </c>
      <c r="Z357" s="25">
        <f t="shared" si="200"/>
        <v>1.0079752736116743</v>
      </c>
      <c r="AA357" s="25">
        <f t="shared" si="201"/>
        <v>1.2584387651821862</v>
      </c>
      <c r="AB357" s="25">
        <f t="shared" si="202"/>
        <v>0</v>
      </c>
      <c r="AC357" s="25">
        <f t="shared" si="203"/>
        <v>0</v>
      </c>
      <c r="AD357" s="63">
        <f t="shared" si="204"/>
        <v>0</v>
      </c>
      <c r="AE357" s="24">
        <f t="shared" si="205"/>
        <v>1</v>
      </c>
    </row>
    <row r="358" spans="1:31" x14ac:dyDescent="0.2">
      <c r="A358" s="75">
        <f t="shared" si="208"/>
        <v>46289</v>
      </c>
      <c r="B358" s="15" t="str">
        <f>$B$13</f>
        <v>Partner</v>
      </c>
      <c r="C358" s="15" t="str">
        <f>$C$13</f>
        <v>Rahul</v>
      </c>
      <c r="D358" s="18">
        <f t="shared" si="206"/>
        <v>4.9791079218298178</v>
      </c>
      <c r="E358" s="4">
        <f t="shared" si="207"/>
        <v>12.432651055824049</v>
      </c>
      <c r="F358" s="4">
        <v>12283.459243154161</v>
      </c>
      <c r="G358" s="5">
        <f t="shared" si="209"/>
        <v>2.4969635627530367</v>
      </c>
      <c r="H358" s="4">
        <f t="shared" si="210"/>
        <v>2467</v>
      </c>
      <c r="I358" s="4">
        <f t="shared" si="211"/>
        <v>988</v>
      </c>
      <c r="J358" s="4">
        <f t="shared" si="212"/>
        <v>0.39832863374638544</v>
      </c>
      <c r="K358" s="27">
        <f t="shared" si="213"/>
        <v>0.19916431687319272</v>
      </c>
      <c r="L358" s="30">
        <f t="shared" si="214"/>
        <v>1.2447769804574544</v>
      </c>
      <c r="M358" s="23">
        <v>4</v>
      </c>
      <c r="N358" s="2">
        <v>7</v>
      </c>
      <c r="O358" s="4">
        <v>6705.75</v>
      </c>
      <c r="P358" s="5">
        <f t="shared" si="215"/>
        <v>1.75</v>
      </c>
      <c r="Q358" s="29">
        <f t="shared" si="216"/>
        <v>1676.4375</v>
      </c>
      <c r="R358" s="29">
        <f t="shared" si="217"/>
        <v>957.96428571428567</v>
      </c>
      <c r="S358" s="1">
        <v>0</v>
      </c>
      <c r="T358" s="1">
        <v>0</v>
      </c>
      <c r="U358" s="24">
        <v>0</v>
      </c>
      <c r="V358" s="25">
        <f t="shared" si="196"/>
        <v>0.80335675843917109</v>
      </c>
      <c r="W358" s="25">
        <f t="shared" si="197"/>
        <v>0.56303357735765169</v>
      </c>
      <c r="X358" s="25">
        <f t="shared" si="198"/>
        <v>0.54591706352892899</v>
      </c>
      <c r="Y358" s="25">
        <f t="shared" si="199"/>
        <v>0.70085123631941626</v>
      </c>
      <c r="Z358" s="25">
        <f t="shared" si="200"/>
        <v>0.67954499391974055</v>
      </c>
      <c r="AA358" s="25">
        <f t="shared" si="201"/>
        <v>0.96959947946790048</v>
      </c>
      <c r="AB358" s="25">
        <f t="shared" si="202"/>
        <v>0</v>
      </c>
      <c r="AC358" s="25">
        <f t="shared" si="203"/>
        <v>0</v>
      </c>
      <c r="AD358" s="63">
        <f t="shared" si="204"/>
        <v>0</v>
      </c>
      <c r="AE358" s="24">
        <f t="shared" si="205"/>
        <v>1</v>
      </c>
    </row>
    <row r="359" spans="1:31" x14ac:dyDescent="0.2">
      <c r="A359" s="75">
        <f t="shared" si="208"/>
        <v>46289</v>
      </c>
      <c r="B359" s="15" t="str">
        <f>$B$14</f>
        <v>Partner</v>
      </c>
      <c r="C359" s="15" t="str">
        <f>$C$14</f>
        <v>Prince</v>
      </c>
      <c r="D359" s="18">
        <f t="shared" si="206"/>
        <v>3.9832863374638547</v>
      </c>
      <c r="E359" s="4">
        <f t="shared" si="207"/>
        <v>9.9461208446592408</v>
      </c>
      <c r="F359" s="4">
        <v>9826.7673945233291</v>
      </c>
      <c r="G359" s="5">
        <f t="shared" si="209"/>
        <v>2.4969635627530367</v>
      </c>
      <c r="H359" s="4">
        <f t="shared" si="210"/>
        <v>2467</v>
      </c>
      <c r="I359" s="4">
        <f t="shared" si="211"/>
        <v>987.99999999999989</v>
      </c>
      <c r="J359" s="4">
        <f t="shared" si="212"/>
        <v>0.31866290699710836</v>
      </c>
      <c r="K359" s="27">
        <f t="shared" si="213"/>
        <v>0.15933145349855418</v>
      </c>
      <c r="L359" s="30">
        <f t="shared" si="214"/>
        <v>0.99582158436596369</v>
      </c>
      <c r="M359" s="23">
        <v>3</v>
      </c>
      <c r="N359" s="2">
        <v>12</v>
      </c>
      <c r="O359" s="4">
        <v>10488</v>
      </c>
      <c r="P359" s="5">
        <f t="shared" si="215"/>
        <v>4</v>
      </c>
      <c r="Q359" s="29">
        <f t="shared" si="216"/>
        <v>3496</v>
      </c>
      <c r="R359" s="29">
        <f t="shared" si="217"/>
        <v>874</v>
      </c>
      <c r="S359" s="1">
        <v>0</v>
      </c>
      <c r="T359" s="1">
        <v>0</v>
      </c>
      <c r="U359" s="24">
        <v>0</v>
      </c>
      <c r="V359" s="25">
        <f t="shared" si="196"/>
        <v>0.75314696103672274</v>
      </c>
      <c r="W359" s="25">
        <f t="shared" si="197"/>
        <v>1.2065005229092536</v>
      </c>
      <c r="X359" s="25">
        <f t="shared" si="198"/>
        <v>1.067288924112032</v>
      </c>
      <c r="Y359" s="25">
        <f t="shared" si="199"/>
        <v>1.6019456830158085</v>
      </c>
      <c r="Z359" s="25">
        <f t="shared" si="200"/>
        <v>1.4171057965139846</v>
      </c>
      <c r="AA359" s="25">
        <f t="shared" si="201"/>
        <v>0.88461538461538469</v>
      </c>
      <c r="AB359" s="25">
        <f t="shared" si="202"/>
        <v>0</v>
      </c>
      <c r="AC359" s="25">
        <f t="shared" si="203"/>
        <v>0</v>
      </c>
      <c r="AD359" s="63">
        <f t="shared" si="204"/>
        <v>0</v>
      </c>
      <c r="AE359" s="24">
        <f t="shared" si="205"/>
        <v>1</v>
      </c>
    </row>
    <row r="360" spans="1:31" x14ac:dyDescent="0.2">
      <c r="A360" s="75">
        <f t="shared" si="208"/>
        <v>46289</v>
      </c>
      <c r="B360" s="15" t="str">
        <f>$B$15</f>
        <v>Partner</v>
      </c>
      <c r="C360" s="15" t="str">
        <f>$C$15</f>
        <v>Kunal</v>
      </c>
      <c r="D360" s="18">
        <f t="shared" si="206"/>
        <v>0</v>
      </c>
      <c r="E360" s="4">
        <f t="shared" si="207"/>
        <v>0</v>
      </c>
      <c r="F360" s="4">
        <v>0</v>
      </c>
      <c r="G360" s="5" t="e">
        <f t="shared" si="209"/>
        <v>#DIV/0!</v>
      </c>
      <c r="H360" s="4" t="e">
        <f t="shared" si="210"/>
        <v>#DIV/0!</v>
      </c>
      <c r="I360" s="4" t="e">
        <f t="shared" si="211"/>
        <v>#DIV/0!</v>
      </c>
      <c r="J360" s="4">
        <f t="shared" si="212"/>
        <v>0</v>
      </c>
      <c r="K360" s="27">
        <f t="shared" si="213"/>
        <v>0</v>
      </c>
      <c r="L360" s="30">
        <f t="shared" si="214"/>
        <v>0</v>
      </c>
      <c r="M360" s="23">
        <v>0</v>
      </c>
      <c r="N360" s="2">
        <v>0</v>
      </c>
      <c r="O360" s="4">
        <v>0</v>
      </c>
      <c r="P360" s="5" t="e">
        <f t="shared" si="215"/>
        <v>#DIV/0!</v>
      </c>
      <c r="Q360" s="29" t="e">
        <f t="shared" si="216"/>
        <v>#DIV/0!</v>
      </c>
      <c r="R360" s="29" t="e">
        <f t="shared" si="217"/>
        <v>#DIV/0!</v>
      </c>
      <c r="S360" s="1">
        <v>0</v>
      </c>
      <c r="T360" s="1">
        <v>0</v>
      </c>
      <c r="U360" s="24">
        <v>0</v>
      </c>
      <c r="V360" s="25" t="e">
        <f t="shared" si="196"/>
        <v>#DIV/0!</v>
      </c>
      <c r="W360" s="25" t="e">
        <f t="shared" si="197"/>
        <v>#DIV/0!</v>
      </c>
      <c r="X360" s="25" t="e">
        <f t="shared" si="198"/>
        <v>#DIV/0!</v>
      </c>
      <c r="Y360" s="25" t="e">
        <f t="shared" si="199"/>
        <v>#DIV/0!</v>
      </c>
      <c r="Z360" s="25" t="e">
        <f t="shared" si="200"/>
        <v>#DIV/0!</v>
      </c>
      <c r="AA360" s="25" t="e">
        <f t="shared" si="201"/>
        <v>#DIV/0!</v>
      </c>
      <c r="AB360" s="25" t="e">
        <f t="shared" si="202"/>
        <v>#DIV/0!</v>
      </c>
      <c r="AC360" s="25" t="e">
        <f t="shared" si="203"/>
        <v>#DIV/0!</v>
      </c>
      <c r="AD360" s="63" t="e">
        <f t="shared" si="204"/>
        <v>#DIV/0!</v>
      </c>
      <c r="AE360" s="24">
        <f t="shared" si="205"/>
        <v>0</v>
      </c>
    </row>
    <row r="361" spans="1:31" x14ac:dyDescent="0.2">
      <c r="A361" s="75">
        <f t="shared" si="208"/>
        <v>46289</v>
      </c>
      <c r="B361" s="15" t="str">
        <f>$B$16</f>
        <v>NA</v>
      </c>
      <c r="C361" s="15" t="str">
        <f>$C$16</f>
        <v>NA</v>
      </c>
      <c r="D361" s="18">
        <f t="shared" si="206"/>
        <v>0</v>
      </c>
      <c r="E361" s="4">
        <f t="shared" si="207"/>
        <v>0</v>
      </c>
      <c r="F361" s="4">
        <v>0</v>
      </c>
      <c r="G361" s="5" t="e">
        <f t="shared" si="209"/>
        <v>#DIV/0!</v>
      </c>
      <c r="H361" s="4" t="e">
        <f t="shared" si="210"/>
        <v>#DIV/0!</v>
      </c>
      <c r="I361" s="4" t="e">
        <f t="shared" si="211"/>
        <v>#DIV/0!</v>
      </c>
      <c r="J361" s="4">
        <f t="shared" si="212"/>
        <v>0</v>
      </c>
      <c r="K361" s="27">
        <f t="shared" si="213"/>
        <v>0</v>
      </c>
      <c r="L361" s="30">
        <f t="shared" si="214"/>
        <v>0</v>
      </c>
      <c r="M361" s="23">
        <v>2</v>
      </c>
      <c r="N361" s="2">
        <v>0</v>
      </c>
      <c r="O361" s="4">
        <v>-9800</v>
      </c>
      <c r="P361" s="5">
        <f t="shared" si="215"/>
        <v>0</v>
      </c>
      <c r="Q361" s="29">
        <f t="shared" si="216"/>
        <v>-4900</v>
      </c>
      <c r="R361" s="29" t="e">
        <f t="shared" si="217"/>
        <v>#DIV/0!</v>
      </c>
      <c r="S361" s="1">
        <v>0</v>
      </c>
      <c r="T361" s="1">
        <v>0</v>
      </c>
      <c r="U361" s="24">
        <v>0</v>
      </c>
      <c r="V361" s="25" t="e">
        <f t="shared" si="196"/>
        <v>#DIV/0!</v>
      </c>
      <c r="W361" s="25" t="e">
        <f t="shared" si="197"/>
        <v>#DIV/0!</v>
      </c>
      <c r="X361" s="25" t="e">
        <f t="shared" si="198"/>
        <v>#DIV/0!</v>
      </c>
      <c r="Y361" s="25" t="e">
        <f t="shared" si="199"/>
        <v>#DIV/0!</v>
      </c>
      <c r="Z361" s="25" t="e">
        <f t="shared" si="200"/>
        <v>#DIV/0!</v>
      </c>
      <c r="AA361" s="25" t="e">
        <f t="shared" si="201"/>
        <v>#DIV/0!</v>
      </c>
      <c r="AB361" s="25" t="e">
        <f t="shared" si="202"/>
        <v>#DIV/0!</v>
      </c>
      <c r="AC361" s="25" t="e">
        <f t="shared" si="203"/>
        <v>#DIV/0!</v>
      </c>
      <c r="AD361" s="63" t="e">
        <f t="shared" si="204"/>
        <v>#DIV/0!</v>
      </c>
      <c r="AE361" s="24">
        <f t="shared" si="205"/>
        <v>0</v>
      </c>
    </row>
    <row r="362" spans="1:31" x14ac:dyDescent="0.2">
      <c r="A362" s="75">
        <f t="shared" si="208"/>
        <v>46289</v>
      </c>
      <c r="B362" s="15" t="str">
        <f>$B$17</f>
        <v>NA</v>
      </c>
      <c r="C362" s="15" t="str">
        <f>$C$17</f>
        <v>NA</v>
      </c>
      <c r="D362" s="18">
        <f t="shared" si="206"/>
        <v>0</v>
      </c>
      <c r="E362" s="4">
        <f t="shared" si="207"/>
        <v>0</v>
      </c>
      <c r="F362" s="4">
        <v>0</v>
      </c>
      <c r="G362" s="5" t="e">
        <f t="shared" si="209"/>
        <v>#DIV/0!</v>
      </c>
      <c r="H362" s="4" t="e">
        <f t="shared" si="210"/>
        <v>#DIV/0!</v>
      </c>
      <c r="I362" s="4" t="e">
        <f t="shared" si="211"/>
        <v>#DIV/0!</v>
      </c>
      <c r="J362" s="4">
        <f t="shared" si="212"/>
        <v>0</v>
      </c>
      <c r="K362" s="27">
        <f t="shared" si="213"/>
        <v>0</v>
      </c>
      <c r="L362" s="30">
        <f t="shared" si="214"/>
        <v>0</v>
      </c>
      <c r="M362" s="23">
        <v>0</v>
      </c>
      <c r="N362" s="2">
        <v>0</v>
      </c>
      <c r="O362" s="4">
        <v>0</v>
      </c>
      <c r="P362" s="5" t="e">
        <f t="shared" si="215"/>
        <v>#DIV/0!</v>
      </c>
      <c r="Q362" s="29" t="e">
        <f t="shared" si="216"/>
        <v>#DIV/0!</v>
      </c>
      <c r="R362" s="29" t="e">
        <f t="shared" si="217"/>
        <v>#DIV/0!</v>
      </c>
      <c r="S362" s="1">
        <v>0</v>
      </c>
      <c r="T362" s="1">
        <v>0</v>
      </c>
      <c r="U362" s="24">
        <v>0</v>
      </c>
      <c r="V362" s="25" t="e">
        <f t="shared" si="196"/>
        <v>#DIV/0!</v>
      </c>
      <c r="W362" s="25" t="e">
        <f t="shared" si="197"/>
        <v>#DIV/0!</v>
      </c>
      <c r="X362" s="25" t="e">
        <f t="shared" si="198"/>
        <v>#DIV/0!</v>
      </c>
      <c r="Y362" s="25" t="e">
        <f t="shared" si="199"/>
        <v>#DIV/0!</v>
      </c>
      <c r="Z362" s="25" t="e">
        <f t="shared" si="200"/>
        <v>#DIV/0!</v>
      </c>
      <c r="AA362" s="25" t="e">
        <f t="shared" si="201"/>
        <v>#DIV/0!</v>
      </c>
      <c r="AB362" s="25" t="e">
        <f t="shared" si="202"/>
        <v>#DIV/0!</v>
      </c>
      <c r="AC362" s="25" t="e">
        <f t="shared" si="203"/>
        <v>#DIV/0!</v>
      </c>
      <c r="AD362" s="63" t="e">
        <f t="shared" si="204"/>
        <v>#DIV/0!</v>
      </c>
      <c r="AE362" s="24">
        <f t="shared" si="205"/>
        <v>0</v>
      </c>
    </row>
    <row r="363" spans="1:31" x14ac:dyDescent="0.2">
      <c r="A363" s="75">
        <f t="shared" si="208"/>
        <v>46289</v>
      </c>
      <c r="B363" s="15" t="str">
        <f>$B$18</f>
        <v>NA</v>
      </c>
      <c r="C363" s="15" t="str">
        <f>$C$18</f>
        <v>NA</v>
      </c>
      <c r="D363" s="18">
        <f t="shared" si="206"/>
        <v>0</v>
      </c>
      <c r="E363" s="4">
        <f t="shared" si="207"/>
        <v>0</v>
      </c>
      <c r="F363" s="4">
        <v>0</v>
      </c>
      <c r="G363" s="5" t="e">
        <f t="shared" si="209"/>
        <v>#DIV/0!</v>
      </c>
      <c r="H363" s="4" t="e">
        <f t="shared" si="210"/>
        <v>#DIV/0!</v>
      </c>
      <c r="I363" s="4" t="e">
        <f t="shared" si="211"/>
        <v>#DIV/0!</v>
      </c>
      <c r="J363" s="4">
        <f t="shared" si="212"/>
        <v>0</v>
      </c>
      <c r="K363" s="27">
        <f t="shared" si="213"/>
        <v>0</v>
      </c>
      <c r="L363" s="30">
        <f t="shared" si="214"/>
        <v>0</v>
      </c>
      <c r="M363" s="23">
        <v>0</v>
      </c>
      <c r="N363" s="2">
        <v>0</v>
      </c>
      <c r="O363" s="4">
        <v>0</v>
      </c>
      <c r="P363" s="5" t="e">
        <f t="shared" si="215"/>
        <v>#DIV/0!</v>
      </c>
      <c r="Q363" s="29" t="e">
        <f t="shared" si="216"/>
        <v>#DIV/0!</v>
      </c>
      <c r="R363" s="29" t="e">
        <f t="shared" si="217"/>
        <v>#DIV/0!</v>
      </c>
      <c r="S363" s="1">
        <v>0</v>
      </c>
      <c r="T363" s="1">
        <v>0</v>
      </c>
      <c r="U363" s="24">
        <v>0</v>
      </c>
      <c r="V363" s="25" t="e">
        <f t="shared" si="196"/>
        <v>#DIV/0!</v>
      </c>
      <c r="W363" s="25" t="e">
        <f t="shared" si="197"/>
        <v>#DIV/0!</v>
      </c>
      <c r="X363" s="25" t="e">
        <f t="shared" si="198"/>
        <v>#DIV/0!</v>
      </c>
      <c r="Y363" s="25" t="e">
        <f t="shared" si="199"/>
        <v>#DIV/0!</v>
      </c>
      <c r="Z363" s="25" t="e">
        <f t="shared" si="200"/>
        <v>#DIV/0!</v>
      </c>
      <c r="AA363" s="25" t="e">
        <f t="shared" si="201"/>
        <v>#DIV/0!</v>
      </c>
      <c r="AB363" s="25" t="e">
        <f t="shared" si="202"/>
        <v>#DIV/0!</v>
      </c>
      <c r="AC363" s="25" t="e">
        <f t="shared" si="203"/>
        <v>#DIV/0!</v>
      </c>
      <c r="AD363" s="63" t="e">
        <f t="shared" si="204"/>
        <v>#DIV/0!</v>
      </c>
      <c r="AE363" s="24">
        <f t="shared" si="205"/>
        <v>0</v>
      </c>
    </row>
    <row r="364" spans="1:31" x14ac:dyDescent="0.2">
      <c r="A364" s="75">
        <f t="shared" si="208"/>
        <v>46290</v>
      </c>
      <c r="B364" s="15" t="str">
        <f>$B$4</f>
        <v>DSM</v>
      </c>
      <c r="C364" s="15" t="str">
        <f>$C$4</f>
        <v xml:space="preserve">komal  </v>
      </c>
      <c r="D364" s="18">
        <f t="shared" si="206"/>
        <v>0</v>
      </c>
      <c r="E364" s="4">
        <f t="shared" si="207"/>
        <v>0</v>
      </c>
      <c r="F364" s="4">
        <v>0</v>
      </c>
      <c r="G364" s="5" t="e">
        <f t="shared" si="209"/>
        <v>#DIV/0!</v>
      </c>
      <c r="H364" s="4" t="e">
        <f t="shared" si="210"/>
        <v>#DIV/0!</v>
      </c>
      <c r="I364" s="4" t="e">
        <f t="shared" si="211"/>
        <v>#DIV/0!</v>
      </c>
      <c r="J364" s="4">
        <f t="shared" si="212"/>
        <v>0</v>
      </c>
      <c r="K364" s="27">
        <f t="shared" si="213"/>
        <v>0</v>
      </c>
      <c r="L364" s="30">
        <f t="shared" si="214"/>
        <v>0</v>
      </c>
      <c r="M364" s="23">
        <v>0</v>
      </c>
      <c r="N364" s="2">
        <v>0</v>
      </c>
      <c r="O364" s="4">
        <v>0</v>
      </c>
      <c r="P364" s="5" t="e">
        <f t="shared" si="215"/>
        <v>#DIV/0!</v>
      </c>
      <c r="Q364" s="29" t="e">
        <f t="shared" si="216"/>
        <v>#DIV/0!</v>
      </c>
      <c r="R364" s="29" t="e">
        <f t="shared" si="217"/>
        <v>#DIV/0!</v>
      </c>
      <c r="S364" s="1">
        <v>0</v>
      </c>
      <c r="T364" s="1">
        <v>0</v>
      </c>
      <c r="U364" s="24">
        <v>0</v>
      </c>
      <c r="V364" s="25" t="e">
        <f t="shared" si="196"/>
        <v>#DIV/0!</v>
      </c>
      <c r="W364" s="25" t="e">
        <f t="shared" si="197"/>
        <v>#DIV/0!</v>
      </c>
      <c r="X364" s="25" t="e">
        <f t="shared" si="198"/>
        <v>#DIV/0!</v>
      </c>
      <c r="Y364" s="25" t="e">
        <f t="shared" si="199"/>
        <v>#DIV/0!</v>
      </c>
      <c r="Z364" s="25" t="e">
        <f t="shared" si="200"/>
        <v>#DIV/0!</v>
      </c>
      <c r="AA364" s="25" t="e">
        <f t="shared" si="201"/>
        <v>#DIV/0!</v>
      </c>
      <c r="AB364" s="25" t="e">
        <f t="shared" si="202"/>
        <v>#DIV/0!</v>
      </c>
      <c r="AC364" s="25" t="e">
        <f t="shared" si="203"/>
        <v>#DIV/0!</v>
      </c>
      <c r="AD364" s="63" t="e">
        <f t="shared" si="204"/>
        <v>#DIV/0!</v>
      </c>
      <c r="AE364" s="24">
        <f t="shared" si="205"/>
        <v>0</v>
      </c>
    </row>
    <row r="365" spans="1:31" x14ac:dyDescent="0.2">
      <c r="A365" s="75">
        <f t="shared" si="208"/>
        <v>46290</v>
      </c>
      <c r="B365" s="15" t="str">
        <f>$B$5</f>
        <v>SS</v>
      </c>
      <c r="C365" s="15" t="str">
        <f>$C$5</f>
        <v>Prem</v>
      </c>
      <c r="D365" s="18">
        <f t="shared" si="206"/>
        <v>2.3746181073186623</v>
      </c>
      <c r="E365" s="4">
        <f t="shared" si="207"/>
        <v>5.9293348894282794</v>
      </c>
      <c r="F365" s="4">
        <v>5858.1828707551404</v>
      </c>
      <c r="G365" s="5">
        <f t="shared" si="209"/>
        <v>2.4969635627530367</v>
      </c>
      <c r="H365" s="4">
        <f t="shared" si="210"/>
        <v>2467</v>
      </c>
      <c r="I365" s="4">
        <f t="shared" si="211"/>
        <v>988.00000000000011</v>
      </c>
      <c r="J365" s="4">
        <f t="shared" si="212"/>
        <v>0.189969448585493</v>
      </c>
      <c r="K365" s="27">
        <f t="shared" si="213"/>
        <v>9.49847242927465E-2</v>
      </c>
      <c r="L365" s="30">
        <f t="shared" si="214"/>
        <v>0.59365452682966557</v>
      </c>
      <c r="M365" s="23">
        <v>1</v>
      </c>
      <c r="N365" s="2">
        <v>1</v>
      </c>
      <c r="O365" s="4">
        <v>699</v>
      </c>
      <c r="P365" s="5">
        <f t="shared" si="215"/>
        <v>1</v>
      </c>
      <c r="Q365" s="29">
        <f t="shared" si="216"/>
        <v>699</v>
      </c>
      <c r="R365" s="29">
        <f t="shared" si="217"/>
        <v>699</v>
      </c>
      <c r="S365" s="1">
        <v>0</v>
      </c>
      <c r="T365" s="1">
        <v>0</v>
      </c>
      <c r="U365" s="24">
        <v>0</v>
      </c>
      <c r="V365" s="25">
        <f t="shared" si="196"/>
        <v>0.42112034643295376</v>
      </c>
      <c r="W365" s="25">
        <f t="shared" si="197"/>
        <v>0.16865298024959802</v>
      </c>
      <c r="X365" s="25">
        <f t="shared" si="198"/>
        <v>0.11932027651262045</v>
      </c>
      <c r="Y365" s="25">
        <f t="shared" si="199"/>
        <v>0.40048642075395213</v>
      </c>
      <c r="Z365" s="25">
        <f t="shared" si="200"/>
        <v>0.28334008917713821</v>
      </c>
      <c r="AA365" s="25">
        <f t="shared" si="201"/>
        <v>0.70748987854251</v>
      </c>
      <c r="AB365" s="25">
        <f t="shared" si="202"/>
        <v>0</v>
      </c>
      <c r="AC365" s="25">
        <f t="shared" si="203"/>
        <v>0</v>
      </c>
      <c r="AD365" s="63">
        <f t="shared" si="204"/>
        <v>0</v>
      </c>
      <c r="AE365" s="24">
        <f t="shared" si="205"/>
        <v>1</v>
      </c>
    </row>
    <row r="366" spans="1:31" x14ac:dyDescent="0.2">
      <c r="A366" s="75">
        <f t="shared" si="208"/>
        <v>46290</v>
      </c>
      <c r="B366" s="15" t="str">
        <f>$B$6</f>
        <v>SS</v>
      </c>
      <c r="C366" s="15" t="str">
        <f>$C$6</f>
        <v>Anuj</v>
      </c>
      <c r="D366" s="18">
        <f t="shared" si="206"/>
        <v>4.7492362146373246</v>
      </c>
      <c r="E366" s="4">
        <f t="shared" si="207"/>
        <v>11.858669778856559</v>
      </c>
      <c r="F366" s="4">
        <v>11716.365741510281</v>
      </c>
      <c r="G366" s="5">
        <f t="shared" si="209"/>
        <v>2.4969635627530367</v>
      </c>
      <c r="H366" s="4">
        <f t="shared" si="210"/>
        <v>2467</v>
      </c>
      <c r="I366" s="4">
        <f t="shared" si="211"/>
        <v>988.00000000000011</v>
      </c>
      <c r="J366" s="4">
        <f t="shared" si="212"/>
        <v>0.379938897170986</v>
      </c>
      <c r="K366" s="27">
        <f t="shared" si="213"/>
        <v>0.189969448585493</v>
      </c>
      <c r="L366" s="30">
        <f t="shared" si="214"/>
        <v>1.1873090536593311</v>
      </c>
      <c r="M366" s="23">
        <v>5</v>
      </c>
      <c r="N366" s="2">
        <v>15</v>
      </c>
      <c r="O366" s="4">
        <v>14482</v>
      </c>
      <c r="P366" s="5">
        <f t="shared" si="215"/>
        <v>3</v>
      </c>
      <c r="Q366" s="29">
        <f t="shared" si="216"/>
        <v>2896.4</v>
      </c>
      <c r="R366" s="29">
        <f t="shared" si="217"/>
        <v>965.4666666666667</v>
      </c>
      <c r="S366" s="1">
        <v>0</v>
      </c>
      <c r="T366" s="1">
        <v>0</v>
      </c>
      <c r="U366" s="24">
        <v>0</v>
      </c>
      <c r="V366" s="25">
        <f t="shared" si="196"/>
        <v>1.0528008660823844</v>
      </c>
      <c r="W366" s="25">
        <f t="shared" si="197"/>
        <v>1.264897351871985</v>
      </c>
      <c r="X366" s="25">
        <f t="shared" si="198"/>
        <v>1.2360488157766589</v>
      </c>
      <c r="Y366" s="25">
        <f t="shared" si="199"/>
        <v>1.2014592622618565</v>
      </c>
      <c r="Z366" s="25">
        <f t="shared" si="200"/>
        <v>1.1740575597892178</v>
      </c>
      <c r="AA366" s="25">
        <f t="shared" si="201"/>
        <v>0.97719298245614028</v>
      </c>
      <c r="AB366" s="25">
        <f t="shared" si="202"/>
        <v>0</v>
      </c>
      <c r="AC366" s="25">
        <f t="shared" si="203"/>
        <v>0</v>
      </c>
      <c r="AD366" s="63">
        <f t="shared" si="204"/>
        <v>0</v>
      </c>
      <c r="AE366" s="24">
        <f t="shared" si="205"/>
        <v>1</v>
      </c>
    </row>
    <row r="367" spans="1:31" x14ac:dyDescent="0.2">
      <c r="A367" s="75">
        <f t="shared" si="208"/>
        <v>46290</v>
      </c>
      <c r="B367" s="15" t="str">
        <f>$B$7</f>
        <v>FC</v>
      </c>
      <c r="C367" s="15" t="str">
        <f>$C$7</f>
        <v>Muskan</v>
      </c>
      <c r="D367" s="18">
        <f t="shared" si="206"/>
        <v>4.7492362146373246</v>
      </c>
      <c r="E367" s="4">
        <f t="shared" si="207"/>
        <v>11.858669778856559</v>
      </c>
      <c r="F367" s="4">
        <v>11716.365741510281</v>
      </c>
      <c r="G367" s="5">
        <f t="shared" si="209"/>
        <v>2.4969635627530367</v>
      </c>
      <c r="H367" s="4">
        <f t="shared" si="210"/>
        <v>2467</v>
      </c>
      <c r="I367" s="4">
        <f t="shared" si="211"/>
        <v>988.00000000000011</v>
      </c>
      <c r="J367" s="4">
        <f t="shared" si="212"/>
        <v>0.379938897170986</v>
      </c>
      <c r="K367" s="27">
        <f t="shared" si="213"/>
        <v>0.189969448585493</v>
      </c>
      <c r="L367" s="30">
        <f t="shared" si="214"/>
        <v>1.1873090536593311</v>
      </c>
      <c r="M367" s="23">
        <v>6</v>
      </c>
      <c r="N367" s="2">
        <v>10</v>
      </c>
      <c r="O367" s="4">
        <v>13361</v>
      </c>
      <c r="P367" s="5">
        <f t="shared" si="215"/>
        <v>1.6666666666666667</v>
      </c>
      <c r="Q367" s="29">
        <f t="shared" si="216"/>
        <v>2226.8333333333335</v>
      </c>
      <c r="R367" s="29">
        <f t="shared" si="217"/>
        <v>1336.1</v>
      </c>
      <c r="S367" s="1">
        <v>0</v>
      </c>
      <c r="T367" s="1">
        <v>0</v>
      </c>
      <c r="U367" s="24">
        <v>0</v>
      </c>
      <c r="V367" s="25">
        <f t="shared" si="196"/>
        <v>1.2633610392988612</v>
      </c>
      <c r="W367" s="25">
        <f t="shared" si="197"/>
        <v>0.84326490124799003</v>
      </c>
      <c r="X367" s="25">
        <f t="shared" si="198"/>
        <v>1.1403706827504447</v>
      </c>
      <c r="Y367" s="25">
        <f t="shared" si="199"/>
        <v>0.66747736792325363</v>
      </c>
      <c r="Z367" s="25">
        <f t="shared" si="200"/>
        <v>0.90264829077151743</v>
      </c>
      <c r="AA367" s="25">
        <f t="shared" si="201"/>
        <v>1.3523279352226718</v>
      </c>
      <c r="AB367" s="25">
        <f t="shared" si="202"/>
        <v>0</v>
      </c>
      <c r="AC367" s="25">
        <f t="shared" si="203"/>
        <v>0</v>
      </c>
      <c r="AD367" s="63">
        <f t="shared" si="204"/>
        <v>0</v>
      </c>
      <c r="AE367" s="24">
        <f t="shared" si="205"/>
        <v>1</v>
      </c>
    </row>
    <row r="368" spans="1:31" x14ac:dyDescent="0.2">
      <c r="A368" s="75">
        <f t="shared" si="208"/>
        <v>46290</v>
      </c>
      <c r="B368" s="15" t="str">
        <f>$B$8</f>
        <v>FC</v>
      </c>
      <c r="C368" s="15" t="str">
        <f>$C$8</f>
        <v xml:space="preserve">Kajal  </v>
      </c>
      <c r="D368" s="18">
        <f t="shared" si="206"/>
        <v>1.4247708643911976</v>
      </c>
      <c r="E368" s="4">
        <f t="shared" si="207"/>
        <v>3.5576009336569676</v>
      </c>
      <c r="F368" s="4">
        <v>3514.9097224530842</v>
      </c>
      <c r="G368" s="5">
        <f t="shared" si="209"/>
        <v>2.4969635627530362</v>
      </c>
      <c r="H368" s="4">
        <f t="shared" si="210"/>
        <v>2467</v>
      </c>
      <c r="I368" s="4">
        <f t="shared" si="211"/>
        <v>988.00000000000011</v>
      </c>
      <c r="J368" s="4">
        <f t="shared" si="212"/>
        <v>0.11398166915129582</v>
      </c>
      <c r="K368" s="27">
        <f t="shared" si="213"/>
        <v>5.6990834575647908E-2</v>
      </c>
      <c r="L368" s="30">
        <f t="shared" si="214"/>
        <v>0.3561927160977994</v>
      </c>
      <c r="M368" s="23">
        <v>0</v>
      </c>
      <c r="N368" s="2">
        <v>0</v>
      </c>
      <c r="O368" s="4">
        <v>0</v>
      </c>
      <c r="P368" s="5" t="e">
        <f t="shared" si="215"/>
        <v>#DIV/0!</v>
      </c>
      <c r="Q368" s="29" t="e">
        <f t="shared" si="216"/>
        <v>#DIV/0!</v>
      </c>
      <c r="R368" s="29" t="e">
        <f t="shared" si="217"/>
        <v>#DIV/0!</v>
      </c>
      <c r="S368" s="1">
        <v>0</v>
      </c>
      <c r="T368" s="1">
        <v>0</v>
      </c>
      <c r="U368" s="24">
        <v>0</v>
      </c>
      <c r="V368" s="25">
        <f t="shared" ref="V368:V431" si="218">M368/D368</f>
        <v>0</v>
      </c>
      <c r="W368" s="25">
        <f t="shared" ref="W368:W431" si="219">N368/E368</f>
        <v>0</v>
      </c>
      <c r="X368" s="25">
        <f t="shared" ref="X368:X431" si="220">O368/F368</f>
        <v>0</v>
      </c>
      <c r="Y368" s="25" t="e">
        <f t="shared" ref="Y368:Y431" si="221">P368/G368</f>
        <v>#DIV/0!</v>
      </c>
      <c r="Z368" s="25" t="e">
        <f t="shared" ref="Z368:Z431" si="222">Q368/H368</f>
        <v>#DIV/0!</v>
      </c>
      <c r="AA368" s="25" t="e">
        <f t="shared" ref="AA368:AA431" si="223">R368/I368</f>
        <v>#DIV/0!</v>
      </c>
      <c r="AB368" s="25">
        <f t="shared" ref="AB368:AB431" si="224">S368/J368</f>
        <v>0</v>
      </c>
      <c r="AC368" s="25">
        <f t="shared" ref="AC368:AC431" si="225">T368/K368</f>
        <v>0</v>
      </c>
      <c r="AD368" s="63">
        <f t="shared" ref="AD368:AD431" si="226">U368/L368</f>
        <v>0</v>
      </c>
      <c r="AE368" s="24">
        <f t="shared" si="205"/>
        <v>1</v>
      </c>
    </row>
    <row r="369" spans="1:31" x14ac:dyDescent="0.2">
      <c r="A369" s="75">
        <f t="shared" si="208"/>
        <v>46290</v>
      </c>
      <c r="B369" s="15" t="str">
        <f>$B$9</f>
        <v>FC</v>
      </c>
      <c r="C369" s="15" t="str">
        <f>$C$9</f>
        <v>Pradeep</v>
      </c>
      <c r="D369" s="18">
        <f t="shared" si="206"/>
        <v>3.3244653502461272</v>
      </c>
      <c r="E369" s="4">
        <f t="shared" si="207"/>
        <v>8.3010688451995911</v>
      </c>
      <c r="F369" s="4">
        <v>8201.4560190571956</v>
      </c>
      <c r="G369" s="5">
        <f t="shared" si="209"/>
        <v>2.4969635627530367</v>
      </c>
      <c r="H369" s="4">
        <f t="shared" si="210"/>
        <v>2467</v>
      </c>
      <c r="I369" s="4">
        <f t="shared" si="211"/>
        <v>988</v>
      </c>
      <c r="J369" s="4">
        <f t="shared" si="212"/>
        <v>0.26595722801969018</v>
      </c>
      <c r="K369" s="27">
        <f t="shared" si="213"/>
        <v>0.13297861400984509</v>
      </c>
      <c r="L369" s="30">
        <f t="shared" si="214"/>
        <v>0.8311163375615318</v>
      </c>
      <c r="M369" s="23">
        <v>3</v>
      </c>
      <c r="N369" s="2">
        <v>4</v>
      </c>
      <c r="O369" s="4">
        <v>2434.5</v>
      </c>
      <c r="P369" s="5">
        <f t="shared" si="215"/>
        <v>1.3333333333333333</v>
      </c>
      <c r="Q369" s="29">
        <f t="shared" si="216"/>
        <v>811.5</v>
      </c>
      <c r="R369" s="29">
        <f t="shared" si="217"/>
        <v>608.625</v>
      </c>
      <c r="S369" s="1">
        <v>0</v>
      </c>
      <c r="T369" s="1">
        <v>0</v>
      </c>
      <c r="U369" s="24">
        <v>0</v>
      </c>
      <c r="V369" s="25">
        <f t="shared" si="218"/>
        <v>0.9024007423563295</v>
      </c>
      <c r="W369" s="25">
        <f t="shared" si="219"/>
        <v>0.48186565785599433</v>
      </c>
      <c r="X369" s="25">
        <f t="shared" si="220"/>
        <v>0.2968375364500046</v>
      </c>
      <c r="Y369" s="25">
        <f t="shared" si="221"/>
        <v>0.53398189433860277</v>
      </c>
      <c r="Z369" s="25">
        <f t="shared" si="222"/>
        <v>0.32894203486015405</v>
      </c>
      <c r="AA369" s="25">
        <f t="shared" si="223"/>
        <v>0.61601720647773284</v>
      </c>
      <c r="AB369" s="25">
        <f t="shared" si="224"/>
        <v>0</v>
      </c>
      <c r="AC369" s="25">
        <f t="shared" si="225"/>
        <v>0</v>
      </c>
      <c r="AD369" s="63">
        <f t="shared" si="226"/>
        <v>0</v>
      </c>
      <c r="AE369" s="24">
        <f t="shared" si="205"/>
        <v>1</v>
      </c>
    </row>
    <row r="370" spans="1:31" x14ac:dyDescent="0.2">
      <c r="A370" s="75">
        <f t="shared" si="208"/>
        <v>46290</v>
      </c>
      <c r="B370" s="15" t="str">
        <f>$B$10</f>
        <v>FC</v>
      </c>
      <c r="C370" s="15" t="str">
        <f>$C$10</f>
        <v>Aftab</v>
      </c>
      <c r="D370" s="18">
        <f t="shared" si="206"/>
        <v>0</v>
      </c>
      <c r="E370" s="4">
        <f t="shared" si="207"/>
        <v>0</v>
      </c>
      <c r="F370" s="4">
        <v>0</v>
      </c>
      <c r="G370" s="5" t="e">
        <f t="shared" si="209"/>
        <v>#DIV/0!</v>
      </c>
      <c r="H370" s="4" t="e">
        <f t="shared" si="210"/>
        <v>#DIV/0!</v>
      </c>
      <c r="I370" s="4" t="e">
        <f t="shared" si="211"/>
        <v>#DIV/0!</v>
      </c>
      <c r="J370" s="4">
        <f t="shared" si="212"/>
        <v>0</v>
      </c>
      <c r="K370" s="27">
        <f t="shared" si="213"/>
        <v>0</v>
      </c>
      <c r="L370" s="30">
        <f t="shared" si="214"/>
        <v>0</v>
      </c>
      <c r="M370" s="23">
        <v>0</v>
      </c>
      <c r="N370" s="2">
        <v>0</v>
      </c>
      <c r="O370" s="4">
        <v>0</v>
      </c>
      <c r="P370" s="5" t="e">
        <f t="shared" si="215"/>
        <v>#DIV/0!</v>
      </c>
      <c r="Q370" s="29" t="e">
        <f t="shared" si="216"/>
        <v>#DIV/0!</v>
      </c>
      <c r="R370" s="29" t="e">
        <f t="shared" si="217"/>
        <v>#DIV/0!</v>
      </c>
      <c r="S370" s="1">
        <v>0</v>
      </c>
      <c r="T370" s="1">
        <v>0</v>
      </c>
      <c r="U370" s="24">
        <v>0</v>
      </c>
      <c r="V370" s="25" t="e">
        <f t="shared" si="218"/>
        <v>#DIV/0!</v>
      </c>
      <c r="W370" s="25" t="e">
        <f t="shared" si="219"/>
        <v>#DIV/0!</v>
      </c>
      <c r="X370" s="25" t="e">
        <f t="shared" si="220"/>
        <v>#DIV/0!</v>
      </c>
      <c r="Y370" s="25" t="e">
        <f t="shared" si="221"/>
        <v>#DIV/0!</v>
      </c>
      <c r="Z370" s="25" t="e">
        <f t="shared" si="222"/>
        <v>#DIV/0!</v>
      </c>
      <c r="AA370" s="25" t="e">
        <f t="shared" si="223"/>
        <v>#DIV/0!</v>
      </c>
      <c r="AB370" s="25" t="e">
        <f t="shared" si="224"/>
        <v>#DIV/0!</v>
      </c>
      <c r="AC370" s="25" t="e">
        <f t="shared" si="225"/>
        <v>#DIV/0!</v>
      </c>
      <c r="AD370" s="63" t="e">
        <f t="shared" si="226"/>
        <v>#DIV/0!</v>
      </c>
      <c r="AE370" s="24">
        <f t="shared" si="205"/>
        <v>0</v>
      </c>
    </row>
    <row r="371" spans="1:31" x14ac:dyDescent="0.2">
      <c r="A371" s="75">
        <f t="shared" si="208"/>
        <v>46290</v>
      </c>
      <c r="B371" s="15" t="str">
        <f>$B$11</f>
        <v>FC</v>
      </c>
      <c r="C371" s="15" t="str">
        <f>$C$11</f>
        <v>Khushi</v>
      </c>
      <c r="D371" s="18">
        <f t="shared" si="206"/>
        <v>4.7492362146373246</v>
      </c>
      <c r="E371" s="4">
        <f t="shared" si="207"/>
        <v>11.858669778856559</v>
      </c>
      <c r="F371" s="4">
        <v>11716.365741510281</v>
      </c>
      <c r="G371" s="5">
        <f t="shared" si="209"/>
        <v>2.4969635627530367</v>
      </c>
      <c r="H371" s="4">
        <f t="shared" si="210"/>
        <v>2467</v>
      </c>
      <c r="I371" s="4">
        <f t="shared" si="211"/>
        <v>988.00000000000011</v>
      </c>
      <c r="J371" s="4">
        <f t="shared" si="212"/>
        <v>0.379938897170986</v>
      </c>
      <c r="K371" s="27">
        <f t="shared" si="213"/>
        <v>0.189969448585493</v>
      </c>
      <c r="L371" s="30">
        <f t="shared" si="214"/>
        <v>1.1873090536593311</v>
      </c>
      <c r="M371" s="23">
        <v>9</v>
      </c>
      <c r="N371" s="2">
        <v>26</v>
      </c>
      <c r="O371" s="4">
        <v>17428.75</v>
      </c>
      <c r="P371" s="5">
        <f t="shared" si="215"/>
        <v>2.8888888888888888</v>
      </c>
      <c r="Q371" s="29">
        <f t="shared" si="216"/>
        <v>1936.5277777777778</v>
      </c>
      <c r="R371" s="29">
        <f t="shared" si="217"/>
        <v>670.33653846153845</v>
      </c>
      <c r="S371" s="1">
        <v>0</v>
      </c>
      <c r="T371" s="1">
        <v>0</v>
      </c>
      <c r="U371" s="24">
        <v>0</v>
      </c>
      <c r="V371" s="25">
        <f t="shared" si="218"/>
        <v>1.8950415589482918</v>
      </c>
      <c r="W371" s="25">
        <f t="shared" si="219"/>
        <v>2.1924887432447742</v>
      </c>
      <c r="X371" s="25">
        <f t="shared" si="220"/>
        <v>1.4875559866018124</v>
      </c>
      <c r="Y371" s="25">
        <f t="shared" si="221"/>
        <v>1.1569607710669727</v>
      </c>
      <c r="Z371" s="25">
        <f t="shared" si="222"/>
        <v>0.78497275142998701</v>
      </c>
      <c r="AA371" s="25">
        <f t="shared" si="223"/>
        <v>0.6784782777950793</v>
      </c>
      <c r="AB371" s="25">
        <f t="shared" si="224"/>
        <v>0</v>
      </c>
      <c r="AC371" s="25">
        <f t="shared" si="225"/>
        <v>0</v>
      </c>
      <c r="AD371" s="63">
        <f t="shared" si="226"/>
        <v>0</v>
      </c>
      <c r="AE371" s="24">
        <f t="shared" si="205"/>
        <v>1</v>
      </c>
    </row>
    <row r="372" spans="1:31" x14ac:dyDescent="0.2">
      <c r="A372" s="75">
        <f t="shared" si="208"/>
        <v>46290</v>
      </c>
      <c r="B372" s="15" t="str">
        <f>$B$12</f>
        <v>FC</v>
      </c>
      <c r="C372" s="15" t="str">
        <f>$C$12</f>
        <v>Kishan</v>
      </c>
      <c r="D372" s="18">
        <f t="shared" si="206"/>
        <v>4.7492362146373246</v>
      </c>
      <c r="E372" s="4">
        <f t="shared" si="207"/>
        <v>11.858669778856559</v>
      </c>
      <c r="F372" s="4">
        <v>11716.365741510281</v>
      </c>
      <c r="G372" s="5">
        <f t="shared" si="209"/>
        <v>2.4969635627530367</v>
      </c>
      <c r="H372" s="4">
        <f t="shared" si="210"/>
        <v>2467</v>
      </c>
      <c r="I372" s="4">
        <f t="shared" si="211"/>
        <v>988.00000000000011</v>
      </c>
      <c r="J372" s="4">
        <f t="shared" si="212"/>
        <v>0.379938897170986</v>
      </c>
      <c r="K372" s="27">
        <f t="shared" si="213"/>
        <v>0.189969448585493</v>
      </c>
      <c r="L372" s="30">
        <f t="shared" si="214"/>
        <v>1.1873090536593311</v>
      </c>
      <c r="M372" s="23">
        <v>8</v>
      </c>
      <c r="N372" s="2">
        <v>19</v>
      </c>
      <c r="O372" s="4">
        <v>21272.030000000002</v>
      </c>
      <c r="P372" s="5">
        <f t="shared" si="215"/>
        <v>2.375</v>
      </c>
      <c r="Q372" s="29">
        <f t="shared" si="216"/>
        <v>2659.0037500000003</v>
      </c>
      <c r="R372" s="29">
        <f t="shared" si="217"/>
        <v>1119.5805263157897</v>
      </c>
      <c r="S372" s="1">
        <v>0</v>
      </c>
      <c r="T372" s="1">
        <v>0</v>
      </c>
      <c r="U372" s="24">
        <v>0</v>
      </c>
      <c r="V372" s="25">
        <f t="shared" si="218"/>
        <v>1.6844813857318151</v>
      </c>
      <c r="W372" s="25">
        <f t="shared" si="219"/>
        <v>1.6022033123711812</v>
      </c>
      <c r="X372" s="25">
        <f t="shared" si="220"/>
        <v>1.8155826191593403</v>
      </c>
      <c r="Y372" s="25">
        <f t="shared" si="221"/>
        <v>0.95115524929063633</v>
      </c>
      <c r="Z372" s="25">
        <f t="shared" si="222"/>
        <v>1.0778288406972032</v>
      </c>
      <c r="AA372" s="25">
        <f t="shared" si="223"/>
        <v>1.133178670360111</v>
      </c>
      <c r="AB372" s="25">
        <f t="shared" si="224"/>
        <v>0</v>
      </c>
      <c r="AC372" s="25">
        <f t="shared" si="225"/>
        <v>0</v>
      </c>
      <c r="AD372" s="63">
        <f t="shared" si="226"/>
        <v>0</v>
      </c>
      <c r="AE372" s="24">
        <f t="shared" si="205"/>
        <v>1</v>
      </c>
    </row>
    <row r="373" spans="1:31" x14ac:dyDescent="0.2">
      <c r="A373" s="75">
        <f t="shared" si="208"/>
        <v>46290</v>
      </c>
      <c r="B373" s="15" t="str">
        <f>$B$13</f>
        <v>Partner</v>
      </c>
      <c r="C373" s="15" t="str">
        <f>$C$13</f>
        <v>Rahul</v>
      </c>
      <c r="D373" s="18">
        <f t="shared" si="206"/>
        <v>4.274312593173593</v>
      </c>
      <c r="E373" s="4">
        <f t="shared" si="207"/>
        <v>10.672802800970905</v>
      </c>
      <c r="F373" s="4">
        <v>10544.729167359254</v>
      </c>
      <c r="G373" s="5">
        <f t="shared" si="209"/>
        <v>2.4969635627530362</v>
      </c>
      <c r="H373" s="4">
        <f t="shared" si="210"/>
        <v>2467</v>
      </c>
      <c r="I373" s="4">
        <f t="shared" si="211"/>
        <v>988</v>
      </c>
      <c r="J373" s="4">
        <f t="shared" si="212"/>
        <v>0.34194500745388745</v>
      </c>
      <c r="K373" s="27">
        <f t="shared" si="213"/>
        <v>0.17097250372694373</v>
      </c>
      <c r="L373" s="30">
        <f t="shared" si="214"/>
        <v>1.0685781482933983</v>
      </c>
      <c r="M373" s="23">
        <v>4</v>
      </c>
      <c r="N373" s="2">
        <v>6</v>
      </c>
      <c r="O373" s="4">
        <v>3295</v>
      </c>
      <c r="P373" s="5">
        <f t="shared" si="215"/>
        <v>1.5</v>
      </c>
      <c r="Q373" s="29">
        <f t="shared" si="216"/>
        <v>823.75</v>
      </c>
      <c r="R373" s="29">
        <f t="shared" si="217"/>
        <v>549.16666666666663</v>
      </c>
      <c r="S373" s="1">
        <v>0</v>
      </c>
      <c r="T373" s="1">
        <v>0</v>
      </c>
      <c r="U373" s="24">
        <v>0</v>
      </c>
      <c r="V373" s="25">
        <f t="shared" si="218"/>
        <v>0.93582299207323039</v>
      </c>
      <c r="W373" s="25">
        <f t="shared" si="219"/>
        <v>0.56217660083199328</v>
      </c>
      <c r="X373" s="25">
        <f t="shared" si="220"/>
        <v>0.31247839064463862</v>
      </c>
      <c r="Y373" s="25">
        <f t="shared" si="221"/>
        <v>0.60072963113092825</v>
      </c>
      <c r="Z373" s="25">
        <f t="shared" si="222"/>
        <v>0.33390758005674909</v>
      </c>
      <c r="AA373" s="25">
        <f t="shared" si="223"/>
        <v>0.55583670715249656</v>
      </c>
      <c r="AB373" s="25">
        <f t="shared" si="224"/>
        <v>0</v>
      </c>
      <c r="AC373" s="25">
        <f t="shared" si="225"/>
        <v>0</v>
      </c>
      <c r="AD373" s="63">
        <f t="shared" si="226"/>
        <v>0</v>
      </c>
      <c r="AE373" s="24">
        <f t="shared" si="205"/>
        <v>1</v>
      </c>
    </row>
    <row r="374" spans="1:31" x14ac:dyDescent="0.2">
      <c r="A374" s="75">
        <f t="shared" si="208"/>
        <v>46290</v>
      </c>
      <c r="B374" s="15" t="str">
        <f>$B$14</f>
        <v>Partner</v>
      </c>
      <c r="C374" s="15" t="str">
        <f>$C$14</f>
        <v>Prince</v>
      </c>
      <c r="D374" s="18">
        <f t="shared" si="206"/>
        <v>4.274312593173593</v>
      </c>
      <c r="E374" s="4">
        <f t="shared" si="207"/>
        <v>10.672802800970905</v>
      </c>
      <c r="F374" s="4">
        <v>10544.729167359254</v>
      </c>
      <c r="G374" s="5">
        <f t="shared" si="209"/>
        <v>2.4969635627530362</v>
      </c>
      <c r="H374" s="4">
        <f t="shared" si="210"/>
        <v>2467</v>
      </c>
      <c r="I374" s="4">
        <f t="shared" si="211"/>
        <v>988</v>
      </c>
      <c r="J374" s="4">
        <f t="shared" si="212"/>
        <v>0.34194500745388745</v>
      </c>
      <c r="K374" s="27">
        <f t="shared" si="213"/>
        <v>0.17097250372694373</v>
      </c>
      <c r="L374" s="30">
        <f t="shared" si="214"/>
        <v>1.0685781482933983</v>
      </c>
      <c r="M374" s="23">
        <v>6</v>
      </c>
      <c r="N374" s="2">
        <v>12</v>
      </c>
      <c r="O374" s="4">
        <v>12919.82</v>
      </c>
      <c r="P374" s="5">
        <f t="shared" si="215"/>
        <v>2</v>
      </c>
      <c r="Q374" s="29">
        <f t="shared" si="216"/>
        <v>2153.3033333333333</v>
      </c>
      <c r="R374" s="29">
        <f t="shared" si="217"/>
        <v>1076.6516666666666</v>
      </c>
      <c r="S374" s="1">
        <v>0</v>
      </c>
      <c r="T374" s="1">
        <v>0</v>
      </c>
      <c r="U374" s="24">
        <v>0</v>
      </c>
      <c r="V374" s="25">
        <f t="shared" si="218"/>
        <v>1.4037344881098455</v>
      </c>
      <c r="W374" s="25">
        <f t="shared" si="219"/>
        <v>1.1243532016639866</v>
      </c>
      <c r="X374" s="25">
        <f t="shared" si="220"/>
        <v>1.2252396239813097</v>
      </c>
      <c r="Y374" s="25">
        <f t="shared" si="221"/>
        <v>0.80097284150790438</v>
      </c>
      <c r="Z374" s="25">
        <f t="shared" si="222"/>
        <v>0.87284285907309822</v>
      </c>
      <c r="AA374" s="25">
        <f t="shared" si="223"/>
        <v>1.089728407557355</v>
      </c>
      <c r="AB374" s="25">
        <f t="shared" si="224"/>
        <v>0</v>
      </c>
      <c r="AC374" s="25">
        <f t="shared" si="225"/>
        <v>0</v>
      </c>
      <c r="AD374" s="63">
        <f t="shared" si="226"/>
        <v>0</v>
      </c>
      <c r="AE374" s="24">
        <f t="shared" si="205"/>
        <v>1</v>
      </c>
    </row>
    <row r="375" spans="1:31" x14ac:dyDescent="0.2">
      <c r="A375" s="75">
        <f t="shared" si="208"/>
        <v>46290</v>
      </c>
      <c r="B375" s="15" t="str">
        <f>$B$15</f>
        <v>Partner</v>
      </c>
      <c r="C375" s="15" t="str">
        <f>$C$15</f>
        <v>Kunal</v>
      </c>
      <c r="D375" s="18">
        <f t="shared" si="206"/>
        <v>4.274312593173593</v>
      </c>
      <c r="E375" s="4">
        <f t="shared" si="207"/>
        <v>10.672802800970905</v>
      </c>
      <c r="F375" s="4">
        <v>10544.729167359254</v>
      </c>
      <c r="G375" s="5">
        <f t="shared" si="209"/>
        <v>2.4969635627530362</v>
      </c>
      <c r="H375" s="4">
        <f t="shared" si="210"/>
        <v>2467</v>
      </c>
      <c r="I375" s="4">
        <f t="shared" si="211"/>
        <v>988</v>
      </c>
      <c r="J375" s="4">
        <f t="shared" si="212"/>
        <v>0.34194500745388745</v>
      </c>
      <c r="K375" s="27">
        <f t="shared" si="213"/>
        <v>0.17097250372694373</v>
      </c>
      <c r="L375" s="30">
        <f t="shared" si="214"/>
        <v>1.0685781482933983</v>
      </c>
      <c r="M375" s="23">
        <v>4</v>
      </c>
      <c r="N375" s="2">
        <v>7</v>
      </c>
      <c r="O375" s="4">
        <v>11952.74</v>
      </c>
      <c r="P375" s="5">
        <f t="shared" si="215"/>
        <v>1.75</v>
      </c>
      <c r="Q375" s="29">
        <f t="shared" si="216"/>
        <v>2988.1849999999999</v>
      </c>
      <c r="R375" s="29">
        <f t="shared" si="217"/>
        <v>1707.5342857142857</v>
      </c>
      <c r="S375" s="1">
        <v>0</v>
      </c>
      <c r="T375" s="1">
        <v>0</v>
      </c>
      <c r="U375" s="24">
        <v>0</v>
      </c>
      <c r="V375" s="25">
        <f t="shared" si="218"/>
        <v>0.93582299207323039</v>
      </c>
      <c r="W375" s="25">
        <f t="shared" si="219"/>
        <v>0.65587270097065886</v>
      </c>
      <c r="X375" s="25">
        <f t="shared" si="220"/>
        <v>1.1335274534123818</v>
      </c>
      <c r="Y375" s="25">
        <f t="shared" si="221"/>
        <v>0.70085123631941637</v>
      </c>
      <c r="Z375" s="25">
        <f t="shared" si="222"/>
        <v>1.211262667207134</v>
      </c>
      <c r="AA375" s="25">
        <f t="shared" si="223"/>
        <v>1.7282735685367265</v>
      </c>
      <c r="AB375" s="25">
        <f t="shared" si="224"/>
        <v>0</v>
      </c>
      <c r="AC375" s="25">
        <f t="shared" si="225"/>
        <v>0</v>
      </c>
      <c r="AD375" s="63">
        <f t="shared" si="226"/>
        <v>0</v>
      </c>
      <c r="AE375" s="24">
        <f t="shared" si="205"/>
        <v>1</v>
      </c>
    </row>
    <row r="376" spans="1:31" x14ac:dyDescent="0.2">
      <c r="A376" s="75">
        <f t="shared" si="208"/>
        <v>46290</v>
      </c>
      <c r="B376" s="15" t="str">
        <f>$B$16</f>
        <v>NA</v>
      </c>
      <c r="C376" s="15" t="str">
        <f>$C$16</f>
        <v>NA</v>
      </c>
      <c r="D376" s="18">
        <f t="shared" si="206"/>
        <v>0</v>
      </c>
      <c r="E376" s="4">
        <f t="shared" si="207"/>
        <v>0</v>
      </c>
      <c r="F376" s="4">
        <v>0</v>
      </c>
      <c r="G376" s="5" t="e">
        <f t="shared" si="209"/>
        <v>#DIV/0!</v>
      </c>
      <c r="H376" s="4" t="e">
        <f t="shared" si="210"/>
        <v>#DIV/0!</v>
      </c>
      <c r="I376" s="4" t="e">
        <f t="shared" si="211"/>
        <v>#DIV/0!</v>
      </c>
      <c r="J376" s="4">
        <f t="shared" si="212"/>
        <v>0</v>
      </c>
      <c r="K376" s="27">
        <f t="shared" si="213"/>
        <v>0</v>
      </c>
      <c r="L376" s="30">
        <f t="shared" si="214"/>
        <v>0</v>
      </c>
      <c r="M376" s="23">
        <v>2</v>
      </c>
      <c r="N376" s="2">
        <v>0</v>
      </c>
      <c r="O376" s="4">
        <v>-1106.19</v>
      </c>
      <c r="P376" s="5">
        <f t="shared" si="215"/>
        <v>0</v>
      </c>
      <c r="Q376" s="29">
        <f t="shared" si="216"/>
        <v>-553.09500000000003</v>
      </c>
      <c r="R376" s="29" t="e">
        <f t="shared" si="217"/>
        <v>#DIV/0!</v>
      </c>
      <c r="S376" s="1">
        <v>0</v>
      </c>
      <c r="T376" s="1">
        <v>0</v>
      </c>
      <c r="U376" s="24">
        <v>0</v>
      </c>
      <c r="V376" s="25" t="e">
        <f t="shared" si="218"/>
        <v>#DIV/0!</v>
      </c>
      <c r="W376" s="25" t="e">
        <f t="shared" si="219"/>
        <v>#DIV/0!</v>
      </c>
      <c r="X376" s="25" t="e">
        <f t="shared" si="220"/>
        <v>#DIV/0!</v>
      </c>
      <c r="Y376" s="25" t="e">
        <f t="shared" si="221"/>
        <v>#DIV/0!</v>
      </c>
      <c r="Z376" s="25" t="e">
        <f t="shared" si="222"/>
        <v>#DIV/0!</v>
      </c>
      <c r="AA376" s="25" t="e">
        <f t="shared" si="223"/>
        <v>#DIV/0!</v>
      </c>
      <c r="AB376" s="25" t="e">
        <f t="shared" si="224"/>
        <v>#DIV/0!</v>
      </c>
      <c r="AC376" s="25" t="e">
        <f t="shared" si="225"/>
        <v>#DIV/0!</v>
      </c>
      <c r="AD376" s="63" t="e">
        <f t="shared" si="226"/>
        <v>#DIV/0!</v>
      </c>
      <c r="AE376" s="24">
        <f t="shared" si="205"/>
        <v>0</v>
      </c>
    </row>
    <row r="377" spans="1:31" x14ac:dyDescent="0.2">
      <c r="A377" s="75">
        <f t="shared" si="208"/>
        <v>46290</v>
      </c>
      <c r="B377" s="15" t="str">
        <f>$B$17</f>
        <v>NA</v>
      </c>
      <c r="C377" s="15" t="str">
        <f>$C$17</f>
        <v>NA</v>
      </c>
      <c r="D377" s="18">
        <f t="shared" si="206"/>
        <v>0</v>
      </c>
      <c r="E377" s="4">
        <f t="shared" si="207"/>
        <v>0</v>
      </c>
      <c r="F377" s="4">
        <v>0</v>
      </c>
      <c r="G377" s="5" t="e">
        <f t="shared" si="209"/>
        <v>#DIV/0!</v>
      </c>
      <c r="H377" s="4" t="e">
        <f t="shared" si="210"/>
        <v>#DIV/0!</v>
      </c>
      <c r="I377" s="4" t="e">
        <f t="shared" si="211"/>
        <v>#DIV/0!</v>
      </c>
      <c r="J377" s="4">
        <f t="shared" si="212"/>
        <v>0</v>
      </c>
      <c r="K377" s="27">
        <f t="shared" si="213"/>
        <v>0</v>
      </c>
      <c r="L377" s="30">
        <f t="shared" si="214"/>
        <v>0</v>
      </c>
      <c r="M377" s="23">
        <v>0</v>
      </c>
      <c r="N377" s="2">
        <v>0</v>
      </c>
      <c r="O377" s="4">
        <v>0</v>
      </c>
      <c r="P377" s="5" t="e">
        <f t="shared" si="215"/>
        <v>#DIV/0!</v>
      </c>
      <c r="Q377" s="29" t="e">
        <f t="shared" si="216"/>
        <v>#DIV/0!</v>
      </c>
      <c r="R377" s="29" t="e">
        <f t="shared" si="217"/>
        <v>#DIV/0!</v>
      </c>
      <c r="S377" s="1">
        <v>0</v>
      </c>
      <c r="T377" s="1">
        <v>0</v>
      </c>
      <c r="U377" s="24">
        <v>0</v>
      </c>
      <c r="V377" s="25" t="e">
        <f t="shared" si="218"/>
        <v>#DIV/0!</v>
      </c>
      <c r="W377" s="25" t="e">
        <f t="shared" si="219"/>
        <v>#DIV/0!</v>
      </c>
      <c r="X377" s="25" t="e">
        <f t="shared" si="220"/>
        <v>#DIV/0!</v>
      </c>
      <c r="Y377" s="25" t="e">
        <f t="shared" si="221"/>
        <v>#DIV/0!</v>
      </c>
      <c r="Z377" s="25" t="e">
        <f t="shared" si="222"/>
        <v>#DIV/0!</v>
      </c>
      <c r="AA377" s="25" t="e">
        <f t="shared" si="223"/>
        <v>#DIV/0!</v>
      </c>
      <c r="AB377" s="25" t="e">
        <f t="shared" si="224"/>
        <v>#DIV/0!</v>
      </c>
      <c r="AC377" s="25" t="e">
        <f t="shared" si="225"/>
        <v>#DIV/0!</v>
      </c>
      <c r="AD377" s="63" t="e">
        <f t="shared" si="226"/>
        <v>#DIV/0!</v>
      </c>
      <c r="AE377" s="24">
        <f t="shared" si="205"/>
        <v>0</v>
      </c>
    </row>
    <row r="378" spans="1:31" x14ac:dyDescent="0.2">
      <c r="A378" s="75">
        <f t="shared" si="208"/>
        <v>46290</v>
      </c>
      <c r="B378" s="15" t="str">
        <f>$B$18</f>
        <v>NA</v>
      </c>
      <c r="C378" s="15" t="str">
        <f>$C$18</f>
        <v>NA</v>
      </c>
      <c r="D378" s="18">
        <f t="shared" si="206"/>
        <v>0</v>
      </c>
      <c r="E378" s="4">
        <f t="shared" si="207"/>
        <v>0</v>
      </c>
      <c r="F378" s="4">
        <v>0</v>
      </c>
      <c r="G378" s="5" t="e">
        <f t="shared" si="209"/>
        <v>#DIV/0!</v>
      </c>
      <c r="H378" s="4" t="e">
        <f t="shared" si="210"/>
        <v>#DIV/0!</v>
      </c>
      <c r="I378" s="4" t="e">
        <f t="shared" si="211"/>
        <v>#DIV/0!</v>
      </c>
      <c r="J378" s="4">
        <f t="shared" si="212"/>
        <v>0</v>
      </c>
      <c r="K378" s="27">
        <f t="shared" si="213"/>
        <v>0</v>
      </c>
      <c r="L378" s="30">
        <f t="shared" si="214"/>
        <v>0</v>
      </c>
      <c r="M378" s="23">
        <v>0</v>
      </c>
      <c r="N378" s="2">
        <v>0</v>
      </c>
      <c r="O378" s="4">
        <v>0</v>
      </c>
      <c r="P378" s="5" t="e">
        <f t="shared" si="215"/>
        <v>#DIV/0!</v>
      </c>
      <c r="Q378" s="29" t="e">
        <f t="shared" si="216"/>
        <v>#DIV/0!</v>
      </c>
      <c r="R378" s="29" t="e">
        <f t="shared" si="217"/>
        <v>#DIV/0!</v>
      </c>
      <c r="S378" s="1">
        <v>0</v>
      </c>
      <c r="T378" s="1">
        <v>0</v>
      </c>
      <c r="U378" s="24">
        <v>0</v>
      </c>
      <c r="V378" s="25" t="e">
        <f t="shared" si="218"/>
        <v>#DIV/0!</v>
      </c>
      <c r="W378" s="25" t="e">
        <f t="shared" si="219"/>
        <v>#DIV/0!</v>
      </c>
      <c r="X378" s="25" t="e">
        <f t="shared" si="220"/>
        <v>#DIV/0!</v>
      </c>
      <c r="Y378" s="25" t="e">
        <f t="shared" si="221"/>
        <v>#DIV/0!</v>
      </c>
      <c r="Z378" s="25" t="e">
        <f t="shared" si="222"/>
        <v>#DIV/0!</v>
      </c>
      <c r="AA378" s="25" t="e">
        <f t="shared" si="223"/>
        <v>#DIV/0!</v>
      </c>
      <c r="AB378" s="25" t="e">
        <f t="shared" si="224"/>
        <v>#DIV/0!</v>
      </c>
      <c r="AC378" s="25" t="e">
        <f t="shared" si="225"/>
        <v>#DIV/0!</v>
      </c>
      <c r="AD378" s="63" t="e">
        <f t="shared" si="226"/>
        <v>#DIV/0!</v>
      </c>
      <c r="AE378" s="24">
        <f t="shared" si="205"/>
        <v>0</v>
      </c>
    </row>
    <row r="379" spans="1:31" x14ac:dyDescent="0.2">
      <c r="A379" s="75">
        <f t="shared" si="208"/>
        <v>46291</v>
      </c>
      <c r="B379" s="15" t="str">
        <f>$B$4</f>
        <v>DSM</v>
      </c>
      <c r="C379" s="15" t="str">
        <f>$C$4</f>
        <v xml:space="preserve">komal  </v>
      </c>
      <c r="D379" s="18">
        <f t="shared" si="206"/>
        <v>0</v>
      </c>
      <c r="E379" s="4">
        <f t="shared" si="207"/>
        <v>0</v>
      </c>
      <c r="F379" s="4"/>
      <c r="G379" s="5" t="e">
        <f t="shared" si="209"/>
        <v>#DIV/0!</v>
      </c>
      <c r="H379" s="4" t="e">
        <f t="shared" si="210"/>
        <v>#DIV/0!</v>
      </c>
      <c r="I379" s="4" t="e">
        <f t="shared" si="211"/>
        <v>#DIV/0!</v>
      </c>
      <c r="J379" s="4">
        <f t="shared" si="212"/>
        <v>0</v>
      </c>
      <c r="K379" s="27">
        <f t="shared" si="213"/>
        <v>0</v>
      </c>
      <c r="L379" s="30">
        <f t="shared" si="214"/>
        <v>0</v>
      </c>
      <c r="M379" s="23"/>
      <c r="N379" s="2"/>
      <c r="O379" s="4"/>
      <c r="P379" s="5" t="e">
        <f t="shared" si="215"/>
        <v>#DIV/0!</v>
      </c>
      <c r="Q379" s="29" t="e">
        <f t="shared" si="216"/>
        <v>#DIV/0!</v>
      </c>
      <c r="R379" s="29" t="e">
        <f t="shared" si="217"/>
        <v>#DIV/0!</v>
      </c>
      <c r="S379" s="1">
        <v>0</v>
      </c>
      <c r="T379" s="1">
        <v>0</v>
      </c>
      <c r="U379" s="24">
        <v>0</v>
      </c>
      <c r="V379" s="25" t="e">
        <f t="shared" si="218"/>
        <v>#DIV/0!</v>
      </c>
      <c r="W379" s="25" t="e">
        <f t="shared" si="219"/>
        <v>#DIV/0!</v>
      </c>
      <c r="X379" s="25" t="e">
        <f t="shared" si="220"/>
        <v>#DIV/0!</v>
      </c>
      <c r="Y379" s="25" t="e">
        <f t="shared" si="221"/>
        <v>#DIV/0!</v>
      </c>
      <c r="Z379" s="25" t="e">
        <f t="shared" si="222"/>
        <v>#DIV/0!</v>
      </c>
      <c r="AA379" s="25" t="e">
        <f t="shared" si="223"/>
        <v>#DIV/0!</v>
      </c>
      <c r="AB379" s="25" t="e">
        <f t="shared" si="224"/>
        <v>#DIV/0!</v>
      </c>
      <c r="AC379" s="25" t="e">
        <f t="shared" si="225"/>
        <v>#DIV/0!</v>
      </c>
      <c r="AD379" s="63" t="e">
        <f t="shared" si="226"/>
        <v>#DIV/0!</v>
      </c>
      <c r="AE379" s="24">
        <f t="shared" si="205"/>
        <v>0</v>
      </c>
    </row>
    <row r="380" spans="1:31" x14ac:dyDescent="0.2">
      <c r="A380" s="75">
        <f t="shared" si="208"/>
        <v>46291</v>
      </c>
      <c r="B380" s="15" t="str">
        <f>$B$5</f>
        <v>SS</v>
      </c>
      <c r="C380" s="15" t="str">
        <f>$C$5</f>
        <v>Prem</v>
      </c>
      <c r="D380" s="18">
        <f t="shared" si="206"/>
        <v>0</v>
      </c>
      <c r="E380" s="4">
        <f t="shared" si="207"/>
        <v>0</v>
      </c>
      <c r="F380" s="4"/>
      <c r="G380" s="5" t="e">
        <f t="shared" si="209"/>
        <v>#DIV/0!</v>
      </c>
      <c r="H380" s="4" t="e">
        <f t="shared" si="210"/>
        <v>#DIV/0!</v>
      </c>
      <c r="I380" s="4" t="e">
        <f t="shared" si="211"/>
        <v>#DIV/0!</v>
      </c>
      <c r="J380" s="4">
        <f t="shared" si="212"/>
        <v>0</v>
      </c>
      <c r="K380" s="27">
        <f t="shared" si="213"/>
        <v>0</v>
      </c>
      <c r="L380" s="30">
        <f t="shared" si="214"/>
        <v>0</v>
      </c>
      <c r="M380" s="23"/>
      <c r="N380" s="2"/>
      <c r="O380" s="4"/>
      <c r="P380" s="5" t="e">
        <f t="shared" si="215"/>
        <v>#DIV/0!</v>
      </c>
      <c r="Q380" s="29" t="e">
        <f t="shared" si="216"/>
        <v>#DIV/0!</v>
      </c>
      <c r="R380" s="29" t="e">
        <f t="shared" si="217"/>
        <v>#DIV/0!</v>
      </c>
      <c r="S380" s="1">
        <v>0</v>
      </c>
      <c r="T380" s="1">
        <v>0</v>
      </c>
      <c r="U380" s="24">
        <v>0</v>
      </c>
      <c r="V380" s="25" t="e">
        <f t="shared" si="218"/>
        <v>#DIV/0!</v>
      </c>
      <c r="W380" s="25" t="e">
        <f t="shared" si="219"/>
        <v>#DIV/0!</v>
      </c>
      <c r="X380" s="25" t="e">
        <f t="shared" si="220"/>
        <v>#DIV/0!</v>
      </c>
      <c r="Y380" s="25" t="e">
        <f t="shared" si="221"/>
        <v>#DIV/0!</v>
      </c>
      <c r="Z380" s="25" t="e">
        <f t="shared" si="222"/>
        <v>#DIV/0!</v>
      </c>
      <c r="AA380" s="25" t="e">
        <f t="shared" si="223"/>
        <v>#DIV/0!</v>
      </c>
      <c r="AB380" s="25" t="e">
        <f t="shared" si="224"/>
        <v>#DIV/0!</v>
      </c>
      <c r="AC380" s="25" t="e">
        <f t="shared" si="225"/>
        <v>#DIV/0!</v>
      </c>
      <c r="AD380" s="63" t="e">
        <f t="shared" si="226"/>
        <v>#DIV/0!</v>
      </c>
      <c r="AE380" s="24">
        <f t="shared" si="205"/>
        <v>0</v>
      </c>
    </row>
    <row r="381" spans="1:31" x14ac:dyDescent="0.2">
      <c r="A381" s="75">
        <f t="shared" si="208"/>
        <v>46291</v>
      </c>
      <c r="B381" s="15" t="str">
        <f>$B$6</f>
        <v>SS</v>
      </c>
      <c r="C381" s="15" t="str">
        <f>$C$6</f>
        <v>Anuj</v>
      </c>
      <c r="D381" s="18">
        <f t="shared" si="206"/>
        <v>0</v>
      </c>
      <c r="E381" s="4">
        <f t="shared" si="207"/>
        <v>0</v>
      </c>
      <c r="F381" s="4"/>
      <c r="G381" s="5" t="e">
        <f t="shared" si="209"/>
        <v>#DIV/0!</v>
      </c>
      <c r="H381" s="4" t="e">
        <f t="shared" si="210"/>
        <v>#DIV/0!</v>
      </c>
      <c r="I381" s="4" t="e">
        <f t="shared" si="211"/>
        <v>#DIV/0!</v>
      </c>
      <c r="J381" s="4">
        <f t="shared" si="212"/>
        <v>0</v>
      </c>
      <c r="K381" s="27">
        <f t="shared" si="213"/>
        <v>0</v>
      </c>
      <c r="L381" s="30">
        <f t="shared" si="214"/>
        <v>0</v>
      </c>
      <c r="M381" s="23"/>
      <c r="N381" s="2"/>
      <c r="O381" s="4"/>
      <c r="P381" s="5" t="e">
        <f t="shared" si="215"/>
        <v>#DIV/0!</v>
      </c>
      <c r="Q381" s="29" t="e">
        <f t="shared" si="216"/>
        <v>#DIV/0!</v>
      </c>
      <c r="R381" s="29" t="e">
        <f t="shared" si="217"/>
        <v>#DIV/0!</v>
      </c>
      <c r="S381" s="1">
        <v>0</v>
      </c>
      <c r="T381" s="1">
        <v>0</v>
      </c>
      <c r="U381" s="24">
        <v>0</v>
      </c>
      <c r="V381" s="25" t="e">
        <f t="shared" si="218"/>
        <v>#DIV/0!</v>
      </c>
      <c r="W381" s="25" t="e">
        <f t="shared" si="219"/>
        <v>#DIV/0!</v>
      </c>
      <c r="X381" s="25" t="e">
        <f t="shared" si="220"/>
        <v>#DIV/0!</v>
      </c>
      <c r="Y381" s="25" t="e">
        <f t="shared" si="221"/>
        <v>#DIV/0!</v>
      </c>
      <c r="Z381" s="25" t="e">
        <f t="shared" si="222"/>
        <v>#DIV/0!</v>
      </c>
      <c r="AA381" s="25" t="e">
        <f t="shared" si="223"/>
        <v>#DIV/0!</v>
      </c>
      <c r="AB381" s="25" t="e">
        <f t="shared" si="224"/>
        <v>#DIV/0!</v>
      </c>
      <c r="AC381" s="25" t="e">
        <f t="shared" si="225"/>
        <v>#DIV/0!</v>
      </c>
      <c r="AD381" s="63" t="e">
        <f t="shared" si="226"/>
        <v>#DIV/0!</v>
      </c>
      <c r="AE381" s="24">
        <f t="shared" si="205"/>
        <v>0</v>
      </c>
    </row>
    <row r="382" spans="1:31" x14ac:dyDescent="0.2">
      <c r="A382" s="75">
        <f t="shared" si="208"/>
        <v>46291</v>
      </c>
      <c r="B382" s="15" t="str">
        <f>$B$7</f>
        <v>FC</v>
      </c>
      <c r="C382" s="15" t="str">
        <f>$C$7</f>
        <v>Muskan</v>
      </c>
      <c r="D382" s="18">
        <f t="shared" si="206"/>
        <v>0</v>
      </c>
      <c r="E382" s="4">
        <f t="shared" si="207"/>
        <v>0</v>
      </c>
      <c r="F382" s="4"/>
      <c r="G382" s="5" t="e">
        <f t="shared" si="209"/>
        <v>#DIV/0!</v>
      </c>
      <c r="H382" s="4" t="e">
        <f t="shared" si="210"/>
        <v>#DIV/0!</v>
      </c>
      <c r="I382" s="4" t="e">
        <f t="shared" si="211"/>
        <v>#DIV/0!</v>
      </c>
      <c r="J382" s="4">
        <f t="shared" si="212"/>
        <v>0</v>
      </c>
      <c r="K382" s="27">
        <f t="shared" si="213"/>
        <v>0</v>
      </c>
      <c r="L382" s="30">
        <f t="shared" si="214"/>
        <v>0</v>
      </c>
      <c r="M382" s="23"/>
      <c r="N382" s="2"/>
      <c r="O382" s="4"/>
      <c r="P382" s="5" t="e">
        <f t="shared" si="215"/>
        <v>#DIV/0!</v>
      </c>
      <c r="Q382" s="29" t="e">
        <f t="shared" si="216"/>
        <v>#DIV/0!</v>
      </c>
      <c r="R382" s="29" t="e">
        <f t="shared" si="217"/>
        <v>#DIV/0!</v>
      </c>
      <c r="S382" s="1">
        <v>0</v>
      </c>
      <c r="T382" s="1">
        <v>0</v>
      </c>
      <c r="U382" s="24">
        <v>0</v>
      </c>
      <c r="V382" s="25" t="e">
        <f t="shared" si="218"/>
        <v>#DIV/0!</v>
      </c>
      <c r="W382" s="25" t="e">
        <f t="shared" si="219"/>
        <v>#DIV/0!</v>
      </c>
      <c r="X382" s="25" t="e">
        <f t="shared" si="220"/>
        <v>#DIV/0!</v>
      </c>
      <c r="Y382" s="25" t="e">
        <f t="shared" si="221"/>
        <v>#DIV/0!</v>
      </c>
      <c r="Z382" s="25" t="e">
        <f t="shared" si="222"/>
        <v>#DIV/0!</v>
      </c>
      <c r="AA382" s="25" t="e">
        <f t="shared" si="223"/>
        <v>#DIV/0!</v>
      </c>
      <c r="AB382" s="25" t="e">
        <f t="shared" si="224"/>
        <v>#DIV/0!</v>
      </c>
      <c r="AC382" s="25" t="e">
        <f t="shared" si="225"/>
        <v>#DIV/0!</v>
      </c>
      <c r="AD382" s="63" t="e">
        <f t="shared" si="226"/>
        <v>#DIV/0!</v>
      </c>
      <c r="AE382" s="24">
        <f t="shared" si="205"/>
        <v>0</v>
      </c>
    </row>
    <row r="383" spans="1:31" x14ac:dyDescent="0.2">
      <c r="A383" s="75">
        <f t="shared" si="208"/>
        <v>46291</v>
      </c>
      <c r="B383" s="15" t="str">
        <f>$B$8</f>
        <v>FC</v>
      </c>
      <c r="C383" s="15" t="str">
        <f>$C$8</f>
        <v xml:space="preserve">Kajal  </v>
      </c>
      <c r="D383" s="18">
        <f t="shared" si="206"/>
        <v>0</v>
      </c>
      <c r="E383" s="4">
        <f t="shared" si="207"/>
        <v>0</v>
      </c>
      <c r="F383" s="4"/>
      <c r="G383" s="5" t="e">
        <f t="shared" si="209"/>
        <v>#DIV/0!</v>
      </c>
      <c r="H383" s="4" t="e">
        <f t="shared" si="210"/>
        <v>#DIV/0!</v>
      </c>
      <c r="I383" s="4" t="e">
        <f t="shared" si="211"/>
        <v>#DIV/0!</v>
      </c>
      <c r="J383" s="4">
        <f t="shared" si="212"/>
        <v>0</v>
      </c>
      <c r="K383" s="27">
        <f t="shared" si="213"/>
        <v>0</v>
      </c>
      <c r="L383" s="30">
        <f t="shared" si="214"/>
        <v>0</v>
      </c>
      <c r="M383" s="23"/>
      <c r="N383" s="2"/>
      <c r="O383" s="4"/>
      <c r="P383" s="5" t="e">
        <f t="shared" si="215"/>
        <v>#DIV/0!</v>
      </c>
      <c r="Q383" s="29" t="e">
        <f t="shared" si="216"/>
        <v>#DIV/0!</v>
      </c>
      <c r="R383" s="29" t="e">
        <f t="shared" si="217"/>
        <v>#DIV/0!</v>
      </c>
      <c r="S383" s="1">
        <v>0</v>
      </c>
      <c r="T383" s="1">
        <v>0</v>
      </c>
      <c r="U383" s="24">
        <v>0</v>
      </c>
      <c r="V383" s="25" t="e">
        <f t="shared" si="218"/>
        <v>#DIV/0!</v>
      </c>
      <c r="W383" s="25" t="e">
        <f t="shared" si="219"/>
        <v>#DIV/0!</v>
      </c>
      <c r="X383" s="25" t="e">
        <f t="shared" si="220"/>
        <v>#DIV/0!</v>
      </c>
      <c r="Y383" s="25" t="e">
        <f t="shared" si="221"/>
        <v>#DIV/0!</v>
      </c>
      <c r="Z383" s="25" t="e">
        <f t="shared" si="222"/>
        <v>#DIV/0!</v>
      </c>
      <c r="AA383" s="25" t="e">
        <f t="shared" si="223"/>
        <v>#DIV/0!</v>
      </c>
      <c r="AB383" s="25" t="e">
        <f t="shared" si="224"/>
        <v>#DIV/0!</v>
      </c>
      <c r="AC383" s="25" t="e">
        <f t="shared" si="225"/>
        <v>#DIV/0!</v>
      </c>
      <c r="AD383" s="63" t="e">
        <f t="shared" si="226"/>
        <v>#DIV/0!</v>
      </c>
      <c r="AE383" s="24">
        <f t="shared" si="205"/>
        <v>0</v>
      </c>
    </row>
    <row r="384" spans="1:31" x14ac:dyDescent="0.2">
      <c r="A384" s="75">
        <f t="shared" si="208"/>
        <v>46291</v>
      </c>
      <c r="B384" s="15" t="str">
        <f>$B$9</f>
        <v>FC</v>
      </c>
      <c r="C384" s="15" t="str">
        <f>$C$9</f>
        <v>Pradeep</v>
      </c>
      <c r="D384" s="18">
        <f t="shared" si="206"/>
        <v>0</v>
      </c>
      <c r="E384" s="4">
        <f t="shared" si="207"/>
        <v>0</v>
      </c>
      <c r="F384" s="4"/>
      <c r="G384" s="5" t="e">
        <f t="shared" si="209"/>
        <v>#DIV/0!</v>
      </c>
      <c r="H384" s="4" t="e">
        <f t="shared" si="210"/>
        <v>#DIV/0!</v>
      </c>
      <c r="I384" s="4" t="e">
        <f t="shared" si="211"/>
        <v>#DIV/0!</v>
      </c>
      <c r="J384" s="4">
        <f t="shared" si="212"/>
        <v>0</v>
      </c>
      <c r="K384" s="27">
        <f t="shared" si="213"/>
        <v>0</v>
      </c>
      <c r="L384" s="30">
        <f t="shared" si="214"/>
        <v>0</v>
      </c>
      <c r="M384" s="23"/>
      <c r="N384" s="2"/>
      <c r="O384" s="4"/>
      <c r="P384" s="5" t="e">
        <f t="shared" si="215"/>
        <v>#DIV/0!</v>
      </c>
      <c r="Q384" s="29" t="e">
        <f t="shared" si="216"/>
        <v>#DIV/0!</v>
      </c>
      <c r="R384" s="29" t="e">
        <f t="shared" si="217"/>
        <v>#DIV/0!</v>
      </c>
      <c r="S384" s="1">
        <v>0</v>
      </c>
      <c r="T384" s="1">
        <v>0</v>
      </c>
      <c r="U384" s="24">
        <v>0</v>
      </c>
      <c r="V384" s="25" t="e">
        <f t="shared" si="218"/>
        <v>#DIV/0!</v>
      </c>
      <c r="W384" s="25" t="e">
        <f t="shared" si="219"/>
        <v>#DIV/0!</v>
      </c>
      <c r="X384" s="25" t="e">
        <f t="shared" si="220"/>
        <v>#DIV/0!</v>
      </c>
      <c r="Y384" s="25" t="e">
        <f t="shared" si="221"/>
        <v>#DIV/0!</v>
      </c>
      <c r="Z384" s="25" t="e">
        <f t="shared" si="222"/>
        <v>#DIV/0!</v>
      </c>
      <c r="AA384" s="25" t="e">
        <f t="shared" si="223"/>
        <v>#DIV/0!</v>
      </c>
      <c r="AB384" s="25" t="e">
        <f t="shared" si="224"/>
        <v>#DIV/0!</v>
      </c>
      <c r="AC384" s="25" t="e">
        <f t="shared" si="225"/>
        <v>#DIV/0!</v>
      </c>
      <c r="AD384" s="63" t="e">
        <f t="shared" si="226"/>
        <v>#DIV/0!</v>
      </c>
      <c r="AE384" s="24">
        <f t="shared" si="205"/>
        <v>0</v>
      </c>
    </row>
    <row r="385" spans="1:31" x14ac:dyDescent="0.2">
      <c r="A385" s="75">
        <f t="shared" si="208"/>
        <v>46291</v>
      </c>
      <c r="B385" s="15" t="str">
        <f>$B$10</f>
        <v>FC</v>
      </c>
      <c r="C385" s="15" t="str">
        <f>$C$10</f>
        <v>Aftab</v>
      </c>
      <c r="D385" s="18">
        <f t="shared" si="206"/>
        <v>0</v>
      </c>
      <c r="E385" s="4">
        <f t="shared" si="207"/>
        <v>0</v>
      </c>
      <c r="F385" s="4"/>
      <c r="G385" s="5" t="e">
        <f t="shared" si="209"/>
        <v>#DIV/0!</v>
      </c>
      <c r="H385" s="4" t="e">
        <f t="shared" si="210"/>
        <v>#DIV/0!</v>
      </c>
      <c r="I385" s="4" t="e">
        <f t="shared" si="211"/>
        <v>#DIV/0!</v>
      </c>
      <c r="J385" s="4">
        <f t="shared" si="212"/>
        <v>0</v>
      </c>
      <c r="K385" s="27">
        <f t="shared" si="213"/>
        <v>0</v>
      </c>
      <c r="L385" s="30">
        <f t="shared" si="214"/>
        <v>0</v>
      </c>
      <c r="M385" s="23"/>
      <c r="N385" s="2"/>
      <c r="O385" s="4"/>
      <c r="P385" s="5" t="e">
        <f t="shared" si="215"/>
        <v>#DIV/0!</v>
      </c>
      <c r="Q385" s="29" t="e">
        <f t="shared" si="216"/>
        <v>#DIV/0!</v>
      </c>
      <c r="R385" s="29" t="e">
        <f t="shared" si="217"/>
        <v>#DIV/0!</v>
      </c>
      <c r="S385" s="1">
        <v>0</v>
      </c>
      <c r="T385" s="1">
        <v>0</v>
      </c>
      <c r="U385" s="24">
        <v>0</v>
      </c>
      <c r="V385" s="25" t="e">
        <f t="shared" si="218"/>
        <v>#DIV/0!</v>
      </c>
      <c r="W385" s="25" t="e">
        <f t="shared" si="219"/>
        <v>#DIV/0!</v>
      </c>
      <c r="X385" s="25" t="e">
        <f t="shared" si="220"/>
        <v>#DIV/0!</v>
      </c>
      <c r="Y385" s="25" t="e">
        <f t="shared" si="221"/>
        <v>#DIV/0!</v>
      </c>
      <c r="Z385" s="25" t="e">
        <f t="shared" si="222"/>
        <v>#DIV/0!</v>
      </c>
      <c r="AA385" s="25" t="e">
        <f t="shared" si="223"/>
        <v>#DIV/0!</v>
      </c>
      <c r="AB385" s="25" t="e">
        <f t="shared" si="224"/>
        <v>#DIV/0!</v>
      </c>
      <c r="AC385" s="25" t="e">
        <f t="shared" si="225"/>
        <v>#DIV/0!</v>
      </c>
      <c r="AD385" s="63" t="e">
        <f t="shared" si="226"/>
        <v>#DIV/0!</v>
      </c>
      <c r="AE385" s="24">
        <f t="shared" si="205"/>
        <v>0</v>
      </c>
    </row>
    <row r="386" spans="1:31" x14ac:dyDescent="0.2">
      <c r="A386" s="75">
        <f t="shared" si="208"/>
        <v>46291</v>
      </c>
      <c r="B386" s="15" t="str">
        <f>$B$11</f>
        <v>FC</v>
      </c>
      <c r="C386" s="15" t="str">
        <f>$C$11</f>
        <v>Khushi</v>
      </c>
      <c r="D386" s="18">
        <f t="shared" si="206"/>
        <v>0</v>
      </c>
      <c r="E386" s="4">
        <f t="shared" si="207"/>
        <v>0</v>
      </c>
      <c r="F386" s="4"/>
      <c r="G386" s="5" t="e">
        <f t="shared" si="209"/>
        <v>#DIV/0!</v>
      </c>
      <c r="H386" s="4" t="e">
        <f t="shared" si="210"/>
        <v>#DIV/0!</v>
      </c>
      <c r="I386" s="4" t="e">
        <f t="shared" si="211"/>
        <v>#DIV/0!</v>
      </c>
      <c r="J386" s="4">
        <f t="shared" si="212"/>
        <v>0</v>
      </c>
      <c r="K386" s="27">
        <f t="shared" si="213"/>
        <v>0</v>
      </c>
      <c r="L386" s="30">
        <f t="shared" si="214"/>
        <v>0</v>
      </c>
      <c r="M386" s="23"/>
      <c r="N386" s="2"/>
      <c r="O386" s="4"/>
      <c r="P386" s="5" t="e">
        <f t="shared" si="215"/>
        <v>#DIV/0!</v>
      </c>
      <c r="Q386" s="29" t="e">
        <f t="shared" si="216"/>
        <v>#DIV/0!</v>
      </c>
      <c r="R386" s="29" t="e">
        <f t="shared" si="217"/>
        <v>#DIV/0!</v>
      </c>
      <c r="S386" s="1">
        <v>0</v>
      </c>
      <c r="T386" s="1">
        <v>0</v>
      </c>
      <c r="U386" s="24">
        <v>0</v>
      </c>
      <c r="V386" s="25" t="e">
        <f t="shared" si="218"/>
        <v>#DIV/0!</v>
      </c>
      <c r="W386" s="25" t="e">
        <f t="shared" si="219"/>
        <v>#DIV/0!</v>
      </c>
      <c r="X386" s="25" t="e">
        <f t="shared" si="220"/>
        <v>#DIV/0!</v>
      </c>
      <c r="Y386" s="25" t="e">
        <f t="shared" si="221"/>
        <v>#DIV/0!</v>
      </c>
      <c r="Z386" s="25" t="e">
        <f t="shared" si="222"/>
        <v>#DIV/0!</v>
      </c>
      <c r="AA386" s="25" t="e">
        <f t="shared" si="223"/>
        <v>#DIV/0!</v>
      </c>
      <c r="AB386" s="25" t="e">
        <f t="shared" si="224"/>
        <v>#DIV/0!</v>
      </c>
      <c r="AC386" s="25" t="e">
        <f t="shared" si="225"/>
        <v>#DIV/0!</v>
      </c>
      <c r="AD386" s="63" t="e">
        <f t="shared" si="226"/>
        <v>#DIV/0!</v>
      </c>
      <c r="AE386" s="24">
        <f t="shared" si="205"/>
        <v>0</v>
      </c>
    </row>
    <row r="387" spans="1:31" x14ac:dyDescent="0.2">
      <c r="A387" s="75">
        <f t="shared" si="208"/>
        <v>46291</v>
      </c>
      <c r="B387" s="15" t="str">
        <f>$B$12</f>
        <v>FC</v>
      </c>
      <c r="C387" s="15" t="str">
        <f>$C$12</f>
        <v>Kishan</v>
      </c>
      <c r="D387" s="18">
        <f t="shared" si="206"/>
        <v>0</v>
      </c>
      <c r="E387" s="4">
        <f t="shared" si="207"/>
        <v>0</v>
      </c>
      <c r="F387" s="4"/>
      <c r="G387" s="5" t="e">
        <f t="shared" si="209"/>
        <v>#DIV/0!</v>
      </c>
      <c r="H387" s="4" t="e">
        <f t="shared" si="210"/>
        <v>#DIV/0!</v>
      </c>
      <c r="I387" s="4" t="e">
        <f t="shared" si="211"/>
        <v>#DIV/0!</v>
      </c>
      <c r="J387" s="4">
        <f t="shared" si="212"/>
        <v>0</v>
      </c>
      <c r="K387" s="27">
        <f t="shared" si="213"/>
        <v>0</v>
      </c>
      <c r="L387" s="30">
        <f t="shared" si="214"/>
        <v>0</v>
      </c>
      <c r="M387" s="23"/>
      <c r="N387" s="2"/>
      <c r="O387" s="4"/>
      <c r="P387" s="5" t="e">
        <f t="shared" si="215"/>
        <v>#DIV/0!</v>
      </c>
      <c r="Q387" s="29" t="e">
        <f t="shared" si="216"/>
        <v>#DIV/0!</v>
      </c>
      <c r="R387" s="29" t="e">
        <f t="shared" si="217"/>
        <v>#DIV/0!</v>
      </c>
      <c r="S387" s="1">
        <v>0</v>
      </c>
      <c r="T387" s="1">
        <v>0</v>
      </c>
      <c r="U387" s="24">
        <v>0</v>
      </c>
      <c r="V387" s="25" t="e">
        <f t="shared" si="218"/>
        <v>#DIV/0!</v>
      </c>
      <c r="W387" s="25" t="e">
        <f t="shared" si="219"/>
        <v>#DIV/0!</v>
      </c>
      <c r="X387" s="25" t="e">
        <f t="shared" si="220"/>
        <v>#DIV/0!</v>
      </c>
      <c r="Y387" s="25" t="e">
        <f t="shared" si="221"/>
        <v>#DIV/0!</v>
      </c>
      <c r="Z387" s="25" t="e">
        <f t="shared" si="222"/>
        <v>#DIV/0!</v>
      </c>
      <c r="AA387" s="25" t="e">
        <f t="shared" si="223"/>
        <v>#DIV/0!</v>
      </c>
      <c r="AB387" s="25" t="e">
        <f t="shared" si="224"/>
        <v>#DIV/0!</v>
      </c>
      <c r="AC387" s="25" t="e">
        <f t="shared" si="225"/>
        <v>#DIV/0!</v>
      </c>
      <c r="AD387" s="63" t="e">
        <f t="shared" si="226"/>
        <v>#DIV/0!</v>
      </c>
      <c r="AE387" s="24">
        <f t="shared" si="205"/>
        <v>0</v>
      </c>
    </row>
    <row r="388" spans="1:31" x14ac:dyDescent="0.2">
      <c r="A388" s="75">
        <f t="shared" si="208"/>
        <v>46291</v>
      </c>
      <c r="B388" s="15" t="str">
        <f>$B$13</f>
        <v>Partner</v>
      </c>
      <c r="C388" s="15" t="str">
        <f>$C$13</f>
        <v>Rahul</v>
      </c>
      <c r="D388" s="18">
        <f t="shared" si="206"/>
        <v>0</v>
      </c>
      <c r="E388" s="4">
        <f t="shared" si="207"/>
        <v>0</v>
      </c>
      <c r="F388" s="4"/>
      <c r="G388" s="5" t="e">
        <f t="shared" si="209"/>
        <v>#DIV/0!</v>
      </c>
      <c r="H388" s="4" t="e">
        <f t="shared" si="210"/>
        <v>#DIV/0!</v>
      </c>
      <c r="I388" s="4" t="e">
        <f t="shared" si="211"/>
        <v>#DIV/0!</v>
      </c>
      <c r="J388" s="4">
        <f t="shared" si="212"/>
        <v>0</v>
      </c>
      <c r="K388" s="27">
        <f t="shared" si="213"/>
        <v>0</v>
      </c>
      <c r="L388" s="30">
        <f t="shared" si="214"/>
        <v>0</v>
      </c>
      <c r="M388" s="23"/>
      <c r="N388" s="2"/>
      <c r="O388" s="4"/>
      <c r="P388" s="5" t="e">
        <f t="shared" si="215"/>
        <v>#DIV/0!</v>
      </c>
      <c r="Q388" s="29" t="e">
        <f t="shared" si="216"/>
        <v>#DIV/0!</v>
      </c>
      <c r="R388" s="29" t="e">
        <f t="shared" si="217"/>
        <v>#DIV/0!</v>
      </c>
      <c r="S388" s="1">
        <v>0</v>
      </c>
      <c r="T388" s="1">
        <v>0</v>
      </c>
      <c r="U388" s="24">
        <v>0</v>
      </c>
      <c r="V388" s="25" t="e">
        <f t="shared" si="218"/>
        <v>#DIV/0!</v>
      </c>
      <c r="W388" s="25" t="e">
        <f t="shared" si="219"/>
        <v>#DIV/0!</v>
      </c>
      <c r="X388" s="25" t="e">
        <f t="shared" si="220"/>
        <v>#DIV/0!</v>
      </c>
      <c r="Y388" s="25" t="e">
        <f t="shared" si="221"/>
        <v>#DIV/0!</v>
      </c>
      <c r="Z388" s="25" t="e">
        <f t="shared" si="222"/>
        <v>#DIV/0!</v>
      </c>
      <c r="AA388" s="25" t="e">
        <f t="shared" si="223"/>
        <v>#DIV/0!</v>
      </c>
      <c r="AB388" s="25" t="e">
        <f t="shared" si="224"/>
        <v>#DIV/0!</v>
      </c>
      <c r="AC388" s="25" t="e">
        <f t="shared" si="225"/>
        <v>#DIV/0!</v>
      </c>
      <c r="AD388" s="63" t="e">
        <f t="shared" si="226"/>
        <v>#DIV/0!</v>
      </c>
      <c r="AE388" s="24">
        <f t="shared" si="205"/>
        <v>0</v>
      </c>
    </row>
    <row r="389" spans="1:31" x14ac:dyDescent="0.2">
      <c r="A389" s="75">
        <f t="shared" si="208"/>
        <v>46291</v>
      </c>
      <c r="B389" s="15" t="str">
        <f>$B$14</f>
        <v>Partner</v>
      </c>
      <c r="C389" s="15" t="str">
        <f>$C$14</f>
        <v>Prince</v>
      </c>
      <c r="D389" s="18">
        <f t="shared" si="206"/>
        <v>0</v>
      </c>
      <c r="E389" s="4">
        <f t="shared" si="207"/>
        <v>0</v>
      </c>
      <c r="F389" s="4"/>
      <c r="G389" s="5" t="e">
        <f t="shared" si="209"/>
        <v>#DIV/0!</v>
      </c>
      <c r="H389" s="4" t="e">
        <f t="shared" si="210"/>
        <v>#DIV/0!</v>
      </c>
      <c r="I389" s="4" t="e">
        <f t="shared" si="211"/>
        <v>#DIV/0!</v>
      </c>
      <c r="J389" s="4">
        <f t="shared" si="212"/>
        <v>0</v>
      </c>
      <c r="K389" s="27">
        <f t="shared" si="213"/>
        <v>0</v>
      </c>
      <c r="L389" s="30">
        <f t="shared" si="214"/>
        <v>0</v>
      </c>
      <c r="M389" s="23"/>
      <c r="N389" s="2"/>
      <c r="O389" s="4"/>
      <c r="P389" s="5" t="e">
        <f t="shared" si="215"/>
        <v>#DIV/0!</v>
      </c>
      <c r="Q389" s="29" t="e">
        <f t="shared" si="216"/>
        <v>#DIV/0!</v>
      </c>
      <c r="R389" s="29" t="e">
        <f t="shared" si="217"/>
        <v>#DIV/0!</v>
      </c>
      <c r="S389" s="1">
        <v>0</v>
      </c>
      <c r="T389" s="1">
        <v>0</v>
      </c>
      <c r="U389" s="24">
        <v>0</v>
      </c>
      <c r="V389" s="25" t="e">
        <f t="shared" si="218"/>
        <v>#DIV/0!</v>
      </c>
      <c r="W389" s="25" t="e">
        <f t="shared" si="219"/>
        <v>#DIV/0!</v>
      </c>
      <c r="X389" s="25" t="e">
        <f t="shared" si="220"/>
        <v>#DIV/0!</v>
      </c>
      <c r="Y389" s="25" t="e">
        <f t="shared" si="221"/>
        <v>#DIV/0!</v>
      </c>
      <c r="Z389" s="25" t="e">
        <f t="shared" si="222"/>
        <v>#DIV/0!</v>
      </c>
      <c r="AA389" s="25" t="e">
        <f t="shared" si="223"/>
        <v>#DIV/0!</v>
      </c>
      <c r="AB389" s="25" t="e">
        <f t="shared" si="224"/>
        <v>#DIV/0!</v>
      </c>
      <c r="AC389" s="25" t="e">
        <f t="shared" si="225"/>
        <v>#DIV/0!</v>
      </c>
      <c r="AD389" s="63" t="e">
        <f t="shared" si="226"/>
        <v>#DIV/0!</v>
      </c>
      <c r="AE389" s="24">
        <f t="shared" ref="AE389:AE452" si="227">IF(F389&gt;10,1,0)</f>
        <v>0</v>
      </c>
    </row>
    <row r="390" spans="1:31" x14ac:dyDescent="0.2">
      <c r="A390" s="75">
        <f t="shared" si="208"/>
        <v>46291</v>
      </c>
      <c r="B390" s="15" t="str">
        <f>$B$15</f>
        <v>Partner</v>
      </c>
      <c r="C390" s="15" t="str">
        <f>$C$15</f>
        <v>Kunal</v>
      </c>
      <c r="D390" s="18">
        <f t="shared" si="206"/>
        <v>0</v>
      </c>
      <c r="E390" s="4">
        <f t="shared" si="207"/>
        <v>0</v>
      </c>
      <c r="F390" s="4"/>
      <c r="G390" s="5" t="e">
        <f t="shared" si="209"/>
        <v>#DIV/0!</v>
      </c>
      <c r="H390" s="4" t="e">
        <f t="shared" si="210"/>
        <v>#DIV/0!</v>
      </c>
      <c r="I390" s="4" t="e">
        <f t="shared" si="211"/>
        <v>#DIV/0!</v>
      </c>
      <c r="J390" s="4">
        <f t="shared" si="212"/>
        <v>0</v>
      </c>
      <c r="K390" s="27">
        <f t="shared" si="213"/>
        <v>0</v>
      </c>
      <c r="L390" s="30">
        <f t="shared" si="214"/>
        <v>0</v>
      </c>
      <c r="M390" s="23"/>
      <c r="N390" s="2"/>
      <c r="O390" s="4"/>
      <c r="P390" s="5" t="e">
        <f t="shared" si="215"/>
        <v>#DIV/0!</v>
      </c>
      <c r="Q390" s="29" t="e">
        <f t="shared" si="216"/>
        <v>#DIV/0!</v>
      </c>
      <c r="R390" s="29" t="e">
        <f t="shared" si="217"/>
        <v>#DIV/0!</v>
      </c>
      <c r="S390" s="1">
        <v>0</v>
      </c>
      <c r="T390" s="1">
        <v>0</v>
      </c>
      <c r="U390" s="24">
        <v>0</v>
      </c>
      <c r="V390" s="25" t="e">
        <f t="shared" si="218"/>
        <v>#DIV/0!</v>
      </c>
      <c r="W390" s="25" t="e">
        <f t="shared" si="219"/>
        <v>#DIV/0!</v>
      </c>
      <c r="X390" s="25" t="e">
        <f t="shared" si="220"/>
        <v>#DIV/0!</v>
      </c>
      <c r="Y390" s="25" t="e">
        <f t="shared" si="221"/>
        <v>#DIV/0!</v>
      </c>
      <c r="Z390" s="25" t="e">
        <f t="shared" si="222"/>
        <v>#DIV/0!</v>
      </c>
      <c r="AA390" s="25" t="e">
        <f t="shared" si="223"/>
        <v>#DIV/0!</v>
      </c>
      <c r="AB390" s="25" t="e">
        <f t="shared" si="224"/>
        <v>#DIV/0!</v>
      </c>
      <c r="AC390" s="25" t="e">
        <f t="shared" si="225"/>
        <v>#DIV/0!</v>
      </c>
      <c r="AD390" s="63" t="e">
        <f t="shared" si="226"/>
        <v>#DIV/0!</v>
      </c>
      <c r="AE390" s="24">
        <f t="shared" si="227"/>
        <v>0</v>
      </c>
    </row>
    <row r="391" spans="1:31" x14ac:dyDescent="0.2">
      <c r="A391" s="75">
        <f t="shared" si="208"/>
        <v>46291</v>
      </c>
      <c r="B391" s="15" t="str">
        <f>$B$16</f>
        <v>NA</v>
      </c>
      <c r="C391" s="15" t="str">
        <f>$C$16</f>
        <v>NA</v>
      </c>
      <c r="D391" s="18">
        <f t="shared" ref="D391:D438" si="228">F391/$B$1</f>
        <v>0</v>
      </c>
      <c r="E391" s="4">
        <f t="shared" ref="E391:E438" si="229">F391/$C$1</f>
        <v>0</v>
      </c>
      <c r="F391" s="4"/>
      <c r="G391" s="5" t="e">
        <f t="shared" si="209"/>
        <v>#DIV/0!</v>
      </c>
      <c r="H391" s="4" t="e">
        <f t="shared" si="210"/>
        <v>#DIV/0!</v>
      </c>
      <c r="I391" s="4" t="e">
        <f t="shared" si="211"/>
        <v>#DIV/0!</v>
      </c>
      <c r="J391" s="4">
        <f t="shared" si="212"/>
        <v>0</v>
      </c>
      <c r="K391" s="27">
        <f t="shared" si="213"/>
        <v>0</v>
      </c>
      <c r="L391" s="30">
        <f t="shared" si="214"/>
        <v>0</v>
      </c>
      <c r="M391" s="23"/>
      <c r="N391" s="2"/>
      <c r="O391" s="4"/>
      <c r="P391" s="5" t="e">
        <f t="shared" si="215"/>
        <v>#DIV/0!</v>
      </c>
      <c r="Q391" s="29" t="e">
        <f t="shared" si="216"/>
        <v>#DIV/0!</v>
      </c>
      <c r="R391" s="29" t="e">
        <f t="shared" si="217"/>
        <v>#DIV/0!</v>
      </c>
      <c r="S391" s="1">
        <v>0</v>
      </c>
      <c r="T391" s="1">
        <v>0</v>
      </c>
      <c r="U391" s="24">
        <v>0</v>
      </c>
      <c r="V391" s="25" t="e">
        <f t="shared" si="218"/>
        <v>#DIV/0!</v>
      </c>
      <c r="W391" s="25" t="e">
        <f t="shared" si="219"/>
        <v>#DIV/0!</v>
      </c>
      <c r="X391" s="25" t="e">
        <f t="shared" si="220"/>
        <v>#DIV/0!</v>
      </c>
      <c r="Y391" s="25" t="e">
        <f t="shared" si="221"/>
        <v>#DIV/0!</v>
      </c>
      <c r="Z391" s="25" t="e">
        <f t="shared" si="222"/>
        <v>#DIV/0!</v>
      </c>
      <c r="AA391" s="25" t="e">
        <f t="shared" si="223"/>
        <v>#DIV/0!</v>
      </c>
      <c r="AB391" s="25" t="e">
        <f t="shared" si="224"/>
        <v>#DIV/0!</v>
      </c>
      <c r="AC391" s="25" t="e">
        <f t="shared" si="225"/>
        <v>#DIV/0!</v>
      </c>
      <c r="AD391" s="63" t="e">
        <f t="shared" si="226"/>
        <v>#DIV/0!</v>
      </c>
      <c r="AE391" s="24">
        <f t="shared" si="227"/>
        <v>0</v>
      </c>
    </row>
    <row r="392" spans="1:31" x14ac:dyDescent="0.2">
      <c r="A392" s="75">
        <f t="shared" si="208"/>
        <v>46291</v>
      </c>
      <c r="B392" s="15" t="str">
        <f>$B$17</f>
        <v>NA</v>
      </c>
      <c r="C392" s="15" t="str">
        <f>$C$17</f>
        <v>NA</v>
      </c>
      <c r="D392" s="18">
        <f t="shared" si="228"/>
        <v>0</v>
      </c>
      <c r="E392" s="4">
        <f t="shared" si="229"/>
        <v>0</v>
      </c>
      <c r="F392" s="4"/>
      <c r="G392" s="5" t="e">
        <f t="shared" si="209"/>
        <v>#DIV/0!</v>
      </c>
      <c r="H392" s="4" t="e">
        <f t="shared" si="210"/>
        <v>#DIV/0!</v>
      </c>
      <c r="I392" s="4" t="e">
        <f t="shared" si="211"/>
        <v>#DIV/0!</v>
      </c>
      <c r="J392" s="4">
        <f t="shared" si="212"/>
        <v>0</v>
      </c>
      <c r="K392" s="27">
        <f t="shared" si="213"/>
        <v>0</v>
      </c>
      <c r="L392" s="30">
        <f t="shared" si="214"/>
        <v>0</v>
      </c>
      <c r="M392" s="23"/>
      <c r="N392" s="2"/>
      <c r="O392" s="4"/>
      <c r="P392" s="5" t="e">
        <f t="shared" si="215"/>
        <v>#DIV/0!</v>
      </c>
      <c r="Q392" s="29" t="e">
        <f t="shared" si="216"/>
        <v>#DIV/0!</v>
      </c>
      <c r="R392" s="29" t="e">
        <f t="shared" si="217"/>
        <v>#DIV/0!</v>
      </c>
      <c r="S392" s="1">
        <v>0</v>
      </c>
      <c r="T392" s="1">
        <v>0</v>
      </c>
      <c r="U392" s="24">
        <v>0</v>
      </c>
      <c r="V392" s="25" t="e">
        <f t="shared" si="218"/>
        <v>#DIV/0!</v>
      </c>
      <c r="W392" s="25" t="e">
        <f t="shared" si="219"/>
        <v>#DIV/0!</v>
      </c>
      <c r="X392" s="25" t="e">
        <f t="shared" si="220"/>
        <v>#DIV/0!</v>
      </c>
      <c r="Y392" s="25" t="e">
        <f t="shared" si="221"/>
        <v>#DIV/0!</v>
      </c>
      <c r="Z392" s="25" t="e">
        <f t="shared" si="222"/>
        <v>#DIV/0!</v>
      </c>
      <c r="AA392" s="25" t="e">
        <f t="shared" si="223"/>
        <v>#DIV/0!</v>
      </c>
      <c r="AB392" s="25" t="e">
        <f t="shared" si="224"/>
        <v>#DIV/0!</v>
      </c>
      <c r="AC392" s="25" t="e">
        <f t="shared" si="225"/>
        <v>#DIV/0!</v>
      </c>
      <c r="AD392" s="63" t="e">
        <f t="shared" si="226"/>
        <v>#DIV/0!</v>
      </c>
      <c r="AE392" s="24">
        <f t="shared" si="227"/>
        <v>0</v>
      </c>
    </row>
    <row r="393" spans="1:31" x14ac:dyDescent="0.2">
      <c r="A393" s="75">
        <f t="shared" si="208"/>
        <v>46291</v>
      </c>
      <c r="B393" s="15" t="str">
        <f>$B$18</f>
        <v>NA</v>
      </c>
      <c r="C393" s="15" t="str">
        <f>$C$18</f>
        <v>NA</v>
      </c>
      <c r="D393" s="18">
        <f t="shared" si="228"/>
        <v>0</v>
      </c>
      <c r="E393" s="4">
        <f t="shared" si="229"/>
        <v>0</v>
      </c>
      <c r="F393" s="4"/>
      <c r="G393" s="5" t="e">
        <f t="shared" si="209"/>
        <v>#DIV/0!</v>
      </c>
      <c r="H393" s="4" t="e">
        <f t="shared" si="210"/>
        <v>#DIV/0!</v>
      </c>
      <c r="I393" s="4" t="e">
        <f t="shared" si="211"/>
        <v>#DIV/0!</v>
      </c>
      <c r="J393" s="4">
        <f t="shared" si="212"/>
        <v>0</v>
      </c>
      <c r="K393" s="27">
        <f t="shared" si="213"/>
        <v>0</v>
      </c>
      <c r="L393" s="30">
        <f t="shared" si="214"/>
        <v>0</v>
      </c>
      <c r="M393" s="23"/>
      <c r="N393" s="2"/>
      <c r="O393" s="4"/>
      <c r="P393" s="5" t="e">
        <f t="shared" si="215"/>
        <v>#DIV/0!</v>
      </c>
      <c r="Q393" s="29" t="e">
        <f t="shared" si="216"/>
        <v>#DIV/0!</v>
      </c>
      <c r="R393" s="29" t="e">
        <f t="shared" si="217"/>
        <v>#DIV/0!</v>
      </c>
      <c r="S393" s="1">
        <v>0</v>
      </c>
      <c r="T393" s="1">
        <v>0</v>
      </c>
      <c r="U393" s="24">
        <v>0</v>
      </c>
      <c r="V393" s="25" t="e">
        <f t="shared" si="218"/>
        <v>#DIV/0!</v>
      </c>
      <c r="W393" s="25" t="e">
        <f t="shared" si="219"/>
        <v>#DIV/0!</v>
      </c>
      <c r="X393" s="25" t="e">
        <f t="shared" si="220"/>
        <v>#DIV/0!</v>
      </c>
      <c r="Y393" s="25" t="e">
        <f t="shared" si="221"/>
        <v>#DIV/0!</v>
      </c>
      <c r="Z393" s="25" t="e">
        <f t="shared" si="222"/>
        <v>#DIV/0!</v>
      </c>
      <c r="AA393" s="25" t="e">
        <f t="shared" si="223"/>
        <v>#DIV/0!</v>
      </c>
      <c r="AB393" s="25" t="e">
        <f t="shared" si="224"/>
        <v>#DIV/0!</v>
      </c>
      <c r="AC393" s="25" t="e">
        <f t="shared" si="225"/>
        <v>#DIV/0!</v>
      </c>
      <c r="AD393" s="63" t="e">
        <f t="shared" si="226"/>
        <v>#DIV/0!</v>
      </c>
      <c r="AE393" s="24">
        <f t="shared" si="227"/>
        <v>0</v>
      </c>
    </row>
    <row r="394" spans="1:31" x14ac:dyDescent="0.2">
      <c r="A394" s="75">
        <f t="shared" si="208"/>
        <v>46292</v>
      </c>
      <c r="B394" s="15" t="str">
        <f>$B$4</f>
        <v>DSM</v>
      </c>
      <c r="C394" s="15" t="str">
        <f>$C$4</f>
        <v xml:space="preserve">komal  </v>
      </c>
      <c r="D394" s="18">
        <f t="shared" si="228"/>
        <v>0</v>
      </c>
      <c r="E394" s="4">
        <f t="shared" si="229"/>
        <v>0</v>
      </c>
      <c r="F394" s="4"/>
      <c r="G394" s="5" t="e">
        <f t="shared" si="209"/>
        <v>#DIV/0!</v>
      </c>
      <c r="H394" s="4" t="e">
        <f t="shared" si="210"/>
        <v>#DIV/0!</v>
      </c>
      <c r="I394" s="4" t="e">
        <f t="shared" si="211"/>
        <v>#DIV/0!</v>
      </c>
      <c r="J394" s="4">
        <f t="shared" si="212"/>
        <v>0</v>
      </c>
      <c r="K394" s="27">
        <f t="shared" si="213"/>
        <v>0</v>
      </c>
      <c r="L394" s="30">
        <f t="shared" si="214"/>
        <v>0</v>
      </c>
      <c r="M394" s="23"/>
      <c r="N394" s="2"/>
      <c r="O394" s="4"/>
      <c r="P394" s="5" t="e">
        <f t="shared" si="215"/>
        <v>#DIV/0!</v>
      </c>
      <c r="Q394" s="29" t="e">
        <f t="shared" si="216"/>
        <v>#DIV/0!</v>
      </c>
      <c r="R394" s="29" t="e">
        <f t="shared" si="217"/>
        <v>#DIV/0!</v>
      </c>
      <c r="S394" s="1">
        <v>0</v>
      </c>
      <c r="T394" s="1">
        <v>0</v>
      </c>
      <c r="U394" s="24">
        <v>0</v>
      </c>
      <c r="V394" s="25" t="e">
        <f t="shared" si="218"/>
        <v>#DIV/0!</v>
      </c>
      <c r="W394" s="25" t="e">
        <f t="shared" si="219"/>
        <v>#DIV/0!</v>
      </c>
      <c r="X394" s="25" t="e">
        <f t="shared" si="220"/>
        <v>#DIV/0!</v>
      </c>
      <c r="Y394" s="25" t="e">
        <f t="shared" si="221"/>
        <v>#DIV/0!</v>
      </c>
      <c r="Z394" s="25" t="e">
        <f t="shared" si="222"/>
        <v>#DIV/0!</v>
      </c>
      <c r="AA394" s="25" t="e">
        <f t="shared" si="223"/>
        <v>#DIV/0!</v>
      </c>
      <c r="AB394" s="25" t="e">
        <f t="shared" si="224"/>
        <v>#DIV/0!</v>
      </c>
      <c r="AC394" s="25" t="e">
        <f t="shared" si="225"/>
        <v>#DIV/0!</v>
      </c>
      <c r="AD394" s="63" t="e">
        <f t="shared" si="226"/>
        <v>#DIV/0!</v>
      </c>
      <c r="AE394" s="24">
        <f t="shared" si="227"/>
        <v>0</v>
      </c>
    </row>
    <row r="395" spans="1:31" x14ac:dyDescent="0.2">
      <c r="A395" s="75">
        <f t="shared" si="208"/>
        <v>46292</v>
      </c>
      <c r="B395" s="15" t="str">
        <f>$B$5</f>
        <v>SS</v>
      </c>
      <c r="C395" s="15" t="str">
        <f>$C$5</f>
        <v>Prem</v>
      </c>
      <c r="D395" s="18">
        <f t="shared" si="228"/>
        <v>0</v>
      </c>
      <c r="E395" s="4">
        <f t="shared" si="229"/>
        <v>0</v>
      </c>
      <c r="F395" s="4"/>
      <c r="G395" s="5" t="e">
        <f t="shared" si="209"/>
        <v>#DIV/0!</v>
      </c>
      <c r="H395" s="4" t="e">
        <f t="shared" si="210"/>
        <v>#DIV/0!</v>
      </c>
      <c r="I395" s="4" t="e">
        <f t="shared" si="211"/>
        <v>#DIV/0!</v>
      </c>
      <c r="J395" s="4">
        <f t="shared" si="212"/>
        <v>0</v>
      </c>
      <c r="K395" s="27">
        <f t="shared" si="213"/>
        <v>0</v>
      </c>
      <c r="L395" s="30">
        <f t="shared" si="214"/>
        <v>0</v>
      </c>
      <c r="M395" s="23"/>
      <c r="N395" s="2"/>
      <c r="O395" s="4"/>
      <c r="P395" s="5" t="e">
        <f t="shared" si="215"/>
        <v>#DIV/0!</v>
      </c>
      <c r="Q395" s="29" t="e">
        <f t="shared" si="216"/>
        <v>#DIV/0!</v>
      </c>
      <c r="R395" s="29" t="e">
        <f t="shared" si="217"/>
        <v>#DIV/0!</v>
      </c>
      <c r="S395" s="1">
        <v>0</v>
      </c>
      <c r="T395" s="1">
        <v>0</v>
      </c>
      <c r="U395" s="24">
        <v>0</v>
      </c>
      <c r="V395" s="25" t="e">
        <f t="shared" si="218"/>
        <v>#DIV/0!</v>
      </c>
      <c r="W395" s="25" t="e">
        <f t="shared" si="219"/>
        <v>#DIV/0!</v>
      </c>
      <c r="X395" s="25" t="e">
        <f t="shared" si="220"/>
        <v>#DIV/0!</v>
      </c>
      <c r="Y395" s="25" t="e">
        <f t="shared" si="221"/>
        <v>#DIV/0!</v>
      </c>
      <c r="Z395" s="25" t="e">
        <f t="shared" si="222"/>
        <v>#DIV/0!</v>
      </c>
      <c r="AA395" s="25" t="e">
        <f t="shared" si="223"/>
        <v>#DIV/0!</v>
      </c>
      <c r="AB395" s="25" t="e">
        <f t="shared" si="224"/>
        <v>#DIV/0!</v>
      </c>
      <c r="AC395" s="25" t="e">
        <f t="shared" si="225"/>
        <v>#DIV/0!</v>
      </c>
      <c r="AD395" s="63" t="e">
        <f t="shared" si="226"/>
        <v>#DIV/0!</v>
      </c>
      <c r="AE395" s="24">
        <f t="shared" si="227"/>
        <v>0</v>
      </c>
    </row>
    <row r="396" spans="1:31" x14ac:dyDescent="0.2">
      <c r="A396" s="75">
        <f t="shared" si="208"/>
        <v>46292</v>
      </c>
      <c r="B396" s="15" t="str">
        <f>$B$6</f>
        <v>SS</v>
      </c>
      <c r="C396" s="15" t="str">
        <f>$C$6</f>
        <v>Anuj</v>
      </c>
      <c r="D396" s="18">
        <f t="shared" si="228"/>
        <v>0</v>
      </c>
      <c r="E396" s="4">
        <f t="shared" si="229"/>
        <v>0</v>
      </c>
      <c r="F396" s="4"/>
      <c r="G396" s="5" t="e">
        <f t="shared" si="209"/>
        <v>#DIV/0!</v>
      </c>
      <c r="H396" s="4" t="e">
        <f t="shared" si="210"/>
        <v>#DIV/0!</v>
      </c>
      <c r="I396" s="4" t="e">
        <f t="shared" si="211"/>
        <v>#DIV/0!</v>
      </c>
      <c r="J396" s="4">
        <f t="shared" si="212"/>
        <v>0</v>
      </c>
      <c r="K396" s="27">
        <f t="shared" si="213"/>
        <v>0</v>
      </c>
      <c r="L396" s="30">
        <f t="shared" si="214"/>
        <v>0</v>
      </c>
      <c r="M396" s="23"/>
      <c r="N396" s="2"/>
      <c r="O396" s="4"/>
      <c r="P396" s="5" t="e">
        <f t="shared" si="215"/>
        <v>#DIV/0!</v>
      </c>
      <c r="Q396" s="29" t="e">
        <f t="shared" si="216"/>
        <v>#DIV/0!</v>
      </c>
      <c r="R396" s="29" t="e">
        <f t="shared" si="217"/>
        <v>#DIV/0!</v>
      </c>
      <c r="S396" s="1">
        <v>0</v>
      </c>
      <c r="T396" s="1">
        <v>0</v>
      </c>
      <c r="U396" s="24">
        <v>0</v>
      </c>
      <c r="V396" s="25" t="e">
        <f t="shared" si="218"/>
        <v>#DIV/0!</v>
      </c>
      <c r="W396" s="25" t="e">
        <f t="shared" si="219"/>
        <v>#DIV/0!</v>
      </c>
      <c r="X396" s="25" t="e">
        <f t="shared" si="220"/>
        <v>#DIV/0!</v>
      </c>
      <c r="Y396" s="25" t="e">
        <f t="shared" si="221"/>
        <v>#DIV/0!</v>
      </c>
      <c r="Z396" s="25" t="e">
        <f t="shared" si="222"/>
        <v>#DIV/0!</v>
      </c>
      <c r="AA396" s="25" t="e">
        <f t="shared" si="223"/>
        <v>#DIV/0!</v>
      </c>
      <c r="AB396" s="25" t="e">
        <f t="shared" si="224"/>
        <v>#DIV/0!</v>
      </c>
      <c r="AC396" s="25" t="e">
        <f t="shared" si="225"/>
        <v>#DIV/0!</v>
      </c>
      <c r="AD396" s="63" t="e">
        <f t="shared" si="226"/>
        <v>#DIV/0!</v>
      </c>
      <c r="AE396" s="24">
        <f t="shared" si="227"/>
        <v>0</v>
      </c>
    </row>
    <row r="397" spans="1:31" x14ac:dyDescent="0.2">
      <c r="A397" s="75">
        <f t="shared" si="208"/>
        <v>46292</v>
      </c>
      <c r="B397" s="15" t="str">
        <f>$B$7</f>
        <v>FC</v>
      </c>
      <c r="C397" s="15" t="str">
        <f>$C$7</f>
        <v>Muskan</v>
      </c>
      <c r="D397" s="18">
        <f t="shared" si="228"/>
        <v>0</v>
      </c>
      <c r="E397" s="4">
        <f t="shared" si="229"/>
        <v>0</v>
      </c>
      <c r="F397" s="4"/>
      <c r="G397" s="5" t="e">
        <f t="shared" si="209"/>
        <v>#DIV/0!</v>
      </c>
      <c r="H397" s="4" t="e">
        <f t="shared" si="210"/>
        <v>#DIV/0!</v>
      </c>
      <c r="I397" s="4" t="e">
        <f t="shared" si="211"/>
        <v>#DIV/0!</v>
      </c>
      <c r="J397" s="4">
        <f t="shared" si="212"/>
        <v>0</v>
      </c>
      <c r="K397" s="27">
        <f t="shared" si="213"/>
        <v>0</v>
      </c>
      <c r="L397" s="30">
        <f t="shared" si="214"/>
        <v>0</v>
      </c>
      <c r="M397" s="23"/>
      <c r="N397" s="2"/>
      <c r="O397" s="4"/>
      <c r="P397" s="5" t="e">
        <f t="shared" si="215"/>
        <v>#DIV/0!</v>
      </c>
      <c r="Q397" s="29" t="e">
        <f t="shared" si="216"/>
        <v>#DIV/0!</v>
      </c>
      <c r="R397" s="29" t="e">
        <f t="shared" si="217"/>
        <v>#DIV/0!</v>
      </c>
      <c r="S397" s="1">
        <v>0</v>
      </c>
      <c r="T397" s="1">
        <v>0</v>
      </c>
      <c r="U397" s="24">
        <v>0</v>
      </c>
      <c r="V397" s="25" t="e">
        <f t="shared" si="218"/>
        <v>#DIV/0!</v>
      </c>
      <c r="W397" s="25" t="e">
        <f t="shared" si="219"/>
        <v>#DIV/0!</v>
      </c>
      <c r="X397" s="25" t="e">
        <f t="shared" si="220"/>
        <v>#DIV/0!</v>
      </c>
      <c r="Y397" s="25" t="e">
        <f t="shared" si="221"/>
        <v>#DIV/0!</v>
      </c>
      <c r="Z397" s="25" t="e">
        <f t="shared" si="222"/>
        <v>#DIV/0!</v>
      </c>
      <c r="AA397" s="25" t="e">
        <f t="shared" si="223"/>
        <v>#DIV/0!</v>
      </c>
      <c r="AB397" s="25" t="e">
        <f t="shared" si="224"/>
        <v>#DIV/0!</v>
      </c>
      <c r="AC397" s="25" t="e">
        <f t="shared" si="225"/>
        <v>#DIV/0!</v>
      </c>
      <c r="AD397" s="63" t="e">
        <f t="shared" si="226"/>
        <v>#DIV/0!</v>
      </c>
      <c r="AE397" s="24">
        <f t="shared" si="227"/>
        <v>0</v>
      </c>
    </row>
    <row r="398" spans="1:31" x14ac:dyDescent="0.2">
      <c r="A398" s="75">
        <f t="shared" si="208"/>
        <v>46292</v>
      </c>
      <c r="B398" s="15" t="str">
        <f>$B$8</f>
        <v>FC</v>
      </c>
      <c r="C398" s="15" t="str">
        <f>$C$8</f>
        <v xml:space="preserve">Kajal  </v>
      </c>
      <c r="D398" s="18">
        <f t="shared" si="228"/>
        <v>0</v>
      </c>
      <c r="E398" s="4">
        <f t="shared" si="229"/>
        <v>0</v>
      </c>
      <c r="F398" s="4"/>
      <c r="G398" s="5" t="e">
        <f t="shared" si="209"/>
        <v>#DIV/0!</v>
      </c>
      <c r="H398" s="4" t="e">
        <f t="shared" si="210"/>
        <v>#DIV/0!</v>
      </c>
      <c r="I398" s="4" t="e">
        <f t="shared" si="211"/>
        <v>#DIV/0!</v>
      </c>
      <c r="J398" s="4">
        <f t="shared" si="212"/>
        <v>0</v>
      </c>
      <c r="K398" s="27">
        <f t="shared" si="213"/>
        <v>0</v>
      </c>
      <c r="L398" s="30">
        <f t="shared" si="214"/>
        <v>0</v>
      </c>
      <c r="M398" s="23"/>
      <c r="N398" s="2"/>
      <c r="O398" s="4"/>
      <c r="P398" s="5" t="e">
        <f t="shared" si="215"/>
        <v>#DIV/0!</v>
      </c>
      <c r="Q398" s="29" t="e">
        <f t="shared" si="216"/>
        <v>#DIV/0!</v>
      </c>
      <c r="R398" s="29" t="e">
        <f t="shared" si="217"/>
        <v>#DIV/0!</v>
      </c>
      <c r="S398" s="1">
        <v>0</v>
      </c>
      <c r="T398" s="1">
        <v>0</v>
      </c>
      <c r="U398" s="24">
        <v>0</v>
      </c>
      <c r="V398" s="25" t="e">
        <f t="shared" si="218"/>
        <v>#DIV/0!</v>
      </c>
      <c r="W398" s="25" t="e">
        <f t="shared" si="219"/>
        <v>#DIV/0!</v>
      </c>
      <c r="X398" s="25" t="e">
        <f t="shared" si="220"/>
        <v>#DIV/0!</v>
      </c>
      <c r="Y398" s="25" t="e">
        <f t="shared" si="221"/>
        <v>#DIV/0!</v>
      </c>
      <c r="Z398" s="25" t="e">
        <f t="shared" si="222"/>
        <v>#DIV/0!</v>
      </c>
      <c r="AA398" s="25" t="e">
        <f t="shared" si="223"/>
        <v>#DIV/0!</v>
      </c>
      <c r="AB398" s="25" t="e">
        <f t="shared" si="224"/>
        <v>#DIV/0!</v>
      </c>
      <c r="AC398" s="25" t="e">
        <f t="shared" si="225"/>
        <v>#DIV/0!</v>
      </c>
      <c r="AD398" s="63" t="e">
        <f t="shared" si="226"/>
        <v>#DIV/0!</v>
      </c>
      <c r="AE398" s="24">
        <f t="shared" si="227"/>
        <v>0</v>
      </c>
    </row>
    <row r="399" spans="1:31" x14ac:dyDescent="0.2">
      <c r="A399" s="75">
        <f t="shared" si="208"/>
        <v>46292</v>
      </c>
      <c r="B399" s="15" t="str">
        <f>$B$9</f>
        <v>FC</v>
      </c>
      <c r="C399" s="15" t="str">
        <f>$C$9</f>
        <v>Pradeep</v>
      </c>
      <c r="D399" s="18">
        <f t="shared" si="228"/>
        <v>0</v>
      </c>
      <c r="E399" s="4">
        <f t="shared" si="229"/>
        <v>0</v>
      </c>
      <c r="F399" s="4"/>
      <c r="G399" s="5" t="e">
        <f t="shared" si="209"/>
        <v>#DIV/0!</v>
      </c>
      <c r="H399" s="4" t="e">
        <f t="shared" si="210"/>
        <v>#DIV/0!</v>
      </c>
      <c r="I399" s="4" t="e">
        <f t="shared" si="211"/>
        <v>#DIV/0!</v>
      </c>
      <c r="J399" s="4">
        <f t="shared" si="212"/>
        <v>0</v>
      </c>
      <c r="K399" s="27">
        <f t="shared" si="213"/>
        <v>0</v>
      </c>
      <c r="L399" s="30">
        <f t="shared" si="214"/>
        <v>0</v>
      </c>
      <c r="M399" s="23"/>
      <c r="N399" s="2"/>
      <c r="O399" s="4"/>
      <c r="P399" s="5" t="e">
        <f t="shared" si="215"/>
        <v>#DIV/0!</v>
      </c>
      <c r="Q399" s="29" t="e">
        <f t="shared" si="216"/>
        <v>#DIV/0!</v>
      </c>
      <c r="R399" s="29" t="e">
        <f t="shared" si="217"/>
        <v>#DIV/0!</v>
      </c>
      <c r="S399" s="1">
        <v>0</v>
      </c>
      <c r="T399" s="1">
        <v>0</v>
      </c>
      <c r="U399" s="24">
        <v>0</v>
      </c>
      <c r="V399" s="25" t="e">
        <f t="shared" si="218"/>
        <v>#DIV/0!</v>
      </c>
      <c r="W399" s="25" t="e">
        <f t="shared" si="219"/>
        <v>#DIV/0!</v>
      </c>
      <c r="X399" s="25" t="e">
        <f t="shared" si="220"/>
        <v>#DIV/0!</v>
      </c>
      <c r="Y399" s="25" t="e">
        <f t="shared" si="221"/>
        <v>#DIV/0!</v>
      </c>
      <c r="Z399" s="25" t="e">
        <f t="shared" si="222"/>
        <v>#DIV/0!</v>
      </c>
      <c r="AA399" s="25" t="e">
        <f t="shared" si="223"/>
        <v>#DIV/0!</v>
      </c>
      <c r="AB399" s="25" t="e">
        <f t="shared" si="224"/>
        <v>#DIV/0!</v>
      </c>
      <c r="AC399" s="25" t="e">
        <f t="shared" si="225"/>
        <v>#DIV/0!</v>
      </c>
      <c r="AD399" s="63" t="e">
        <f t="shared" si="226"/>
        <v>#DIV/0!</v>
      </c>
      <c r="AE399" s="24">
        <f t="shared" si="227"/>
        <v>0</v>
      </c>
    </row>
    <row r="400" spans="1:31" x14ac:dyDescent="0.2">
      <c r="A400" s="75">
        <f t="shared" si="208"/>
        <v>46292</v>
      </c>
      <c r="B400" s="15" t="str">
        <f>$B$10</f>
        <v>FC</v>
      </c>
      <c r="C400" s="15" t="str">
        <f>$C$10</f>
        <v>Aftab</v>
      </c>
      <c r="D400" s="18">
        <f t="shared" si="228"/>
        <v>0</v>
      </c>
      <c r="E400" s="4">
        <f t="shared" si="229"/>
        <v>0</v>
      </c>
      <c r="F400" s="4"/>
      <c r="G400" s="5" t="e">
        <f t="shared" si="209"/>
        <v>#DIV/0!</v>
      </c>
      <c r="H400" s="4" t="e">
        <f t="shared" si="210"/>
        <v>#DIV/0!</v>
      </c>
      <c r="I400" s="4" t="e">
        <f t="shared" si="211"/>
        <v>#DIV/0!</v>
      </c>
      <c r="J400" s="4">
        <f t="shared" si="212"/>
        <v>0</v>
      </c>
      <c r="K400" s="27">
        <f t="shared" si="213"/>
        <v>0</v>
      </c>
      <c r="L400" s="30">
        <f t="shared" si="214"/>
        <v>0</v>
      </c>
      <c r="M400" s="23"/>
      <c r="N400" s="2"/>
      <c r="O400" s="4"/>
      <c r="P400" s="5" t="e">
        <f t="shared" si="215"/>
        <v>#DIV/0!</v>
      </c>
      <c r="Q400" s="29" t="e">
        <f t="shared" si="216"/>
        <v>#DIV/0!</v>
      </c>
      <c r="R400" s="29" t="e">
        <f t="shared" si="217"/>
        <v>#DIV/0!</v>
      </c>
      <c r="S400" s="1">
        <v>0</v>
      </c>
      <c r="T400" s="1">
        <v>0</v>
      </c>
      <c r="U400" s="24">
        <v>0</v>
      </c>
      <c r="V400" s="25" t="e">
        <f t="shared" si="218"/>
        <v>#DIV/0!</v>
      </c>
      <c r="W400" s="25" t="e">
        <f t="shared" si="219"/>
        <v>#DIV/0!</v>
      </c>
      <c r="X400" s="25" t="e">
        <f t="shared" si="220"/>
        <v>#DIV/0!</v>
      </c>
      <c r="Y400" s="25" t="e">
        <f t="shared" si="221"/>
        <v>#DIV/0!</v>
      </c>
      <c r="Z400" s="25" t="e">
        <f t="shared" si="222"/>
        <v>#DIV/0!</v>
      </c>
      <c r="AA400" s="25" t="e">
        <f t="shared" si="223"/>
        <v>#DIV/0!</v>
      </c>
      <c r="AB400" s="25" t="e">
        <f t="shared" si="224"/>
        <v>#DIV/0!</v>
      </c>
      <c r="AC400" s="25" t="e">
        <f t="shared" si="225"/>
        <v>#DIV/0!</v>
      </c>
      <c r="AD400" s="63" t="e">
        <f t="shared" si="226"/>
        <v>#DIV/0!</v>
      </c>
      <c r="AE400" s="24">
        <f t="shared" si="227"/>
        <v>0</v>
      </c>
    </row>
    <row r="401" spans="1:31" x14ac:dyDescent="0.2">
      <c r="A401" s="75">
        <f t="shared" si="208"/>
        <v>46292</v>
      </c>
      <c r="B401" s="15" t="str">
        <f>$B$11</f>
        <v>FC</v>
      </c>
      <c r="C401" s="15" t="str">
        <f>$C$11</f>
        <v>Khushi</v>
      </c>
      <c r="D401" s="18">
        <f t="shared" si="228"/>
        <v>0</v>
      </c>
      <c r="E401" s="4">
        <f t="shared" si="229"/>
        <v>0</v>
      </c>
      <c r="F401" s="4"/>
      <c r="G401" s="5" t="e">
        <f t="shared" si="209"/>
        <v>#DIV/0!</v>
      </c>
      <c r="H401" s="4" t="e">
        <f t="shared" si="210"/>
        <v>#DIV/0!</v>
      </c>
      <c r="I401" s="4" t="e">
        <f t="shared" si="211"/>
        <v>#DIV/0!</v>
      </c>
      <c r="J401" s="4">
        <f t="shared" si="212"/>
        <v>0</v>
      </c>
      <c r="K401" s="27">
        <f t="shared" si="213"/>
        <v>0</v>
      </c>
      <c r="L401" s="30">
        <f t="shared" si="214"/>
        <v>0</v>
      </c>
      <c r="M401" s="23"/>
      <c r="N401" s="2"/>
      <c r="O401" s="4"/>
      <c r="P401" s="5" t="e">
        <f t="shared" si="215"/>
        <v>#DIV/0!</v>
      </c>
      <c r="Q401" s="29" t="e">
        <f t="shared" si="216"/>
        <v>#DIV/0!</v>
      </c>
      <c r="R401" s="29" t="e">
        <f t="shared" si="217"/>
        <v>#DIV/0!</v>
      </c>
      <c r="S401" s="1">
        <v>0</v>
      </c>
      <c r="T401" s="1">
        <v>0</v>
      </c>
      <c r="U401" s="24">
        <v>0</v>
      </c>
      <c r="V401" s="25" t="e">
        <f t="shared" si="218"/>
        <v>#DIV/0!</v>
      </c>
      <c r="W401" s="25" t="e">
        <f t="shared" si="219"/>
        <v>#DIV/0!</v>
      </c>
      <c r="X401" s="25" t="e">
        <f t="shared" si="220"/>
        <v>#DIV/0!</v>
      </c>
      <c r="Y401" s="25" t="e">
        <f t="shared" si="221"/>
        <v>#DIV/0!</v>
      </c>
      <c r="Z401" s="25" t="e">
        <f t="shared" si="222"/>
        <v>#DIV/0!</v>
      </c>
      <c r="AA401" s="25" t="e">
        <f t="shared" si="223"/>
        <v>#DIV/0!</v>
      </c>
      <c r="AB401" s="25" t="e">
        <f t="shared" si="224"/>
        <v>#DIV/0!</v>
      </c>
      <c r="AC401" s="25" t="e">
        <f t="shared" si="225"/>
        <v>#DIV/0!</v>
      </c>
      <c r="AD401" s="63" t="e">
        <f t="shared" si="226"/>
        <v>#DIV/0!</v>
      </c>
      <c r="AE401" s="24">
        <f t="shared" si="227"/>
        <v>0</v>
      </c>
    </row>
    <row r="402" spans="1:31" x14ac:dyDescent="0.2">
      <c r="A402" s="75">
        <f t="shared" si="208"/>
        <v>46292</v>
      </c>
      <c r="B402" s="15" t="str">
        <f>$B$12</f>
        <v>FC</v>
      </c>
      <c r="C402" s="15" t="str">
        <f>$C$12</f>
        <v>Kishan</v>
      </c>
      <c r="D402" s="18">
        <f t="shared" si="228"/>
        <v>0</v>
      </c>
      <c r="E402" s="4">
        <f t="shared" si="229"/>
        <v>0</v>
      </c>
      <c r="F402" s="4"/>
      <c r="G402" s="5" t="e">
        <f t="shared" si="209"/>
        <v>#DIV/0!</v>
      </c>
      <c r="H402" s="4" t="e">
        <f t="shared" si="210"/>
        <v>#DIV/0!</v>
      </c>
      <c r="I402" s="4" t="e">
        <f t="shared" si="211"/>
        <v>#DIV/0!</v>
      </c>
      <c r="J402" s="4">
        <f t="shared" si="212"/>
        <v>0</v>
      </c>
      <c r="K402" s="27">
        <f t="shared" si="213"/>
        <v>0</v>
      </c>
      <c r="L402" s="30">
        <f t="shared" si="214"/>
        <v>0</v>
      </c>
      <c r="M402" s="23"/>
      <c r="N402" s="2"/>
      <c r="O402" s="4"/>
      <c r="P402" s="5" t="e">
        <f t="shared" si="215"/>
        <v>#DIV/0!</v>
      </c>
      <c r="Q402" s="29" t="e">
        <f t="shared" si="216"/>
        <v>#DIV/0!</v>
      </c>
      <c r="R402" s="29" t="e">
        <f t="shared" si="217"/>
        <v>#DIV/0!</v>
      </c>
      <c r="S402" s="1">
        <v>0</v>
      </c>
      <c r="T402" s="1">
        <v>0</v>
      </c>
      <c r="U402" s="24">
        <v>0</v>
      </c>
      <c r="V402" s="25" t="e">
        <f t="shared" si="218"/>
        <v>#DIV/0!</v>
      </c>
      <c r="W402" s="25" t="e">
        <f t="shared" si="219"/>
        <v>#DIV/0!</v>
      </c>
      <c r="X402" s="25" t="e">
        <f t="shared" si="220"/>
        <v>#DIV/0!</v>
      </c>
      <c r="Y402" s="25" t="e">
        <f t="shared" si="221"/>
        <v>#DIV/0!</v>
      </c>
      <c r="Z402" s="25" t="e">
        <f t="shared" si="222"/>
        <v>#DIV/0!</v>
      </c>
      <c r="AA402" s="25" t="e">
        <f t="shared" si="223"/>
        <v>#DIV/0!</v>
      </c>
      <c r="AB402" s="25" t="e">
        <f t="shared" si="224"/>
        <v>#DIV/0!</v>
      </c>
      <c r="AC402" s="25" t="e">
        <f t="shared" si="225"/>
        <v>#DIV/0!</v>
      </c>
      <c r="AD402" s="63" t="e">
        <f t="shared" si="226"/>
        <v>#DIV/0!</v>
      </c>
      <c r="AE402" s="24">
        <f t="shared" si="227"/>
        <v>0</v>
      </c>
    </row>
    <row r="403" spans="1:31" x14ac:dyDescent="0.2">
      <c r="A403" s="75">
        <f t="shared" ref="A403:A466" si="230">A388+1</f>
        <v>46292</v>
      </c>
      <c r="B403" s="15" t="str">
        <f>$B$13</f>
        <v>Partner</v>
      </c>
      <c r="C403" s="15" t="str">
        <f>$C$13</f>
        <v>Rahul</v>
      </c>
      <c r="D403" s="18">
        <f t="shared" si="228"/>
        <v>0</v>
      </c>
      <c r="E403" s="4">
        <f t="shared" si="229"/>
        <v>0</v>
      </c>
      <c r="F403" s="4"/>
      <c r="G403" s="5" t="e">
        <f t="shared" si="209"/>
        <v>#DIV/0!</v>
      </c>
      <c r="H403" s="4" t="e">
        <f t="shared" si="210"/>
        <v>#DIV/0!</v>
      </c>
      <c r="I403" s="4" t="e">
        <f t="shared" si="211"/>
        <v>#DIV/0!</v>
      </c>
      <c r="J403" s="4">
        <f t="shared" si="212"/>
        <v>0</v>
      </c>
      <c r="K403" s="27">
        <f t="shared" si="213"/>
        <v>0</v>
      </c>
      <c r="L403" s="30">
        <f t="shared" si="214"/>
        <v>0</v>
      </c>
      <c r="M403" s="23"/>
      <c r="N403" s="2"/>
      <c r="O403" s="4"/>
      <c r="P403" s="5" t="e">
        <f t="shared" si="215"/>
        <v>#DIV/0!</v>
      </c>
      <c r="Q403" s="29" t="e">
        <f t="shared" si="216"/>
        <v>#DIV/0!</v>
      </c>
      <c r="R403" s="29" t="e">
        <f t="shared" si="217"/>
        <v>#DIV/0!</v>
      </c>
      <c r="S403" s="1">
        <v>0</v>
      </c>
      <c r="T403" s="1">
        <v>0</v>
      </c>
      <c r="U403" s="24">
        <v>0</v>
      </c>
      <c r="V403" s="25" t="e">
        <f t="shared" si="218"/>
        <v>#DIV/0!</v>
      </c>
      <c r="W403" s="25" t="e">
        <f t="shared" si="219"/>
        <v>#DIV/0!</v>
      </c>
      <c r="X403" s="25" t="e">
        <f t="shared" si="220"/>
        <v>#DIV/0!</v>
      </c>
      <c r="Y403" s="25" t="e">
        <f t="shared" si="221"/>
        <v>#DIV/0!</v>
      </c>
      <c r="Z403" s="25" t="e">
        <f t="shared" si="222"/>
        <v>#DIV/0!</v>
      </c>
      <c r="AA403" s="25" t="e">
        <f t="shared" si="223"/>
        <v>#DIV/0!</v>
      </c>
      <c r="AB403" s="25" t="e">
        <f t="shared" si="224"/>
        <v>#DIV/0!</v>
      </c>
      <c r="AC403" s="25" t="e">
        <f t="shared" si="225"/>
        <v>#DIV/0!</v>
      </c>
      <c r="AD403" s="63" t="e">
        <f t="shared" si="226"/>
        <v>#DIV/0!</v>
      </c>
      <c r="AE403" s="24">
        <f t="shared" si="227"/>
        <v>0</v>
      </c>
    </row>
    <row r="404" spans="1:31" x14ac:dyDescent="0.2">
      <c r="A404" s="75">
        <f t="shared" si="230"/>
        <v>46292</v>
      </c>
      <c r="B404" s="15" t="str">
        <f>$B$14</f>
        <v>Partner</v>
      </c>
      <c r="C404" s="15" t="str">
        <f>$C$14</f>
        <v>Prince</v>
      </c>
      <c r="D404" s="18">
        <f t="shared" si="228"/>
        <v>0</v>
      </c>
      <c r="E404" s="4">
        <f t="shared" si="229"/>
        <v>0</v>
      </c>
      <c r="F404" s="4"/>
      <c r="G404" s="5" t="e">
        <f t="shared" si="209"/>
        <v>#DIV/0!</v>
      </c>
      <c r="H404" s="4" t="e">
        <f t="shared" si="210"/>
        <v>#DIV/0!</v>
      </c>
      <c r="I404" s="4" t="e">
        <f t="shared" si="211"/>
        <v>#DIV/0!</v>
      </c>
      <c r="J404" s="4">
        <f t="shared" si="212"/>
        <v>0</v>
      </c>
      <c r="K404" s="27">
        <f t="shared" si="213"/>
        <v>0</v>
      </c>
      <c r="L404" s="30">
        <f t="shared" si="214"/>
        <v>0</v>
      </c>
      <c r="M404" s="23"/>
      <c r="N404" s="2"/>
      <c r="O404" s="4"/>
      <c r="P404" s="5" t="e">
        <f t="shared" si="215"/>
        <v>#DIV/0!</v>
      </c>
      <c r="Q404" s="29" t="e">
        <f t="shared" si="216"/>
        <v>#DIV/0!</v>
      </c>
      <c r="R404" s="29" t="e">
        <f t="shared" si="217"/>
        <v>#DIV/0!</v>
      </c>
      <c r="S404" s="1">
        <v>0</v>
      </c>
      <c r="T404" s="1">
        <v>0</v>
      </c>
      <c r="U404" s="24">
        <v>0</v>
      </c>
      <c r="V404" s="25" t="e">
        <f t="shared" si="218"/>
        <v>#DIV/0!</v>
      </c>
      <c r="W404" s="25" t="e">
        <f t="shared" si="219"/>
        <v>#DIV/0!</v>
      </c>
      <c r="X404" s="25" t="e">
        <f t="shared" si="220"/>
        <v>#DIV/0!</v>
      </c>
      <c r="Y404" s="25" t="e">
        <f t="shared" si="221"/>
        <v>#DIV/0!</v>
      </c>
      <c r="Z404" s="25" t="e">
        <f t="shared" si="222"/>
        <v>#DIV/0!</v>
      </c>
      <c r="AA404" s="25" t="e">
        <f t="shared" si="223"/>
        <v>#DIV/0!</v>
      </c>
      <c r="AB404" s="25" t="e">
        <f t="shared" si="224"/>
        <v>#DIV/0!</v>
      </c>
      <c r="AC404" s="25" t="e">
        <f t="shared" si="225"/>
        <v>#DIV/0!</v>
      </c>
      <c r="AD404" s="63" t="e">
        <f t="shared" si="226"/>
        <v>#DIV/0!</v>
      </c>
      <c r="AE404" s="24">
        <f t="shared" si="227"/>
        <v>0</v>
      </c>
    </row>
    <row r="405" spans="1:31" x14ac:dyDescent="0.2">
      <c r="A405" s="75">
        <f t="shared" si="230"/>
        <v>46292</v>
      </c>
      <c r="B405" s="15" t="str">
        <f>$B$15</f>
        <v>Partner</v>
      </c>
      <c r="C405" s="15" t="str">
        <f>$C$15</f>
        <v>Kunal</v>
      </c>
      <c r="D405" s="18">
        <f t="shared" si="228"/>
        <v>0</v>
      </c>
      <c r="E405" s="4">
        <f t="shared" si="229"/>
        <v>0</v>
      </c>
      <c r="F405" s="4"/>
      <c r="G405" s="5" t="e">
        <f t="shared" si="209"/>
        <v>#DIV/0!</v>
      </c>
      <c r="H405" s="4" t="e">
        <f t="shared" si="210"/>
        <v>#DIV/0!</v>
      </c>
      <c r="I405" s="4" t="e">
        <f t="shared" si="211"/>
        <v>#DIV/0!</v>
      </c>
      <c r="J405" s="4">
        <f t="shared" si="212"/>
        <v>0</v>
      </c>
      <c r="K405" s="27">
        <f t="shared" si="213"/>
        <v>0</v>
      </c>
      <c r="L405" s="30">
        <f t="shared" si="214"/>
        <v>0</v>
      </c>
      <c r="M405" s="23"/>
      <c r="N405" s="2"/>
      <c r="O405" s="4"/>
      <c r="P405" s="5" t="e">
        <f t="shared" si="215"/>
        <v>#DIV/0!</v>
      </c>
      <c r="Q405" s="29" t="e">
        <f t="shared" si="216"/>
        <v>#DIV/0!</v>
      </c>
      <c r="R405" s="29" t="e">
        <f t="shared" si="217"/>
        <v>#DIV/0!</v>
      </c>
      <c r="S405" s="1">
        <v>0</v>
      </c>
      <c r="T405" s="1">
        <v>0</v>
      </c>
      <c r="U405" s="24">
        <v>0</v>
      </c>
      <c r="V405" s="25" t="e">
        <f t="shared" si="218"/>
        <v>#DIV/0!</v>
      </c>
      <c r="W405" s="25" t="e">
        <f t="shared" si="219"/>
        <v>#DIV/0!</v>
      </c>
      <c r="X405" s="25" t="e">
        <f t="shared" si="220"/>
        <v>#DIV/0!</v>
      </c>
      <c r="Y405" s="25" t="e">
        <f t="shared" si="221"/>
        <v>#DIV/0!</v>
      </c>
      <c r="Z405" s="25" t="e">
        <f t="shared" si="222"/>
        <v>#DIV/0!</v>
      </c>
      <c r="AA405" s="25" t="e">
        <f t="shared" si="223"/>
        <v>#DIV/0!</v>
      </c>
      <c r="AB405" s="25" t="e">
        <f t="shared" si="224"/>
        <v>#DIV/0!</v>
      </c>
      <c r="AC405" s="25" t="e">
        <f t="shared" si="225"/>
        <v>#DIV/0!</v>
      </c>
      <c r="AD405" s="63" t="e">
        <f t="shared" si="226"/>
        <v>#DIV/0!</v>
      </c>
      <c r="AE405" s="24">
        <f t="shared" si="227"/>
        <v>0</v>
      </c>
    </row>
    <row r="406" spans="1:31" x14ac:dyDescent="0.2">
      <c r="A406" s="75">
        <f t="shared" si="230"/>
        <v>46292</v>
      </c>
      <c r="B406" s="15" t="str">
        <f>$B$16</f>
        <v>NA</v>
      </c>
      <c r="C406" s="15" t="str">
        <f>$C$16</f>
        <v>NA</v>
      </c>
      <c r="D406" s="18">
        <f t="shared" si="228"/>
        <v>0</v>
      </c>
      <c r="E406" s="4">
        <f t="shared" si="229"/>
        <v>0</v>
      </c>
      <c r="F406" s="4"/>
      <c r="G406" s="5" t="e">
        <f t="shared" si="209"/>
        <v>#DIV/0!</v>
      </c>
      <c r="H406" s="4" t="e">
        <f t="shared" si="210"/>
        <v>#DIV/0!</v>
      </c>
      <c r="I406" s="4" t="e">
        <f t="shared" si="211"/>
        <v>#DIV/0!</v>
      </c>
      <c r="J406" s="4">
        <f t="shared" si="212"/>
        <v>0</v>
      </c>
      <c r="K406" s="27">
        <f t="shared" si="213"/>
        <v>0</v>
      </c>
      <c r="L406" s="30">
        <f t="shared" si="214"/>
        <v>0</v>
      </c>
      <c r="M406" s="23"/>
      <c r="N406" s="2"/>
      <c r="O406" s="4"/>
      <c r="P406" s="5" t="e">
        <f t="shared" si="215"/>
        <v>#DIV/0!</v>
      </c>
      <c r="Q406" s="29" t="e">
        <f t="shared" si="216"/>
        <v>#DIV/0!</v>
      </c>
      <c r="R406" s="29" t="e">
        <f t="shared" si="217"/>
        <v>#DIV/0!</v>
      </c>
      <c r="S406" s="1">
        <v>0</v>
      </c>
      <c r="T406" s="1">
        <v>0</v>
      </c>
      <c r="U406" s="24">
        <v>0</v>
      </c>
      <c r="V406" s="25" t="e">
        <f t="shared" si="218"/>
        <v>#DIV/0!</v>
      </c>
      <c r="W406" s="25" t="e">
        <f t="shared" si="219"/>
        <v>#DIV/0!</v>
      </c>
      <c r="X406" s="25" t="e">
        <f t="shared" si="220"/>
        <v>#DIV/0!</v>
      </c>
      <c r="Y406" s="25" t="e">
        <f t="shared" si="221"/>
        <v>#DIV/0!</v>
      </c>
      <c r="Z406" s="25" t="e">
        <f t="shared" si="222"/>
        <v>#DIV/0!</v>
      </c>
      <c r="AA406" s="25" t="e">
        <f t="shared" si="223"/>
        <v>#DIV/0!</v>
      </c>
      <c r="AB406" s="25" t="e">
        <f t="shared" si="224"/>
        <v>#DIV/0!</v>
      </c>
      <c r="AC406" s="25" t="e">
        <f t="shared" si="225"/>
        <v>#DIV/0!</v>
      </c>
      <c r="AD406" s="63" t="e">
        <f t="shared" si="226"/>
        <v>#DIV/0!</v>
      </c>
      <c r="AE406" s="24">
        <f t="shared" si="227"/>
        <v>0</v>
      </c>
    </row>
    <row r="407" spans="1:31" x14ac:dyDescent="0.2">
      <c r="A407" s="75">
        <f t="shared" si="230"/>
        <v>46292</v>
      </c>
      <c r="B407" s="15" t="str">
        <f>$B$17</f>
        <v>NA</v>
      </c>
      <c r="C407" s="15" t="str">
        <f>$C$17</f>
        <v>NA</v>
      </c>
      <c r="D407" s="18">
        <f t="shared" si="228"/>
        <v>0</v>
      </c>
      <c r="E407" s="4">
        <f t="shared" si="229"/>
        <v>0</v>
      </c>
      <c r="F407" s="4"/>
      <c r="G407" s="5" t="e">
        <f t="shared" si="209"/>
        <v>#DIV/0!</v>
      </c>
      <c r="H407" s="4" t="e">
        <f t="shared" si="210"/>
        <v>#DIV/0!</v>
      </c>
      <c r="I407" s="4" t="e">
        <f t="shared" si="211"/>
        <v>#DIV/0!</v>
      </c>
      <c r="J407" s="4">
        <f t="shared" si="212"/>
        <v>0</v>
      </c>
      <c r="K407" s="27">
        <f t="shared" si="213"/>
        <v>0</v>
      </c>
      <c r="L407" s="30">
        <f t="shared" si="214"/>
        <v>0</v>
      </c>
      <c r="M407" s="23"/>
      <c r="N407" s="2"/>
      <c r="O407" s="4"/>
      <c r="P407" s="5" t="e">
        <f t="shared" si="215"/>
        <v>#DIV/0!</v>
      </c>
      <c r="Q407" s="29" t="e">
        <f t="shared" si="216"/>
        <v>#DIV/0!</v>
      </c>
      <c r="R407" s="29" t="e">
        <f t="shared" si="217"/>
        <v>#DIV/0!</v>
      </c>
      <c r="S407" s="1">
        <v>0</v>
      </c>
      <c r="T407" s="1">
        <v>0</v>
      </c>
      <c r="U407" s="24">
        <v>0</v>
      </c>
      <c r="V407" s="25" t="e">
        <f t="shared" si="218"/>
        <v>#DIV/0!</v>
      </c>
      <c r="W407" s="25" t="e">
        <f t="shared" si="219"/>
        <v>#DIV/0!</v>
      </c>
      <c r="X407" s="25" t="e">
        <f t="shared" si="220"/>
        <v>#DIV/0!</v>
      </c>
      <c r="Y407" s="25" t="e">
        <f t="shared" si="221"/>
        <v>#DIV/0!</v>
      </c>
      <c r="Z407" s="25" t="e">
        <f t="shared" si="222"/>
        <v>#DIV/0!</v>
      </c>
      <c r="AA407" s="25" t="e">
        <f t="shared" si="223"/>
        <v>#DIV/0!</v>
      </c>
      <c r="AB407" s="25" t="e">
        <f t="shared" si="224"/>
        <v>#DIV/0!</v>
      </c>
      <c r="AC407" s="25" t="e">
        <f t="shared" si="225"/>
        <v>#DIV/0!</v>
      </c>
      <c r="AD407" s="63" t="e">
        <f t="shared" si="226"/>
        <v>#DIV/0!</v>
      </c>
      <c r="AE407" s="24">
        <f t="shared" si="227"/>
        <v>0</v>
      </c>
    </row>
    <row r="408" spans="1:31" x14ac:dyDescent="0.2">
      <c r="A408" s="75">
        <f t="shared" si="230"/>
        <v>46292</v>
      </c>
      <c r="B408" s="15" t="str">
        <f>$B$18</f>
        <v>NA</v>
      </c>
      <c r="C408" s="15" t="str">
        <f>$C$18</f>
        <v>NA</v>
      </c>
      <c r="D408" s="18">
        <f t="shared" si="228"/>
        <v>0</v>
      </c>
      <c r="E408" s="4">
        <f t="shared" si="229"/>
        <v>0</v>
      </c>
      <c r="F408" s="4"/>
      <c r="G408" s="5" t="e">
        <f t="shared" si="209"/>
        <v>#DIV/0!</v>
      </c>
      <c r="H408" s="4" t="e">
        <f t="shared" si="210"/>
        <v>#DIV/0!</v>
      </c>
      <c r="I408" s="4" t="e">
        <f t="shared" si="211"/>
        <v>#DIV/0!</v>
      </c>
      <c r="J408" s="4">
        <f t="shared" si="212"/>
        <v>0</v>
      </c>
      <c r="K408" s="27">
        <f t="shared" si="213"/>
        <v>0</v>
      </c>
      <c r="L408" s="30">
        <f t="shared" si="214"/>
        <v>0</v>
      </c>
      <c r="M408" s="23"/>
      <c r="N408" s="2"/>
      <c r="O408" s="4"/>
      <c r="P408" s="5" t="e">
        <f t="shared" si="215"/>
        <v>#DIV/0!</v>
      </c>
      <c r="Q408" s="29" t="e">
        <f t="shared" si="216"/>
        <v>#DIV/0!</v>
      </c>
      <c r="R408" s="29" t="e">
        <f t="shared" si="217"/>
        <v>#DIV/0!</v>
      </c>
      <c r="S408" s="1">
        <v>0</v>
      </c>
      <c r="T408" s="1">
        <v>0</v>
      </c>
      <c r="U408" s="24">
        <v>0</v>
      </c>
      <c r="V408" s="25" t="e">
        <f t="shared" si="218"/>
        <v>#DIV/0!</v>
      </c>
      <c r="W408" s="25" t="e">
        <f t="shared" si="219"/>
        <v>#DIV/0!</v>
      </c>
      <c r="X408" s="25" t="e">
        <f t="shared" si="220"/>
        <v>#DIV/0!</v>
      </c>
      <c r="Y408" s="25" t="e">
        <f t="shared" si="221"/>
        <v>#DIV/0!</v>
      </c>
      <c r="Z408" s="25" t="e">
        <f t="shared" si="222"/>
        <v>#DIV/0!</v>
      </c>
      <c r="AA408" s="25" t="e">
        <f t="shared" si="223"/>
        <v>#DIV/0!</v>
      </c>
      <c r="AB408" s="25" t="e">
        <f t="shared" si="224"/>
        <v>#DIV/0!</v>
      </c>
      <c r="AC408" s="25" t="e">
        <f t="shared" si="225"/>
        <v>#DIV/0!</v>
      </c>
      <c r="AD408" s="63" t="e">
        <f t="shared" si="226"/>
        <v>#DIV/0!</v>
      </c>
      <c r="AE408" s="24">
        <f t="shared" si="227"/>
        <v>0</v>
      </c>
    </row>
    <row r="409" spans="1:31" x14ac:dyDescent="0.2">
      <c r="A409" s="75">
        <f t="shared" si="230"/>
        <v>46293</v>
      </c>
      <c r="B409" s="15" t="str">
        <f>$B$4</f>
        <v>DSM</v>
      </c>
      <c r="C409" s="15" t="str">
        <f>$C$4</f>
        <v xml:space="preserve">komal  </v>
      </c>
      <c r="D409" s="18">
        <f t="shared" si="228"/>
        <v>0</v>
      </c>
      <c r="E409" s="4">
        <f t="shared" si="229"/>
        <v>0</v>
      </c>
      <c r="F409" s="4"/>
      <c r="G409" s="5" t="e">
        <f t="shared" si="209"/>
        <v>#DIV/0!</v>
      </c>
      <c r="H409" s="4" t="e">
        <f t="shared" si="210"/>
        <v>#DIV/0!</v>
      </c>
      <c r="I409" s="4" t="e">
        <f t="shared" si="211"/>
        <v>#DIV/0!</v>
      </c>
      <c r="J409" s="4">
        <f t="shared" si="212"/>
        <v>0</v>
      </c>
      <c r="K409" s="27">
        <f t="shared" si="213"/>
        <v>0</v>
      </c>
      <c r="L409" s="30">
        <f t="shared" si="214"/>
        <v>0</v>
      </c>
      <c r="M409" s="23"/>
      <c r="N409" s="2"/>
      <c r="O409" s="4"/>
      <c r="P409" s="5" t="e">
        <f t="shared" si="215"/>
        <v>#DIV/0!</v>
      </c>
      <c r="Q409" s="29" t="e">
        <f t="shared" si="216"/>
        <v>#DIV/0!</v>
      </c>
      <c r="R409" s="29" t="e">
        <f t="shared" si="217"/>
        <v>#DIV/0!</v>
      </c>
      <c r="S409" s="1">
        <v>0</v>
      </c>
      <c r="T409" s="1">
        <v>0</v>
      </c>
      <c r="U409" s="24">
        <v>0</v>
      </c>
      <c r="V409" s="25" t="e">
        <f t="shared" si="218"/>
        <v>#DIV/0!</v>
      </c>
      <c r="W409" s="25" t="e">
        <f t="shared" si="219"/>
        <v>#DIV/0!</v>
      </c>
      <c r="X409" s="25" t="e">
        <f t="shared" si="220"/>
        <v>#DIV/0!</v>
      </c>
      <c r="Y409" s="25" t="e">
        <f t="shared" si="221"/>
        <v>#DIV/0!</v>
      </c>
      <c r="Z409" s="25" t="e">
        <f t="shared" si="222"/>
        <v>#DIV/0!</v>
      </c>
      <c r="AA409" s="25" t="e">
        <f t="shared" si="223"/>
        <v>#DIV/0!</v>
      </c>
      <c r="AB409" s="25" t="e">
        <f t="shared" si="224"/>
        <v>#DIV/0!</v>
      </c>
      <c r="AC409" s="25" t="e">
        <f t="shared" si="225"/>
        <v>#DIV/0!</v>
      </c>
      <c r="AD409" s="63" t="e">
        <f t="shared" si="226"/>
        <v>#DIV/0!</v>
      </c>
      <c r="AE409" s="24">
        <f t="shared" si="227"/>
        <v>0</v>
      </c>
    </row>
    <row r="410" spans="1:31" x14ac:dyDescent="0.2">
      <c r="A410" s="75">
        <f t="shared" si="230"/>
        <v>46293</v>
      </c>
      <c r="B410" s="15" t="str">
        <f>$B$5</f>
        <v>SS</v>
      </c>
      <c r="C410" s="15" t="str">
        <f>$C$5</f>
        <v>Prem</v>
      </c>
      <c r="D410" s="18">
        <f t="shared" si="228"/>
        <v>0</v>
      </c>
      <c r="E410" s="4">
        <f t="shared" si="229"/>
        <v>0</v>
      </c>
      <c r="F410" s="4"/>
      <c r="G410" s="5" t="e">
        <f t="shared" si="209"/>
        <v>#DIV/0!</v>
      </c>
      <c r="H410" s="4" t="e">
        <f t="shared" si="210"/>
        <v>#DIV/0!</v>
      </c>
      <c r="I410" s="4" t="e">
        <f t="shared" si="211"/>
        <v>#DIV/0!</v>
      </c>
      <c r="J410" s="4">
        <f t="shared" si="212"/>
        <v>0</v>
      </c>
      <c r="K410" s="27">
        <f t="shared" si="213"/>
        <v>0</v>
      </c>
      <c r="L410" s="30">
        <f t="shared" si="214"/>
        <v>0</v>
      </c>
      <c r="M410" s="23"/>
      <c r="N410" s="2"/>
      <c r="O410" s="4"/>
      <c r="P410" s="5" t="e">
        <f t="shared" si="215"/>
        <v>#DIV/0!</v>
      </c>
      <c r="Q410" s="29" t="e">
        <f t="shared" si="216"/>
        <v>#DIV/0!</v>
      </c>
      <c r="R410" s="29" t="e">
        <f t="shared" si="217"/>
        <v>#DIV/0!</v>
      </c>
      <c r="S410" s="1">
        <v>0</v>
      </c>
      <c r="T410" s="1">
        <v>0</v>
      </c>
      <c r="U410" s="24">
        <v>0</v>
      </c>
      <c r="V410" s="25" t="e">
        <f t="shared" si="218"/>
        <v>#DIV/0!</v>
      </c>
      <c r="W410" s="25" t="e">
        <f t="shared" si="219"/>
        <v>#DIV/0!</v>
      </c>
      <c r="X410" s="25" t="e">
        <f t="shared" si="220"/>
        <v>#DIV/0!</v>
      </c>
      <c r="Y410" s="25" t="e">
        <f t="shared" si="221"/>
        <v>#DIV/0!</v>
      </c>
      <c r="Z410" s="25" t="e">
        <f t="shared" si="222"/>
        <v>#DIV/0!</v>
      </c>
      <c r="AA410" s="25" t="e">
        <f t="shared" si="223"/>
        <v>#DIV/0!</v>
      </c>
      <c r="AB410" s="25" t="e">
        <f t="shared" si="224"/>
        <v>#DIV/0!</v>
      </c>
      <c r="AC410" s="25" t="e">
        <f t="shared" si="225"/>
        <v>#DIV/0!</v>
      </c>
      <c r="AD410" s="63" t="e">
        <f t="shared" si="226"/>
        <v>#DIV/0!</v>
      </c>
      <c r="AE410" s="24">
        <f t="shared" si="227"/>
        <v>0</v>
      </c>
    </row>
    <row r="411" spans="1:31" x14ac:dyDescent="0.2">
      <c r="A411" s="75">
        <f t="shared" si="230"/>
        <v>46293</v>
      </c>
      <c r="B411" s="15" t="str">
        <f>$B$6</f>
        <v>SS</v>
      </c>
      <c r="C411" s="15" t="str">
        <f>$C$6</f>
        <v>Anuj</v>
      </c>
      <c r="D411" s="18">
        <f t="shared" si="228"/>
        <v>0</v>
      </c>
      <c r="E411" s="4">
        <f t="shared" si="229"/>
        <v>0</v>
      </c>
      <c r="F411" s="4"/>
      <c r="G411" s="5" t="e">
        <f t="shared" si="209"/>
        <v>#DIV/0!</v>
      </c>
      <c r="H411" s="4" t="e">
        <f t="shared" si="210"/>
        <v>#DIV/0!</v>
      </c>
      <c r="I411" s="4" t="e">
        <f t="shared" si="211"/>
        <v>#DIV/0!</v>
      </c>
      <c r="J411" s="4">
        <f t="shared" si="212"/>
        <v>0</v>
      </c>
      <c r="K411" s="27">
        <f t="shared" si="213"/>
        <v>0</v>
      </c>
      <c r="L411" s="30">
        <f t="shared" si="214"/>
        <v>0</v>
      </c>
      <c r="M411" s="23"/>
      <c r="N411" s="2"/>
      <c r="O411" s="4"/>
      <c r="P411" s="5" t="e">
        <f t="shared" si="215"/>
        <v>#DIV/0!</v>
      </c>
      <c r="Q411" s="29" t="e">
        <f t="shared" si="216"/>
        <v>#DIV/0!</v>
      </c>
      <c r="R411" s="29" t="e">
        <f t="shared" si="217"/>
        <v>#DIV/0!</v>
      </c>
      <c r="S411" s="1">
        <v>0</v>
      </c>
      <c r="T411" s="1">
        <v>0</v>
      </c>
      <c r="U411" s="24">
        <v>0</v>
      </c>
      <c r="V411" s="25" t="e">
        <f t="shared" si="218"/>
        <v>#DIV/0!</v>
      </c>
      <c r="W411" s="25" t="e">
        <f t="shared" si="219"/>
        <v>#DIV/0!</v>
      </c>
      <c r="X411" s="25" t="e">
        <f t="shared" si="220"/>
        <v>#DIV/0!</v>
      </c>
      <c r="Y411" s="25" t="e">
        <f t="shared" si="221"/>
        <v>#DIV/0!</v>
      </c>
      <c r="Z411" s="25" t="e">
        <f t="shared" si="222"/>
        <v>#DIV/0!</v>
      </c>
      <c r="AA411" s="25" t="e">
        <f t="shared" si="223"/>
        <v>#DIV/0!</v>
      </c>
      <c r="AB411" s="25" t="e">
        <f t="shared" si="224"/>
        <v>#DIV/0!</v>
      </c>
      <c r="AC411" s="25" t="e">
        <f t="shared" si="225"/>
        <v>#DIV/0!</v>
      </c>
      <c r="AD411" s="63" t="e">
        <f t="shared" si="226"/>
        <v>#DIV/0!</v>
      </c>
      <c r="AE411" s="24">
        <f t="shared" si="227"/>
        <v>0</v>
      </c>
    </row>
    <row r="412" spans="1:31" x14ac:dyDescent="0.2">
      <c r="A412" s="75">
        <f t="shared" si="230"/>
        <v>46293</v>
      </c>
      <c r="B412" s="15" t="str">
        <f>$B$7</f>
        <v>FC</v>
      </c>
      <c r="C412" s="15" t="str">
        <f>$C$7</f>
        <v>Muskan</v>
      </c>
      <c r="D412" s="18">
        <f t="shared" si="228"/>
        <v>0</v>
      </c>
      <c r="E412" s="4">
        <f t="shared" si="229"/>
        <v>0</v>
      </c>
      <c r="F412" s="4"/>
      <c r="G412" s="5" t="e">
        <f t="shared" si="209"/>
        <v>#DIV/0!</v>
      </c>
      <c r="H412" s="4" t="e">
        <f t="shared" si="210"/>
        <v>#DIV/0!</v>
      </c>
      <c r="I412" s="4" t="e">
        <f t="shared" si="211"/>
        <v>#DIV/0!</v>
      </c>
      <c r="J412" s="4">
        <f t="shared" si="212"/>
        <v>0</v>
      </c>
      <c r="K412" s="27">
        <f t="shared" si="213"/>
        <v>0</v>
      </c>
      <c r="L412" s="30">
        <f t="shared" si="214"/>
        <v>0</v>
      </c>
      <c r="M412" s="23"/>
      <c r="N412" s="2"/>
      <c r="O412" s="4"/>
      <c r="P412" s="5" t="e">
        <f t="shared" si="215"/>
        <v>#DIV/0!</v>
      </c>
      <c r="Q412" s="29" t="e">
        <f t="shared" si="216"/>
        <v>#DIV/0!</v>
      </c>
      <c r="R412" s="29" t="e">
        <f t="shared" si="217"/>
        <v>#DIV/0!</v>
      </c>
      <c r="S412" s="1">
        <v>0</v>
      </c>
      <c r="T412" s="1">
        <v>0</v>
      </c>
      <c r="U412" s="24">
        <v>0</v>
      </c>
      <c r="V412" s="25" t="e">
        <f t="shared" si="218"/>
        <v>#DIV/0!</v>
      </c>
      <c r="W412" s="25" t="e">
        <f t="shared" si="219"/>
        <v>#DIV/0!</v>
      </c>
      <c r="X412" s="25" t="e">
        <f t="shared" si="220"/>
        <v>#DIV/0!</v>
      </c>
      <c r="Y412" s="25" t="e">
        <f t="shared" si="221"/>
        <v>#DIV/0!</v>
      </c>
      <c r="Z412" s="25" t="e">
        <f t="shared" si="222"/>
        <v>#DIV/0!</v>
      </c>
      <c r="AA412" s="25" t="e">
        <f t="shared" si="223"/>
        <v>#DIV/0!</v>
      </c>
      <c r="AB412" s="25" t="e">
        <f t="shared" si="224"/>
        <v>#DIV/0!</v>
      </c>
      <c r="AC412" s="25" t="e">
        <f t="shared" si="225"/>
        <v>#DIV/0!</v>
      </c>
      <c r="AD412" s="63" t="e">
        <f t="shared" si="226"/>
        <v>#DIV/0!</v>
      </c>
      <c r="AE412" s="24">
        <f t="shared" si="227"/>
        <v>0</v>
      </c>
    </row>
    <row r="413" spans="1:31" x14ac:dyDescent="0.2">
      <c r="A413" s="75">
        <f t="shared" si="230"/>
        <v>46293</v>
      </c>
      <c r="B413" s="15" t="str">
        <f>$B$8</f>
        <v>FC</v>
      </c>
      <c r="C413" s="15" t="str">
        <f>$C$8</f>
        <v xml:space="preserve">Kajal  </v>
      </c>
      <c r="D413" s="18">
        <f t="shared" si="228"/>
        <v>0</v>
      </c>
      <c r="E413" s="4">
        <f t="shared" si="229"/>
        <v>0</v>
      </c>
      <c r="F413" s="4"/>
      <c r="G413" s="5" t="e">
        <f t="shared" si="209"/>
        <v>#DIV/0!</v>
      </c>
      <c r="H413" s="4" t="e">
        <f t="shared" si="210"/>
        <v>#DIV/0!</v>
      </c>
      <c r="I413" s="4" t="e">
        <f t="shared" si="211"/>
        <v>#DIV/0!</v>
      </c>
      <c r="J413" s="4">
        <f t="shared" si="212"/>
        <v>0</v>
      </c>
      <c r="K413" s="27">
        <f t="shared" si="213"/>
        <v>0</v>
      </c>
      <c r="L413" s="30">
        <f t="shared" si="214"/>
        <v>0</v>
      </c>
      <c r="M413" s="23"/>
      <c r="N413" s="2"/>
      <c r="O413" s="4"/>
      <c r="P413" s="5" t="e">
        <f t="shared" si="215"/>
        <v>#DIV/0!</v>
      </c>
      <c r="Q413" s="29" t="e">
        <f t="shared" si="216"/>
        <v>#DIV/0!</v>
      </c>
      <c r="R413" s="29" t="e">
        <f t="shared" si="217"/>
        <v>#DIV/0!</v>
      </c>
      <c r="S413" s="1">
        <v>0</v>
      </c>
      <c r="T413" s="1">
        <v>0</v>
      </c>
      <c r="U413" s="24">
        <v>0</v>
      </c>
      <c r="V413" s="25" t="e">
        <f t="shared" si="218"/>
        <v>#DIV/0!</v>
      </c>
      <c r="W413" s="25" t="e">
        <f t="shared" si="219"/>
        <v>#DIV/0!</v>
      </c>
      <c r="X413" s="25" t="e">
        <f t="shared" si="220"/>
        <v>#DIV/0!</v>
      </c>
      <c r="Y413" s="25" t="e">
        <f t="shared" si="221"/>
        <v>#DIV/0!</v>
      </c>
      <c r="Z413" s="25" t="e">
        <f t="shared" si="222"/>
        <v>#DIV/0!</v>
      </c>
      <c r="AA413" s="25" t="e">
        <f t="shared" si="223"/>
        <v>#DIV/0!</v>
      </c>
      <c r="AB413" s="25" t="e">
        <f t="shared" si="224"/>
        <v>#DIV/0!</v>
      </c>
      <c r="AC413" s="25" t="e">
        <f t="shared" si="225"/>
        <v>#DIV/0!</v>
      </c>
      <c r="AD413" s="63" t="e">
        <f t="shared" si="226"/>
        <v>#DIV/0!</v>
      </c>
      <c r="AE413" s="24">
        <f t="shared" si="227"/>
        <v>0</v>
      </c>
    </row>
    <row r="414" spans="1:31" x14ac:dyDescent="0.2">
      <c r="A414" s="75">
        <f t="shared" si="230"/>
        <v>46293</v>
      </c>
      <c r="B414" s="15" t="str">
        <f>$B$9</f>
        <v>FC</v>
      </c>
      <c r="C414" s="15" t="str">
        <f>$C$9</f>
        <v>Pradeep</v>
      </c>
      <c r="D414" s="18">
        <f t="shared" si="228"/>
        <v>0</v>
      </c>
      <c r="E414" s="4">
        <f t="shared" si="229"/>
        <v>0</v>
      </c>
      <c r="F414" s="4"/>
      <c r="G414" s="5" t="e">
        <f t="shared" si="209"/>
        <v>#DIV/0!</v>
      </c>
      <c r="H414" s="4" t="e">
        <f t="shared" si="210"/>
        <v>#DIV/0!</v>
      </c>
      <c r="I414" s="4" t="e">
        <f t="shared" si="211"/>
        <v>#DIV/0!</v>
      </c>
      <c r="J414" s="4">
        <f t="shared" si="212"/>
        <v>0</v>
      </c>
      <c r="K414" s="27">
        <f t="shared" si="213"/>
        <v>0</v>
      </c>
      <c r="L414" s="30">
        <f t="shared" si="214"/>
        <v>0</v>
      </c>
      <c r="M414" s="23"/>
      <c r="N414" s="2"/>
      <c r="O414" s="4"/>
      <c r="P414" s="5" t="e">
        <f t="shared" si="215"/>
        <v>#DIV/0!</v>
      </c>
      <c r="Q414" s="29" t="e">
        <f t="shared" si="216"/>
        <v>#DIV/0!</v>
      </c>
      <c r="R414" s="29" t="e">
        <f t="shared" si="217"/>
        <v>#DIV/0!</v>
      </c>
      <c r="S414" s="1">
        <v>0</v>
      </c>
      <c r="T414" s="1">
        <v>0</v>
      </c>
      <c r="U414" s="24">
        <v>0</v>
      </c>
      <c r="V414" s="25" t="e">
        <f t="shared" si="218"/>
        <v>#DIV/0!</v>
      </c>
      <c r="W414" s="25" t="e">
        <f t="shared" si="219"/>
        <v>#DIV/0!</v>
      </c>
      <c r="X414" s="25" t="e">
        <f t="shared" si="220"/>
        <v>#DIV/0!</v>
      </c>
      <c r="Y414" s="25" t="e">
        <f t="shared" si="221"/>
        <v>#DIV/0!</v>
      </c>
      <c r="Z414" s="25" t="e">
        <f t="shared" si="222"/>
        <v>#DIV/0!</v>
      </c>
      <c r="AA414" s="25" t="e">
        <f t="shared" si="223"/>
        <v>#DIV/0!</v>
      </c>
      <c r="AB414" s="25" t="e">
        <f t="shared" si="224"/>
        <v>#DIV/0!</v>
      </c>
      <c r="AC414" s="25" t="e">
        <f t="shared" si="225"/>
        <v>#DIV/0!</v>
      </c>
      <c r="AD414" s="63" t="e">
        <f t="shared" si="226"/>
        <v>#DIV/0!</v>
      </c>
      <c r="AE414" s="24">
        <f t="shared" si="227"/>
        <v>0</v>
      </c>
    </row>
    <row r="415" spans="1:31" x14ac:dyDescent="0.2">
      <c r="A415" s="75">
        <f t="shared" si="230"/>
        <v>46293</v>
      </c>
      <c r="B415" s="15" t="str">
        <f>$B$10</f>
        <v>FC</v>
      </c>
      <c r="C415" s="15" t="str">
        <f>$C$10</f>
        <v>Aftab</v>
      </c>
      <c r="D415" s="18">
        <f t="shared" si="228"/>
        <v>0</v>
      </c>
      <c r="E415" s="4">
        <f t="shared" si="229"/>
        <v>0</v>
      </c>
      <c r="F415" s="4"/>
      <c r="G415" s="5" t="e">
        <f t="shared" si="209"/>
        <v>#DIV/0!</v>
      </c>
      <c r="H415" s="4" t="e">
        <f t="shared" si="210"/>
        <v>#DIV/0!</v>
      </c>
      <c r="I415" s="4" t="e">
        <f t="shared" si="211"/>
        <v>#DIV/0!</v>
      </c>
      <c r="J415" s="4">
        <f t="shared" si="212"/>
        <v>0</v>
      </c>
      <c r="K415" s="27">
        <f t="shared" si="213"/>
        <v>0</v>
      </c>
      <c r="L415" s="30">
        <f t="shared" si="214"/>
        <v>0</v>
      </c>
      <c r="M415" s="23"/>
      <c r="N415" s="2"/>
      <c r="O415" s="4"/>
      <c r="P415" s="5" t="e">
        <f t="shared" si="215"/>
        <v>#DIV/0!</v>
      </c>
      <c r="Q415" s="29" t="e">
        <f t="shared" si="216"/>
        <v>#DIV/0!</v>
      </c>
      <c r="R415" s="29" t="e">
        <f t="shared" si="217"/>
        <v>#DIV/0!</v>
      </c>
      <c r="S415" s="1">
        <v>0</v>
      </c>
      <c r="T415" s="1">
        <v>0</v>
      </c>
      <c r="U415" s="24">
        <v>0</v>
      </c>
      <c r="V415" s="25" t="e">
        <f t="shared" si="218"/>
        <v>#DIV/0!</v>
      </c>
      <c r="W415" s="25" t="e">
        <f t="shared" si="219"/>
        <v>#DIV/0!</v>
      </c>
      <c r="X415" s="25" t="e">
        <f t="shared" si="220"/>
        <v>#DIV/0!</v>
      </c>
      <c r="Y415" s="25" t="e">
        <f t="shared" si="221"/>
        <v>#DIV/0!</v>
      </c>
      <c r="Z415" s="25" t="e">
        <f t="shared" si="222"/>
        <v>#DIV/0!</v>
      </c>
      <c r="AA415" s="25" t="e">
        <f t="shared" si="223"/>
        <v>#DIV/0!</v>
      </c>
      <c r="AB415" s="25" t="e">
        <f t="shared" si="224"/>
        <v>#DIV/0!</v>
      </c>
      <c r="AC415" s="25" t="e">
        <f t="shared" si="225"/>
        <v>#DIV/0!</v>
      </c>
      <c r="AD415" s="63" t="e">
        <f t="shared" si="226"/>
        <v>#DIV/0!</v>
      </c>
      <c r="AE415" s="24">
        <f t="shared" si="227"/>
        <v>0</v>
      </c>
    </row>
    <row r="416" spans="1:31" x14ac:dyDescent="0.2">
      <c r="A416" s="75">
        <f t="shared" si="230"/>
        <v>46293</v>
      </c>
      <c r="B416" s="15" t="str">
        <f>$B$11</f>
        <v>FC</v>
      </c>
      <c r="C416" s="15" t="str">
        <f>$C$11</f>
        <v>Khushi</v>
      </c>
      <c r="D416" s="18">
        <f t="shared" si="228"/>
        <v>0</v>
      </c>
      <c r="E416" s="4">
        <f t="shared" si="229"/>
        <v>0</v>
      </c>
      <c r="F416" s="4"/>
      <c r="G416" s="5" t="e">
        <f t="shared" si="209"/>
        <v>#DIV/0!</v>
      </c>
      <c r="H416" s="4" t="e">
        <f t="shared" si="210"/>
        <v>#DIV/0!</v>
      </c>
      <c r="I416" s="4" t="e">
        <f t="shared" si="211"/>
        <v>#DIV/0!</v>
      </c>
      <c r="J416" s="4">
        <f t="shared" si="212"/>
        <v>0</v>
      </c>
      <c r="K416" s="27">
        <f t="shared" si="213"/>
        <v>0</v>
      </c>
      <c r="L416" s="30">
        <f t="shared" si="214"/>
        <v>0</v>
      </c>
      <c r="M416" s="23"/>
      <c r="N416" s="2"/>
      <c r="O416" s="4"/>
      <c r="P416" s="5" t="e">
        <f t="shared" si="215"/>
        <v>#DIV/0!</v>
      </c>
      <c r="Q416" s="29" t="e">
        <f t="shared" si="216"/>
        <v>#DIV/0!</v>
      </c>
      <c r="R416" s="29" t="e">
        <f t="shared" si="217"/>
        <v>#DIV/0!</v>
      </c>
      <c r="S416" s="1">
        <v>0</v>
      </c>
      <c r="T416" s="1">
        <v>0</v>
      </c>
      <c r="U416" s="24">
        <v>0</v>
      </c>
      <c r="V416" s="25" t="e">
        <f t="shared" si="218"/>
        <v>#DIV/0!</v>
      </c>
      <c r="W416" s="25" t="e">
        <f t="shared" si="219"/>
        <v>#DIV/0!</v>
      </c>
      <c r="X416" s="25" t="e">
        <f t="shared" si="220"/>
        <v>#DIV/0!</v>
      </c>
      <c r="Y416" s="25" t="e">
        <f t="shared" si="221"/>
        <v>#DIV/0!</v>
      </c>
      <c r="Z416" s="25" t="e">
        <f t="shared" si="222"/>
        <v>#DIV/0!</v>
      </c>
      <c r="AA416" s="25" t="e">
        <f t="shared" si="223"/>
        <v>#DIV/0!</v>
      </c>
      <c r="AB416" s="25" t="e">
        <f t="shared" si="224"/>
        <v>#DIV/0!</v>
      </c>
      <c r="AC416" s="25" t="e">
        <f t="shared" si="225"/>
        <v>#DIV/0!</v>
      </c>
      <c r="AD416" s="63" t="e">
        <f t="shared" si="226"/>
        <v>#DIV/0!</v>
      </c>
      <c r="AE416" s="24">
        <f t="shared" si="227"/>
        <v>0</v>
      </c>
    </row>
    <row r="417" spans="1:31" x14ac:dyDescent="0.2">
      <c r="A417" s="75">
        <f t="shared" si="230"/>
        <v>46293</v>
      </c>
      <c r="B417" s="15" t="str">
        <f>$B$12</f>
        <v>FC</v>
      </c>
      <c r="C417" s="15" t="str">
        <f>$C$12</f>
        <v>Kishan</v>
      </c>
      <c r="D417" s="18">
        <f t="shared" si="228"/>
        <v>0</v>
      </c>
      <c r="E417" s="4">
        <f t="shared" si="229"/>
        <v>0</v>
      </c>
      <c r="F417" s="4"/>
      <c r="G417" s="5" t="e">
        <f t="shared" si="209"/>
        <v>#DIV/0!</v>
      </c>
      <c r="H417" s="4" t="e">
        <f t="shared" si="210"/>
        <v>#DIV/0!</v>
      </c>
      <c r="I417" s="4" t="e">
        <f t="shared" si="211"/>
        <v>#DIV/0!</v>
      </c>
      <c r="J417" s="4">
        <f t="shared" si="212"/>
        <v>0</v>
      </c>
      <c r="K417" s="27">
        <f t="shared" si="213"/>
        <v>0</v>
      </c>
      <c r="L417" s="30">
        <f t="shared" si="214"/>
        <v>0</v>
      </c>
      <c r="M417" s="23"/>
      <c r="N417" s="2"/>
      <c r="O417" s="4"/>
      <c r="P417" s="5" t="e">
        <f t="shared" si="215"/>
        <v>#DIV/0!</v>
      </c>
      <c r="Q417" s="29" t="e">
        <f t="shared" si="216"/>
        <v>#DIV/0!</v>
      </c>
      <c r="R417" s="29" t="e">
        <f t="shared" si="217"/>
        <v>#DIV/0!</v>
      </c>
      <c r="S417" s="1">
        <v>0</v>
      </c>
      <c r="T417" s="1">
        <v>0</v>
      </c>
      <c r="U417" s="24">
        <v>0</v>
      </c>
      <c r="V417" s="25" t="e">
        <f t="shared" si="218"/>
        <v>#DIV/0!</v>
      </c>
      <c r="W417" s="25" t="e">
        <f t="shared" si="219"/>
        <v>#DIV/0!</v>
      </c>
      <c r="X417" s="25" t="e">
        <f t="shared" si="220"/>
        <v>#DIV/0!</v>
      </c>
      <c r="Y417" s="25" t="e">
        <f t="shared" si="221"/>
        <v>#DIV/0!</v>
      </c>
      <c r="Z417" s="25" t="e">
        <f t="shared" si="222"/>
        <v>#DIV/0!</v>
      </c>
      <c r="AA417" s="25" t="e">
        <f t="shared" si="223"/>
        <v>#DIV/0!</v>
      </c>
      <c r="AB417" s="25" t="e">
        <f t="shared" si="224"/>
        <v>#DIV/0!</v>
      </c>
      <c r="AC417" s="25" t="e">
        <f t="shared" si="225"/>
        <v>#DIV/0!</v>
      </c>
      <c r="AD417" s="63" t="e">
        <f t="shared" si="226"/>
        <v>#DIV/0!</v>
      </c>
      <c r="AE417" s="24">
        <f t="shared" si="227"/>
        <v>0</v>
      </c>
    </row>
    <row r="418" spans="1:31" x14ac:dyDescent="0.2">
      <c r="A418" s="75">
        <f t="shared" si="230"/>
        <v>46293</v>
      </c>
      <c r="B418" s="15" t="str">
        <f>$B$13</f>
        <v>Partner</v>
      </c>
      <c r="C418" s="15" t="str">
        <f>$C$13</f>
        <v>Rahul</v>
      </c>
      <c r="D418" s="18">
        <f t="shared" si="228"/>
        <v>0</v>
      </c>
      <c r="E418" s="4">
        <f t="shared" si="229"/>
        <v>0</v>
      </c>
      <c r="F418" s="4"/>
      <c r="G418" s="5" t="e">
        <f t="shared" si="209"/>
        <v>#DIV/0!</v>
      </c>
      <c r="H418" s="4" t="e">
        <f t="shared" si="210"/>
        <v>#DIV/0!</v>
      </c>
      <c r="I418" s="4" t="e">
        <f t="shared" si="211"/>
        <v>#DIV/0!</v>
      </c>
      <c r="J418" s="4">
        <f t="shared" si="212"/>
        <v>0</v>
      </c>
      <c r="K418" s="27">
        <f t="shared" si="213"/>
        <v>0</v>
      </c>
      <c r="L418" s="30">
        <f t="shared" si="214"/>
        <v>0</v>
      </c>
      <c r="M418" s="23"/>
      <c r="N418" s="2"/>
      <c r="O418" s="4"/>
      <c r="P418" s="5" t="e">
        <f t="shared" si="215"/>
        <v>#DIV/0!</v>
      </c>
      <c r="Q418" s="29" t="e">
        <f t="shared" si="216"/>
        <v>#DIV/0!</v>
      </c>
      <c r="R418" s="29" t="e">
        <f t="shared" si="217"/>
        <v>#DIV/0!</v>
      </c>
      <c r="S418" s="1">
        <v>0</v>
      </c>
      <c r="T418" s="1">
        <v>0</v>
      </c>
      <c r="U418" s="24">
        <v>0</v>
      </c>
      <c r="V418" s="25" t="e">
        <f t="shared" si="218"/>
        <v>#DIV/0!</v>
      </c>
      <c r="W418" s="25" t="e">
        <f t="shared" si="219"/>
        <v>#DIV/0!</v>
      </c>
      <c r="X418" s="25" t="e">
        <f t="shared" si="220"/>
        <v>#DIV/0!</v>
      </c>
      <c r="Y418" s="25" t="e">
        <f t="shared" si="221"/>
        <v>#DIV/0!</v>
      </c>
      <c r="Z418" s="25" t="e">
        <f t="shared" si="222"/>
        <v>#DIV/0!</v>
      </c>
      <c r="AA418" s="25" t="e">
        <f t="shared" si="223"/>
        <v>#DIV/0!</v>
      </c>
      <c r="AB418" s="25" t="e">
        <f t="shared" si="224"/>
        <v>#DIV/0!</v>
      </c>
      <c r="AC418" s="25" t="e">
        <f t="shared" si="225"/>
        <v>#DIV/0!</v>
      </c>
      <c r="AD418" s="63" t="e">
        <f t="shared" si="226"/>
        <v>#DIV/0!</v>
      </c>
      <c r="AE418" s="24">
        <f t="shared" si="227"/>
        <v>0</v>
      </c>
    </row>
    <row r="419" spans="1:31" x14ac:dyDescent="0.2">
      <c r="A419" s="75">
        <f t="shared" si="230"/>
        <v>46293</v>
      </c>
      <c r="B419" s="15" t="str">
        <f>$B$14</f>
        <v>Partner</v>
      </c>
      <c r="C419" s="15" t="str">
        <f>$C$14</f>
        <v>Prince</v>
      </c>
      <c r="D419" s="18">
        <f t="shared" si="228"/>
        <v>0</v>
      </c>
      <c r="E419" s="4">
        <f t="shared" si="229"/>
        <v>0</v>
      </c>
      <c r="F419" s="4"/>
      <c r="G419" s="5" t="e">
        <f t="shared" si="209"/>
        <v>#DIV/0!</v>
      </c>
      <c r="H419" s="4" t="e">
        <f t="shared" si="210"/>
        <v>#DIV/0!</v>
      </c>
      <c r="I419" s="4" t="e">
        <f t="shared" si="211"/>
        <v>#DIV/0!</v>
      </c>
      <c r="J419" s="4">
        <f t="shared" si="212"/>
        <v>0</v>
      </c>
      <c r="K419" s="27">
        <f t="shared" si="213"/>
        <v>0</v>
      </c>
      <c r="L419" s="30">
        <f t="shared" si="214"/>
        <v>0</v>
      </c>
      <c r="M419" s="23"/>
      <c r="N419" s="2"/>
      <c r="O419" s="4"/>
      <c r="P419" s="5" t="e">
        <f t="shared" si="215"/>
        <v>#DIV/0!</v>
      </c>
      <c r="Q419" s="29" t="e">
        <f t="shared" si="216"/>
        <v>#DIV/0!</v>
      </c>
      <c r="R419" s="29" t="e">
        <f t="shared" si="217"/>
        <v>#DIV/0!</v>
      </c>
      <c r="S419" s="1">
        <v>0</v>
      </c>
      <c r="T419" s="1">
        <v>0</v>
      </c>
      <c r="U419" s="24">
        <v>0</v>
      </c>
      <c r="V419" s="25" t="e">
        <f t="shared" si="218"/>
        <v>#DIV/0!</v>
      </c>
      <c r="W419" s="25" t="e">
        <f t="shared" si="219"/>
        <v>#DIV/0!</v>
      </c>
      <c r="X419" s="25" t="e">
        <f t="shared" si="220"/>
        <v>#DIV/0!</v>
      </c>
      <c r="Y419" s="25" t="e">
        <f t="shared" si="221"/>
        <v>#DIV/0!</v>
      </c>
      <c r="Z419" s="25" t="e">
        <f t="shared" si="222"/>
        <v>#DIV/0!</v>
      </c>
      <c r="AA419" s="25" t="e">
        <f t="shared" si="223"/>
        <v>#DIV/0!</v>
      </c>
      <c r="AB419" s="25" t="e">
        <f t="shared" si="224"/>
        <v>#DIV/0!</v>
      </c>
      <c r="AC419" s="25" t="e">
        <f t="shared" si="225"/>
        <v>#DIV/0!</v>
      </c>
      <c r="AD419" s="63" t="e">
        <f t="shared" si="226"/>
        <v>#DIV/0!</v>
      </c>
      <c r="AE419" s="24">
        <f t="shared" si="227"/>
        <v>0</v>
      </c>
    </row>
    <row r="420" spans="1:31" x14ac:dyDescent="0.2">
      <c r="A420" s="75">
        <f t="shared" si="230"/>
        <v>46293</v>
      </c>
      <c r="B420" s="15" t="str">
        <f>$B$15</f>
        <v>Partner</v>
      </c>
      <c r="C420" s="15" t="str">
        <f>$C$15</f>
        <v>Kunal</v>
      </c>
      <c r="D420" s="18">
        <f t="shared" si="228"/>
        <v>0</v>
      </c>
      <c r="E420" s="4">
        <f t="shared" si="229"/>
        <v>0</v>
      </c>
      <c r="F420" s="4"/>
      <c r="G420" s="5" t="e">
        <f t="shared" ref="G420:G438" si="231">E420/D420</f>
        <v>#DIV/0!</v>
      </c>
      <c r="H420" s="4" t="e">
        <f t="shared" ref="H420:H438" si="232">F420/D420</f>
        <v>#DIV/0!</v>
      </c>
      <c r="I420" s="4" t="e">
        <f t="shared" ref="I420:I438" si="233">F420/E420</f>
        <v>#DIV/0!</v>
      </c>
      <c r="J420" s="4">
        <f t="shared" ref="J420:J438" si="234">D420*8%</f>
        <v>0</v>
      </c>
      <c r="K420" s="27">
        <f t="shared" ref="K420:K438" si="235">D420*4%</f>
        <v>0</v>
      </c>
      <c r="L420" s="30">
        <f t="shared" ref="L420:L438" si="236">D420*25%</f>
        <v>0</v>
      </c>
      <c r="M420" s="23"/>
      <c r="N420" s="2"/>
      <c r="O420" s="4"/>
      <c r="P420" s="5" t="e">
        <f t="shared" ref="P420:P438" si="237">N420/M420</f>
        <v>#DIV/0!</v>
      </c>
      <c r="Q420" s="29" t="e">
        <f t="shared" ref="Q420:Q438" si="238">O420/M420</f>
        <v>#DIV/0!</v>
      </c>
      <c r="R420" s="29" t="e">
        <f t="shared" ref="R420:R438" si="239">O420/N420</f>
        <v>#DIV/0!</v>
      </c>
      <c r="S420" s="1">
        <v>0</v>
      </c>
      <c r="T420" s="1">
        <v>0</v>
      </c>
      <c r="U420" s="24">
        <v>0</v>
      </c>
      <c r="V420" s="25" t="e">
        <f t="shared" si="218"/>
        <v>#DIV/0!</v>
      </c>
      <c r="W420" s="25" t="e">
        <f t="shared" si="219"/>
        <v>#DIV/0!</v>
      </c>
      <c r="X420" s="25" t="e">
        <f t="shared" si="220"/>
        <v>#DIV/0!</v>
      </c>
      <c r="Y420" s="25" t="e">
        <f t="shared" si="221"/>
        <v>#DIV/0!</v>
      </c>
      <c r="Z420" s="25" t="e">
        <f t="shared" si="222"/>
        <v>#DIV/0!</v>
      </c>
      <c r="AA420" s="25" t="e">
        <f t="shared" si="223"/>
        <v>#DIV/0!</v>
      </c>
      <c r="AB420" s="25" t="e">
        <f t="shared" si="224"/>
        <v>#DIV/0!</v>
      </c>
      <c r="AC420" s="25" t="e">
        <f t="shared" si="225"/>
        <v>#DIV/0!</v>
      </c>
      <c r="AD420" s="63" t="e">
        <f t="shared" si="226"/>
        <v>#DIV/0!</v>
      </c>
      <c r="AE420" s="24">
        <f t="shared" si="227"/>
        <v>0</v>
      </c>
    </row>
    <row r="421" spans="1:31" x14ac:dyDescent="0.2">
      <c r="A421" s="75">
        <f t="shared" si="230"/>
        <v>46293</v>
      </c>
      <c r="B421" s="15" t="str">
        <f>$B$16</f>
        <v>NA</v>
      </c>
      <c r="C421" s="15" t="str">
        <f>$C$16</f>
        <v>NA</v>
      </c>
      <c r="D421" s="18">
        <f t="shared" si="228"/>
        <v>0</v>
      </c>
      <c r="E421" s="4">
        <f t="shared" si="229"/>
        <v>0</v>
      </c>
      <c r="F421" s="4"/>
      <c r="G421" s="5" t="e">
        <f t="shared" si="231"/>
        <v>#DIV/0!</v>
      </c>
      <c r="H421" s="4" t="e">
        <f t="shared" si="232"/>
        <v>#DIV/0!</v>
      </c>
      <c r="I421" s="4" t="e">
        <f t="shared" si="233"/>
        <v>#DIV/0!</v>
      </c>
      <c r="J421" s="4">
        <f t="shared" si="234"/>
        <v>0</v>
      </c>
      <c r="K421" s="27">
        <f t="shared" si="235"/>
        <v>0</v>
      </c>
      <c r="L421" s="30">
        <f t="shared" si="236"/>
        <v>0</v>
      </c>
      <c r="M421" s="23"/>
      <c r="N421" s="2"/>
      <c r="O421" s="4"/>
      <c r="P421" s="5" t="e">
        <f t="shared" si="237"/>
        <v>#DIV/0!</v>
      </c>
      <c r="Q421" s="29" t="e">
        <f t="shared" si="238"/>
        <v>#DIV/0!</v>
      </c>
      <c r="R421" s="29" t="e">
        <f t="shared" si="239"/>
        <v>#DIV/0!</v>
      </c>
      <c r="S421" s="1">
        <v>0</v>
      </c>
      <c r="T421" s="1">
        <v>0</v>
      </c>
      <c r="U421" s="24">
        <v>0</v>
      </c>
      <c r="V421" s="25" t="e">
        <f t="shared" si="218"/>
        <v>#DIV/0!</v>
      </c>
      <c r="W421" s="25" t="e">
        <f t="shared" si="219"/>
        <v>#DIV/0!</v>
      </c>
      <c r="X421" s="25" t="e">
        <f t="shared" si="220"/>
        <v>#DIV/0!</v>
      </c>
      <c r="Y421" s="25" t="e">
        <f t="shared" si="221"/>
        <v>#DIV/0!</v>
      </c>
      <c r="Z421" s="25" t="e">
        <f t="shared" si="222"/>
        <v>#DIV/0!</v>
      </c>
      <c r="AA421" s="25" t="e">
        <f t="shared" si="223"/>
        <v>#DIV/0!</v>
      </c>
      <c r="AB421" s="25" t="e">
        <f t="shared" si="224"/>
        <v>#DIV/0!</v>
      </c>
      <c r="AC421" s="25" t="e">
        <f t="shared" si="225"/>
        <v>#DIV/0!</v>
      </c>
      <c r="AD421" s="63" t="e">
        <f t="shared" si="226"/>
        <v>#DIV/0!</v>
      </c>
      <c r="AE421" s="24">
        <f t="shared" si="227"/>
        <v>0</v>
      </c>
    </row>
    <row r="422" spans="1:31" x14ac:dyDescent="0.2">
      <c r="A422" s="75">
        <f t="shared" si="230"/>
        <v>46293</v>
      </c>
      <c r="B422" s="15" t="str">
        <f>$B$17</f>
        <v>NA</v>
      </c>
      <c r="C422" s="15" t="str">
        <f>$C$17</f>
        <v>NA</v>
      </c>
      <c r="D422" s="18">
        <f t="shared" si="228"/>
        <v>0</v>
      </c>
      <c r="E422" s="4">
        <f t="shared" si="229"/>
        <v>0</v>
      </c>
      <c r="F422" s="4"/>
      <c r="G422" s="5" t="e">
        <f t="shared" si="231"/>
        <v>#DIV/0!</v>
      </c>
      <c r="H422" s="4" t="e">
        <f t="shared" si="232"/>
        <v>#DIV/0!</v>
      </c>
      <c r="I422" s="4" t="e">
        <f t="shared" si="233"/>
        <v>#DIV/0!</v>
      </c>
      <c r="J422" s="4">
        <f t="shared" si="234"/>
        <v>0</v>
      </c>
      <c r="K422" s="27">
        <f t="shared" si="235"/>
        <v>0</v>
      </c>
      <c r="L422" s="30">
        <f t="shared" si="236"/>
        <v>0</v>
      </c>
      <c r="M422" s="23"/>
      <c r="N422" s="2"/>
      <c r="O422" s="4"/>
      <c r="P422" s="5" t="e">
        <f t="shared" si="237"/>
        <v>#DIV/0!</v>
      </c>
      <c r="Q422" s="29" t="e">
        <f t="shared" si="238"/>
        <v>#DIV/0!</v>
      </c>
      <c r="R422" s="29" t="e">
        <f t="shared" si="239"/>
        <v>#DIV/0!</v>
      </c>
      <c r="S422" s="1">
        <v>0</v>
      </c>
      <c r="T422" s="1">
        <v>0</v>
      </c>
      <c r="U422" s="24">
        <v>0</v>
      </c>
      <c r="V422" s="25" t="e">
        <f t="shared" si="218"/>
        <v>#DIV/0!</v>
      </c>
      <c r="W422" s="25" t="e">
        <f t="shared" si="219"/>
        <v>#DIV/0!</v>
      </c>
      <c r="X422" s="25" t="e">
        <f t="shared" si="220"/>
        <v>#DIV/0!</v>
      </c>
      <c r="Y422" s="25" t="e">
        <f t="shared" si="221"/>
        <v>#DIV/0!</v>
      </c>
      <c r="Z422" s="25" t="e">
        <f t="shared" si="222"/>
        <v>#DIV/0!</v>
      </c>
      <c r="AA422" s="25" t="e">
        <f t="shared" si="223"/>
        <v>#DIV/0!</v>
      </c>
      <c r="AB422" s="25" t="e">
        <f t="shared" si="224"/>
        <v>#DIV/0!</v>
      </c>
      <c r="AC422" s="25" t="e">
        <f t="shared" si="225"/>
        <v>#DIV/0!</v>
      </c>
      <c r="AD422" s="63" t="e">
        <f t="shared" si="226"/>
        <v>#DIV/0!</v>
      </c>
      <c r="AE422" s="24">
        <f t="shared" si="227"/>
        <v>0</v>
      </c>
    </row>
    <row r="423" spans="1:31" x14ac:dyDescent="0.2">
      <c r="A423" s="75">
        <f t="shared" si="230"/>
        <v>46293</v>
      </c>
      <c r="B423" s="15" t="str">
        <f>$B$18</f>
        <v>NA</v>
      </c>
      <c r="C423" s="15" t="str">
        <f>$C$18</f>
        <v>NA</v>
      </c>
      <c r="D423" s="18">
        <f t="shared" si="228"/>
        <v>0</v>
      </c>
      <c r="E423" s="4">
        <f t="shared" si="229"/>
        <v>0</v>
      </c>
      <c r="F423" s="4"/>
      <c r="G423" s="5" t="e">
        <f t="shared" si="231"/>
        <v>#DIV/0!</v>
      </c>
      <c r="H423" s="4" t="e">
        <f t="shared" si="232"/>
        <v>#DIV/0!</v>
      </c>
      <c r="I423" s="4" t="e">
        <f t="shared" si="233"/>
        <v>#DIV/0!</v>
      </c>
      <c r="J423" s="4">
        <f t="shared" si="234"/>
        <v>0</v>
      </c>
      <c r="K423" s="27">
        <f t="shared" si="235"/>
        <v>0</v>
      </c>
      <c r="L423" s="30">
        <f t="shared" si="236"/>
        <v>0</v>
      </c>
      <c r="M423" s="23"/>
      <c r="N423" s="2"/>
      <c r="O423" s="4"/>
      <c r="P423" s="5" t="e">
        <f t="shared" si="237"/>
        <v>#DIV/0!</v>
      </c>
      <c r="Q423" s="29" t="e">
        <f t="shared" si="238"/>
        <v>#DIV/0!</v>
      </c>
      <c r="R423" s="29" t="e">
        <f t="shared" si="239"/>
        <v>#DIV/0!</v>
      </c>
      <c r="S423" s="1">
        <v>0</v>
      </c>
      <c r="T423" s="1">
        <v>0</v>
      </c>
      <c r="U423" s="24">
        <v>0</v>
      </c>
      <c r="V423" s="25" t="e">
        <f t="shared" si="218"/>
        <v>#DIV/0!</v>
      </c>
      <c r="W423" s="25" t="e">
        <f t="shared" si="219"/>
        <v>#DIV/0!</v>
      </c>
      <c r="X423" s="25" t="e">
        <f t="shared" si="220"/>
        <v>#DIV/0!</v>
      </c>
      <c r="Y423" s="25" t="e">
        <f t="shared" si="221"/>
        <v>#DIV/0!</v>
      </c>
      <c r="Z423" s="25" t="e">
        <f t="shared" si="222"/>
        <v>#DIV/0!</v>
      </c>
      <c r="AA423" s="25" t="e">
        <f t="shared" si="223"/>
        <v>#DIV/0!</v>
      </c>
      <c r="AB423" s="25" t="e">
        <f t="shared" si="224"/>
        <v>#DIV/0!</v>
      </c>
      <c r="AC423" s="25" t="e">
        <f t="shared" si="225"/>
        <v>#DIV/0!</v>
      </c>
      <c r="AD423" s="63" t="e">
        <f t="shared" si="226"/>
        <v>#DIV/0!</v>
      </c>
      <c r="AE423" s="24">
        <f t="shared" si="227"/>
        <v>0</v>
      </c>
    </row>
    <row r="424" spans="1:31" x14ac:dyDescent="0.2">
      <c r="A424" s="75">
        <f t="shared" si="230"/>
        <v>46294</v>
      </c>
      <c r="B424" s="15" t="str">
        <f>$B$4</f>
        <v>DSM</v>
      </c>
      <c r="C424" s="15" t="str">
        <f>$C$4</f>
        <v xml:space="preserve">komal  </v>
      </c>
      <c r="D424" s="18">
        <f t="shared" si="228"/>
        <v>0</v>
      </c>
      <c r="E424" s="4">
        <f t="shared" si="229"/>
        <v>0</v>
      </c>
      <c r="F424" s="4"/>
      <c r="G424" s="5" t="e">
        <f t="shared" si="231"/>
        <v>#DIV/0!</v>
      </c>
      <c r="H424" s="4" t="e">
        <f t="shared" si="232"/>
        <v>#DIV/0!</v>
      </c>
      <c r="I424" s="4" t="e">
        <f t="shared" si="233"/>
        <v>#DIV/0!</v>
      </c>
      <c r="J424" s="4">
        <f t="shared" si="234"/>
        <v>0</v>
      </c>
      <c r="K424" s="27">
        <f t="shared" si="235"/>
        <v>0</v>
      </c>
      <c r="L424" s="30">
        <f t="shared" si="236"/>
        <v>0</v>
      </c>
      <c r="M424" s="23"/>
      <c r="N424" s="2"/>
      <c r="O424" s="4"/>
      <c r="P424" s="5" t="e">
        <f t="shared" si="237"/>
        <v>#DIV/0!</v>
      </c>
      <c r="Q424" s="29" t="e">
        <f t="shared" si="238"/>
        <v>#DIV/0!</v>
      </c>
      <c r="R424" s="29" t="e">
        <f t="shared" si="239"/>
        <v>#DIV/0!</v>
      </c>
      <c r="S424" s="1">
        <v>0</v>
      </c>
      <c r="T424" s="1">
        <v>0</v>
      </c>
      <c r="U424" s="24">
        <v>0</v>
      </c>
      <c r="V424" s="25" t="e">
        <f t="shared" si="218"/>
        <v>#DIV/0!</v>
      </c>
      <c r="W424" s="25" t="e">
        <f t="shared" si="219"/>
        <v>#DIV/0!</v>
      </c>
      <c r="X424" s="25" t="e">
        <f t="shared" si="220"/>
        <v>#DIV/0!</v>
      </c>
      <c r="Y424" s="25" t="e">
        <f t="shared" si="221"/>
        <v>#DIV/0!</v>
      </c>
      <c r="Z424" s="25" t="e">
        <f t="shared" si="222"/>
        <v>#DIV/0!</v>
      </c>
      <c r="AA424" s="25" t="e">
        <f t="shared" si="223"/>
        <v>#DIV/0!</v>
      </c>
      <c r="AB424" s="25" t="e">
        <f t="shared" si="224"/>
        <v>#DIV/0!</v>
      </c>
      <c r="AC424" s="25" t="e">
        <f t="shared" si="225"/>
        <v>#DIV/0!</v>
      </c>
      <c r="AD424" s="63" t="e">
        <f t="shared" si="226"/>
        <v>#DIV/0!</v>
      </c>
      <c r="AE424" s="24">
        <f t="shared" si="227"/>
        <v>0</v>
      </c>
    </row>
    <row r="425" spans="1:31" x14ac:dyDescent="0.2">
      <c r="A425" s="75">
        <f t="shared" si="230"/>
        <v>46294</v>
      </c>
      <c r="B425" s="15" t="str">
        <f>$B$5</f>
        <v>SS</v>
      </c>
      <c r="C425" s="15" t="str">
        <f>$C$5</f>
        <v>Prem</v>
      </c>
      <c r="D425" s="18">
        <f t="shared" si="228"/>
        <v>0</v>
      </c>
      <c r="E425" s="4">
        <f t="shared" si="229"/>
        <v>0</v>
      </c>
      <c r="F425" s="4"/>
      <c r="G425" s="5" t="e">
        <f t="shared" si="231"/>
        <v>#DIV/0!</v>
      </c>
      <c r="H425" s="4" t="e">
        <f t="shared" si="232"/>
        <v>#DIV/0!</v>
      </c>
      <c r="I425" s="4" t="e">
        <f t="shared" si="233"/>
        <v>#DIV/0!</v>
      </c>
      <c r="J425" s="4">
        <f t="shared" si="234"/>
        <v>0</v>
      </c>
      <c r="K425" s="27">
        <f t="shared" si="235"/>
        <v>0</v>
      </c>
      <c r="L425" s="30">
        <f t="shared" si="236"/>
        <v>0</v>
      </c>
      <c r="M425" s="23"/>
      <c r="N425" s="2"/>
      <c r="O425" s="4"/>
      <c r="P425" s="5" t="e">
        <f t="shared" si="237"/>
        <v>#DIV/0!</v>
      </c>
      <c r="Q425" s="29" t="e">
        <f t="shared" si="238"/>
        <v>#DIV/0!</v>
      </c>
      <c r="R425" s="29" t="e">
        <f t="shared" si="239"/>
        <v>#DIV/0!</v>
      </c>
      <c r="S425" s="1">
        <v>0</v>
      </c>
      <c r="T425" s="1">
        <v>0</v>
      </c>
      <c r="U425" s="24">
        <v>0</v>
      </c>
      <c r="V425" s="25" t="e">
        <f t="shared" si="218"/>
        <v>#DIV/0!</v>
      </c>
      <c r="W425" s="25" t="e">
        <f t="shared" si="219"/>
        <v>#DIV/0!</v>
      </c>
      <c r="X425" s="25" t="e">
        <f t="shared" si="220"/>
        <v>#DIV/0!</v>
      </c>
      <c r="Y425" s="25" t="e">
        <f t="shared" si="221"/>
        <v>#DIV/0!</v>
      </c>
      <c r="Z425" s="25" t="e">
        <f t="shared" si="222"/>
        <v>#DIV/0!</v>
      </c>
      <c r="AA425" s="25" t="e">
        <f t="shared" si="223"/>
        <v>#DIV/0!</v>
      </c>
      <c r="AB425" s="25" t="e">
        <f t="shared" si="224"/>
        <v>#DIV/0!</v>
      </c>
      <c r="AC425" s="25" t="e">
        <f t="shared" si="225"/>
        <v>#DIV/0!</v>
      </c>
      <c r="AD425" s="63" t="e">
        <f t="shared" si="226"/>
        <v>#DIV/0!</v>
      </c>
      <c r="AE425" s="24">
        <f t="shared" si="227"/>
        <v>0</v>
      </c>
    </row>
    <row r="426" spans="1:31" x14ac:dyDescent="0.2">
      <c r="A426" s="75">
        <f t="shared" si="230"/>
        <v>46294</v>
      </c>
      <c r="B426" s="15" t="str">
        <f>$B$6</f>
        <v>SS</v>
      </c>
      <c r="C426" s="15" t="str">
        <f>$C$6</f>
        <v>Anuj</v>
      </c>
      <c r="D426" s="18">
        <f t="shared" si="228"/>
        <v>0</v>
      </c>
      <c r="E426" s="4">
        <f t="shared" si="229"/>
        <v>0</v>
      </c>
      <c r="F426" s="4"/>
      <c r="G426" s="5" t="e">
        <f t="shared" si="231"/>
        <v>#DIV/0!</v>
      </c>
      <c r="H426" s="4" t="e">
        <f t="shared" si="232"/>
        <v>#DIV/0!</v>
      </c>
      <c r="I426" s="4" t="e">
        <f t="shared" si="233"/>
        <v>#DIV/0!</v>
      </c>
      <c r="J426" s="4">
        <f t="shared" si="234"/>
        <v>0</v>
      </c>
      <c r="K426" s="27">
        <f t="shared" si="235"/>
        <v>0</v>
      </c>
      <c r="L426" s="30">
        <f t="shared" si="236"/>
        <v>0</v>
      </c>
      <c r="M426" s="23"/>
      <c r="N426" s="2"/>
      <c r="O426" s="4"/>
      <c r="P426" s="5" t="e">
        <f t="shared" si="237"/>
        <v>#DIV/0!</v>
      </c>
      <c r="Q426" s="29" t="e">
        <f t="shared" si="238"/>
        <v>#DIV/0!</v>
      </c>
      <c r="R426" s="29" t="e">
        <f t="shared" si="239"/>
        <v>#DIV/0!</v>
      </c>
      <c r="S426" s="1">
        <v>0</v>
      </c>
      <c r="T426" s="1">
        <v>0</v>
      </c>
      <c r="U426" s="24">
        <v>0</v>
      </c>
      <c r="V426" s="25" t="e">
        <f t="shared" si="218"/>
        <v>#DIV/0!</v>
      </c>
      <c r="W426" s="25" t="e">
        <f t="shared" si="219"/>
        <v>#DIV/0!</v>
      </c>
      <c r="X426" s="25" t="e">
        <f t="shared" si="220"/>
        <v>#DIV/0!</v>
      </c>
      <c r="Y426" s="25" t="e">
        <f t="shared" si="221"/>
        <v>#DIV/0!</v>
      </c>
      <c r="Z426" s="25" t="e">
        <f t="shared" si="222"/>
        <v>#DIV/0!</v>
      </c>
      <c r="AA426" s="25" t="e">
        <f t="shared" si="223"/>
        <v>#DIV/0!</v>
      </c>
      <c r="AB426" s="25" t="e">
        <f t="shared" si="224"/>
        <v>#DIV/0!</v>
      </c>
      <c r="AC426" s="25" t="e">
        <f t="shared" si="225"/>
        <v>#DIV/0!</v>
      </c>
      <c r="AD426" s="63" t="e">
        <f t="shared" si="226"/>
        <v>#DIV/0!</v>
      </c>
      <c r="AE426" s="24">
        <f t="shared" si="227"/>
        <v>0</v>
      </c>
    </row>
    <row r="427" spans="1:31" x14ac:dyDescent="0.2">
      <c r="A427" s="75">
        <f t="shared" si="230"/>
        <v>46294</v>
      </c>
      <c r="B427" s="15" t="str">
        <f>$B$7</f>
        <v>FC</v>
      </c>
      <c r="C427" s="15" t="str">
        <f>$C$7</f>
        <v>Muskan</v>
      </c>
      <c r="D427" s="18">
        <f t="shared" si="228"/>
        <v>0</v>
      </c>
      <c r="E427" s="4">
        <f t="shared" si="229"/>
        <v>0</v>
      </c>
      <c r="F427" s="4"/>
      <c r="G427" s="5" t="e">
        <f t="shared" si="231"/>
        <v>#DIV/0!</v>
      </c>
      <c r="H427" s="4" t="e">
        <f t="shared" si="232"/>
        <v>#DIV/0!</v>
      </c>
      <c r="I427" s="4" t="e">
        <f t="shared" si="233"/>
        <v>#DIV/0!</v>
      </c>
      <c r="J427" s="4">
        <f t="shared" si="234"/>
        <v>0</v>
      </c>
      <c r="K427" s="27">
        <f t="shared" si="235"/>
        <v>0</v>
      </c>
      <c r="L427" s="30">
        <f t="shared" si="236"/>
        <v>0</v>
      </c>
      <c r="M427" s="23"/>
      <c r="N427" s="2"/>
      <c r="O427" s="4"/>
      <c r="P427" s="5" t="e">
        <f t="shared" si="237"/>
        <v>#DIV/0!</v>
      </c>
      <c r="Q427" s="29" t="e">
        <f t="shared" si="238"/>
        <v>#DIV/0!</v>
      </c>
      <c r="R427" s="29" t="e">
        <f t="shared" si="239"/>
        <v>#DIV/0!</v>
      </c>
      <c r="S427" s="1">
        <v>0</v>
      </c>
      <c r="T427" s="1">
        <v>0</v>
      </c>
      <c r="U427" s="24">
        <v>0</v>
      </c>
      <c r="V427" s="25" t="e">
        <f t="shared" si="218"/>
        <v>#DIV/0!</v>
      </c>
      <c r="W427" s="25" t="e">
        <f t="shared" si="219"/>
        <v>#DIV/0!</v>
      </c>
      <c r="X427" s="25" t="e">
        <f t="shared" si="220"/>
        <v>#DIV/0!</v>
      </c>
      <c r="Y427" s="25" t="e">
        <f t="shared" si="221"/>
        <v>#DIV/0!</v>
      </c>
      <c r="Z427" s="25" t="e">
        <f t="shared" si="222"/>
        <v>#DIV/0!</v>
      </c>
      <c r="AA427" s="25" t="e">
        <f t="shared" si="223"/>
        <v>#DIV/0!</v>
      </c>
      <c r="AB427" s="25" t="e">
        <f t="shared" si="224"/>
        <v>#DIV/0!</v>
      </c>
      <c r="AC427" s="25" t="e">
        <f t="shared" si="225"/>
        <v>#DIV/0!</v>
      </c>
      <c r="AD427" s="63" t="e">
        <f t="shared" si="226"/>
        <v>#DIV/0!</v>
      </c>
      <c r="AE427" s="24">
        <f t="shared" si="227"/>
        <v>0</v>
      </c>
    </row>
    <row r="428" spans="1:31" x14ac:dyDescent="0.2">
      <c r="A428" s="75">
        <f t="shared" si="230"/>
        <v>46294</v>
      </c>
      <c r="B428" s="15" t="str">
        <f>$B$8</f>
        <v>FC</v>
      </c>
      <c r="C428" s="15" t="str">
        <f>$C$8</f>
        <v xml:space="preserve">Kajal  </v>
      </c>
      <c r="D428" s="18">
        <f t="shared" si="228"/>
        <v>0</v>
      </c>
      <c r="E428" s="4">
        <f t="shared" si="229"/>
        <v>0</v>
      </c>
      <c r="F428" s="4"/>
      <c r="G428" s="5" t="e">
        <f t="shared" si="231"/>
        <v>#DIV/0!</v>
      </c>
      <c r="H428" s="4" t="e">
        <f t="shared" si="232"/>
        <v>#DIV/0!</v>
      </c>
      <c r="I428" s="4" t="e">
        <f t="shared" si="233"/>
        <v>#DIV/0!</v>
      </c>
      <c r="J428" s="4">
        <f t="shared" si="234"/>
        <v>0</v>
      </c>
      <c r="K428" s="27">
        <f t="shared" si="235"/>
        <v>0</v>
      </c>
      <c r="L428" s="30">
        <f t="shared" si="236"/>
        <v>0</v>
      </c>
      <c r="M428" s="23"/>
      <c r="N428" s="2"/>
      <c r="O428" s="4"/>
      <c r="P428" s="5" t="e">
        <f t="shared" si="237"/>
        <v>#DIV/0!</v>
      </c>
      <c r="Q428" s="29" t="e">
        <f t="shared" si="238"/>
        <v>#DIV/0!</v>
      </c>
      <c r="R428" s="29" t="e">
        <f t="shared" si="239"/>
        <v>#DIV/0!</v>
      </c>
      <c r="S428" s="1">
        <v>0</v>
      </c>
      <c r="T428" s="1">
        <v>0</v>
      </c>
      <c r="U428" s="24">
        <v>0</v>
      </c>
      <c r="V428" s="25" t="e">
        <f t="shared" si="218"/>
        <v>#DIV/0!</v>
      </c>
      <c r="W428" s="25" t="e">
        <f t="shared" si="219"/>
        <v>#DIV/0!</v>
      </c>
      <c r="X428" s="25" t="e">
        <f t="shared" si="220"/>
        <v>#DIV/0!</v>
      </c>
      <c r="Y428" s="25" t="e">
        <f t="shared" si="221"/>
        <v>#DIV/0!</v>
      </c>
      <c r="Z428" s="25" t="e">
        <f t="shared" si="222"/>
        <v>#DIV/0!</v>
      </c>
      <c r="AA428" s="25" t="e">
        <f t="shared" si="223"/>
        <v>#DIV/0!</v>
      </c>
      <c r="AB428" s="25" t="e">
        <f t="shared" si="224"/>
        <v>#DIV/0!</v>
      </c>
      <c r="AC428" s="25" t="e">
        <f t="shared" si="225"/>
        <v>#DIV/0!</v>
      </c>
      <c r="AD428" s="63" t="e">
        <f t="shared" si="226"/>
        <v>#DIV/0!</v>
      </c>
      <c r="AE428" s="24">
        <f t="shared" si="227"/>
        <v>0</v>
      </c>
    </row>
    <row r="429" spans="1:31" x14ac:dyDescent="0.2">
      <c r="A429" s="75">
        <f t="shared" si="230"/>
        <v>46294</v>
      </c>
      <c r="B429" s="15" t="str">
        <f>$B$9</f>
        <v>FC</v>
      </c>
      <c r="C429" s="15" t="str">
        <f>$C$9</f>
        <v>Pradeep</v>
      </c>
      <c r="D429" s="18">
        <f t="shared" si="228"/>
        <v>0</v>
      </c>
      <c r="E429" s="4">
        <f t="shared" si="229"/>
        <v>0</v>
      </c>
      <c r="F429" s="4"/>
      <c r="G429" s="5" t="e">
        <f t="shared" si="231"/>
        <v>#DIV/0!</v>
      </c>
      <c r="H429" s="4" t="e">
        <f t="shared" si="232"/>
        <v>#DIV/0!</v>
      </c>
      <c r="I429" s="4" t="e">
        <f t="shared" si="233"/>
        <v>#DIV/0!</v>
      </c>
      <c r="J429" s="4">
        <f t="shared" si="234"/>
        <v>0</v>
      </c>
      <c r="K429" s="27">
        <f t="shared" si="235"/>
        <v>0</v>
      </c>
      <c r="L429" s="30">
        <f t="shared" si="236"/>
        <v>0</v>
      </c>
      <c r="M429" s="23"/>
      <c r="N429" s="2"/>
      <c r="O429" s="4"/>
      <c r="P429" s="5" t="e">
        <f t="shared" si="237"/>
        <v>#DIV/0!</v>
      </c>
      <c r="Q429" s="29" t="e">
        <f t="shared" si="238"/>
        <v>#DIV/0!</v>
      </c>
      <c r="R429" s="29" t="e">
        <f t="shared" si="239"/>
        <v>#DIV/0!</v>
      </c>
      <c r="S429" s="1">
        <v>0</v>
      </c>
      <c r="T429" s="1">
        <v>0</v>
      </c>
      <c r="U429" s="24">
        <v>0</v>
      </c>
      <c r="V429" s="25" t="e">
        <f t="shared" si="218"/>
        <v>#DIV/0!</v>
      </c>
      <c r="W429" s="25" t="e">
        <f t="shared" si="219"/>
        <v>#DIV/0!</v>
      </c>
      <c r="X429" s="25" t="e">
        <f t="shared" si="220"/>
        <v>#DIV/0!</v>
      </c>
      <c r="Y429" s="25" t="e">
        <f t="shared" si="221"/>
        <v>#DIV/0!</v>
      </c>
      <c r="Z429" s="25" t="e">
        <f t="shared" si="222"/>
        <v>#DIV/0!</v>
      </c>
      <c r="AA429" s="25" t="e">
        <f t="shared" si="223"/>
        <v>#DIV/0!</v>
      </c>
      <c r="AB429" s="25" t="e">
        <f t="shared" si="224"/>
        <v>#DIV/0!</v>
      </c>
      <c r="AC429" s="25" t="e">
        <f t="shared" si="225"/>
        <v>#DIV/0!</v>
      </c>
      <c r="AD429" s="63" t="e">
        <f t="shared" si="226"/>
        <v>#DIV/0!</v>
      </c>
      <c r="AE429" s="24">
        <f t="shared" si="227"/>
        <v>0</v>
      </c>
    </row>
    <row r="430" spans="1:31" x14ac:dyDescent="0.2">
      <c r="A430" s="75">
        <f t="shared" si="230"/>
        <v>46294</v>
      </c>
      <c r="B430" s="15" t="str">
        <f>$B$10</f>
        <v>FC</v>
      </c>
      <c r="C430" s="15" t="str">
        <f>$C$10</f>
        <v>Aftab</v>
      </c>
      <c r="D430" s="18">
        <f t="shared" si="228"/>
        <v>0</v>
      </c>
      <c r="E430" s="4">
        <f t="shared" si="229"/>
        <v>0</v>
      </c>
      <c r="F430" s="4"/>
      <c r="G430" s="5" t="e">
        <f t="shared" si="231"/>
        <v>#DIV/0!</v>
      </c>
      <c r="H430" s="4" t="e">
        <f t="shared" si="232"/>
        <v>#DIV/0!</v>
      </c>
      <c r="I430" s="4" t="e">
        <f t="shared" si="233"/>
        <v>#DIV/0!</v>
      </c>
      <c r="J430" s="4">
        <f t="shared" si="234"/>
        <v>0</v>
      </c>
      <c r="K430" s="27">
        <f t="shared" si="235"/>
        <v>0</v>
      </c>
      <c r="L430" s="30">
        <f t="shared" si="236"/>
        <v>0</v>
      </c>
      <c r="M430" s="23"/>
      <c r="N430" s="2"/>
      <c r="O430" s="4"/>
      <c r="P430" s="5" t="e">
        <f t="shared" si="237"/>
        <v>#DIV/0!</v>
      </c>
      <c r="Q430" s="29" t="e">
        <f t="shared" si="238"/>
        <v>#DIV/0!</v>
      </c>
      <c r="R430" s="29" t="e">
        <f t="shared" si="239"/>
        <v>#DIV/0!</v>
      </c>
      <c r="S430" s="1">
        <v>0</v>
      </c>
      <c r="T430" s="1">
        <v>0</v>
      </c>
      <c r="U430" s="24">
        <v>0</v>
      </c>
      <c r="V430" s="25" t="e">
        <f t="shared" si="218"/>
        <v>#DIV/0!</v>
      </c>
      <c r="W430" s="25" t="e">
        <f t="shared" si="219"/>
        <v>#DIV/0!</v>
      </c>
      <c r="X430" s="25" t="e">
        <f t="shared" si="220"/>
        <v>#DIV/0!</v>
      </c>
      <c r="Y430" s="25" t="e">
        <f t="shared" si="221"/>
        <v>#DIV/0!</v>
      </c>
      <c r="Z430" s="25" t="e">
        <f t="shared" si="222"/>
        <v>#DIV/0!</v>
      </c>
      <c r="AA430" s="25" t="e">
        <f t="shared" si="223"/>
        <v>#DIV/0!</v>
      </c>
      <c r="AB430" s="25" t="e">
        <f t="shared" si="224"/>
        <v>#DIV/0!</v>
      </c>
      <c r="AC430" s="25" t="e">
        <f t="shared" si="225"/>
        <v>#DIV/0!</v>
      </c>
      <c r="AD430" s="63" t="e">
        <f t="shared" si="226"/>
        <v>#DIV/0!</v>
      </c>
      <c r="AE430" s="24">
        <f t="shared" si="227"/>
        <v>0</v>
      </c>
    </row>
    <row r="431" spans="1:31" x14ac:dyDescent="0.2">
      <c r="A431" s="75">
        <f t="shared" si="230"/>
        <v>46294</v>
      </c>
      <c r="B431" s="15" t="str">
        <f>$B$11</f>
        <v>FC</v>
      </c>
      <c r="C431" s="15" t="str">
        <f>$C$11</f>
        <v>Khushi</v>
      </c>
      <c r="D431" s="18">
        <f t="shared" si="228"/>
        <v>0</v>
      </c>
      <c r="E431" s="4">
        <f t="shared" si="229"/>
        <v>0</v>
      </c>
      <c r="F431" s="4"/>
      <c r="G431" s="5" t="e">
        <f t="shared" si="231"/>
        <v>#DIV/0!</v>
      </c>
      <c r="H431" s="4" t="e">
        <f t="shared" si="232"/>
        <v>#DIV/0!</v>
      </c>
      <c r="I431" s="4" t="e">
        <f t="shared" si="233"/>
        <v>#DIV/0!</v>
      </c>
      <c r="J431" s="4">
        <f t="shared" si="234"/>
        <v>0</v>
      </c>
      <c r="K431" s="27">
        <f t="shared" si="235"/>
        <v>0</v>
      </c>
      <c r="L431" s="30">
        <f t="shared" si="236"/>
        <v>0</v>
      </c>
      <c r="M431" s="23"/>
      <c r="N431" s="2"/>
      <c r="O431" s="4"/>
      <c r="P431" s="5" t="e">
        <f t="shared" si="237"/>
        <v>#DIV/0!</v>
      </c>
      <c r="Q431" s="29" t="e">
        <f t="shared" si="238"/>
        <v>#DIV/0!</v>
      </c>
      <c r="R431" s="29" t="e">
        <f t="shared" si="239"/>
        <v>#DIV/0!</v>
      </c>
      <c r="S431" s="1">
        <v>0</v>
      </c>
      <c r="T431" s="1">
        <v>0</v>
      </c>
      <c r="U431" s="24">
        <v>0</v>
      </c>
      <c r="V431" s="25" t="e">
        <f t="shared" si="218"/>
        <v>#DIV/0!</v>
      </c>
      <c r="W431" s="25" t="e">
        <f t="shared" si="219"/>
        <v>#DIV/0!</v>
      </c>
      <c r="X431" s="25" t="e">
        <f t="shared" si="220"/>
        <v>#DIV/0!</v>
      </c>
      <c r="Y431" s="25" t="e">
        <f t="shared" si="221"/>
        <v>#DIV/0!</v>
      </c>
      <c r="Z431" s="25" t="e">
        <f t="shared" si="222"/>
        <v>#DIV/0!</v>
      </c>
      <c r="AA431" s="25" t="e">
        <f t="shared" si="223"/>
        <v>#DIV/0!</v>
      </c>
      <c r="AB431" s="25" t="e">
        <f t="shared" si="224"/>
        <v>#DIV/0!</v>
      </c>
      <c r="AC431" s="25" t="e">
        <f t="shared" si="225"/>
        <v>#DIV/0!</v>
      </c>
      <c r="AD431" s="63" t="e">
        <f t="shared" si="226"/>
        <v>#DIV/0!</v>
      </c>
      <c r="AE431" s="24">
        <f t="shared" si="227"/>
        <v>0</v>
      </c>
    </row>
    <row r="432" spans="1:31" x14ac:dyDescent="0.2">
      <c r="A432" s="75">
        <f t="shared" si="230"/>
        <v>46294</v>
      </c>
      <c r="B432" s="15" t="str">
        <f>$B$12</f>
        <v>FC</v>
      </c>
      <c r="C432" s="15" t="str">
        <f>$C$12</f>
        <v>Kishan</v>
      </c>
      <c r="D432" s="18">
        <f t="shared" si="228"/>
        <v>0</v>
      </c>
      <c r="E432" s="4">
        <f t="shared" si="229"/>
        <v>0</v>
      </c>
      <c r="F432" s="4"/>
      <c r="G432" s="5" t="e">
        <f t="shared" si="231"/>
        <v>#DIV/0!</v>
      </c>
      <c r="H432" s="4" t="e">
        <f t="shared" si="232"/>
        <v>#DIV/0!</v>
      </c>
      <c r="I432" s="4" t="e">
        <f t="shared" si="233"/>
        <v>#DIV/0!</v>
      </c>
      <c r="J432" s="4">
        <f t="shared" si="234"/>
        <v>0</v>
      </c>
      <c r="K432" s="27">
        <f t="shared" si="235"/>
        <v>0</v>
      </c>
      <c r="L432" s="30">
        <f t="shared" si="236"/>
        <v>0</v>
      </c>
      <c r="M432" s="23"/>
      <c r="N432" s="2"/>
      <c r="O432" s="4"/>
      <c r="P432" s="5" t="e">
        <f t="shared" si="237"/>
        <v>#DIV/0!</v>
      </c>
      <c r="Q432" s="29" t="e">
        <f t="shared" si="238"/>
        <v>#DIV/0!</v>
      </c>
      <c r="R432" s="29" t="e">
        <f t="shared" si="239"/>
        <v>#DIV/0!</v>
      </c>
      <c r="S432" s="1">
        <v>0</v>
      </c>
      <c r="T432" s="1">
        <v>0</v>
      </c>
      <c r="U432" s="24">
        <v>0</v>
      </c>
      <c r="V432" s="25" t="e">
        <f t="shared" ref="V432:V468" si="240">M432/D432</f>
        <v>#DIV/0!</v>
      </c>
      <c r="W432" s="25" t="e">
        <f t="shared" ref="W432:W468" si="241">N432/E432</f>
        <v>#DIV/0!</v>
      </c>
      <c r="X432" s="25" t="e">
        <f t="shared" ref="X432:X468" si="242">O432/F432</f>
        <v>#DIV/0!</v>
      </c>
      <c r="Y432" s="25" t="e">
        <f t="shared" ref="Y432:Y468" si="243">P432/G432</f>
        <v>#DIV/0!</v>
      </c>
      <c r="Z432" s="25" t="e">
        <f t="shared" ref="Z432:Z468" si="244">Q432/H432</f>
        <v>#DIV/0!</v>
      </c>
      <c r="AA432" s="25" t="e">
        <f t="shared" ref="AA432:AA468" si="245">R432/I432</f>
        <v>#DIV/0!</v>
      </c>
      <c r="AB432" s="25" t="e">
        <f t="shared" ref="AB432:AB468" si="246">S432/J432</f>
        <v>#DIV/0!</v>
      </c>
      <c r="AC432" s="25" t="e">
        <f t="shared" ref="AC432:AC468" si="247">T432/K432</f>
        <v>#DIV/0!</v>
      </c>
      <c r="AD432" s="63" t="e">
        <f t="shared" ref="AD432:AD468" si="248">U432/L432</f>
        <v>#DIV/0!</v>
      </c>
      <c r="AE432" s="24">
        <f t="shared" si="227"/>
        <v>0</v>
      </c>
    </row>
    <row r="433" spans="1:31" x14ac:dyDescent="0.2">
      <c r="A433" s="75">
        <f t="shared" si="230"/>
        <v>46294</v>
      </c>
      <c r="B433" s="15" t="str">
        <f>$B$13</f>
        <v>Partner</v>
      </c>
      <c r="C433" s="15" t="str">
        <f>$C$13</f>
        <v>Rahul</v>
      </c>
      <c r="D433" s="18">
        <f t="shared" si="228"/>
        <v>0</v>
      </c>
      <c r="E433" s="4">
        <f t="shared" si="229"/>
        <v>0</v>
      </c>
      <c r="F433" s="4"/>
      <c r="G433" s="5" t="e">
        <f t="shared" si="231"/>
        <v>#DIV/0!</v>
      </c>
      <c r="H433" s="4" t="e">
        <f t="shared" si="232"/>
        <v>#DIV/0!</v>
      </c>
      <c r="I433" s="4" t="e">
        <f t="shared" si="233"/>
        <v>#DIV/0!</v>
      </c>
      <c r="J433" s="4">
        <f t="shared" si="234"/>
        <v>0</v>
      </c>
      <c r="K433" s="27">
        <f t="shared" si="235"/>
        <v>0</v>
      </c>
      <c r="L433" s="30">
        <f t="shared" si="236"/>
        <v>0</v>
      </c>
      <c r="M433" s="23"/>
      <c r="N433" s="2"/>
      <c r="O433" s="4"/>
      <c r="P433" s="5" t="e">
        <f t="shared" si="237"/>
        <v>#DIV/0!</v>
      </c>
      <c r="Q433" s="29" t="e">
        <f t="shared" si="238"/>
        <v>#DIV/0!</v>
      </c>
      <c r="R433" s="29" t="e">
        <f t="shared" si="239"/>
        <v>#DIV/0!</v>
      </c>
      <c r="S433" s="1">
        <v>0</v>
      </c>
      <c r="T433" s="1">
        <v>0</v>
      </c>
      <c r="U433" s="24">
        <v>0</v>
      </c>
      <c r="V433" s="25" t="e">
        <f t="shared" si="240"/>
        <v>#DIV/0!</v>
      </c>
      <c r="W433" s="25" t="e">
        <f t="shared" si="241"/>
        <v>#DIV/0!</v>
      </c>
      <c r="X433" s="25" t="e">
        <f t="shared" si="242"/>
        <v>#DIV/0!</v>
      </c>
      <c r="Y433" s="25" t="e">
        <f t="shared" si="243"/>
        <v>#DIV/0!</v>
      </c>
      <c r="Z433" s="25" t="e">
        <f t="shared" si="244"/>
        <v>#DIV/0!</v>
      </c>
      <c r="AA433" s="25" t="e">
        <f t="shared" si="245"/>
        <v>#DIV/0!</v>
      </c>
      <c r="AB433" s="25" t="e">
        <f t="shared" si="246"/>
        <v>#DIV/0!</v>
      </c>
      <c r="AC433" s="25" t="e">
        <f t="shared" si="247"/>
        <v>#DIV/0!</v>
      </c>
      <c r="AD433" s="63" t="e">
        <f t="shared" si="248"/>
        <v>#DIV/0!</v>
      </c>
      <c r="AE433" s="24">
        <f t="shared" si="227"/>
        <v>0</v>
      </c>
    </row>
    <row r="434" spans="1:31" x14ac:dyDescent="0.2">
      <c r="A434" s="75">
        <f t="shared" si="230"/>
        <v>46294</v>
      </c>
      <c r="B434" s="15" t="str">
        <f>$B$14</f>
        <v>Partner</v>
      </c>
      <c r="C434" s="15" t="str">
        <f>$C$14</f>
        <v>Prince</v>
      </c>
      <c r="D434" s="18">
        <f t="shared" si="228"/>
        <v>0</v>
      </c>
      <c r="E434" s="4">
        <f t="shared" si="229"/>
        <v>0</v>
      </c>
      <c r="F434" s="4"/>
      <c r="G434" s="5" t="e">
        <f t="shared" si="231"/>
        <v>#DIV/0!</v>
      </c>
      <c r="H434" s="4" t="e">
        <f t="shared" si="232"/>
        <v>#DIV/0!</v>
      </c>
      <c r="I434" s="4" t="e">
        <f t="shared" si="233"/>
        <v>#DIV/0!</v>
      </c>
      <c r="J434" s="4">
        <f t="shared" si="234"/>
        <v>0</v>
      </c>
      <c r="K434" s="27">
        <f t="shared" si="235"/>
        <v>0</v>
      </c>
      <c r="L434" s="30">
        <f t="shared" si="236"/>
        <v>0</v>
      </c>
      <c r="M434" s="23"/>
      <c r="N434" s="2"/>
      <c r="O434" s="4"/>
      <c r="P434" s="5" t="e">
        <f t="shared" si="237"/>
        <v>#DIV/0!</v>
      </c>
      <c r="Q434" s="29" t="e">
        <f t="shared" si="238"/>
        <v>#DIV/0!</v>
      </c>
      <c r="R434" s="29" t="e">
        <f t="shared" si="239"/>
        <v>#DIV/0!</v>
      </c>
      <c r="S434" s="1">
        <v>0</v>
      </c>
      <c r="T434" s="1">
        <v>0</v>
      </c>
      <c r="U434" s="24">
        <v>0</v>
      </c>
      <c r="V434" s="25" t="e">
        <f t="shared" si="240"/>
        <v>#DIV/0!</v>
      </c>
      <c r="W434" s="25" t="e">
        <f t="shared" si="241"/>
        <v>#DIV/0!</v>
      </c>
      <c r="X434" s="25" t="e">
        <f t="shared" si="242"/>
        <v>#DIV/0!</v>
      </c>
      <c r="Y434" s="25" t="e">
        <f t="shared" si="243"/>
        <v>#DIV/0!</v>
      </c>
      <c r="Z434" s="25" t="e">
        <f t="shared" si="244"/>
        <v>#DIV/0!</v>
      </c>
      <c r="AA434" s="25" t="e">
        <f t="shared" si="245"/>
        <v>#DIV/0!</v>
      </c>
      <c r="AB434" s="25" t="e">
        <f t="shared" si="246"/>
        <v>#DIV/0!</v>
      </c>
      <c r="AC434" s="25" t="e">
        <f t="shared" si="247"/>
        <v>#DIV/0!</v>
      </c>
      <c r="AD434" s="63" t="e">
        <f t="shared" si="248"/>
        <v>#DIV/0!</v>
      </c>
      <c r="AE434" s="24">
        <f t="shared" si="227"/>
        <v>0</v>
      </c>
    </row>
    <row r="435" spans="1:31" x14ac:dyDescent="0.2">
      <c r="A435" s="75">
        <f t="shared" si="230"/>
        <v>46294</v>
      </c>
      <c r="B435" s="15" t="str">
        <f>$B$15</f>
        <v>Partner</v>
      </c>
      <c r="C435" s="15" t="str">
        <f>$C$15</f>
        <v>Kunal</v>
      </c>
      <c r="D435" s="18">
        <f t="shared" si="228"/>
        <v>0</v>
      </c>
      <c r="E435" s="4">
        <f t="shared" si="229"/>
        <v>0</v>
      </c>
      <c r="F435" s="4"/>
      <c r="G435" s="5" t="e">
        <f t="shared" si="231"/>
        <v>#DIV/0!</v>
      </c>
      <c r="H435" s="4" t="e">
        <f t="shared" si="232"/>
        <v>#DIV/0!</v>
      </c>
      <c r="I435" s="4" t="e">
        <f t="shared" si="233"/>
        <v>#DIV/0!</v>
      </c>
      <c r="J435" s="4">
        <f t="shared" si="234"/>
        <v>0</v>
      </c>
      <c r="K435" s="27">
        <f t="shared" si="235"/>
        <v>0</v>
      </c>
      <c r="L435" s="30">
        <f t="shared" si="236"/>
        <v>0</v>
      </c>
      <c r="M435" s="23"/>
      <c r="N435" s="2"/>
      <c r="O435" s="4"/>
      <c r="P435" s="5" t="e">
        <f t="shared" si="237"/>
        <v>#DIV/0!</v>
      </c>
      <c r="Q435" s="29" t="e">
        <f t="shared" si="238"/>
        <v>#DIV/0!</v>
      </c>
      <c r="R435" s="29" t="e">
        <f t="shared" si="239"/>
        <v>#DIV/0!</v>
      </c>
      <c r="S435" s="1">
        <v>0</v>
      </c>
      <c r="T435" s="1">
        <v>0</v>
      </c>
      <c r="U435" s="24">
        <v>0</v>
      </c>
      <c r="V435" s="25" t="e">
        <f t="shared" si="240"/>
        <v>#DIV/0!</v>
      </c>
      <c r="W435" s="25" t="e">
        <f t="shared" si="241"/>
        <v>#DIV/0!</v>
      </c>
      <c r="X435" s="25" t="e">
        <f t="shared" si="242"/>
        <v>#DIV/0!</v>
      </c>
      <c r="Y435" s="25" t="e">
        <f t="shared" si="243"/>
        <v>#DIV/0!</v>
      </c>
      <c r="Z435" s="25" t="e">
        <f t="shared" si="244"/>
        <v>#DIV/0!</v>
      </c>
      <c r="AA435" s="25" t="e">
        <f t="shared" si="245"/>
        <v>#DIV/0!</v>
      </c>
      <c r="AB435" s="25" t="e">
        <f t="shared" si="246"/>
        <v>#DIV/0!</v>
      </c>
      <c r="AC435" s="25" t="e">
        <f t="shared" si="247"/>
        <v>#DIV/0!</v>
      </c>
      <c r="AD435" s="63" t="e">
        <f t="shared" si="248"/>
        <v>#DIV/0!</v>
      </c>
      <c r="AE435" s="24">
        <f t="shared" si="227"/>
        <v>0</v>
      </c>
    </row>
    <row r="436" spans="1:31" x14ac:dyDescent="0.2">
      <c r="A436" s="75">
        <f t="shared" si="230"/>
        <v>46294</v>
      </c>
      <c r="B436" s="15" t="str">
        <f>$B$16</f>
        <v>NA</v>
      </c>
      <c r="C436" s="15" t="str">
        <f>$C$16</f>
        <v>NA</v>
      </c>
      <c r="D436" s="18">
        <f t="shared" si="228"/>
        <v>0</v>
      </c>
      <c r="E436" s="4">
        <f t="shared" si="229"/>
        <v>0</v>
      </c>
      <c r="F436" s="4"/>
      <c r="G436" s="5" t="e">
        <f t="shared" si="231"/>
        <v>#DIV/0!</v>
      </c>
      <c r="H436" s="4" t="e">
        <f t="shared" si="232"/>
        <v>#DIV/0!</v>
      </c>
      <c r="I436" s="4" t="e">
        <f t="shared" si="233"/>
        <v>#DIV/0!</v>
      </c>
      <c r="J436" s="4">
        <f t="shared" si="234"/>
        <v>0</v>
      </c>
      <c r="K436" s="27">
        <f t="shared" si="235"/>
        <v>0</v>
      </c>
      <c r="L436" s="30">
        <f t="shared" si="236"/>
        <v>0</v>
      </c>
      <c r="M436" s="23"/>
      <c r="N436" s="2"/>
      <c r="O436" s="4"/>
      <c r="P436" s="5" t="e">
        <f t="shared" si="237"/>
        <v>#DIV/0!</v>
      </c>
      <c r="Q436" s="29" t="e">
        <f t="shared" si="238"/>
        <v>#DIV/0!</v>
      </c>
      <c r="R436" s="29" t="e">
        <f t="shared" si="239"/>
        <v>#DIV/0!</v>
      </c>
      <c r="S436" s="1">
        <v>0</v>
      </c>
      <c r="T436" s="1">
        <v>0</v>
      </c>
      <c r="U436" s="24">
        <v>0</v>
      </c>
      <c r="V436" s="25" t="e">
        <f t="shared" si="240"/>
        <v>#DIV/0!</v>
      </c>
      <c r="W436" s="25" t="e">
        <f t="shared" si="241"/>
        <v>#DIV/0!</v>
      </c>
      <c r="X436" s="25" t="e">
        <f t="shared" si="242"/>
        <v>#DIV/0!</v>
      </c>
      <c r="Y436" s="25" t="e">
        <f t="shared" si="243"/>
        <v>#DIV/0!</v>
      </c>
      <c r="Z436" s="25" t="e">
        <f t="shared" si="244"/>
        <v>#DIV/0!</v>
      </c>
      <c r="AA436" s="25" t="e">
        <f t="shared" si="245"/>
        <v>#DIV/0!</v>
      </c>
      <c r="AB436" s="25" t="e">
        <f t="shared" si="246"/>
        <v>#DIV/0!</v>
      </c>
      <c r="AC436" s="25" t="e">
        <f t="shared" si="247"/>
        <v>#DIV/0!</v>
      </c>
      <c r="AD436" s="63" t="e">
        <f t="shared" si="248"/>
        <v>#DIV/0!</v>
      </c>
      <c r="AE436" s="24">
        <f t="shared" si="227"/>
        <v>0</v>
      </c>
    </row>
    <row r="437" spans="1:31" x14ac:dyDescent="0.2">
      <c r="A437" s="75">
        <f t="shared" si="230"/>
        <v>46294</v>
      </c>
      <c r="B437" s="15" t="str">
        <f>$B$17</f>
        <v>NA</v>
      </c>
      <c r="C437" s="15" t="str">
        <f>$C$17</f>
        <v>NA</v>
      </c>
      <c r="D437" s="18">
        <f t="shared" si="228"/>
        <v>0</v>
      </c>
      <c r="E437" s="4">
        <f t="shared" si="229"/>
        <v>0</v>
      </c>
      <c r="F437" s="4"/>
      <c r="G437" s="5" t="e">
        <f t="shared" si="231"/>
        <v>#DIV/0!</v>
      </c>
      <c r="H437" s="4" t="e">
        <f t="shared" si="232"/>
        <v>#DIV/0!</v>
      </c>
      <c r="I437" s="4" t="e">
        <f t="shared" si="233"/>
        <v>#DIV/0!</v>
      </c>
      <c r="J437" s="4">
        <f t="shared" si="234"/>
        <v>0</v>
      </c>
      <c r="K437" s="27">
        <f t="shared" si="235"/>
        <v>0</v>
      </c>
      <c r="L437" s="30">
        <f t="shared" si="236"/>
        <v>0</v>
      </c>
      <c r="M437" s="23"/>
      <c r="N437" s="2"/>
      <c r="O437" s="4"/>
      <c r="P437" s="5" t="e">
        <f t="shared" si="237"/>
        <v>#DIV/0!</v>
      </c>
      <c r="Q437" s="29" t="e">
        <f t="shared" si="238"/>
        <v>#DIV/0!</v>
      </c>
      <c r="R437" s="29" t="e">
        <f t="shared" si="239"/>
        <v>#DIV/0!</v>
      </c>
      <c r="S437" s="1">
        <v>0</v>
      </c>
      <c r="T437" s="1">
        <v>0</v>
      </c>
      <c r="U437" s="24">
        <v>0</v>
      </c>
      <c r="V437" s="25" t="e">
        <f t="shared" si="240"/>
        <v>#DIV/0!</v>
      </c>
      <c r="W437" s="25" t="e">
        <f t="shared" si="241"/>
        <v>#DIV/0!</v>
      </c>
      <c r="X437" s="25" t="e">
        <f t="shared" si="242"/>
        <v>#DIV/0!</v>
      </c>
      <c r="Y437" s="25" t="e">
        <f t="shared" si="243"/>
        <v>#DIV/0!</v>
      </c>
      <c r="Z437" s="25" t="e">
        <f t="shared" si="244"/>
        <v>#DIV/0!</v>
      </c>
      <c r="AA437" s="25" t="e">
        <f t="shared" si="245"/>
        <v>#DIV/0!</v>
      </c>
      <c r="AB437" s="25" t="e">
        <f t="shared" si="246"/>
        <v>#DIV/0!</v>
      </c>
      <c r="AC437" s="25" t="e">
        <f t="shared" si="247"/>
        <v>#DIV/0!</v>
      </c>
      <c r="AD437" s="63" t="e">
        <f t="shared" si="248"/>
        <v>#DIV/0!</v>
      </c>
      <c r="AE437" s="24">
        <f t="shared" si="227"/>
        <v>0</v>
      </c>
    </row>
    <row r="438" spans="1:31" x14ac:dyDescent="0.2">
      <c r="A438" s="75">
        <f t="shared" si="230"/>
        <v>46294</v>
      </c>
      <c r="B438" s="15" t="str">
        <f>$B$18</f>
        <v>NA</v>
      </c>
      <c r="C438" s="15" t="str">
        <f>$C$18</f>
        <v>NA</v>
      </c>
      <c r="D438" s="18">
        <f t="shared" si="228"/>
        <v>0</v>
      </c>
      <c r="E438" s="4">
        <f t="shared" si="229"/>
        <v>0</v>
      </c>
      <c r="F438" s="4"/>
      <c r="G438" s="5" t="e">
        <f t="shared" si="231"/>
        <v>#DIV/0!</v>
      </c>
      <c r="H438" s="4" t="e">
        <f t="shared" si="232"/>
        <v>#DIV/0!</v>
      </c>
      <c r="I438" s="4" t="e">
        <f t="shared" si="233"/>
        <v>#DIV/0!</v>
      </c>
      <c r="J438" s="4">
        <f t="shared" si="234"/>
        <v>0</v>
      </c>
      <c r="K438" s="27">
        <f t="shared" si="235"/>
        <v>0</v>
      </c>
      <c r="L438" s="30">
        <f t="shared" si="236"/>
        <v>0</v>
      </c>
      <c r="M438" s="23"/>
      <c r="N438" s="2"/>
      <c r="O438" s="4"/>
      <c r="P438" s="5" t="e">
        <f t="shared" si="237"/>
        <v>#DIV/0!</v>
      </c>
      <c r="Q438" s="29" t="e">
        <f t="shared" si="238"/>
        <v>#DIV/0!</v>
      </c>
      <c r="R438" s="29" t="e">
        <f t="shared" si="239"/>
        <v>#DIV/0!</v>
      </c>
      <c r="S438" s="1">
        <v>0</v>
      </c>
      <c r="T438" s="1">
        <v>0</v>
      </c>
      <c r="U438" s="24">
        <v>0</v>
      </c>
      <c r="V438" s="25" t="e">
        <f t="shared" si="240"/>
        <v>#DIV/0!</v>
      </c>
      <c r="W438" s="25" t="e">
        <f t="shared" si="241"/>
        <v>#DIV/0!</v>
      </c>
      <c r="X438" s="25" t="e">
        <f t="shared" si="242"/>
        <v>#DIV/0!</v>
      </c>
      <c r="Y438" s="25" t="e">
        <f t="shared" si="243"/>
        <v>#DIV/0!</v>
      </c>
      <c r="Z438" s="25" t="e">
        <f t="shared" si="244"/>
        <v>#DIV/0!</v>
      </c>
      <c r="AA438" s="25" t="e">
        <f t="shared" si="245"/>
        <v>#DIV/0!</v>
      </c>
      <c r="AB438" s="25" t="e">
        <f t="shared" si="246"/>
        <v>#DIV/0!</v>
      </c>
      <c r="AC438" s="25" t="e">
        <f t="shared" si="247"/>
        <v>#DIV/0!</v>
      </c>
      <c r="AD438" s="63" t="e">
        <f t="shared" si="248"/>
        <v>#DIV/0!</v>
      </c>
      <c r="AE438" s="24">
        <f t="shared" si="227"/>
        <v>0</v>
      </c>
    </row>
    <row r="439" spans="1:31" x14ac:dyDescent="0.2">
      <c r="A439" s="75">
        <f t="shared" si="230"/>
        <v>46295</v>
      </c>
      <c r="B439" s="15" t="str">
        <f>$B$4</f>
        <v>DSM</v>
      </c>
      <c r="C439" s="15" t="str">
        <f>$C$4</f>
        <v xml:space="preserve">komal  </v>
      </c>
      <c r="D439" s="18">
        <f t="shared" ref="D439:D468" si="249">F439/$B$1</f>
        <v>0</v>
      </c>
      <c r="E439" s="4">
        <f t="shared" ref="E439:E468" si="250">F439/$C$1</f>
        <v>0</v>
      </c>
      <c r="F439" s="4"/>
      <c r="G439" s="5" t="e">
        <f t="shared" ref="G439:G468" si="251">E439/D439</f>
        <v>#DIV/0!</v>
      </c>
      <c r="H439" s="4" t="e">
        <f t="shared" ref="H439:H468" si="252">F439/D439</f>
        <v>#DIV/0!</v>
      </c>
      <c r="I439" s="4" t="e">
        <f t="shared" ref="I439:I468" si="253">F439/E439</f>
        <v>#DIV/0!</v>
      </c>
      <c r="J439" s="4">
        <f t="shared" ref="J439:J468" si="254">D439*8%</f>
        <v>0</v>
      </c>
      <c r="K439" s="27">
        <f t="shared" ref="K439:K468" si="255">D439*4%</f>
        <v>0</v>
      </c>
      <c r="L439" s="30">
        <f t="shared" ref="L439:L468" si="256">D439*25%</f>
        <v>0</v>
      </c>
      <c r="M439" s="23"/>
      <c r="N439" s="2"/>
      <c r="O439" s="4"/>
      <c r="P439" s="5" t="e">
        <f t="shared" ref="P439:P468" si="257">N439/M439</f>
        <v>#DIV/0!</v>
      </c>
      <c r="Q439" s="29" t="e">
        <f t="shared" ref="Q439:Q468" si="258">O439/M439</f>
        <v>#DIV/0!</v>
      </c>
      <c r="R439" s="29" t="e">
        <f t="shared" ref="R439:R468" si="259">O439/N439</f>
        <v>#DIV/0!</v>
      </c>
      <c r="S439" s="1">
        <v>0</v>
      </c>
      <c r="T439" s="1">
        <v>0</v>
      </c>
      <c r="U439" s="24">
        <v>0</v>
      </c>
      <c r="V439" s="25" t="e">
        <f t="shared" si="240"/>
        <v>#DIV/0!</v>
      </c>
      <c r="W439" s="25" t="e">
        <f t="shared" si="241"/>
        <v>#DIV/0!</v>
      </c>
      <c r="X439" s="25" t="e">
        <f t="shared" si="242"/>
        <v>#DIV/0!</v>
      </c>
      <c r="Y439" s="25" t="e">
        <f t="shared" si="243"/>
        <v>#DIV/0!</v>
      </c>
      <c r="Z439" s="25" t="e">
        <f t="shared" si="244"/>
        <v>#DIV/0!</v>
      </c>
      <c r="AA439" s="25" t="e">
        <f t="shared" si="245"/>
        <v>#DIV/0!</v>
      </c>
      <c r="AB439" s="25" t="e">
        <f t="shared" si="246"/>
        <v>#DIV/0!</v>
      </c>
      <c r="AC439" s="25" t="e">
        <f t="shared" si="247"/>
        <v>#DIV/0!</v>
      </c>
      <c r="AD439" s="63" t="e">
        <f t="shared" si="248"/>
        <v>#DIV/0!</v>
      </c>
      <c r="AE439" s="24">
        <f t="shared" si="227"/>
        <v>0</v>
      </c>
    </row>
    <row r="440" spans="1:31" x14ac:dyDescent="0.2">
      <c r="A440" s="75">
        <f t="shared" si="230"/>
        <v>46295</v>
      </c>
      <c r="B440" s="15" t="str">
        <f>$B$5</f>
        <v>SS</v>
      </c>
      <c r="C440" s="15" t="str">
        <f>$C$5</f>
        <v>Prem</v>
      </c>
      <c r="D440" s="18">
        <f t="shared" si="249"/>
        <v>0</v>
      </c>
      <c r="E440" s="4">
        <f t="shared" si="250"/>
        <v>0</v>
      </c>
      <c r="F440" s="4"/>
      <c r="G440" s="5" t="e">
        <f t="shared" si="251"/>
        <v>#DIV/0!</v>
      </c>
      <c r="H440" s="4" t="e">
        <f t="shared" si="252"/>
        <v>#DIV/0!</v>
      </c>
      <c r="I440" s="4" t="e">
        <f t="shared" si="253"/>
        <v>#DIV/0!</v>
      </c>
      <c r="J440" s="4">
        <f t="shared" si="254"/>
        <v>0</v>
      </c>
      <c r="K440" s="27">
        <f t="shared" si="255"/>
        <v>0</v>
      </c>
      <c r="L440" s="30">
        <f t="shared" si="256"/>
        <v>0</v>
      </c>
      <c r="M440" s="23"/>
      <c r="N440" s="2"/>
      <c r="O440" s="4"/>
      <c r="P440" s="5" t="e">
        <f t="shared" si="257"/>
        <v>#DIV/0!</v>
      </c>
      <c r="Q440" s="29" t="e">
        <f t="shared" si="258"/>
        <v>#DIV/0!</v>
      </c>
      <c r="R440" s="29" t="e">
        <f t="shared" si="259"/>
        <v>#DIV/0!</v>
      </c>
      <c r="S440" s="1">
        <v>0</v>
      </c>
      <c r="T440" s="1">
        <v>0</v>
      </c>
      <c r="U440" s="24">
        <v>0</v>
      </c>
      <c r="V440" s="25" t="e">
        <f t="shared" si="240"/>
        <v>#DIV/0!</v>
      </c>
      <c r="W440" s="25" t="e">
        <f t="shared" si="241"/>
        <v>#DIV/0!</v>
      </c>
      <c r="X440" s="25" t="e">
        <f t="shared" si="242"/>
        <v>#DIV/0!</v>
      </c>
      <c r="Y440" s="25" t="e">
        <f t="shared" si="243"/>
        <v>#DIV/0!</v>
      </c>
      <c r="Z440" s="25" t="e">
        <f t="shared" si="244"/>
        <v>#DIV/0!</v>
      </c>
      <c r="AA440" s="25" t="e">
        <f t="shared" si="245"/>
        <v>#DIV/0!</v>
      </c>
      <c r="AB440" s="25" t="e">
        <f t="shared" si="246"/>
        <v>#DIV/0!</v>
      </c>
      <c r="AC440" s="25" t="e">
        <f t="shared" si="247"/>
        <v>#DIV/0!</v>
      </c>
      <c r="AD440" s="63" t="e">
        <f t="shared" si="248"/>
        <v>#DIV/0!</v>
      </c>
      <c r="AE440" s="24">
        <f t="shared" si="227"/>
        <v>0</v>
      </c>
    </row>
    <row r="441" spans="1:31" x14ac:dyDescent="0.2">
      <c r="A441" s="75">
        <f t="shared" si="230"/>
        <v>46295</v>
      </c>
      <c r="B441" s="15" t="str">
        <f>$B$6</f>
        <v>SS</v>
      </c>
      <c r="C441" s="15" t="str">
        <f>$C$6</f>
        <v>Anuj</v>
      </c>
      <c r="D441" s="18">
        <f t="shared" si="249"/>
        <v>0</v>
      </c>
      <c r="E441" s="4">
        <f t="shared" si="250"/>
        <v>0</v>
      </c>
      <c r="F441" s="4"/>
      <c r="G441" s="5" t="e">
        <f t="shared" si="251"/>
        <v>#DIV/0!</v>
      </c>
      <c r="H441" s="4" t="e">
        <f t="shared" si="252"/>
        <v>#DIV/0!</v>
      </c>
      <c r="I441" s="4" t="e">
        <f t="shared" si="253"/>
        <v>#DIV/0!</v>
      </c>
      <c r="J441" s="4">
        <f t="shared" si="254"/>
        <v>0</v>
      </c>
      <c r="K441" s="27">
        <f t="shared" si="255"/>
        <v>0</v>
      </c>
      <c r="L441" s="30">
        <f t="shared" si="256"/>
        <v>0</v>
      </c>
      <c r="M441" s="23"/>
      <c r="N441" s="2"/>
      <c r="O441" s="4"/>
      <c r="P441" s="5" t="e">
        <f t="shared" si="257"/>
        <v>#DIV/0!</v>
      </c>
      <c r="Q441" s="29" t="e">
        <f t="shared" si="258"/>
        <v>#DIV/0!</v>
      </c>
      <c r="R441" s="29" t="e">
        <f t="shared" si="259"/>
        <v>#DIV/0!</v>
      </c>
      <c r="S441" s="1">
        <v>0</v>
      </c>
      <c r="T441" s="1">
        <v>0</v>
      </c>
      <c r="U441" s="24">
        <v>0</v>
      </c>
      <c r="V441" s="25" t="e">
        <f t="shared" si="240"/>
        <v>#DIV/0!</v>
      </c>
      <c r="W441" s="25" t="e">
        <f t="shared" si="241"/>
        <v>#DIV/0!</v>
      </c>
      <c r="X441" s="25" t="e">
        <f t="shared" si="242"/>
        <v>#DIV/0!</v>
      </c>
      <c r="Y441" s="25" t="e">
        <f t="shared" si="243"/>
        <v>#DIV/0!</v>
      </c>
      <c r="Z441" s="25" t="e">
        <f t="shared" si="244"/>
        <v>#DIV/0!</v>
      </c>
      <c r="AA441" s="25" t="e">
        <f t="shared" si="245"/>
        <v>#DIV/0!</v>
      </c>
      <c r="AB441" s="25" t="e">
        <f t="shared" si="246"/>
        <v>#DIV/0!</v>
      </c>
      <c r="AC441" s="25" t="e">
        <f t="shared" si="247"/>
        <v>#DIV/0!</v>
      </c>
      <c r="AD441" s="63" t="e">
        <f t="shared" si="248"/>
        <v>#DIV/0!</v>
      </c>
      <c r="AE441" s="24">
        <f t="shared" si="227"/>
        <v>0</v>
      </c>
    </row>
    <row r="442" spans="1:31" x14ac:dyDescent="0.2">
      <c r="A442" s="75">
        <f t="shared" si="230"/>
        <v>46295</v>
      </c>
      <c r="B442" s="15" t="str">
        <f>$B$7</f>
        <v>FC</v>
      </c>
      <c r="C442" s="15" t="str">
        <f>$C$7</f>
        <v>Muskan</v>
      </c>
      <c r="D442" s="18">
        <f t="shared" si="249"/>
        <v>0</v>
      </c>
      <c r="E442" s="4">
        <f t="shared" si="250"/>
        <v>0</v>
      </c>
      <c r="F442" s="4"/>
      <c r="G442" s="5" t="e">
        <f t="shared" si="251"/>
        <v>#DIV/0!</v>
      </c>
      <c r="H442" s="4" t="e">
        <f t="shared" si="252"/>
        <v>#DIV/0!</v>
      </c>
      <c r="I442" s="4" t="e">
        <f t="shared" si="253"/>
        <v>#DIV/0!</v>
      </c>
      <c r="J442" s="4">
        <f t="shared" si="254"/>
        <v>0</v>
      </c>
      <c r="K442" s="27">
        <f t="shared" si="255"/>
        <v>0</v>
      </c>
      <c r="L442" s="30">
        <f t="shared" si="256"/>
        <v>0</v>
      </c>
      <c r="M442" s="23"/>
      <c r="N442" s="2"/>
      <c r="O442" s="4"/>
      <c r="P442" s="5" t="e">
        <f t="shared" si="257"/>
        <v>#DIV/0!</v>
      </c>
      <c r="Q442" s="29" t="e">
        <f t="shared" si="258"/>
        <v>#DIV/0!</v>
      </c>
      <c r="R442" s="29" t="e">
        <f t="shared" si="259"/>
        <v>#DIV/0!</v>
      </c>
      <c r="S442" s="1">
        <v>0</v>
      </c>
      <c r="T442" s="1">
        <v>0</v>
      </c>
      <c r="U442" s="24">
        <v>0</v>
      </c>
      <c r="V442" s="25" t="e">
        <f t="shared" si="240"/>
        <v>#DIV/0!</v>
      </c>
      <c r="W442" s="25" t="e">
        <f t="shared" si="241"/>
        <v>#DIV/0!</v>
      </c>
      <c r="X442" s="25" t="e">
        <f t="shared" si="242"/>
        <v>#DIV/0!</v>
      </c>
      <c r="Y442" s="25" t="e">
        <f t="shared" si="243"/>
        <v>#DIV/0!</v>
      </c>
      <c r="Z442" s="25" t="e">
        <f t="shared" si="244"/>
        <v>#DIV/0!</v>
      </c>
      <c r="AA442" s="25" t="e">
        <f t="shared" si="245"/>
        <v>#DIV/0!</v>
      </c>
      <c r="AB442" s="25" t="e">
        <f t="shared" si="246"/>
        <v>#DIV/0!</v>
      </c>
      <c r="AC442" s="25" t="e">
        <f t="shared" si="247"/>
        <v>#DIV/0!</v>
      </c>
      <c r="AD442" s="63" t="e">
        <f t="shared" si="248"/>
        <v>#DIV/0!</v>
      </c>
      <c r="AE442" s="24">
        <f t="shared" si="227"/>
        <v>0</v>
      </c>
    </row>
    <row r="443" spans="1:31" x14ac:dyDescent="0.2">
      <c r="A443" s="75">
        <f t="shared" si="230"/>
        <v>46295</v>
      </c>
      <c r="B443" s="15" t="str">
        <f>$B$8</f>
        <v>FC</v>
      </c>
      <c r="C443" s="15" t="str">
        <f>$C$8</f>
        <v xml:space="preserve">Kajal  </v>
      </c>
      <c r="D443" s="18">
        <f t="shared" si="249"/>
        <v>0</v>
      </c>
      <c r="E443" s="4">
        <f t="shared" si="250"/>
        <v>0</v>
      </c>
      <c r="F443" s="4"/>
      <c r="G443" s="5" t="e">
        <f t="shared" si="251"/>
        <v>#DIV/0!</v>
      </c>
      <c r="H443" s="4" t="e">
        <f t="shared" si="252"/>
        <v>#DIV/0!</v>
      </c>
      <c r="I443" s="4" t="e">
        <f t="shared" si="253"/>
        <v>#DIV/0!</v>
      </c>
      <c r="J443" s="4">
        <f t="shared" si="254"/>
        <v>0</v>
      </c>
      <c r="K443" s="27">
        <f t="shared" si="255"/>
        <v>0</v>
      </c>
      <c r="L443" s="30">
        <f t="shared" si="256"/>
        <v>0</v>
      </c>
      <c r="M443" s="23"/>
      <c r="N443" s="2"/>
      <c r="O443" s="4"/>
      <c r="P443" s="5" t="e">
        <f t="shared" si="257"/>
        <v>#DIV/0!</v>
      </c>
      <c r="Q443" s="29" t="e">
        <f t="shared" si="258"/>
        <v>#DIV/0!</v>
      </c>
      <c r="R443" s="29" t="e">
        <f t="shared" si="259"/>
        <v>#DIV/0!</v>
      </c>
      <c r="S443" s="1">
        <v>0</v>
      </c>
      <c r="T443" s="1">
        <v>0</v>
      </c>
      <c r="U443" s="24">
        <v>0</v>
      </c>
      <c r="V443" s="25" t="e">
        <f t="shared" si="240"/>
        <v>#DIV/0!</v>
      </c>
      <c r="W443" s="25" t="e">
        <f t="shared" si="241"/>
        <v>#DIV/0!</v>
      </c>
      <c r="X443" s="25" t="e">
        <f t="shared" si="242"/>
        <v>#DIV/0!</v>
      </c>
      <c r="Y443" s="25" t="e">
        <f t="shared" si="243"/>
        <v>#DIV/0!</v>
      </c>
      <c r="Z443" s="25" t="e">
        <f t="shared" si="244"/>
        <v>#DIV/0!</v>
      </c>
      <c r="AA443" s="25" t="e">
        <f t="shared" si="245"/>
        <v>#DIV/0!</v>
      </c>
      <c r="AB443" s="25" t="e">
        <f t="shared" si="246"/>
        <v>#DIV/0!</v>
      </c>
      <c r="AC443" s="25" t="e">
        <f t="shared" si="247"/>
        <v>#DIV/0!</v>
      </c>
      <c r="AD443" s="63" t="e">
        <f t="shared" si="248"/>
        <v>#DIV/0!</v>
      </c>
      <c r="AE443" s="24">
        <f t="shared" si="227"/>
        <v>0</v>
      </c>
    </row>
    <row r="444" spans="1:31" x14ac:dyDescent="0.2">
      <c r="A444" s="75">
        <f t="shared" si="230"/>
        <v>46295</v>
      </c>
      <c r="B444" s="15" t="str">
        <f>$B$9</f>
        <v>FC</v>
      </c>
      <c r="C444" s="15" t="str">
        <f>$C$9</f>
        <v>Pradeep</v>
      </c>
      <c r="D444" s="18">
        <f t="shared" si="249"/>
        <v>0</v>
      </c>
      <c r="E444" s="4">
        <f t="shared" si="250"/>
        <v>0</v>
      </c>
      <c r="F444" s="4"/>
      <c r="G444" s="5" t="e">
        <f t="shared" si="251"/>
        <v>#DIV/0!</v>
      </c>
      <c r="H444" s="4" t="e">
        <f t="shared" si="252"/>
        <v>#DIV/0!</v>
      </c>
      <c r="I444" s="4" t="e">
        <f t="shared" si="253"/>
        <v>#DIV/0!</v>
      </c>
      <c r="J444" s="4">
        <f t="shared" si="254"/>
        <v>0</v>
      </c>
      <c r="K444" s="27">
        <f t="shared" si="255"/>
        <v>0</v>
      </c>
      <c r="L444" s="30">
        <f t="shared" si="256"/>
        <v>0</v>
      </c>
      <c r="M444" s="23"/>
      <c r="N444" s="2"/>
      <c r="O444" s="4"/>
      <c r="P444" s="5" t="e">
        <f t="shared" si="257"/>
        <v>#DIV/0!</v>
      </c>
      <c r="Q444" s="29" t="e">
        <f t="shared" si="258"/>
        <v>#DIV/0!</v>
      </c>
      <c r="R444" s="29" t="e">
        <f t="shared" si="259"/>
        <v>#DIV/0!</v>
      </c>
      <c r="S444" s="1">
        <v>0</v>
      </c>
      <c r="T444" s="1">
        <v>0</v>
      </c>
      <c r="U444" s="24">
        <v>0</v>
      </c>
      <c r="V444" s="25" t="e">
        <f t="shared" si="240"/>
        <v>#DIV/0!</v>
      </c>
      <c r="W444" s="25" t="e">
        <f t="shared" si="241"/>
        <v>#DIV/0!</v>
      </c>
      <c r="X444" s="25" t="e">
        <f t="shared" si="242"/>
        <v>#DIV/0!</v>
      </c>
      <c r="Y444" s="25" t="e">
        <f t="shared" si="243"/>
        <v>#DIV/0!</v>
      </c>
      <c r="Z444" s="25" t="e">
        <f t="shared" si="244"/>
        <v>#DIV/0!</v>
      </c>
      <c r="AA444" s="25" t="e">
        <f t="shared" si="245"/>
        <v>#DIV/0!</v>
      </c>
      <c r="AB444" s="25" t="e">
        <f t="shared" si="246"/>
        <v>#DIV/0!</v>
      </c>
      <c r="AC444" s="25" t="e">
        <f t="shared" si="247"/>
        <v>#DIV/0!</v>
      </c>
      <c r="AD444" s="63" t="e">
        <f t="shared" si="248"/>
        <v>#DIV/0!</v>
      </c>
      <c r="AE444" s="24">
        <f t="shared" si="227"/>
        <v>0</v>
      </c>
    </row>
    <row r="445" spans="1:31" x14ac:dyDescent="0.2">
      <c r="A445" s="75">
        <f t="shared" si="230"/>
        <v>46295</v>
      </c>
      <c r="B445" s="15" t="str">
        <f>$B$10</f>
        <v>FC</v>
      </c>
      <c r="C445" s="15" t="str">
        <f>$C$10</f>
        <v>Aftab</v>
      </c>
      <c r="D445" s="18">
        <f t="shared" si="249"/>
        <v>0</v>
      </c>
      <c r="E445" s="4">
        <f t="shared" si="250"/>
        <v>0</v>
      </c>
      <c r="F445" s="4"/>
      <c r="G445" s="5" t="e">
        <f t="shared" si="251"/>
        <v>#DIV/0!</v>
      </c>
      <c r="H445" s="4" t="e">
        <f t="shared" si="252"/>
        <v>#DIV/0!</v>
      </c>
      <c r="I445" s="4" t="e">
        <f t="shared" si="253"/>
        <v>#DIV/0!</v>
      </c>
      <c r="J445" s="4">
        <f t="shared" si="254"/>
        <v>0</v>
      </c>
      <c r="K445" s="27">
        <f t="shared" si="255"/>
        <v>0</v>
      </c>
      <c r="L445" s="30">
        <f t="shared" si="256"/>
        <v>0</v>
      </c>
      <c r="M445" s="23"/>
      <c r="N445" s="2"/>
      <c r="O445" s="4"/>
      <c r="P445" s="5" t="e">
        <f t="shared" si="257"/>
        <v>#DIV/0!</v>
      </c>
      <c r="Q445" s="29" t="e">
        <f t="shared" si="258"/>
        <v>#DIV/0!</v>
      </c>
      <c r="R445" s="29" t="e">
        <f t="shared" si="259"/>
        <v>#DIV/0!</v>
      </c>
      <c r="S445" s="1">
        <v>0</v>
      </c>
      <c r="T445" s="1">
        <v>0</v>
      </c>
      <c r="U445" s="24">
        <v>0</v>
      </c>
      <c r="V445" s="25" t="e">
        <f t="shared" si="240"/>
        <v>#DIV/0!</v>
      </c>
      <c r="W445" s="25" t="e">
        <f t="shared" si="241"/>
        <v>#DIV/0!</v>
      </c>
      <c r="X445" s="25" t="e">
        <f t="shared" si="242"/>
        <v>#DIV/0!</v>
      </c>
      <c r="Y445" s="25" t="e">
        <f t="shared" si="243"/>
        <v>#DIV/0!</v>
      </c>
      <c r="Z445" s="25" t="e">
        <f t="shared" si="244"/>
        <v>#DIV/0!</v>
      </c>
      <c r="AA445" s="25" t="e">
        <f t="shared" si="245"/>
        <v>#DIV/0!</v>
      </c>
      <c r="AB445" s="25" t="e">
        <f t="shared" si="246"/>
        <v>#DIV/0!</v>
      </c>
      <c r="AC445" s="25" t="e">
        <f t="shared" si="247"/>
        <v>#DIV/0!</v>
      </c>
      <c r="AD445" s="63" t="e">
        <f t="shared" si="248"/>
        <v>#DIV/0!</v>
      </c>
      <c r="AE445" s="24">
        <f t="shared" si="227"/>
        <v>0</v>
      </c>
    </row>
    <row r="446" spans="1:31" x14ac:dyDescent="0.2">
      <c r="A446" s="75">
        <f t="shared" si="230"/>
        <v>46295</v>
      </c>
      <c r="B446" s="15" t="str">
        <f>$B$11</f>
        <v>FC</v>
      </c>
      <c r="C446" s="15" t="str">
        <f>$C$11</f>
        <v>Khushi</v>
      </c>
      <c r="D446" s="18">
        <f t="shared" si="249"/>
        <v>0</v>
      </c>
      <c r="E446" s="4">
        <f t="shared" si="250"/>
        <v>0</v>
      </c>
      <c r="F446" s="4"/>
      <c r="G446" s="5" t="e">
        <f t="shared" si="251"/>
        <v>#DIV/0!</v>
      </c>
      <c r="H446" s="4" t="e">
        <f t="shared" si="252"/>
        <v>#DIV/0!</v>
      </c>
      <c r="I446" s="4" t="e">
        <f t="shared" si="253"/>
        <v>#DIV/0!</v>
      </c>
      <c r="J446" s="4">
        <f t="shared" si="254"/>
        <v>0</v>
      </c>
      <c r="K446" s="27">
        <f t="shared" si="255"/>
        <v>0</v>
      </c>
      <c r="L446" s="30">
        <f t="shared" si="256"/>
        <v>0</v>
      </c>
      <c r="M446" s="23"/>
      <c r="N446" s="2"/>
      <c r="O446" s="4"/>
      <c r="P446" s="5" t="e">
        <f t="shared" si="257"/>
        <v>#DIV/0!</v>
      </c>
      <c r="Q446" s="29" t="e">
        <f t="shared" si="258"/>
        <v>#DIV/0!</v>
      </c>
      <c r="R446" s="29" t="e">
        <f t="shared" si="259"/>
        <v>#DIV/0!</v>
      </c>
      <c r="S446" s="1">
        <v>0</v>
      </c>
      <c r="T446" s="1">
        <v>0</v>
      </c>
      <c r="U446" s="24">
        <v>0</v>
      </c>
      <c r="V446" s="25" t="e">
        <f t="shared" si="240"/>
        <v>#DIV/0!</v>
      </c>
      <c r="W446" s="25" t="e">
        <f t="shared" si="241"/>
        <v>#DIV/0!</v>
      </c>
      <c r="X446" s="25" t="e">
        <f t="shared" si="242"/>
        <v>#DIV/0!</v>
      </c>
      <c r="Y446" s="25" t="e">
        <f t="shared" si="243"/>
        <v>#DIV/0!</v>
      </c>
      <c r="Z446" s="25" t="e">
        <f t="shared" si="244"/>
        <v>#DIV/0!</v>
      </c>
      <c r="AA446" s="25" t="e">
        <f t="shared" si="245"/>
        <v>#DIV/0!</v>
      </c>
      <c r="AB446" s="25" t="e">
        <f t="shared" si="246"/>
        <v>#DIV/0!</v>
      </c>
      <c r="AC446" s="25" t="e">
        <f t="shared" si="247"/>
        <v>#DIV/0!</v>
      </c>
      <c r="AD446" s="63" t="e">
        <f t="shared" si="248"/>
        <v>#DIV/0!</v>
      </c>
      <c r="AE446" s="24">
        <f t="shared" si="227"/>
        <v>0</v>
      </c>
    </row>
    <row r="447" spans="1:31" x14ac:dyDescent="0.2">
      <c r="A447" s="75">
        <f t="shared" si="230"/>
        <v>46295</v>
      </c>
      <c r="B447" s="15" t="str">
        <f>$B$12</f>
        <v>FC</v>
      </c>
      <c r="C447" s="15" t="str">
        <f>$C$12</f>
        <v>Kishan</v>
      </c>
      <c r="D447" s="18">
        <f t="shared" si="249"/>
        <v>0</v>
      </c>
      <c r="E447" s="4">
        <f t="shared" si="250"/>
        <v>0</v>
      </c>
      <c r="F447" s="4"/>
      <c r="G447" s="5" t="e">
        <f t="shared" si="251"/>
        <v>#DIV/0!</v>
      </c>
      <c r="H447" s="4" t="e">
        <f t="shared" si="252"/>
        <v>#DIV/0!</v>
      </c>
      <c r="I447" s="4" t="e">
        <f t="shared" si="253"/>
        <v>#DIV/0!</v>
      </c>
      <c r="J447" s="4">
        <f t="shared" si="254"/>
        <v>0</v>
      </c>
      <c r="K447" s="27">
        <f t="shared" si="255"/>
        <v>0</v>
      </c>
      <c r="L447" s="30">
        <f t="shared" si="256"/>
        <v>0</v>
      </c>
      <c r="M447" s="23"/>
      <c r="N447" s="2"/>
      <c r="O447" s="4"/>
      <c r="P447" s="5" t="e">
        <f t="shared" si="257"/>
        <v>#DIV/0!</v>
      </c>
      <c r="Q447" s="29" t="e">
        <f t="shared" si="258"/>
        <v>#DIV/0!</v>
      </c>
      <c r="R447" s="29" t="e">
        <f t="shared" si="259"/>
        <v>#DIV/0!</v>
      </c>
      <c r="S447" s="1">
        <v>0</v>
      </c>
      <c r="T447" s="1">
        <v>0</v>
      </c>
      <c r="U447" s="24">
        <v>0</v>
      </c>
      <c r="V447" s="25" t="e">
        <f t="shared" si="240"/>
        <v>#DIV/0!</v>
      </c>
      <c r="W447" s="25" t="e">
        <f t="shared" si="241"/>
        <v>#DIV/0!</v>
      </c>
      <c r="X447" s="25" t="e">
        <f t="shared" si="242"/>
        <v>#DIV/0!</v>
      </c>
      <c r="Y447" s="25" t="e">
        <f t="shared" si="243"/>
        <v>#DIV/0!</v>
      </c>
      <c r="Z447" s="25" t="e">
        <f t="shared" si="244"/>
        <v>#DIV/0!</v>
      </c>
      <c r="AA447" s="25" t="e">
        <f t="shared" si="245"/>
        <v>#DIV/0!</v>
      </c>
      <c r="AB447" s="25" t="e">
        <f t="shared" si="246"/>
        <v>#DIV/0!</v>
      </c>
      <c r="AC447" s="25" t="e">
        <f t="shared" si="247"/>
        <v>#DIV/0!</v>
      </c>
      <c r="AD447" s="63" t="e">
        <f t="shared" si="248"/>
        <v>#DIV/0!</v>
      </c>
      <c r="AE447" s="24">
        <f t="shared" si="227"/>
        <v>0</v>
      </c>
    </row>
    <row r="448" spans="1:31" x14ac:dyDescent="0.2">
      <c r="A448" s="75">
        <f t="shared" si="230"/>
        <v>46295</v>
      </c>
      <c r="B448" s="15" t="str">
        <f>$B$13</f>
        <v>Partner</v>
      </c>
      <c r="C448" s="15" t="str">
        <f>$C$13</f>
        <v>Rahul</v>
      </c>
      <c r="D448" s="18">
        <f t="shared" si="249"/>
        <v>0</v>
      </c>
      <c r="E448" s="4">
        <f t="shared" si="250"/>
        <v>0</v>
      </c>
      <c r="F448" s="4"/>
      <c r="G448" s="5" t="e">
        <f t="shared" si="251"/>
        <v>#DIV/0!</v>
      </c>
      <c r="H448" s="4" t="e">
        <f t="shared" si="252"/>
        <v>#DIV/0!</v>
      </c>
      <c r="I448" s="4" t="e">
        <f t="shared" si="253"/>
        <v>#DIV/0!</v>
      </c>
      <c r="J448" s="4">
        <f t="shared" si="254"/>
        <v>0</v>
      </c>
      <c r="K448" s="27">
        <f t="shared" si="255"/>
        <v>0</v>
      </c>
      <c r="L448" s="30">
        <f t="shared" si="256"/>
        <v>0</v>
      </c>
      <c r="M448" s="23"/>
      <c r="N448" s="2"/>
      <c r="O448" s="4"/>
      <c r="P448" s="5" t="e">
        <f t="shared" si="257"/>
        <v>#DIV/0!</v>
      </c>
      <c r="Q448" s="29" t="e">
        <f t="shared" si="258"/>
        <v>#DIV/0!</v>
      </c>
      <c r="R448" s="29" t="e">
        <f t="shared" si="259"/>
        <v>#DIV/0!</v>
      </c>
      <c r="S448" s="1">
        <v>0</v>
      </c>
      <c r="T448" s="1">
        <v>0</v>
      </c>
      <c r="U448" s="24">
        <v>0</v>
      </c>
      <c r="V448" s="25" t="e">
        <f t="shared" si="240"/>
        <v>#DIV/0!</v>
      </c>
      <c r="W448" s="25" t="e">
        <f t="shared" si="241"/>
        <v>#DIV/0!</v>
      </c>
      <c r="X448" s="25" t="e">
        <f t="shared" si="242"/>
        <v>#DIV/0!</v>
      </c>
      <c r="Y448" s="25" t="e">
        <f t="shared" si="243"/>
        <v>#DIV/0!</v>
      </c>
      <c r="Z448" s="25" t="e">
        <f t="shared" si="244"/>
        <v>#DIV/0!</v>
      </c>
      <c r="AA448" s="25" t="e">
        <f t="shared" si="245"/>
        <v>#DIV/0!</v>
      </c>
      <c r="AB448" s="25" t="e">
        <f t="shared" si="246"/>
        <v>#DIV/0!</v>
      </c>
      <c r="AC448" s="25" t="e">
        <f t="shared" si="247"/>
        <v>#DIV/0!</v>
      </c>
      <c r="AD448" s="63" t="e">
        <f t="shared" si="248"/>
        <v>#DIV/0!</v>
      </c>
      <c r="AE448" s="24">
        <f t="shared" si="227"/>
        <v>0</v>
      </c>
    </row>
    <row r="449" spans="1:31" x14ac:dyDescent="0.2">
      <c r="A449" s="75">
        <f t="shared" si="230"/>
        <v>46295</v>
      </c>
      <c r="B449" s="15" t="str">
        <f>$B$14</f>
        <v>Partner</v>
      </c>
      <c r="C449" s="15" t="str">
        <f>$C$14</f>
        <v>Prince</v>
      </c>
      <c r="D449" s="18">
        <f t="shared" si="249"/>
        <v>0</v>
      </c>
      <c r="E449" s="4">
        <f t="shared" si="250"/>
        <v>0</v>
      </c>
      <c r="F449" s="4"/>
      <c r="G449" s="5" t="e">
        <f t="shared" si="251"/>
        <v>#DIV/0!</v>
      </c>
      <c r="H449" s="4" t="e">
        <f t="shared" si="252"/>
        <v>#DIV/0!</v>
      </c>
      <c r="I449" s="4" t="e">
        <f t="shared" si="253"/>
        <v>#DIV/0!</v>
      </c>
      <c r="J449" s="4">
        <f t="shared" si="254"/>
        <v>0</v>
      </c>
      <c r="K449" s="27">
        <f t="shared" si="255"/>
        <v>0</v>
      </c>
      <c r="L449" s="30">
        <f t="shared" si="256"/>
        <v>0</v>
      </c>
      <c r="M449" s="23"/>
      <c r="N449" s="2"/>
      <c r="O449" s="4"/>
      <c r="P449" s="5" t="e">
        <f t="shared" si="257"/>
        <v>#DIV/0!</v>
      </c>
      <c r="Q449" s="29" t="e">
        <f t="shared" si="258"/>
        <v>#DIV/0!</v>
      </c>
      <c r="R449" s="29" t="e">
        <f t="shared" si="259"/>
        <v>#DIV/0!</v>
      </c>
      <c r="S449" s="1">
        <v>0</v>
      </c>
      <c r="T449" s="1">
        <v>0</v>
      </c>
      <c r="U449" s="24">
        <v>0</v>
      </c>
      <c r="V449" s="25" t="e">
        <f t="shared" si="240"/>
        <v>#DIV/0!</v>
      </c>
      <c r="W449" s="25" t="e">
        <f t="shared" si="241"/>
        <v>#DIV/0!</v>
      </c>
      <c r="X449" s="25" t="e">
        <f t="shared" si="242"/>
        <v>#DIV/0!</v>
      </c>
      <c r="Y449" s="25" t="e">
        <f t="shared" si="243"/>
        <v>#DIV/0!</v>
      </c>
      <c r="Z449" s="25" t="e">
        <f t="shared" si="244"/>
        <v>#DIV/0!</v>
      </c>
      <c r="AA449" s="25" t="e">
        <f t="shared" si="245"/>
        <v>#DIV/0!</v>
      </c>
      <c r="AB449" s="25" t="e">
        <f t="shared" si="246"/>
        <v>#DIV/0!</v>
      </c>
      <c r="AC449" s="25" t="e">
        <f t="shared" si="247"/>
        <v>#DIV/0!</v>
      </c>
      <c r="AD449" s="63" t="e">
        <f t="shared" si="248"/>
        <v>#DIV/0!</v>
      </c>
      <c r="AE449" s="24">
        <f t="shared" si="227"/>
        <v>0</v>
      </c>
    </row>
    <row r="450" spans="1:31" x14ac:dyDescent="0.2">
      <c r="A450" s="75">
        <f t="shared" si="230"/>
        <v>46295</v>
      </c>
      <c r="B450" s="15" t="str">
        <f>$B$15</f>
        <v>Partner</v>
      </c>
      <c r="C450" s="15" t="str">
        <f>$C$15</f>
        <v>Kunal</v>
      </c>
      <c r="D450" s="18">
        <f t="shared" si="249"/>
        <v>0</v>
      </c>
      <c r="E450" s="4">
        <f t="shared" si="250"/>
        <v>0</v>
      </c>
      <c r="F450" s="4"/>
      <c r="G450" s="5" t="e">
        <f t="shared" si="251"/>
        <v>#DIV/0!</v>
      </c>
      <c r="H450" s="4" t="e">
        <f t="shared" si="252"/>
        <v>#DIV/0!</v>
      </c>
      <c r="I450" s="4" t="e">
        <f t="shared" si="253"/>
        <v>#DIV/0!</v>
      </c>
      <c r="J450" s="4">
        <f t="shared" si="254"/>
        <v>0</v>
      </c>
      <c r="K450" s="27">
        <f t="shared" si="255"/>
        <v>0</v>
      </c>
      <c r="L450" s="30">
        <f t="shared" si="256"/>
        <v>0</v>
      </c>
      <c r="M450" s="23"/>
      <c r="N450" s="2"/>
      <c r="O450" s="4"/>
      <c r="P450" s="5" t="e">
        <f t="shared" si="257"/>
        <v>#DIV/0!</v>
      </c>
      <c r="Q450" s="29" t="e">
        <f t="shared" si="258"/>
        <v>#DIV/0!</v>
      </c>
      <c r="R450" s="29" t="e">
        <f t="shared" si="259"/>
        <v>#DIV/0!</v>
      </c>
      <c r="S450" s="1">
        <v>0</v>
      </c>
      <c r="T450" s="1">
        <v>0</v>
      </c>
      <c r="U450" s="24">
        <v>0</v>
      </c>
      <c r="V450" s="25" t="e">
        <f t="shared" si="240"/>
        <v>#DIV/0!</v>
      </c>
      <c r="W450" s="25" t="e">
        <f t="shared" si="241"/>
        <v>#DIV/0!</v>
      </c>
      <c r="X450" s="25" t="e">
        <f t="shared" si="242"/>
        <v>#DIV/0!</v>
      </c>
      <c r="Y450" s="25" t="e">
        <f t="shared" si="243"/>
        <v>#DIV/0!</v>
      </c>
      <c r="Z450" s="25" t="e">
        <f t="shared" si="244"/>
        <v>#DIV/0!</v>
      </c>
      <c r="AA450" s="25" t="e">
        <f t="shared" si="245"/>
        <v>#DIV/0!</v>
      </c>
      <c r="AB450" s="25" t="e">
        <f t="shared" si="246"/>
        <v>#DIV/0!</v>
      </c>
      <c r="AC450" s="25" t="e">
        <f t="shared" si="247"/>
        <v>#DIV/0!</v>
      </c>
      <c r="AD450" s="63" t="e">
        <f t="shared" si="248"/>
        <v>#DIV/0!</v>
      </c>
      <c r="AE450" s="24">
        <f t="shared" si="227"/>
        <v>0</v>
      </c>
    </row>
    <row r="451" spans="1:31" x14ac:dyDescent="0.2">
      <c r="A451" s="75">
        <f t="shared" si="230"/>
        <v>46295</v>
      </c>
      <c r="B451" s="15" t="str">
        <f>$B$16</f>
        <v>NA</v>
      </c>
      <c r="C451" s="15" t="str">
        <f>$C$16</f>
        <v>NA</v>
      </c>
      <c r="D451" s="18">
        <f t="shared" si="249"/>
        <v>0</v>
      </c>
      <c r="E451" s="4">
        <f t="shared" si="250"/>
        <v>0</v>
      </c>
      <c r="F451" s="4"/>
      <c r="G451" s="5" t="e">
        <f t="shared" si="251"/>
        <v>#DIV/0!</v>
      </c>
      <c r="H451" s="4" t="e">
        <f t="shared" si="252"/>
        <v>#DIV/0!</v>
      </c>
      <c r="I451" s="4" t="e">
        <f t="shared" si="253"/>
        <v>#DIV/0!</v>
      </c>
      <c r="J451" s="4">
        <f t="shared" si="254"/>
        <v>0</v>
      </c>
      <c r="K451" s="27">
        <f t="shared" si="255"/>
        <v>0</v>
      </c>
      <c r="L451" s="30">
        <f t="shared" si="256"/>
        <v>0</v>
      </c>
      <c r="M451" s="23"/>
      <c r="N451" s="2"/>
      <c r="O451" s="4"/>
      <c r="P451" s="5" t="e">
        <f t="shared" si="257"/>
        <v>#DIV/0!</v>
      </c>
      <c r="Q451" s="29" t="e">
        <f t="shared" si="258"/>
        <v>#DIV/0!</v>
      </c>
      <c r="R451" s="29" t="e">
        <f t="shared" si="259"/>
        <v>#DIV/0!</v>
      </c>
      <c r="S451" s="1">
        <v>0</v>
      </c>
      <c r="T451" s="1">
        <v>0</v>
      </c>
      <c r="U451" s="24">
        <v>0</v>
      </c>
      <c r="V451" s="25" t="e">
        <f t="shared" si="240"/>
        <v>#DIV/0!</v>
      </c>
      <c r="W451" s="25" t="e">
        <f t="shared" si="241"/>
        <v>#DIV/0!</v>
      </c>
      <c r="X451" s="25" t="e">
        <f t="shared" si="242"/>
        <v>#DIV/0!</v>
      </c>
      <c r="Y451" s="25" t="e">
        <f t="shared" si="243"/>
        <v>#DIV/0!</v>
      </c>
      <c r="Z451" s="25" t="e">
        <f t="shared" si="244"/>
        <v>#DIV/0!</v>
      </c>
      <c r="AA451" s="25" t="e">
        <f t="shared" si="245"/>
        <v>#DIV/0!</v>
      </c>
      <c r="AB451" s="25" t="e">
        <f t="shared" si="246"/>
        <v>#DIV/0!</v>
      </c>
      <c r="AC451" s="25" t="e">
        <f t="shared" si="247"/>
        <v>#DIV/0!</v>
      </c>
      <c r="AD451" s="63" t="e">
        <f t="shared" si="248"/>
        <v>#DIV/0!</v>
      </c>
      <c r="AE451" s="24">
        <f t="shared" si="227"/>
        <v>0</v>
      </c>
    </row>
    <row r="452" spans="1:31" x14ac:dyDescent="0.2">
      <c r="A452" s="75">
        <f t="shared" si="230"/>
        <v>46295</v>
      </c>
      <c r="B452" s="15" t="str">
        <f>$B$17</f>
        <v>NA</v>
      </c>
      <c r="C452" s="15" t="str">
        <f>$C$17</f>
        <v>NA</v>
      </c>
      <c r="D452" s="18">
        <f t="shared" si="249"/>
        <v>0</v>
      </c>
      <c r="E452" s="4">
        <f t="shared" si="250"/>
        <v>0</v>
      </c>
      <c r="F452" s="4"/>
      <c r="G452" s="5" t="e">
        <f t="shared" si="251"/>
        <v>#DIV/0!</v>
      </c>
      <c r="H452" s="4" t="e">
        <f t="shared" si="252"/>
        <v>#DIV/0!</v>
      </c>
      <c r="I452" s="4" t="e">
        <f t="shared" si="253"/>
        <v>#DIV/0!</v>
      </c>
      <c r="J452" s="4">
        <f t="shared" si="254"/>
        <v>0</v>
      </c>
      <c r="K452" s="27">
        <f t="shared" si="255"/>
        <v>0</v>
      </c>
      <c r="L452" s="30">
        <f t="shared" si="256"/>
        <v>0</v>
      </c>
      <c r="M452" s="23"/>
      <c r="N452" s="2"/>
      <c r="O452" s="4"/>
      <c r="P452" s="5" t="e">
        <f t="shared" si="257"/>
        <v>#DIV/0!</v>
      </c>
      <c r="Q452" s="29" t="e">
        <f t="shared" si="258"/>
        <v>#DIV/0!</v>
      </c>
      <c r="R452" s="29" t="e">
        <f t="shared" si="259"/>
        <v>#DIV/0!</v>
      </c>
      <c r="S452" s="1">
        <v>0</v>
      </c>
      <c r="T452" s="1">
        <v>0</v>
      </c>
      <c r="U452" s="24">
        <v>0</v>
      </c>
      <c r="V452" s="25" t="e">
        <f t="shared" si="240"/>
        <v>#DIV/0!</v>
      </c>
      <c r="W452" s="25" t="e">
        <f t="shared" si="241"/>
        <v>#DIV/0!</v>
      </c>
      <c r="X452" s="25" t="e">
        <f t="shared" si="242"/>
        <v>#DIV/0!</v>
      </c>
      <c r="Y452" s="25" t="e">
        <f t="shared" si="243"/>
        <v>#DIV/0!</v>
      </c>
      <c r="Z452" s="25" t="e">
        <f t="shared" si="244"/>
        <v>#DIV/0!</v>
      </c>
      <c r="AA452" s="25" t="e">
        <f t="shared" si="245"/>
        <v>#DIV/0!</v>
      </c>
      <c r="AB452" s="25" t="e">
        <f t="shared" si="246"/>
        <v>#DIV/0!</v>
      </c>
      <c r="AC452" s="25" t="e">
        <f t="shared" si="247"/>
        <v>#DIV/0!</v>
      </c>
      <c r="AD452" s="63" t="e">
        <f t="shared" si="248"/>
        <v>#DIV/0!</v>
      </c>
      <c r="AE452" s="24">
        <f t="shared" si="227"/>
        <v>0</v>
      </c>
    </row>
    <row r="453" spans="1:31" x14ac:dyDescent="0.2">
      <c r="A453" s="75">
        <f t="shared" si="230"/>
        <v>46295</v>
      </c>
      <c r="B453" s="15" t="str">
        <f>$B$18</f>
        <v>NA</v>
      </c>
      <c r="C453" s="15" t="str">
        <f>$C$18</f>
        <v>NA</v>
      </c>
      <c r="D453" s="18">
        <f t="shared" si="249"/>
        <v>0</v>
      </c>
      <c r="E453" s="4">
        <f t="shared" si="250"/>
        <v>0</v>
      </c>
      <c r="F453" s="4"/>
      <c r="G453" s="5" t="e">
        <f t="shared" si="251"/>
        <v>#DIV/0!</v>
      </c>
      <c r="H453" s="4" t="e">
        <f t="shared" si="252"/>
        <v>#DIV/0!</v>
      </c>
      <c r="I453" s="4" t="e">
        <f t="shared" si="253"/>
        <v>#DIV/0!</v>
      </c>
      <c r="J453" s="4">
        <f t="shared" si="254"/>
        <v>0</v>
      </c>
      <c r="K453" s="27">
        <f t="shared" si="255"/>
        <v>0</v>
      </c>
      <c r="L453" s="30">
        <f t="shared" si="256"/>
        <v>0</v>
      </c>
      <c r="M453" s="23"/>
      <c r="N453" s="2"/>
      <c r="O453" s="4"/>
      <c r="P453" s="5" t="e">
        <f t="shared" si="257"/>
        <v>#DIV/0!</v>
      </c>
      <c r="Q453" s="29" t="e">
        <f t="shared" si="258"/>
        <v>#DIV/0!</v>
      </c>
      <c r="R453" s="29" t="e">
        <f t="shared" si="259"/>
        <v>#DIV/0!</v>
      </c>
      <c r="S453" s="1">
        <v>0</v>
      </c>
      <c r="T453" s="1">
        <v>0</v>
      </c>
      <c r="U453" s="24">
        <v>0</v>
      </c>
      <c r="V453" s="25" t="e">
        <f t="shared" si="240"/>
        <v>#DIV/0!</v>
      </c>
      <c r="W453" s="25" t="e">
        <f t="shared" si="241"/>
        <v>#DIV/0!</v>
      </c>
      <c r="X453" s="25" t="e">
        <f t="shared" si="242"/>
        <v>#DIV/0!</v>
      </c>
      <c r="Y453" s="25" t="e">
        <f t="shared" si="243"/>
        <v>#DIV/0!</v>
      </c>
      <c r="Z453" s="25" t="e">
        <f t="shared" si="244"/>
        <v>#DIV/0!</v>
      </c>
      <c r="AA453" s="25" t="e">
        <f t="shared" si="245"/>
        <v>#DIV/0!</v>
      </c>
      <c r="AB453" s="25" t="e">
        <f t="shared" si="246"/>
        <v>#DIV/0!</v>
      </c>
      <c r="AC453" s="25" t="e">
        <f t="shared" si="247"/>
        <v>#DIV/0!</v>
      </c>
      <c r="AD453" s="63" t="e">
        <f t="shared" si="248"/>
        <v>#DIV/0!</v>
      </c>
      <c r="AE453" s="24">
        <f t="shared" ref="AE453:AE468" si="260">IF(F453&gt;10,1,0)</f>
        <v>0</v>
      </c>
    </row>
    <row r="454" spans="1:31" x14ac:dyDescent="0.2">
      <c r="A454" s="75">
        <f t="shared" si="230"/>
        <v>46296</v>
      </c>
      <c r="B454" s="15" t="str">
        <f>$B$4</f>
        <v>DSM</v>
      </c>
      <c r="C454" s="15" t="str">
        <f>$C$4</f>
        <v xml:space="preserve">komal  </v>
      </c>
      <c r="D454" s="18">
        <f t="shared" si="249"/>
        <v>0</v>
      </c>
      <c r="E454" s="4">
        <f t="shared" si="250"/>
        <v>0</v>
      </c>
      <c r="F454" s="4"/>
      <c r="G454" s="5" t="e">
        <f t="shared" si="251"/>
        <v>#DIV/0!</v>
      </c>
      <c r="H454" s="4" t="e">
        <f t="shared" si="252"/>
        <v>#DIV/0!</v>
      </c>
      <c r="I454" s="4" t="e">
        <f t="shared" si="253"/>
        <v>#DIV/0!</v>
      </c>
      <c r="J454" s="4">
        <f t="shared" si="254"/>
        <v>0</v>
      </c>
      <c r="K454" s="27">
        <f t="shared" si="255"/>
        <v>0</v>
      </c>
      <c r="L454" s="30">
        <f t="shared" si="256"/>
        <v>0</v>
      </c>
      <c r="M454" s="23"/>
      <c r="N454" s="2"/>
      <c r="O454" s="4"/>
      <c r="P454" s="5" t="e">
        <f t="shared" si="257"/>
        <v>#DIV/0!</v>
      </c>
      <c r="Q454" s="29" t="e">
        <f t="shared" si="258"/>
        <v>#DIV/0!</v>
      </c>
      <c r="R454" s="29" t="e">
        <f t="shared" si="259"/>
        <v>#DIV/0!</v>
      </c>
      <c r="S454" s="1">
        <v>0</v>
      </c>
      <c r="T454" s="1">
        <v>0</v>
      </c>
      <c r="U454" s="24">
        <v>0</v>
      </c>
      <c r="V454" s="25" t="e">
        <f t="shared" si="240"/>
        <v>#DIV/0!</v>
      </c>
      <c r="W454" s="25" t="e">
        <f t="shared" si="241"/>
        <v>#DIV/0!</v>
      </c>
      <c r="X454" s="25" t="e">
        <f t="shared" si="242"/>
        <v>#DIV/0!</v>
      </c>
      <c r="Y454" s="25" t="e">
        <f t="shared" si="243"/>
        <v>#DIV/0!</v>
      </c>
      <c r="Z454" s="25" t="e">
        <f t="shared" si="244"/>
        <v>#DIV/0!</v>
      </c>
      <c r="AA454" s="25" t="e">
        <f t="shared" si="245"/>
        <v>#DIV/0!</v>
      </c>
      <c r="AB454" s="25" t="e">
        <f t="shared" si="246"/>
        <v>#DIV/0!</v>
      </c>
      <c r="AC454" s="25" t="e">
        <f t="shared" si="247"/>
        <v>#DIV/0!</v>
      </c>
      <c r="AD454" s="63" t="e">
        <f t="shared" si="248"/>
        <v>#DIV/0!</v>
      </c>
      <c r="AE454" s="24">
        <f t="shared" si="260"/>
        <v>0</v>
      </c>
    </row>
    <row r="455" spans="1:31" x14ac:dyDescent="0.2">
      <c r="A455" s="75">
        <f t="shared" si="230"/>
        <v>46296</v>
      </c>
      <c r="B455" s="15" t="str">
        <f>$B$5</f>
        <v>SS</v>
      </c>
      <c r="C455" s="15" t="str">
        <f>$C$5</f>
        <v>Prem</v>
      </c>
      <c r="D455" s="18">
        <f t="shared" si="249"/>
        <v>0</v>
      </c>
      <c r="E455" s="4">
        <f t="shared" si="250"/>
        <v>0</v>
      </c>
      <c r="F455" s="4"/>
      <c r="G455" s="5" t="e">
        <f t="shared" si="251"/>
        <v>#DIV/0!</v>
      </c>
      <c r="H455" s="4" t="e">
        <f t="shared" si="252"/>
        <v>#DIV/0!</v>
      </c>
      <c r="I455" s="4" t="e">
        <f t="shared" si="253"/>
        <v>#DIV/0!</v>
      </c>
      <c r="J455" s="4">
        <f t="shared" si="254"/>
        <v>0</v>
      </c>
      <c r="K455" s="27">
        <f t="shared" si="255"/>
        <v>0</v>
      </c>
      <c r="L455" s="30">
        <f t="shared" si="256"/>
        <v>0</v>
      </c>
      <c r="M455" s="23"/>
      <c r="N455" s="2"/>
      <c r="O455" s="4"/>
      <c r="P455" s="5" t="e">
        <f t="shared" si="257"/>
        <v>#DIV/0!</v>
      </c>
      <c r="Q455" s="29" t="e">
        <f t="shared" si="258"/>
        <v>#DIV/0!</v>
      </c>
      <c r="R455" s="29" t="e">
        <f t="shared" si="259"/>
        <v>#DIV/0!</v>
      </c>
      <c r="S455" s="1">
        <v>0</v>
      </c>
      <c r="T455" s="1">
        <v>0</v>
      </c>
      <c r="U455" s="24">
        <v>0</v>
      </c>
      <c r="V455" s="25" t="e">
        <f t="shared" si="240"/>
        <v>#DIV/0!</v>
      </c>
      <c r="W455" s="25" t="e">
        <f t="shared" si="241"/>
        <v>#DIV/0!</v>
      </c>
      <c r="X455" s="25" t="e">
        <f t="shared" si="242"/>
        <v>#DIV/0!</v>
      </c>
      <c r="Y455" s="25" t="e">
        <f t="shared" si="243"/>
        <v>#DIV/0!</v>
      </c>
      <c r="Z455" s="25" t="e">
        <f t="shared" si="244"/>
        <v>#DIV/0!</v>
      </c>
      <c r="AA455" s="25" t="e">
        <f t="shared" si="245"/>
        <v>#DIV/0!</v>
      </c>
      <c r="AB455" s="25" t="e">
        <f t="shared" si="246"/>
        <v>#DIV/0!</v>
      </c>
      <c r="AC455" s="25" t="e">
        <f t="shared" si="247"/>
        <v>#DIV/0!</v>
      </c>
      <c r="AD455" s="63" t="e">
        <f t="shared" si="248"/>
        <v>#DIV/0!</v>
      </c>
      <c r="AE455" s="24">
        <f t="shared" si="260"/>
        <v>0</v>
      </c>
    </row>
    <row r="456" spans="1:31" x14ac:dyDescent="0.2">
      <c r="A456" s="75">
        <f t="shared" si="230"/>
        <v>46296</v>
      </c>
      <c r="B456" s="15" t="str">
        <f>$B$6</f>
        <v>SS</v>
      </c>
      <c r="C456" s="15" t="str">
        <f>$C$6</f>
        <v>Anuj</v>
      </c>
      <c r="D456" s="18">
        <f t="shared" si="249"/>
        <v>0</v>
      </c>
      <c r="E456" s="4">
        <f t="shared" si="250"/>
        <v>0</v>
      </c>
      <c r="F456" s="4"/>
      <c r="G456" s="5" t="e">
        <f t="shared" si="251"/>
        <v>#DIV/0!</v>
      </c>
      <c r="H456" s="4" t="e">
        <f t="shared" si="252"/>
        <v>#DIV/0!</v>
      </c>
      <c r="I456" s="4" t="e">
        <f t="shared" si="253"/>
        <v>#DIV/0!</v>
      </c>
      <c r="J456" s="4">
        <f t="shared" si="254"/>
        <v>0</v>
      </c>
      <c r="K456" s="27">
        <f t="shared" si="255"/>
        <v>0</v>
      </c>
      <c r="L456" s="30">
        <f t="shared" si="256"/>
        <v>0</v>
      </c>
      <c r="M456" s="23"/>
      <c r="N456" s="2"/>
      <c r="O456" s="4"/>
      <c r="P456" s="5" t="e">
        <f t="shared" si="257"/>
        <v>#DIV/0!</v>
      </c>
      <c r="Q456" s="29" t="e">
        <f t="shared" si="258"/>
        <v>#DIV/0!</v>
      </c>
      <c r="R456" s="29" t="e">
        <f t="shared" si="259"/>
        <v>#DIV/0!</v>
      </c>
      <c r="S456" s="1">
        <v>0</v>
      </c>
      <c r="T456" s="1">
        <v>0</v>
      </c>
      <c r="U456" s="24">
        <v>0</v>
      </c>
      <c r="V456" s="25" t="e">
        <f t="shared" si="240"/>
        <v>#DIV/0!</v>
      </c>
      <c r="W456" s="25" t="e">
        <f t="shared" si="241"/>
        <v>#DIV/0!</v>
      </c>
      <c r="X456" s="25" t="e">
        <f t="shared" si="242"/>
        <v>#DIV/0!</v>
      </c>
      <c r="Y456" s="25" t="e">
        <f t="shared" si="243"/>
        <v>#DIV/0!</v>
      </c>
      <c r="Z456" s="25" t="e">
        <f t="shared" si="244"/>
        <v>#DIV/0!</v>
      </c>
      <c r="AA456" s="25" t="e">
        <f t="shared" si="245"/>
        <v>#DIV/0!</v>
      </c>
      <c r="AB456" s="25" t="e">
        <f t="shared" si="246"/>
        <v>#DIV/0!</v>
      </c>
      <c r="AC456" s="25" t="e">
        <f t="shared" si="247"/>
        <v>#DIV/0!</v>
      </c>
      <c r="AD456" s="63" t="e">
        <f t="shared" si="248"/>
        <v>#DIV/0!</v>
      </c>
      <c r="AE456" s="24">
        <f t="shared" si="260"/>
        <v>0</v>
      </c>
    </row>
    <row r="457" spans="1:31" x14ac:dyDescent="0.2">
      <c r="A457" s="75">
        <f t="shared" si="230"/>
        <v>46296</v>
      </c>
      <c r="B457" s="15" t="str">
        <f>$B$7</f>
        <v>FC</v>
      </c>
      <c r="C457" s="15" t="str">
        <f>$C$7</f>
        <v>Muskan</v>
      </c>
      <c r="D457" s="18">
        <f t="shared" si="249"/>
        <v>0</v>
      </c>
      <c r="E457" s="4">
        <f t="shared" si="250"/>
        <v>0</v>
      </c>
      <c r="F457" s="4"/>
      <c r="G457" s="5" t="e">
        <f t="shared" si="251"/>
        <v>#DIV/0!</v>
      </c>
      <c r="H457" s="4" t="e">
        <f t="shared" si="252"/>
        <v>#DIV/0!</v>
      </c>
      <c r="I457" s="4" t="e">
        <f t="shared" si="253"/>
        <v>#DIV/0!</v>
      </c>
      <c r="J457" s="4">
        <f t="shared" si="254"/>
        <v>0</v>
      </c>
      <c r="K457" s="27">
        <f t="shared" si="255"/>
        <v>0</v>
      </c>
      <c r="L457" s="30">
        <f t="shared" si="256"/>
        <v>0</v>
      </c>
      <c r="M457" s="23"/>
      <c r="N457" s="2"/>
      <c r="O457" s="4"/>
      <c r="P457" s="5" t="e">
        <f t="shared" si="257"/>
        <v>#DIV/0!</v>
      </c>
      <c r="Q457" s="29" t="e">
        <f t="shared" si="258"/>
        <v>#DIV/0!</v>
      </c>
      <c r="R457" s="29" t="e">
        <f t="shared" si="259"/>
        <v>#DIV/0!</v>
      </c>
      <c r="S457" s="1">
        <v>0</v>
      </c>
      <c r="T457" s="1">
        <v>0</v>
      </c>
      <c r="U457" s="24">
        <v>0</v>
      </c>
      <c r="V457" s="25" t="e">
        <f t="shared" si="240"/>
        <v>#DIV/0!</v>
      </c>
      <c r="W457" s="25" t="e">
        <f t="shared" si="241"/>
        <v>#DIV/0!</v>
      </c>
      <c r="X457" s="25" t="e">
        <f t="shared" si="242"/>
        <v>#DIV/0!</v>
      </c>
      <c r="Y457" s="25" t="e">
        <f t="shared" si="243"/>
        <v>#DIV/0!</v>
      </c>
      <c r="Z457" s="25" t="e">
        <f t="shared" si="244"/>
        <v>#DIV/0!</v>
      </c>
      <c r="AA457" s="25" t="e">
        <f t="shared" si="245"/>
        <v>#DIV/0!</v>
      </c>
      <c r="AB457" s="25" t="e">
        <f t="shared" si="246"/>
        <v>#DIV/0!</v>
      </c>
      <c r="AC457" s="25" t="e">
        <f t="shared" si="247"/>
        <v>#DIV/0!</v>
      </c>
      <c r="AD457" s="63" t="e">
        <f t="shared" si="248"/>
        <v>#DIV/0!</v>
      </c>
      <c r="AE457" s="24">
        <f t="shared" si="260"/>
        <v>0</v>
      </c>
    </row>
    <row r="458" spans="1:31" x14ac:dyDescent="0.2">
      <c r="A458" s="75">
        <f t="shared" si="230"/>
        <v>46296</v>
      </c>
      <c r="B458" s="15" t="str">
        <f>$B$8</f>
        <v>FC</v>
      </c>
      <c r="C458" s="15" t="str">
        <f>$C$8</f>
        <v xml:space="preserve">Kajal  </v>
      </c>
      <c r="D458" s="18">
        <f t="shared" si="249"/>
        <v>0</v>
      </c>
      <c r="E458" s="4">
        <f t="shared" si="250"/>
        <v>0</v>
      </c>
      <c r="F458" s="4"/>
      <c r="G458" s="5" t="e">
        <f t="shared" si="251"/>
        <v>#DIV/0!</v>
      </c>
      <c r="H458" s="4" t="e">
        <f t="shared" si="252"/>
        <v>#DIV/0!</v>
      </c>
      <c r="I458" s="4" t="e">
        <f t="shared" si="253"/>
        <v>#DIV/0!</v>
      </c>
      <c r="J458" s="4">
        <f t="shared" si="254"/>
        <v>0</v>
      </c>
      <c r="K458" s="27">
        <f t="shared" si="255"/>
        <v>0</v>
      </c>
      <c r="L458" s="30">
        <f t="shared" si="256"/>
        <v>0</v>
      </c>
      <c r="M458" s="23"/>
      <c r="N458" s="2"/>
      <c r="O458" s="4"/>
      <c r="P458" s="5" t="e">
        <f t="shared" si="257"/>
        <v>#DIV/0!</v>
      </c>
      <c r="Q458" s="29" t="e">
        <f t="shared" si="258"/>
        <v>#DIV/0!</v>
      </c>
      <c r="R458" s="29" t="e">
        <f t="shared" si="259"/>
        <v>#DIV/0!</v>
      </c>
      <c r="S458" s="1">
        <v>0</v>
      </c>
      <c r="T458" s="1">
        <v>0</v>
      </c>
      <c r="U458" s="24">
        <v>0</v>
      </c>
      <c r="V458" s="25" t="e">
        <f t="shared" si="240"/>
        <v>#DIV/0!</v>
      </c>
      <c r="W458" s="25" t="e">
        <f t="shared" si="241"/>
        <v>#DIV/0!</v>
      </c>
      <c r="X458" s="25" t="e">
        <f t="shared" si="242"/>
        <v>#DIV/0!</v>
      </c>
      <c r="Y458" s="25" t="e">
        <f t="shared" si="243"/>
        <v>#DIV/0!</v>
      </c>
      <c r="Z458" s="25" t="e">
        <f t="shared" si="244"/>
        <v>#DIV/0!</v>
      </c>
      <c r="AA458" s="25" t="e">
        <f t="shared" si="245"/>
        <v>#DIV/0!</v>
      </c>
      <c r="AB458" s="25" t="e">
        <f t="shared" si="246"/>
        <v>#DIV/0!</v>
      </c>
      <c r="AC458" s="25" t="e">
        <f t="shared" si="247"/>
        <v>#DIV/0!</v>
      </c>
      <c r="AD458" s="63" t="e">
        <f t="shared" si="248"/>
        <v>#DIV/0!</v>
      </c>
      <c r="AE458" s="24">
        <f t="shared" si="260"/>
        <v>0</v>
      </c>
    </row>
    <row r="459" spans="1:31" x14ac:dyDescent="0.2">
      <c r="A459" s="75">
        <f t="shared" si="230"/>
        <v>46296</v>
      </c>
      <c r="B459" s="15" t="str">
        <f>$B$9</f>
        <v>FC</v>
      </c>
      <c r="C459" s="15" t="str">
        <f>$C$9</f>
        <v>Pradeep</v>
      </c>
      <c r="D459" s="18">
        <f t="shared" si="249"/>
        <v>0</v>
      </c>
      <c r="E459" s="4">
        <f t="shared" si="250"/>
        <v>0</v>
      </c>
      <c r="F459" s="4"/>
      <c r="G459" s="5" t="e">
        <f t="shared" si="251"/>
        <v>#DIV/0!</v>
      </c>
      <c r="H459" s="4" t="e">
        <f t="shared" si="252"/>
        <v>#DIV/0!</v>
      </c>
      <c r="I459" s="4" t="e">
        <f t="shared" si="253"/>
        <v>#DIV/0!</v>
      </c>
      <c r="J459" s="4">
        <f t="shared" si="254"/>
        <v>0</v>
      </c>
      <c r="K459" s="27">
        <f t="shared" si="255"/>
        <v>0</v>
      </c>
      <c r="L459" s="30">
        <f t="shared" si="256"/>
        <v>0</v>
      </c>
      <c r="M459" s="23"/>
      <c r="N459" s="2"/>
      <c r="O459" s="4"/>
      <c r="P459" s="5" t="e">
        <f t="shared" si="257"/>
        <v>#DIV/0!</v>
      </c>
      <c r="Q459" s="29" t="e">
        <f t="shared" si="258"/>
        <v>#DIV/0!</v>
      </c>
      <c r="R459" s="29" t="e">
        <f t="shared" si="259"/>
        <v>#DIV/0!</v>
      </c>
      <c r="S459" s="1">
        <v>0</v>
      </c>
      <c r="T459" s="1">
        <v>0</v>
      </c>
      <c r="U459" s="24">
        <v>0</v>
      </c>
      <c r="V459" s="25" t="e">
        <f t="shared" si="240"/>
        <v>#DIV/0!</v>
      </c>
      <c r="W459" s="25" t="e">
        <f t="shared" si="241"/>
        <v>#DIV/0!</v>
      </c>
      <c r="X459" s="25" t="e">
        <f t="shared" si="242"/>
        <v>#DIV/0!</v>
      </c>
      <c r="Y459" s="25" t="e">
        <f t="shared" si="243"/>
        <v>#DIV/0!</v>
      </c>
      <c r="Z459" s="25" t="e">
        <f t="shared" si="244"/>
        <v>#DIV/0!</v>
      </c>
      <c r="AA459" s="25" t="e">
        <f t="shared" si="245"/>
        <v>#DIV/0!</v>
      </c>
      <c r="AB459" s="25" t="e">
        <f t="shared" si="246"/>
        <v>#DIV/0!</v>
      </c>
      <c r="AC459" s="25" t="e">
        <f t="shared" si="247"/>
        <v>#DIV/0!</v>
      </c>
      <c r="AD459" s="63" t="e">
        <f t="shared" si="248"/>
        <v>#DIV/0!</v>
      </c>
      <c r="AE459" s="24">
        <f t="shared" si="260"/>
        <v>0</v>
      </c>
    </row>
    <row r="460" spans="1:31" x14ac:dyDescent="0.2">
      <c r="A460" s="75">
        <f t="shared" si="230"/>
        <v>46296</v>
      </c>
      <c r="B460" s="15" t="str">
        <f>$B$10</f>
        <v>FC</v>
      </c>
      <c r="C460" s="15" t="str">
        <f>$C$10</f>
        <v>Aftab</v>
      </c>
      <c r="D460" s="18">
        <f t="shared" si="249"/>
        <v>0</v>
      </c>
      <c r="E460" s="4">
        <f t="shared" si="250"/>
        <v>0</v>
      </c>
      <c r="F460" s="4"/>
      <c r="G460" s="5" t="e">
        <f t="shared" si="251"/>
        <v>#DIV/0!</v>
      </c>
      <c r="H460" s="4" t="e">
        <f t="shared" si="252"/>
        <v>#DIV/0!</v>
      </c>
      <c r="I460" s="4" t="e">
        <f t="shared" si="253"/>
        <v>#DIV/0!</v>
      </c>
      <c r="J460" s="4">
        <f t="shared" si="254"/>
        <v>0</v>
      </c>
      <c r="K460" s="27">
        <f t="shared" si="255"/>
        <v>0</v>
      </c>
      <c r="L460" s="30">
        <f t="shared" si="256"/>
        <v>0</v>
      </c>
      <c r="M460" s="23"/>
      <c r="N460" s="2"/>
      <c r="O460" s="4"/>
      <c r="P460" s="5" t="e">
        <f t="shared" si="257"/>
        <v>#DIV/0!</v>
      </c>
      <c r="Q460" s="29" t="e">
        <f t="shared" si="258"/>
        <v>#DIV/0!</v>
      </c>
      <c r="R460" s="29" t="e">
        <f t="shared" si="259"/>
        <v>#DIV/0!</v>
      </c>
      <c r="S460" s="1">
        <v>0</v>
      </c>
      <c r="T460" s="1">
        <v>0</v>
      </c>
      <c r="U460" s="24">
        <v>0</v>
      </c>
      <c r="V460" s="25" t="e">
        <f t="shared" si="240"/>
        <v>#DIV/0!</v>
      </c>
      <c r="W460" s="25" t="e">
        <f t="shared" si="241"/>
        <v>#DIV/0!</v>
      </c>
      <c r="X460" s="25" t="e">
        <f t="shared" si="242"/>
        <v>#DIV/0!</v>
      </c>
      <c r="Y460" s="25" t="e">
        <f t="shared" si="243"/>
        <v>#DIV/0!</v>
      </c>
      <c r="Z460" s="25" t="e">
        <f t="shared" si="244"/>
        <v>#DIV/0!</v>
      </c>
      <c r="AA460" s="25" t="e">
        <f t="shared" si="245"/>
        <v>#DIV/0!</v>
      </c>
      <c r="AB460" s="25" t="e">
        <f t="shared" si="246"/>
        <v>#DIV/0!</v>
      </c>
      <c r="AC460" s="25" t="e">
        <f t="shared" si="247"/>
        <v>#DIV/0!</v>
      </c>
      <c r="AD460" s="63" t="e">
        <f t="shared" si="248"/>
        <v>#DIV/0!</v>
      </c>
      <c r="AE460" s="24">
        <f t="shared" si="260"/>
        <v>0</v>
      </c>
    </row>
    <row r="461" spans="1:31" x14ac:dyDescent="0.2">
      <c r="A461" s="75">
        <f t="shared" si="230"/>
        <v>46296</v>
      </c>
      <c r="B461" s="15" t="str">
        <f>$B$11</f>
        <v>FC</v>
      </c>
      <c r="C461" s="15" t="str">
        <f>$C$11</f>
        <v>Khushi</v>
      </c>
      <c r="D461" s="18">
        <f t="shared" si="249"/>
        <v>0</v>
      </c>
      <c r="E461" s="4">
        <f t="shared" si="250"/>
        <v>0</v>
      </c>
      <c r="F461" s="4"/>
      <c r="G461" s="5" t="e">
        <f t="shared" si="251"/>
        <v>#DIV/0!</v>
      </c>
      <c r="H461" s="4" t="e">
        <f t="shared" si="252"/>
        <v>#DIV/0!</v>
      </c>
      <c r="I461" s="4" t="e">
        <f t="shared" si="253"/>
        <v>#DIV/0!</v>
      </c>
      <c r="J461" s="4">
        <f t="shared" si="254"/>
        <v>0</v>
      </c>
      <c r="K461" s="27">
        <f t="shared" si="255"/>
        <v>0</v>
      </c>
      <c r="L461" s="30">
        <f t="shared" si="256"/>
        <v>0</v>
      </c>
      <c r="M461" s="23"/>
      <c r="N461" s="2"/>
      <c r="O461" s="4"/>
      <c r="P461" s="5" t="e">
        <f t="shared" si="257"/>
        <v>#DIV/0!</v>
      </c>
      <c r="Q461" s="29" t="e">
        <f t="shared" si="258"/>
        <v>#DIV/0!</v>
      </c>
      <c r="R461" s="29" t="e">
        <f t="shared" si="259"/>
        <v>#DIV/0!</v>
      </c>
      <c r="S461" s="1">
        <v>0</v>
      </c>
      <c r="T461" s="1">
        <v>0</v>
      </c>
      <c r="U461" s="24">
        <v>0</v>
      </c>
      <c r="V461" s="25" t="e">
        <f t="shared" si="240"/>
        <v>#DIV/0!</v>
      </c>
      <c r="W461" s="25" t="e">
        <f t="shared" si="241"/>
        <v>#DIV/0!</v>
      </c>
      <c r="X461" s="25" t="e">
        <f t="shared" si="242"/>
        <v>#DIV/0!</v>
      </c>
      <c r="Y461" s="25" t="e">
        <f t="shared" si="243"/>
        <v>#DIV/0!</v>
      </c>
      <c r="Z461" s="25" t="e">
        <f t="shared" si="244"/>
        <v>#DIV/0!</v>
      </c>
      <c r="AA461" s="25" t="e">
        <f t="shared" si="245"/>
        <v>#DIV/0!</v>
      </c>
      <c r="AB461" s="25" t="e">
        <f t="shared" si="246"/>
        <v>#DIV/0!</v>
      </c>
      <c r="AC461" s="25" t="e">
        <f t="shared" si="247"/>
        <v>#DIV/0!</v>
      </c>
      <c r="AD461" s="63" t="e">
        <f t="shared" si="248"/>
        <v>#DIV/0!</v>
      </c>
      <c r="AE461" s="24">
        <f t="shared" si="260"/>
        <v>0</v>
      </c>
    </row>
    <row r="462" spans="1:31" x14ac:dyDescent="0.2">
      <c r="A462" s="75">
        <f t="shared" si="230"/>
        <v>46296</v>
      </c>
      <c r="B462" s="15" t="str">
        <f>$B$12</f>
        <v>FC</v>
      </c>
      <c r="C462" s="15" t="str">
        <f>$C$12</f>
        <v>Kishan</v>
      </c>
      <c r="D462" s="18">
        <f t="shared" si="249"/>
        <v>0</v>
      </c>
      <c r="E462" s="4">
        <f t="shared" si="250"/>
        <v>0</v>
      </c>
      <c r="F462" s="4"/>
      <c r="G462" s="5" t="e">
        <f t="shared" si="251"/>
        <v>#DIV/0!</v>
      </c>
      <c r="H462" s="4" t="e">
        <f t="shared" si="252"/>
        <v>#DIV/0!</v>
      </c>
      <c r="I462" s="4" t="e">
        <f t="shared" si="253"/>
        <v>#DIV/0!</v>
      </c>
      <c r="J462" s="4">
        <f t="shared" si="254"/>
        <v>0</v>
      </c>
      <c r="K462" s="27">
        <f t="shared" si="255"/>
        <v>0</v>
      </c>
      <c r="L462" s="30">
        <f t="shared" si="256"/>
        <v>0</v>
      </c>
      <c r="M462" s="23"/>
      <c r="N462" s="2"/>
      <c r="O462" s="4"/>
      <c r="P462" s="5" t="e">
        <f t="shared" si="257"/>
        <v>#DIV/0!</v>
      </c>
      <c r="Q462" s="29" t="e">
        <f t="shared" si="258"/>
        <v>#DIV/0!</v>
      </c>
      <c r="R462" s="29" t="e">
        <f t="shared" si="259"/>
        <v>#DIV/0!</v>
      </c>
      <c r="S462" s="1">
        <v>0</v>
      </c>
      <c r="T462" s="1">
        <v>0</v>
      </c>
      <c r="U462" s="24">
        <v>0</v>
      </c>
      <c r="V462" s="25" t="e">
        <f t="shared" si="240"/>
        <v>#DIV/0!</v>
      </c>
      <c r="W462" s="25" t="e">
        <f t="shared" si="241"/>
        <v>#DIV/0!</v>
      </c>
      <c r="X462" s="25" t="e">
        <f t="shared" si="242"/>
        <v>#DIV/0!</v>
      </c>
      <c r="Y462" s="25" t="e">
        <f t="shared" si="243"/>
        <v>#DIV/0!</v>
      </c>
      <c r="Z462" s="25" t="e">
        <f t="shared" si="244"/>
        <v>#DIV/0!</v>
      </c>
      <c r="AA462" s="25" t="e">
        <f t="shared" si="245"/>
        <v>#DIV/0!</v>
      </c>
      <c r="AB462" s="25" t="e">
        <f t="shared" si="246"/>
        <v>#DIV/0!</v>
      </c>
      <c r="AC462" s="25" t="e">
        <f t="shared" si="247"/>
        <v>#DIV/0!</v>
      </c>
      <c r="AD462" s="63" t="e">
        <f t="shared" si="248"/>
        <v>#DIV/0!</v>
      </c>
      <c r="AE462" s="24">
        <f t="shared" si="260"/>
        <v>0</v>
      </c>
    </row>
    <row r="463" spans="1:31" x14ac:dyDescent="0.2">
      <c r="A463" s="75">
        <f t="shared" si="230"/>
        <v>46296</v>
      </c>
      <c r="B463" s="15" t="str">
        <f>$B$13</f>
        <v>Partner</v>
      </c>
      <c r="C463" s="15" t="str">
        <f>$C$13</f>
        <v>Rahul</v>
      </c>
      <c r="D463" s="18">
        <f t="shared" si="249"/>
        <v>0</v>
      </c>
      <c r="E463" s="4">
        <f t="shared" si="250"/>
        <v>0</v>
      </c>
      <c r="F463" s="4"/>
      <c r="G463" s="5" t="e">
        <f t="shared" si="251"/>
        <v>#DIV/0!</v>
      </c>
      <c r="H463" s="4" t="e">
        <f t="shared" si="252"/>
        <v>#DIV/0!</v>
      </c>
      <c r="I463" s="4" t="e">
        <f t="shared" si="253"/>
        <v>#DIV/0!</v>
      </c>
      <c r="J463" s="4">
        <f t="shared" si="254"/>
        <v>0</v>
      </c>
      <c r="K463" s="27">
        <f t="shared" si="255"/>
        <v>0</v>
      </c>
      <c r="L463" s="30">
        <f t="shared" si="256"/>
        <v>0</v>
      </c>
      <c r="M463" s="23"/>
      <c r="N463" s="2"/>
      <c r="O463" s="4"/>
      <c r="P463" s="5" t="e">
        <f t="shared" si="257"/>
        <v>#DIV/0!</v>
      </c>
      <c r="Q463" s="29" t="e">
        <f t="shared" si="258"/>
        <v>#DIV/0!</v>
      </c>
      <c r="R463" s="29" t="e">
        <f t="shared" si="259"/>
        <v>#DIV/0!</v>
      </c>
      <c r="S463" s="1">
        <v>0</v>
      </c>
      <c r="T463" s="1">
        <v>0</v>
      </c>
      <c r="U463" s="24">
        <v>0</v>
      </c>
      <c r="V463" s="25" t="e">
        <f t="shared" si="240"/>
        <v>#DIV/0!</v>
      </c>
      <c r="W463" s="25" t="e">
        <f t="shared" si="241"/>
        <v>#DIV/0!</v>
      </c>
      <c r="X463" s="25" t="e">
        <f t="shared" si="242"/>
        <v>#DIV/0!</v>
      </c>
      <c r="Y463" s="25" t="e">
        <f t="shared" si="243"/>
        <v>#DIV/0!</v>
      </c>
      <c r="Z463" s="25" t="e">
        <f t="shared" si="244"/>
        <v>#DIV/0!</v>
      </c>
      <c r="AA463" s="25" t="e">
        <f t="shared" si="245"/>
        <v>#DIV/0!</v>
      </c>
      <c r="AB463" s="25" t="e">
        <f t="shared" si="246"/>
        <v>#DIV/0!</v>
      </c>
      <c r="AC463" s="25" t="e">
        <f t="shared" si="247"/>
        <v>#DIV/0!</v>
      </c>
      <c r="AD463" s="63" t="e">
        <f t="shared" si="248"/>
        <v>#DIV/0!</v>
      </c>
      <c r="AE463" s="24">
        <f t="shared" si="260"/>
        <v>0</v>
      </c>
    </row>
    <row r="464" spans="1:31" x14ac:dyDescent="0.2">
      <c r="A464" s="75">
        <f t="shared" si="230"/>
        <v>46296</v>
      </c>
      <c r="B464" s="15" t="str">
        <f>$B$14</f>
        <v>Partner</v>
      </c>
      <c r="C464" s="15" t="str">
        <f>$C$14</f>
        <v>Prince</v>
      </c>
      <c r="D464" s="18">
        <f t="shared" si="249"/>
        <v>0</v>
      </c>
      <c r="E464" s="4">
        <f t="shared" si="250"/>
        <v>0</v>
      </c>
      <c r="F464" s="4"/>
      <c r="G464" s="5" t="e">
        <f t="shared" si="251"/>
        <v>#DIV/0!</v>
      </c>
      <c r="H464" s="4" t="e">
        <f t="shared" si="252"/>
        <v>#DIV/0!</v>
      </c>
      <c r="I464" s="4" t="e">
        <f t="shared" si="253"/>
        <v>#DIV/0!</v>
      </c>
      <c r="J464" s="4">
        <f t="shared" si="254"/>
        <v>0</v>
      </c>
      <c r="K464" s="27">
        <f t="shared" si="255"/>
        <v>0</v>
      </c>
      <c r="L464" s="30">
        <f t="shared" si="256"/>
        <v>0</v>
      </c>
      <c r="M464" s="23"/>
      <c r="N464" s="2"/>
      <c r="O464" s="4"/>
      <c r="P464" s="5" t="e">
        <f t="shared" si="257"/>
        <v>#DIV/0!</v>
      </c>
      <c r="Q464" s="29" t="e">
        <f t="shared" si="258"/>
        <v>#DIV/0!</v>
      </c>
      <c r="R464" s="29" t="e">
        <f t="shared" si="259"/>
        <v>#DIV/0!</v>
      </c>
      <c r="S464" s="1">
        <v>0</v>
      </c>
      <c r="T464" s="1">
        <v>0</v>
      </c>
      <c r="U464" s="24">
        <v>0</v>
      </c>
      <c r="V464" s="25" t="e">
        <f t="shared" si="240"/>
        <v>#DIV/0!</v>
      </c>
      <c r="W464" s="25" t="e">
        <f t="shared" si="241"/>
        <v>#DIV/0!</v>
      </c>
      <c r="X464" s="25" t="e">
        <f t="shared" si="242"/>
        <v>#DIV/0!</v>
      </c>
      <c r="Y464" s="25" t="e">
        <f t="shared" si="243"/>
        <v>#DIV/0!</v>
      </c>
      <c r="Z464" s="25" t="e">
        <f t="shared" si="244"/>
        <v>#DIV/0!</v>
      </c>
      <c r="AA464" s="25" t="e">
        <f t="shared" si="245"/>
        <v>#DIV/0!</v>
      </c>
      <c r="AB464" s="25" t="e">
        <f t="shared" si="246"/>
        <v>#DIV/0!</v>
      </c>
      <c r="AC464" s="25" t="e">
        <f t="shared" si="247"/>
        <v>#DIV/0!</v>
      </c>
      <c r="AD464" s="63" t="e">
        <f t="shared" si="248"/>
        <v>#DIV/0!</v>
      </c>
      <c r="AE464" s="24">
        <f t="shared" si="260"/>
        <v>0</v>
      </c>
    </row>
    <row r="465" spans="1:31" x14ac:dyDescent="0.2">
      <c r="A465" s="75">
        <f t="shared" si="230"/>
        <v>46296</v>
      </c>
      <c r="B465" s="15" t="str">
        <f>$B$15</f>
        <v>Partner</v>
      </c>
      <c r="C465" s="15" t="str">
        <f>$C$15</f>
        <v>Kunal</v>
      </c>
      <c r="D465" s="18">
        <f t="shared" si="249"/>
        <v>0</v>
      </c>
      <c r="E465" s="4">
        <f t="shared" si="250"/>
        <v>0</v>
      </c>
      <c r="F465" s="4"/>
      <c r="G465" s="5" t="e">
        <f t="shared" si="251"/>
        <v>#DIV/0!</v>
      </c>
      <c r="H465" s="4" t="e">
        <f t="shared" si="252"/>
        <v>#DIV/0!</v>
      </c>
      <c r="I465" s="4" t="e">
        <f t="shared" si="253"/>
        <v>#DIV/0!</v>
      </c>
      <c r="J465" s="4">
        <f t="shared" si="254"/>
        <v>0</v>
      </c>
      <c r="K465" s="27">
        <f t="shared" si="255"/>
        <v>0</v>
      </c>
      <c r="L465" s="30">
        <f t="shared" si="256"/>
        <v>0</v>
      </c>
      <c r="M465" s="23"/>
      <c r="N465" s="2"/>
      <c r="O465" s="4"/>
      <c r="P465" s="5" t="e">
        <f t="shared" si="257"/>
        <v>#DIV/0!</v>
      </c>
      <c r="Q465" s="29" t="e">
        <f t="shared" si="258"/>
        <v>#DIV/0!</v>
      </c>
      <c r="R465" s="29" t="e">
        <f t="shared" si="259"/>
        <v>#DIV/0!</v>
      </c>
      <c r="S465" s="1">
        <v>0</v>
      </c>
      <c r="T465" s="1">
        <v>0</v>
      </c>
      <c r="U465" s="24">
        <v>0</v>
      </c>
      <c r="V465" s="25" t="e">
        <f t="shared" si="240"/>
        <v>#DIV/0!</v>
      </c>
      <c r="W465" s="25" t="e">
        <f t="shared" si="241"/>
        <v>#DIV/0!</v>
      </c>
      <c r="X465" s="25" t="e">
        <f t="shared" si="242"/>
        <v>#DIV/0!</v>
      </c>
      <c r="Y465" s="25" t="e">
        <f t="shared" si="243"/>
        <v>#DIV/0!</v>
      </c>
      <c r="Z465" s="25" t="e">
        <f t="shared" si="244"/>
        <v>#DIV/0!</v>
      </c>
      <c r="AA465" s="25" t="e">
        <f t="shared" si="245"/>
        <v>#DIV/0!</v>
      </c>
      <c r="AB465" s="25" t="e">
        <f t="shared" si="246"/>
        <v>#DIV/0!</v>
      </c>
      <c r="AC465" s="25" t="e">
        <f t="shared" si="247"/>
        <v>#DIV/0!</v>
      </c>
      <c r="AD465" s="63" t="e">
        <f t="shared" si="248"/>
        <v>#DIV/0!</v>
      </c>
      <c r="AE465" s="24">
        <f t="shared" si="260"/>
        <v>0</v>
      </c>
    </row>
    <row r="466" spans="1:31" x14ac:dyDescent="0.2">
      <c r="A466" s="75">
        <f t="shared" si="230"/>
        <v>46296</v>
      </c>
      <c r="B466" s="15" t="str">
        <f>$B$16</f>
        <v>NA</v>
      </c>
      <c r="C466" s="15" t="str">
        <f>$C$16</f>
        <v>NA</v>
      </c>
      <c r="D466" s="18">
        <f t="shared" si="249"/>
        <v>0</v>
      </c>
      <c r="E466" s="4">
        <f t="shared" si="250"/>
        <v>0</v>
      </c>
      <c r="F466" s="4"/>
      <c r="G466" s="5" t="e">
        <f t="shared" si="251"/>
        <v>#DIV/0!</v>
      </c>
      <c r="H466" s="4" t="e">
        <f t="shared" si="252"/>
        <v>#DIV/0!</v>
      </c>
      <c r="I466" s="4" t="e">
        <f t="shared" si="253"/>
        <v>#DIV/0!</v>
      </c>
      <c r="J466" s="4">
        <f t="shared" si="254"/>
        <v>0</v>
      </c>
      <c r="K466" s="27">
        <f t="shared" si="255"/>
        <v>0</v>
      </c>
      <c r="L466" s="30">
        <f t="shared" si="256"/>
        <v>0</v>
      </c>
      <c r="M466" s="23"/>
      <c r="N466" s="2"/>
      <c r="O466" s="4"/>
      <c r="P466" s="5" t="e">
        <f t="shared" si="257"/>
        <v>#DIV/0!</v>
      </c>
      <c r="Q466" s="29" t="e">
        <f t="shared" si="258"/>
        <v>#DIV/0!</v>
      </c>
      <c r="R466" s="29" t="e">
        <f t="shared" si="259"/>
        <v>#DIV/0!</v>
      </c>
      <c r="S466" s="1">
        <v>0</v>
      </c>
      <c r="T466" s="1">
        <v>0</v>
      </c>
      <c r="U466" s="24">
        <v>0</v>
      </c>
      <c r="V466" s="25" t="e">
        <f t="shared" si="240"/>
        <v>#DIV/0!</v>
      </c>
      <c r="W466" s="25" t="e">
        <f t="shared" si="241"/>
        <v>#DIV/0!</v>
      </c>
      <c r="X466" s="25" t="e">
        <f t="shared" si="242"/>
        <v>#DIV/0!</v>
      </c>
      <c r="Y466" s="25" t="e">
        <f t="shared" si="243"/>
        <v>#DIV/0!</v>
      </c>
      <c r="Z466" s="25" t="e">
        <f t="shared" si="244"/>
        <v>#DIV/0!</v>
      </c>
      <c r="AA466" s="25" t="e">
        <f t="shared" si="245"/>
        <v>#DIV/0!</v>
      </c>
      <c r="AB466" s="25" t="e">
        <f t="shared" si="246"/>
        <v>#DIV/0!</v>
      </c>
      <c r="AC466" s="25" t="e">
        <f t="shared" si="247"/>
        <v>#DIV/0!</v>
      </c>
      <c r="AD466" s="63" t="e">
        <f t="shared" si="248"/>
        <v>#DIV/0!</v>
      </c>
      <c r="AE466" s="24">
        <f t="shared" si="260"/>
        <v>0</v>
      </c>
    </row>
    <row r="467" spans="1:31" x14ac:dyDescent="0.2">
      <c r="A467" s="75">
        <f t="shared" ref="A467:A468" si="261">A452+1</f>
        <v>46296</v>
      </c>
      <c r="B467" s="15" t="str">
        <f>$B$17</f>
        <v>NA</v>
      </c>
      <c r="C467" s="15" t="str">
        <f>$C$17</f>
        <v>NA</v>
      </c>
      <c r="D467" s="18">
        <f t="shared" si="249"/>
        <v>0</v>
      </c>
      <c r="E467" s="4">
        <f t="shared" si="250"/>
        <v>0</v>
      </c>
      <c r="F467" s="4"/>
      <c r="G467" s="5" t="e">
        <f t="shared" si="251"/>
        <v>#DIV/0!</v>
      </c>
      <c r="H467" s="4" t="e">
        <f t="shared" si="252"/>
        <v>#DIV/0!</v>
      </c>
      <c r="I467" s="4" t="e">
        <f t="shared" si="253"/>
        <v>#DIV/0!</v>
      </c>
      <c r="J467" s="4">
        <f t="shared" si="254"/>
        <v>0</v>
      </c>
      <c r="K467" s="27">
        <f t="shared" si="255"/>
        <v>0</v>
      </c>
      <c r="L467" s="30">
        <f t="shared" si="256"/>
        <v>0</v>
      </c>
      <c r="M467" s="23"/>
      <c r="N467" s="2"/>
      <c r="O467" s="4"/>
      <c r="P467" s="5" t="e">
        <f t="shared" si="257"/>
        <v>#DIV/0!</v>
      </c>
      <c r="Q467" s="29" t="e">
        <f t="shared" si="258"/>
        <v>#DIV/0!</v>
      </c>
      <c r="R467" s="29" t="e">
        <f t="shared" si="259"/>
        <v>#DIV/0!</v>
      </c>
      <c r="S467" s="1">
        <v>0</v>
      </c>
      <c r="T467" s="1">
        <v>0</v>
      </c>
      <c r="U467" s="24">
        <v>0</v>
      </c>
      <c r="V467" s="25" t="e">
        <f t="shared" si="240"/>
        <v>#DIV/0!</v>
      </c>
      <c r="W467" s="25" t="e">
        <f t="shared" si="241"/>
        <v>#DIV/0!</v>
      </c>
      <c r="X467" s="25" t="e">
        <f t="shared" si="242"/>
        <v>#DIV/0!</v>
      </c>
      <c r="Y467" s="25" t="e">
        <f t="shared" si="243"/>
        <v>#DIV/0!</v>
      </c>
      <c r="Z467" s="25" t="e">
        <f t="shared" si="244"/>
        <v>#DIV/0!</v>
      </c>
      <c r="AA467" s="25" t="e">
        <f t="shared" si="245"/>
        <v>#DIV/0!</v>
      </c>
      <c r="AB467" s="25" t="e">
        <f t="shared" si="246"/>
        <v>#DIV/0!</v>
      </c>
      <c r="AC467" s="25" t="e">
        <f t="shared" si="247"/>
        <v>#DIV/0!</v>
      </c>
      <c r="AD467" s="63" t="e">
        <f t="shared" si="248"/>
        <v>#DIV/0!</v>
      </c>
      <c r="AE467" s="24">
        <f t="shared" si="260"/>
        <v>0</v>
      </c>
    </row>
    <row r="468" spans="1:31" x14ac:dyDescent="0.2">
      <c r="A468" s="75">
        <f t="shared" si="261"/>
        <v>46296</v>
      </c>
      <c r="B468" s="15" t="str">
        <f>$B$18</f>
        <v>NA</v>
      </c>
      <c r="C468" s="15" t="str">
        <f>$C$18</f>
        <v>NA</v>
      </c>
      <c r="D468" s="18">
        <f t="shared" si="249"/>
        <v>0</v>
      </c>
      <c r="E468" s="4">
        <f t="shared" si="250"/>
        <v>0</v>
      </c>
      <c r="F468" s="4"/>
      <c r="G468" s="5" t="e">
        <f t="shared" si="251"/>
        <v>#DIV/0!</v>
      </c>
      <c r="H468" s="4" t="e">
        <f t="shared" si="252"/>
        <v>#DIV/0!</v>
      </c>
      <c r="I468" s="4" t="e">
        <f t="shared" si="253"/>
        <v>#DIV/0!</v>
      </c>
      <c r="J468" s="4">
        <f t="shared" si="254"/>
        <v>0</v>
      </c>
      <c r="K468" s="27">
        <f t="shared" si="255"/>
        <v>0</v>
      </c>
      <c r="L468" s="30">
        <f t="shared" si="256"/>
        <v>0</v>
      </c>
      <c r="M468" s="23"/>
      <c r="N468" s="2"/>
      <c r="O468" s="4"/>
      <c r="P468" s="5" t="e">
        <f t="shared" si="257"/>
        <v>#DIV/0!</v>
      </c>
      <c r="Q468" s="29" t="e">
        <f t="shared" si="258"/>
        <v>#DIV/0!</v>
      </c>
      <c r="R468" s="29" t="e">
        <f t="shared" si="259"/>
        <v>#DIV/0!</v>
      </c>
      <c r="S468" s="1">
        <v>0</v>
      </c>
      <c r="T468" s="1">
        <v>0</v>
      </c>
      <c r="U468" s="24">
        <v>0</v>
      </c>
      <c r="V468" s="25" t="e">
        <f t="shared" si="240"/>
        <v>#DIV/0!</v>
      </c>
      <c r="W468" s="25" t="e">
        <f t="shared" si="241"/>
        <v>#DIV/0!</v>
      </c>
      <c r="X468" s="25" t="e">
        <f t="shared" si="242"/>
        <v>#DIV/0!</v>
      </c>
      <c r="Y468" s="25" t="e">
        <f t="shared" si="243"/>
        <v>#DIV/0!</v>
      </c>
      <c r="Z468" s="25" t="e">
        <f t="shared" si="244"/>
        <v>#DIV/0!</v>
      </c>
      <c r="AA468" s="25" t="e">
        <f t="shared" si="245"/>
        <v>#DIV/0!</v>
      </c>
      <c r="AB468" s="25" t="e">
        <f t="shared" si="246"/>
        <v>#DIV/0!</v>
      </c>
      <c r="AC468" s="25" t="e">
        <f t="shared" si="247"/>
        <v>#DIV/0!</v>
      </c>
      <c r="AD468" s="63" t="e">
        <f t="shared" si="248"/>
        <v>#DIV/0!</v>
      </c>
      <c r="AE468" s="24">
        <f t="shared" si="260"/>
        <v>0</v>
      </c>
    </row>
    <row r="469" spans="1:31" ht="13.5" thickBot="1" x14ac:dyDescent="0.25">
      <c r="A469" s="76"/>
      <c r="B469" s="77"/>
      <c r="C469" s="78" t="s">
        <v>2</v>
      </c>
      <c r="D469" s="19">
        <f>SUM(D4:D438)</f>
        <v>994.36341704599954</v>
      </c>
      <c r="E469" s="19">
        <f>SUM(E4:E438)</f>
        <v>2482.88922049846</v>
      </c>
      <c r="F469" s="19">
        <f>SUM(F5:F468)</f>
        <v>2453094.5498524797</v>
      </c>
      <c r="G469" s="21">
        <f t="shared" ref="G469" si="262">E469/D469</f>
        <v>2.496963562753034</v>
      </c>
      <c r="H469" s="28">
        <f>F469/D469</f>
        <v>2466.9999999999986</v>
      </c>
      <c r="I469" s="28">
        <f>F469/E469</f>
        <v>988.00000000000057</v>
      </c>
      <c r="J469" s="20">
        <f>SUM(J4:J148)</f>
        <v>26.735135047970964</v>
      </c>
      <c r="K469" s="20">
        <f>SUM(K4:K148)</f>
        <v>13.367567523985482</v>
      </c>
      <c r="L469" s="22">
        <f>SUM(L4:L148)</f>
        <v>83.547297024909255</v>
      </c>
      <c r="M469" s="19">
        <f>SUM(M4:M438)</f>
        <v>1021</v>
      </c>
      <c r="N469" s="19">
        <f>SUM(N4:N438)</f>
        <v>2280</v>
      </c>
      <c r="O469" s="19">
        <f>SUM(O4:O438)</f>
        <v>2386241.4999999991</v>
      </c>
      <c r="P469" s="21">
        <f>N469/M469</f>
        <v>2.2331047992164543</v>
      </c>
      <c r="Q469" s="28">
        <f>O469/M469</f>
        <v>2337.1611165523987</v>
      </c>
      <c r="R469" s="28">
        <f>O469/N469</f>
        <v>1046.5971491228065</v>
      </c>
      <c r="S469" s="19">
        <f>SUM(S4:S438)</f>
        <v>0</v>
      </c>
      <c r="T469" s="19">
        <f>SUM(T4:T438)</f>
        <v>0</v>
      </c>
      <c r="U469" s="19">
        <f t="shared" ref="U469" si="263">SUM(U4:U438)</f>
        <v>0</v>
      </c>
      <c r="V469" s="26">
        <f t="shared" ref="V469" si="264">M469/D469</f>
        <v>1.0267875733332297</v>
      </c>
      <c r="W469" s="26">
        <f t="shared" ref="W469" si="265">N469/E469</f>
        <v>0.9182850290607294</v>
      </c>
      <c r="X469" s="26">
        <f t="shared" ref="X469" si="266">O469/F469</f>
        <v>0.97274746305375759</v>
      </c>
      <c r="Y469" s="26">
        <f t="shared" ref="Y469" si="267">P469/G469</f>
        <v>0.89432814820667172</v>
      </c>
      <c r="Z469" s="26">
        <f t="shared" ref="Z469" si="268">Q469/H469</f>
        <v>0.94736972701759214</v>
      </c>
      <c r="AA469" s="26">
        <f t="shared" ref="AA469" si="269">R469/I469</f>
        <v>1.0593088553874555</v>
      </c>
      <c r="AB469" s="26">
        <f t="shared" ref="AB469" si="270">S469/J469</f>
        <v>0</v>
      </c>
      <c r="AC469" s="26">
        <f t="shared" ref="AC469" si="271">T469/K469</f>
        <v>0</v>
      </c>
      <c r="AD469" s="64">
        <f t="shared" ref="AD469" si="272">U469/L469</f>
        <v>0</v>
      </c>
      <c r="AE469" s="22">
        <f t="shared" ref="AE469" si="273">SUM(AE4:AE438)</f>
        <v>188</v>
      </c>
    </row>
  </sheetData>
  <mergeCells count="3">
    <mergeCell ref="V2:AD2"/>
    <mergeCell ref="D2:L2"/>
    <mergeCell ref="M2:U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workbookViewId="0">
      <selection activeCell="P20" sqref="P20"/>
    </sheetView>
  </sheetViews>
  <sheetFormatPr defaultRowHeight="15" x14ac:dyDescent="0.25"/>
  <cols>
    <col min="1" max="1" width="13.140625" bestFit="1" customWidth="1"/>
    <col min="2" max="2" width="10.7109375" bestFit="1" customWidth="1"/>
    <col min="3" max="4" width="11.28515625" bestFit="1" customWidth="1"/>
    <col min="5" max="5" width="11.7109375" bestFit="1" customWidth="1"/>
    <col min="6" max="7" width="12.28515625" bestFit="1" customWidth="1"/>
    <col min="8" max="8" width="18.140625" bestFit="1" customWidth="1"/>
    <col min="11" max="11" width="9" customWidth="1"/>
    <col min="13" max="13" width="11.42578125" bestFit="1" customWidth="1"/>
  </cols>
  <sheetData>
    <row r="1" spans="1:17" x14ac:dyDescent="0.25">
      <c r="A1" s="106" t="s">
        <v>0</v>
      </c>
      <c r="B1" s="121" t="s">
        <v>38</v>
      </c>
    </row>
    <row r="3" spans="1:17" x14ac:dyDescent="0.25">
      <c r="A3" s="106" t="s">
        <v>15</v>
      </c>
      <c r="B3" s="121" t="s">
        <v>39</v>
      </c>
      <c r="C3" s="122" t="s">
        <v>40</v>
      </c>
      <c r="D3" s="121" t="s">
        <v>41</v>
      </c>
      <c r="E3" s="121" t="s">
        <v>43</v>
      </c>
      <c r="F3" s="121" t="s">
        <v>42</v>
      </c>
      <c r="G3" s="121" t="s">
        <v>44</v>
      </c>
      <c r="H3" s="121" t="s">
        <v>56</v>
      </c>
      <c r="I3" s="111" t="s">
        <v>34</v>
      </c>
      <c r="J3" s="112" t="s">
        <v>36</v>
      </c>
      <c r="K3" s="112" t="s">
        <v>35</v>
      </c>
      <c r="L3" s="113" t="s">
        <v>37</v>
      </c>
      <c r="M3" s="46" t="s">
        <v>57</v>
      </c>
    </row>
    <row r="4" spans="1:17" x14ac:dyDescent="0.25">
      <c r="A4" s="107" t="s">
        <v>27</v>
      </c>
      <c r="B4" s="122">
        <v>181.28297788440966</v>
      </c>
      <c r="C4" s="122">
        <v>72.601370956545068</v>
      </c>
      <c r="D4" s="122">
        <v>179107.58214979671</v>
      </c>
      <c r="E4" s="108">
        <v>211</v>
      </c>
      <c r="F4" s="108">
        <v>118</v>
      </c>
      <c r="G4" s="122">
        <v>200335.43000000002</v>
      </c>
      <c r="H4" s="108">
        <v>18</v>
      </c>
      <c r="I4" s="110">
        <f>E4/F4</f>
        <v>1.7881355932203389</v>
      </c>
      <c r="J4" s="32">
        <f>G4/F4</f>
        <v>1697.7578813559323</v>
      </c>
      <c r="K4" s="32">
        <f>G4/E4</f>
        <v>949.45701421800959</v>
      </c>
      <c r="L4" s="79">
        <f>G4/D4</f>
        <v>1.11852009610877</v>
      </c>
      <c r="M4" s="105">
        <f>G4/H4</f>
        <v>11129.746111111112</v>
      </c>
      <c r="Q4" s="114"/>
    </row>
    <row r="5" spans="1:17" x14ac:dyDescent="0.25">
      <c r="A5" s="107" t="s">
        <v>53</v>
      </c>
      <c r="B5" s="122">
        <v>150.19082230680635</v>
      </c>
      <c r="C5" s="122">
        <v>60.149384855745716</v>
      </c>
      <c r="D5" s="122">
        <v>148388.53243912468</v>
      </c>
      <c r="E5" s="108">
        <v>155</v>
      </c>
      <c r="F5" s="108">
        <v>80</v>
      </c>
      <c r="G5" s="122">
        <v>109027.72999999998</v>
      </c>
      <c r="H5" s="108">
        <v>20</v>
      </c>
      <c r="I5" s="110">
        <f t="shared" ref="I5:I16" si="0">E5/F5</f>
        <v>1.9375</v>
      </c>
      <c r="J5" s="32">
        <f t="shared" ref="J5:J16" si="1">G5/F5</f>
        <v>1362.8466249999997</v>
      </c>
      <c r="K5" s="32">
        <f t="shared" ref="K5:K16" si="2">G5/E5</f>
        <v>703.40470967741919</v>
      </c>
      <c r="L5" s="79">
        <f t="shared" ref="L5:L16" si="3">G5/D5</f>
        <v>0.73474498472264238</v>
      </c>
      <c r="M5" s="105">
        <f t="shared" ref="M5:M16" si="4">G5/H5</f>
        <v>5451.3864999999987</v>
      </c>
      <c r="Q5" s="114"/>
    </row>
    <row r="6" spans="1:17" x14ac:dyDescent="0.25">
      <c r="A6" s="107" t="s">
        <v>64</v>
      </c>
      <c r="B6" s="122">
        <v>327.51795370891682</v>
      </c>
      <c r="C6" s="122">
        <v>131.16649301354272</v>
      </c>
      <c r="D6" s="122">
        <v>323587.73826440994</v>
      </c>
      <c r="E6" s="108">
        <v>298</v>
      </c>
      <c r="F6" s="108">
        <v>115</v>
      </c>
      <c r="G6" s="122">
        <v>337440.48999999993</v>
      </c>
      <c r="H6" s="108">
        <v>18</v>
      </c>
      <c r="I6" s="110">
        <f t="shared" si="0"/>
        <v>2.5913043478260871</v>
      </c>
      <c r="J6" s="32">
        <f t="shared" si="1"/>
        <v>2934.2651304347819</v>
      </c>
      <c r="K6" s="32">
        <f t="shared" si="2"/>
        <v>1132.3506375838924</v>
      </c>
      <c r="L6" s="79">
        <f t="shared" si="3"/>
        <v>1.0428098784270701</v>
      </c>
      <c r="M6" s="105">
        <f t="shared" si="4"/>
        <v>18746.693888888884</v>
      </c>
      <c r="Q6" s="114"/>
    </row>
    <row r="7" spans="1:17" x14ac:dyDescent="0.25">
      <c r="A7" s="107" t="s">
        <v>65</v>
      </c>
      <c r="B7" s="122">
        <v>129.22366857550858</v>
      </c>
      <c r="C7" s="122">
        <v>51.752324504500407</v>
      </c>
      <c r="D7" s="122">
        <v>127672.9845526025</v>
      </c>
      <c r="E7" s="108">
        <v>132</v>
      </c>
      <c r="F7" s="108">
        <v>52</v>
      </c>
      <c r="G7" s="122">
        <v>153753.07999999999</v>
      </c>
      <c r="H7" s="108">
        <v>10</v>
      </c>
      <c r="I7" s="110">
        <f t="shared" si="0"/>
        <v>2.5384615384615383</v>
      </c>
      <c r="J7" s="32">
        <f t="shared" si="1"/>
        <v>2956.79</v>
      </c>
      <c r="K7" s="32">
        <f t="shared" si="2"/>
        <v>1164.7960606060606</v>
      </c>
      <c r="L7" s="79">
        <f t="shared" si="3"/>
        <v>1.2042726230516858</v>
      </c>
      <c r="M7" s="105">
        <f t="shared" si="4"/>
        <v>15375.307999999999</v>
      </c>
      <c r="Q7" s="114"/>
    </row>
    <row r="8" spans="1:17" x14ac:dyDescent="0.25">
      <c r="A8" s="107" t="s">
        <v>51</v>
      </c>
      <c r="B8" s="122">
        <v>315.87098045244164</v>
      </c>
      <c r="C8" s="122">
        <v>126.50203838143996</v>
      </c>
      <c r="D8" s="122">
        <v>312080.52868701238</v>
      </c>
      <c r="E8" s="108">
        <v>339</v>
      </c>
      <c r="F8" s="108">
        <v>95</v>
      </c>
      <c r="G8" s="122">
        <v>404641.25000000006</v>
      </c>
      <c r="H8" s="108">
        <v>20</v>
      </c>
      <c r="I8" s="110">
        <f t="shared" si="0"/>
        <v>3.5684210526315789</v>
      </c>
      <c r="J8" s="32">
        <f t="shared" si="1"/>
        <v>4259.3815789473692</v>
      </c>
      <c r="K8" s="32">
        <f t="shared" si="2"/>
        <v>1193.6320058997053</v>
      </c>
      <c r="L8" s="79">
        <f t="shared" si="3"/>
        <v>1.2965924266483713</v>
      </c>
      <c r="M8" s="105">
        <f t="shared" si="4"/>
        <v>20232.062500000004</v>
      </c>
    </row>
    <row r="9" spans="1:17" x14ac:dyDescent="0.25">
      <c r="A9" s="107" t="s">
        <v>63</v>
      </c>
      <c r="B9" s="122">
        <v>294.80539868986847</v>
      </c>
      <c r="C9" s="122">
        <v>118.06555894024727</v>
      </c>
      <c r="D9" s="122">
        <v>291267.73390559002</v>
      </c>
      <c r="E9" s="108">
        <v>296</v>
      </c>
      <c r="F9" s="108">
        <v>124</v>
      </c>
      <c r="G9" s="122">
        <v>354281.19</v>
      </c>
      <c r="H9" s="108">
        <v>16</v>
      </c>
      <c r="I9" s="110">
        <f t="shared" si="0"/>
        <v>2.3870967741935485</v>
      </c>
      <c r="J9" s="32">
        <f t="shared" si="1"/>
        <v>2857.1063709677419</v>
      </c>
      <c r="K9" s="32">
        <f t="shared" si="2"/>
        <v>1196.8959121621622</v>
      </c>
      <c r="L9" s="79">
        <f t="shared" si="3"/>
        <v>1.2163420412191446</v>
      </c>
      <c r="M9" s="105">
        <f t="shared" si="4"/>
        <v>22142.574375</v>
      </c>
    </row>
    <row r="10" spans="1:17" x14ac:dyDescent="0.25">
      <c r="A10" s="107" t="s">
        <v>31</v>
      </c>
      <c r="B10" s="122">
        <v>0</v>
      </c>
      <c r="C10" s="122">
        <v>0</v>
      </c>
      <c r="D10" s="122">
        <v>0</v>
      </c>
      <c r="E10" s="108">
        <v>-13</v>
      </c>
      <c r="F10" s="108">
        <v>40</v>
      </c>
      <c r="G10" s="122">
        <v>-67445.73000000001</v>
      </c>
      <c r="H10" s="108">
        <v>0</v>
      </c>
      <c r="I10" s="110">
        <f t="shared" si="0"/>
        <v>-0.32500000000000001</v>
      </c>
      <c r="J10" s="32">
        <f t="shared" si="1"/>
        <v>-1686.1432500000003</v>
      </c>
      <c r="K10" s="32">
        <f t="shared" si="2"/>
        <v>5188.1330769230781</v>
      </c>
      <c r="L10" s="79" t="e">
        <f t="shared" si="3"/>
        <v>#DIV/0!</v>
      </c>
      <c r="M10" s="105" t="e">
        <f t="shared" si="4"/>
        <v>#DIV/0!</v>
      </c>
    </row>
    <row r="11" spans="1:17" x14ac:dyDescent="0.25">
      <c r="A11" s="107" t="s">
        <v>26</v>
      </c>
      <c r="B11" s="122">
        <v>205.28497838696379</v>
      </c>
      <c r="C11" s="122">
        <v>82.21384622874757</v>
      </c>
      <c r="D11" s="122">
        <v>202821.55864632034</v>
      </c>
      <c r="E11" s="108">
        <v>186</v>
      </c>
      <c r="F11" s="108">
        <v>85</v>
      </c>
      <c r="G11" s="122">
        <v>181900.41</v>
      </c>
      <c r="H11" s="108">
        <v>18</v>
      </c>
      <c r="I11" s="110">
        <f t="shared" si="0"/>
        <v>2.1882352941176473</v>
      </c>
      <c r="J11" s="32">
        <f t="shared" si="1"/>
        <v>2140.0048235294116</v>
      </c>
      <c r="K11" s="32">
        <f t="shared" si="2"/>
        <v>977.95919354838713</v>
      </c>
      <c r="L11" s="79">
        <f>G11/D11</f>
        <v>0.89684948293488576</v>
      </c>
      <c r="M11" s="105">
        <f t="shared" si="4"/>
        <v>10105.578333333333</v>
      </c>
    </row>
    <row r="12" spans="1:17" x14ac:dyDescent="0.25">
      <c r="A12" s="107" t="s">
        <v>25</v>
      </c>
      <c r="B12" s="122">
        <v>100.38261564032344</v>
      </c>
      <c r="C12" s="122">
        <v>40.201874443712832</v>
      </c>
      <c r="D12" s="122">
        <v>99178.02425263956</v>
      </c>
      <c r="E12" s="108">
        <v>118</v>
      </c>
      <c r="F12" s="108">
        <v>61</v>
      </c>
      <c r="G12" s="122">
        <v>92496.960000000006</v>
      </c>
      <c r="H12" s="108">
        <v>14</v>
      </c>
      <c r="I12" s="110">
        <f t="shared" si="0"/>
        <v>1.9344262295081966</v>
      </c>
      <c r="J12" s="32">
        <f t="shared" si="1"/>
        <v>1516.3436065573771</v>
      </c>
      <c r="K12" s="32">
        <f t="shared" si="2"/>
        <v>783.87254237288141</v>
      </c>
      <c r="L12" s="79">
        <f t="shared" si="3"/>
        <v>0.93263563876186273</v>
      </c>
      <c r="M12" s="105">
        <f t="shared" si="4"/>
        <v>6606.925714285715</v>
      </c>
    </row>
    <row r="13" spans="1:17" x14ac:dyDescent="0.25">
      <c r="A13" s="107" t="s">
        <v>29</v>
      </c>
      <c r="B13" s="122">
        <v>302.90852617993818</v>
      </c>
      <c r="C13" s="122">
        <v>121.31075146565827</v>
      </c>
      <c r="D13" s="122">
        <v>299273.62386577891</v>
      </c>
      <c r="E13" s="108">
        <v>248</v>
      </c>
      <c r="F13" s="108">
        <v>103</v>
      </c>
      <c r="G13" s="122">
        <v>241934.33</v>
      </c>
      <c r="H13" s="108">
        <v>19</v>
      </c>
      <c r="I13" s="110">
        <f t="shared" si="0"/>
        <v>2.407766990291262</v>
      </c>
      <c r="J13" s="32">
        <f t="shared" si="1"/>
        <v>2348.8769902912618</v>
      </c>
      <c r="K13" s="32">
        <f t="shared" si="2"/>
        <v>975.54165322580639</v>
      </c>
      <c r="L13" s="79">
        <f t="shared" si="3"/>
        <v>0.80840512062133818</v>
      </c>
      <c r="M13" s="105">
        <f t="shared" si="4"/>
        <v>12733.385789473683</v>
      </c>
    </row>
    <row r="14" spans="1:17" x14ac:dyDescent="0.25">
      <c r="A14" s="107" t="s">
        <v>66</v>
      </c>
      <c r="B14" s="122">
        <v>235.1341757569293</v>
      </c>
      <c r="C14" s="122">
        <v>94.168044445823327</v>
      </c>
      <c r="D14" s="122">
        <v>232312.56564784615</v>
      </c>
      <c r="E14" s="108">
        <v>123</v>
      </c>
      <c r="F14" s="108">
        <v>65</v>
      </c>
      <c r="G14" s="122">
        <v>143727.9</v>
      </c>
      <c r="H14" s="108">
        <v>15</v>
      </c>
      <c r="I14" s="110">
        <f t="shared" si="0"/>
        <v>1.8923076923076922</v>
      </c>
      <c r="J14" s="32">
        <f t="shared" si="1"/>
        <v>2211.1984615384613</v>
      </c>
      <c r="K14" s="32">
        <f t="shared" si="2"/>
        <v>1168.5195121951219</v>
      </c>
      <c r="L14" s="79">
        <f t="shared" si="3"/>
        <v>0.61868327956857783</v>
      </c>
      <c r="M14" s="105">
        <f t="shared" si="4"/>
        <v>9581.8599999999988</v>
      </c>
    </row>
    <row r="15" spans="1:17" x14ac:dyDescent="0.25">
      <c r="A15" s="107" t="s">
        <v>67</v>
      </c>
      <c r="B15" s="122">
        <v>240.28712291635478</v>
      </c>
      <c r="C15" s="122">
        <v>96.231729810035901</v>
      </c>
      <c r="D15" s="122">
        <v>237403.67744135862</v>
      </c>
      <c r="E15" s="108">
        <v>187</v>
      </c>
      <c r="F15" s="108">
        <v>83</v>
      </c>
      <c r="G15" s="122">
        <v>234148.46</v>
      </c>
      <c r="H15" s="108">
        <v>20</v>
      </c>
      <c r="I15" s="110">
        <f t="shared" si="0"/>
        <v>2.2530120481927711</v>
      </c>
      <c r="J15" s="32">
        <f t="shared" si="1"/>
        <v>2821.0657831325302</v>
      </c>
      <c r="K15" s="32">
        <f t="shared" si="2"/>
        <v>1252.1308021390373</v>
      </c>
      <c r="L15" s="79">
        <f t="shared" si="3"/>
        <v>0.9862882602475157</v>
      </c>
      <c r="M15" s="105">
        <f t="shared" si="4"/>
        <v>11707.422999999999</v>
      </c>
    </row>
    <row r="16" spans="1:17" x14ac:dyDescent="0.25">
      <c r="A16" s="107" t="s">
        <v>16</v>
      </c>
      <c r="B16" s="122">
        <v>2482.8892204984609</v>
      </c>
      <c r="C16" s="122">
        <v>994.36341704599897</v>
      </c>
      <c r="D16" s="122">
        <v>2453094.5498524802</v>
      </c>
      <c r="E16" s="108">
        <v>2280</v>
      </c>
      <c r="F16" s="108">
        <v>1021</v>
      </c>
      <c r="G16" s="122">
        <v>2386241.5</v>
      </c>
      <c r="H16" s="108">
        <v>188</v>
      </c>
      <c r="I16" s="110">
        <f t="shared" si="0"/>
        <v>2.2331047992164543</v>
      </c>
      <c r="J16" s="32">
        <f t="shared" si="1"/>
        <v>2337.1611165523996</v>
      </c>
      <c r="K16" s="32">
        <f t="shared" si="2"/>
        <v>1046.597149122807</v>
      </c>
      <c r="L16" s="79">
        <f t="shared" si="3"/>
        <v>0.97274746305375781</v>
      </c>
      <c r="M16" s="105">
        <f t="shared" si="4"/>
        <v>12692.773936170213</v>
      </c>
    </row>
  </sheetData>
  <conditionalFormatting sqref="I3:I16">
    <cfRule type="cellIs" dxfId="41" priority="21" operator="lessThan">
      <formula>2.4</formula>
    </cfRule>
  </conditionalFormatting>
  <conditionalFormatting sqref="L3:L14 L16">
    <cfRule type="cellIs" dxfId="40" priority="20" operator="lessThan">
      <formula>0.9</formula>
    </cfRule>
  </conditionalFormatting>
  <conditionalFormatting sqref="J3:J16">
    <cfRule type="cellIs" dxfId="39" priority="17" operator="lessThan">
      <formula>2397</formula>
    </cfRule>
    <cfRule type="cellIs" dxfId="38" priority="19" operator="lessThan">
      <formula>2590</formula>
    </cfRule>
  </conditionalFormatting>
  <conditionalFormatting sqref="K3:K16">
    <cfRule type="cellIs" dxfId="37" priority="16" operator="lessThan">
      <formula>1000</formula>
    </cfRule>
    <cfRule type="cellIs" dxfId="36" priority="18" operator="lessThan">
      <formula>1079</formula>
    </cfRule>
  </conditionalFormatting>
  <conditionalFormatting sqref="L3:L14 L16">
    <cfRule type="cellIs" dxfId="35" priority="15" operator="lessThan">
      <formula>0.9</formula>
    </cfRule>
  </conditionalFormatting>
  <conditionalFormatting sqref="I15">
    <cfRule type="cellIs" dxfId="34" priority="14" operator="lessThan">
      <formula>2.4</formula>
    </cfRule>
  </conditionalFormatting>
  <conditionalFormatting sqref="L15">
    <cfRule type="cellIs" dxfId="33" priority="13" operator="lessThan">
      <formula>0.9</formula>
    </cfRule>
  </conditionalFormatting>
  <conditionalFormatting sqref="J15">
    <cfRule type="cellIs" dxfId="32" priority="10" operator="lessThan">
      <formula>2397</formula>
    </cfRule>
    <cfRule type="cellIs" dxfId="31" priority="12" operator="lessThan">
      <formula>2590</formula>
    </cfRule>
  </conditionalFormatting>
  <conditionalFormatting sqref="K15">
    <cfRule type="cellIs" dxfId="30" priority="9" operator="lessThan">
      <formula>1000</formula>
    </cfRule>
    <cfRule type="cellIs" dxfId="29" priority="11" operator="lessThan">
      <formula>1079</formula>
    </cfRule>
  </conditionalFormatting>
  <conditionalFormatting sqref="L15">
    <cfRule type="cellIs" dxfId="28" priority="8" operator="lessThan">
      <formula>0.9</formula>
    </cfRule>
  </conditionalFormatting>
  <pageMargins left="0.7" right="0.7" top="0.75" bottom="0.75" header="0.3" footer="0.3"/>
  <pageSetup scale="82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3"/>
  <sheetViews>
    <sheetView topLeftCell="B1" workbookViewId="0">
      <selection activeCell="X11" sqref="X11"/>
    </sheetView>
  </sheetViews>
  <sheetFormatPr defaultRowHeight="15" x14ac:dyDescent="0.25"/>
  <cols>
    <col min="1" max="1" width="9.85546875" style="83" hidden="1" customWidth="1"/>
    <col min="2" max="2" width="13.5703125" style="83" customWidth="1"/>
    <col min="3" max="3" width="11.5703125" style="83" customWidth="1"/>
    <col min="4" max="4" width="4.140625" style="6" customWidth="1"/>
    <col min="5" max="5" width="4.5703125" style="101" customWidth="1"/>
    <col min="6" max="6" width="9" style="83" customWidth="1"/>
    <col min="7" max="7" width="4.7109375" style="83" customWidth="1"/>
    <col min="8" max="8" width="4.140625" style="83" customWidth="1"/>
    <col min="9" max="11" width="7.7109375" style="83" customWidth="1"/>
    <col min="12" max="12" width="14.42578125" style="83" customWidth="1"/>
    <col min="13" max="13" width="7.28515625" style="83" customWidth="1"/>
    <col min="14" max="14" width="8.85546875" style="83" customWidth="1"/>
    <col min="15" max="15" width="7.5703125" style="83" customWidth="1"/>
    <col min="16" max="16" width="11.140625" style="83" customWidth="1"/>
    <col min="17" max="17" width="4.7109375" style="83" bestFit="1" customWidth="1"/>
    <col min="18" max="18" width="8.140625" style="83" customWidth="1"/>
    <col min="19" max="19" width="7.140625" style="83" customWidth="1"/>
    <col min="20" max="20" width="7.85546875" style="83" customWidth="1"/>
    <col min="21" max="21" width="5.28515625" style="83" customWidth="1"/>
    <col min="22" max="22" width="8.28515625" style="83" customWidth="1"/>
    <col min="23" max="39" width="9.140625" style="83"/>
    <col min="40" max="40" width="1.5703125" style="83" bestFit="1" customWidth="1"/>
    <col min="41" max="16384" width="9.140625" style="83"/>
  </cols>
  <sheetData>
    <row r="1" spans="1:25" ht="15.75" thickBot="1" x14ac:dyDescent="0.3">
      <c r="A1" s="80"/>
      <c r="B1" s="80" t="s">
        <v>61</v>
      </c>
      <c r="C1" s="80"/>
      <c r="D1" s="50" t="s">
        <v>62</v>
      </c>
      <c r="E1" s="81"/>
      <c r="F1" s="82">
        <v>121924.57873563483</v>
      </c>
      <c r="G1" s="129" t="s">
        <v>33</v>
      </c>
      <c r="H1" s="129"/>
      <c r="I1" s="129"/>
      <c r="J1" s="129"/>
      <c r="K1" s="129"/>
      <c r="L1" s="129"/>
      <c r="M1" s="129"/>
      <c r="N1" s="129"/>
      <c r="O1" s="129"/>
      <c r="P1" s="130" t="s">
        <v>49</v>
      </c>
      <c r="Q1" s="130"/>
      <c r="R1" s="130"/>
      <c r="S1" s="130"/>
      <c r="T1" s="130"/>
      <c r="U1" s="130"/>
    </row>
    <row r="2" spans="1:25" x14ac:dyDescent="0.25">
      <c r="A2" s="84" t="s">
        <v>46</v>
      </c>
      <c r="B2" s="85" t="s">
        <v>9</v>
      </c>
      <c r="C2" s="86" t="s">
        <v>11</v>
      </c>
      <c r="D2" s="86">
        <f>SUBTOTAL(9,D3:D18)</f>
        <v>6.1</v>
      </c>
      <c r="E2" s="86" t="s">
        <v>10</v>
      </c>
      <c r="F2" s="87" t="s">
        <v>24</v>
      </c>
      <c r="G2" s="87" t="s">
        <v>1</v>
      </c>
      <c r="H2" s="87" t="s">
        <v>6</v>
      </c>
      <c r="I2" s="88" t="s">
        <v>7</v>
      </c>
      <c r="J2" s="88" t="s">
        <v>18</v>
      </c>
      <c r="K2" s="88" t="s">
        <v>19</v>
      </c>
      <c r="L2" s="89" t="s">
        <v>50</v>
      </c>
      <c r="M2" s="88" t="s">
        <v>20</v>
      </c>
      <c r="N2" s="88" t="s">
        <v>21</v>
      </c>
      <c r="O2" s="88" t="s">
        <v>22</v>
      </c>
      <c r="P2" s="90" t="s">
        <v>24</v>
      </c>
      <c r="Q2" s="90" t="s">
        <v>1</v>
      </c>
      <c r="R2" s="90" t="s">
        <v>6</v>
      </c>
      <c r="S2" s="91" t="s">
        <v>7</v>
      </c>
      <c r="T2" s="91" t="s">
        <v>18</v>
      </c>
      <c r="U2" s="92" t="s">
        <v>19</v>
      </c>
      <c r="V2" s="93"/>
    </row>
    <row r="3" spans="1:25" x14ac:dyDescent="0.25">
      <c r="A3" s="43">
        <v>50063529</v>
      </c>
      <c r="B3" s="37" t="s">
        <v>54</v>
      </c>
      <c r="C3" s="6" t="s">
        <v>45</v>
      </c>
      <c r="D3" s="6">
        <v>0</v>
      </c>
      <c r="E3" s="7">
        <f t="shared" ref="E3:E18" si="0">D3/$D$2</f>
        <v>0</v>
      </c>
      <c r="F3" s="31">
        <f t="shared" ref="F3:F18" si="1">$F$1*E3</f>
        <v>0</v>
      </c>
      <c r="G3" s="31">
        <f>F3/2533</f>
        <v>0</v>
      </c>
      <c r="H3" s="31">
        <f>F3/1056</f>
        <v>0</v>
      </c>
      <c r="I3" s="44" t="e">
        <f>H3/G3</f>
        <v>#DIV/0!</v>
      </c>
      <c r="J3" s="45" t="e">
        <f>F3/G3</f>
        <v>#DIV/0!</v>
      </c>
      <c r="K3" s="45" t="e">
        <f>F3/H3</f>
        <v>#DIV/0!</v>
      </c>
      <c r="L3" s="46">
        <f>G3*50%</f>
        <v>0</v>
      </c>
      <c r="M3" s="46">
        <f>G3*14%</f>
        <v>0</v>
      </c>
      <c r="N3" s="46">
        <f>G3*0%</f>
        <v>0</v>
      </c>
      <c r="O3" s="46">
        <f>G3*25%</f>
        <v>0</v>
      </c>
      <c r="P3" s="47">
        <f>IFERROR(VLOOKUP(A3,[1]Pivot!A:B,2,0),0)</f>
        <v>0</v>
      </c>
      <c r="Q3" s="94">
        <f>IFERROR(VLOOKUP(A3,[1]Pivot!A:D,4,0),0)</f>
        <v>0</v>
      </c>
      <c r="R3" s="47">
        <f>IFERROR(VLOOKUP(A3,[1]Pivot!A:C,3,0),0)</f>
        <v>0</v>
      </c>
      <c r="S3" s="48" t="str">
        <f t="shared" ref="S3:S19" si="2">IF(ISERROR(R3/Q3),"",R3/Q3)</f>
        <v/>
      </c>
      <c r="T3" s="47" t="str">
        <f t="shared" ref="T3:T19" si="3">IF(ISERROR(P3/Q3),"",P3/Q3)</f>
        <v/>
      </c>
      <c r="U3" s="49" t="str">
        <f t="shared" ref="U3:U19" si="4">IF(ISERROR(P3/R3),"",P3/R3)</f>
        <v/>
      </c>
      <c r="V3" s="93"/>
    </row>
    <row r="4" spans="1:25" x14ac:dyDescent="0.25">
      <c r="A4" s="43">
        <v>50105787</v>
      </c>
      <c r="B4" s="37" t="s">
        <v>25</v>
      </c>
      <c r="C4" s="6" t="s">
        <v>12</v>
      </c>
      <c r="D4" s="6">
        <v>0</v>
      </c>
      <c r="E4" s="7">
        <f t="shared" si="0"/>
        <v>0</v>
      </c>
      <c r="F4" s="31">
        <f t="shared" si="1"/>
        <v>0</v>
      </c>
      <c r="G4" s="31">
        <f t="shared" ref="G4:G18" si="5">F4/2533</f>
        <v>0</v>
      </c>
      <c r="H4" s="31">
        <f t="shared" ref="H4:H18" si="6">F4/1056</f>
        <v>0</v>
      </c>
      <c r="I4" s="44" t="e">
        <f t="shared" ref="I4:I19" si="7">H4/G4</f>
        <v>#DIV/0!</v>
      </c>
      <c r="J4" s="45" t="e">
        <f t="shared" ref="J4:J19" si="8">F4/G4</f>
        <v>#DIV/0!</v>
      </c>
      <c r="K4" s="45" t="e">
        <f t="shared" ref="K4:K19" si="9">F4/H4</f>
        <v>#DIV/0!</v>
      </c>
      <c r="L4" s="46">
        <f t="shared" ref="L4:L19" si="10">G4*50%</f>
        <v>0</v>
      </c>
      <c r="M4" s="46">
        <f t="shared" ref="M4:M19" si="11">G4*14%</f>
        <v>0</v>
      </c>
      <c r="N4" s="46">
        <v>1</v>
      </c>
      <c r="O4" s="46">
        <f t="shared" ref="O4:O19" si="12">G4*25%</f>
        <v>0</v>
      </c>
      <c r="P4" s="47">
        <f>IFERROR(VLOOKUP(A4,[1]Pivot!A:B,2,0),0)</f>
        <v>4286.8</v>
      </c>
      <c r="Q4" s="94">
        <f>IFERROR(VLOOKUP(A4,[1]Pivot!A:D,4,0),0)</f>
        <v>5</v>
      </c>
      <c r="R4" s="47">
        <f>IFERROR(VLOOKUP(A4,[1]Pivot!A:C,3,0),0)</f>
        <v>2</v>
      </c>
      <c r="S4" s="48">
        <f t="shared" si="2"/>
        <v>0.4</v>
      </c>
      <c r="T4" s="47">
        <f t="shared" si="3"/>
        <v>857.36</v>
      </c>
      <c r="U4" s="49">
        <f t="shared" si="4"/>
        <v>2143.4</v>
      </c>
      <c r="V4" s="93"/>
    </row>
    <row r="5" spans="1:25" x14ac:dyDescent="0.25">
      <c r="A5" s="43">
        <v>50119209</v>
      </c>
      <c r="B5" s="37" t="s">
        <v>52</v>
      </c>
      <c r="C5" s="6" t="s">
        <v>12</v>
      </c>
      <c r="D5" s="6">
        <v>0.8</v>
      </c>
      <c r="E5" s="7">
        <f t="shared" si="0"/>
        <v>0.13114754098360656</v>
      </c>
      <c r="F5" s="31">
        <f t="shared" si="1"/>
        <v>15990.108686640635</v>
      </c>
      <c r="G5" s="31">
        <f>F5/2533</f>
        <v>6.3127156283618771</v>
      </c>
      <c r="H5" s="31">
        <f t="shared" si="6"/>
        <v>15.142148377500602</v>
      </c>
      <c r="I5" s="44">
        <f t="shared" si="7"/>
        <v>2.3986742424242427</v>
      </c>
      <c r="J5" s="45">
        <f t="shared" si="8"/>
        <v>2533</v>
      </c>
      <c r="K5" s="45">
        <f t="shared" si="9"/>
        <v>1056</v>
      </c>
      <c r="L5" s="46">
        <f t="shared" si="10"/>
        <v>3.1563578141809385</v>
      </c>
      <c r="M5" s="46">
        <f t="shared" si="11"/>
        <v>0.88378018797066282</v>
      </c>
      <c r="N5" s="46">
        <v>2</v>
      </c>
      <c r="O5" s="46">
        <f t="shared" si="12"/>
        <v>1.5781789070904693</v>
      </c>
      <c r="P5" s="47">
        <f>IFERROR(VLOOKUP(A5,[1]Pivot!A:B,2,0),0)</f>
        <v>4178.1000000000004</v>
      </c>
      <c r="Q5" s="94">
        <f>IFERROR(VLOOKUP(A5,[1]Pivot!A:D,4,0),0)</f>
        <v>3</v>
      </c>
      <c r="R5" s="47">
        <f>IFERROR(VLOOKUP(A5,[1]Pivot!A:C,3,0),0)</f>
        <v>2</v>
      </c>
      <c r="S5" s="48">
        <f t="shared" si="2"/>
        <v>0.66666666666666663</v>
      </c>
      <c r="T5" s="47">
        <f t="shared" si="3"/>
        <v>1392.7</v>
      </c>
      <c r="U5" s="49">
        <f t="shared" si="4"/>
        <v>2089.0500000000002</v>
      </c>
      <c r="V5" s="93"/>
    </row>
    <row r="6" spans="1:25" x14ac:dyDescent="0.25">
      <c r="A6" s="95">
        <v>64062882</v>
      </c>
      <c r="B6" s="37" t="s">
        <v>58</v>
      </c>
      <c r="C6" s="6" t="s">
        <v>31</v>
      </c>
      <c r="D6" s="6">
        <v>0.8</v>
      </c>
      <c r="E6" s="7">
        <f t="shared" si="0"/>
        <v>0.13114754098360656</v>
      </c>
      <c r="F6" s="31">
        <f t="shared" si="1"/>
        <v>15990.108686640635</v>
      </c>
      <c r="G6" s="31">
        <f t="shared" si="5"/>
        <v>6.3127156283618771</v>
      </c>
      <c r="H6" s="31">
        <f t="shared" si="6"/>
        <v>15.142148377500602</v>
      </c>
      <c r="I6" s="44">
        <f t="shared" si="7"/>
        <v>2.3986742424242427</v>
      </c>
      <c r="J6" s="45">
        <f t="shared" si="8"/>
        <v>2533</v>
      </c>
      <c r="K6" s="45">
        <f t="shared" si="9"/>
        <v>1056</v>
      </c>
      <c r="L6" s="46">
        <f t="shared" si="10"/>
        <v>3.1563578141809385</v>
      </c>
      <c r="M6" s="46">
        <v>1</v>
      </c>
      <c r="N6" s="46">
        <v>0</v>
      </c>
      <c r="O6" s="46">
        <f>G6*200%</f>
        <v>12.625431256723754</v>
      </c>
      <c r="P6" s="47">
        <f>IFERROR(VLOOKUP(A6,[1]Pivot!A:B,2,0),0)</f>
        <v>19120.520000000004</v>
      </c>
      <c r="Q6" s="94">
        <f>IFERROR(VLOOKUP(A6,[1]Pivot!A:D,4,0),0)</f>
        <v>15</v>
      </c>
      <c r="R6" s="47">
        <f>IFERROR(VLOOKUP(A6,[1]Pivot!A:C,3,0),0)</f>
        <v>5</v>
      </c>
      <c r="S6" s="48">
        <f t="shared" si="2"/>
        <v>0.33333333333333331</v>
      </c>
      <c r="T6" s="47">
        <f t="shared" si="3"/>
        <v>1274.7013333333337</v>
      </c>
      <c r="U6" s="49">
        <f t="shared" si="4"/>
        <v>3824.1040000000007</v>
      </c>
      <c r="V6" s="93"/>
    </row>
    <row r="7" spans="1:25" x14ac:dyDescent="0.25">
      <c r="A7" s="43">
        <v>50157523</v>
      </c>
      <c r="B7" s="37" t="s">
        <v>53</v>
      </c>
      <c r="C7" s="6" t="s">
        <v>8</v>
      </c>
      <c r="D7" s="6">
        <v>0.5</v>
      </c>
      <c r="E7" s="7">
        <f t="shared" si="0"/>
        <v>8.1967213114754106E-2</v>
      </c>
      <c r="F7" s="31">
        <f>$F$1*E7</f>
        <v>9993.8179291503966</v>
      </c>
      <c r="G7" s="31">
        <f t="shared" si="5"/>
        <v>3.9454472677261729</v>
      </c>
      <c r="H7" s="31">
        <f t="shared" si="6"/>
        <v>9.4638427359378756</v>
      </c>
      <c r="I7" s="44">
        <f t="shared" si="7"/>
        <v>2.3986742424242427</v>
      </c>
      <c r="J7" s="45">
        <f t="shared" si="8"/>
        <v>2533</v>
      </c>
      <c r="K7" s="45">
        <f t="shared" si="9"/>
        <v>1056</v>
      </c>
      <c r="L7" s="46">
        <f t="shared" si="10"/>
        <v>1.9727236338630865</v>
      </c>
      <c r="M7" s="46">
        <v>1</v>
      </c>
      <c r="N7" s="46">
        <v>2</v>
      </c>
      <c r="O7" s="46">
        <f>G7*225%</f>
        <v>8.8772563523838883</v>
      </c>
      <c r="P7" s="47">
        <f>IFERROR(VLOOKUP(A7,[1]Pivot!A:B,2,0),0)</f>
        <v>1747.3</v>
      </c>
      <c r="Q7" s="94">
        <f>IFERROR(VLOOKUP(A7,[1]Pivot!A:D,4,0),0)</f>
        <v>3</v>
      </c>
      <c r="R7" s="47">
        <f>IFERROR(VLOOKUP(A7,[1]Pivot!A:C,3,0),0)</f>
        <v>1</v>
      </c>
      <c r="S7" s="48">
        <f t="shared" si="2"/>
        <v>0.33333333333333331</v>
      </c>
      <c r="T7" s="47">
        <f t="shared" si="3"/>
        <v>582.43333333333328</v>
      </c>
      <c r="U7" s="49">
        <f t="shared" si="4"/>
        <v>1747.3</v>
      </c>
      <c r="V7" s="93"/>
    </row>
    <row r="8" spans="1:25" x14ac:dyDescent="0.25">
      <c r="A8" s="43">
        <v>50151682</v>
      </c>
      <c r="B8" s="37" t="s">
        <v>26</v>
      </c>
      <c r="C8" s="6" t="s">
        <v>8</v>
      </c>
      <c r="D8" s="6">
        <v>0</v>
      </c>
      <c r="E8" s="7">
        <f t="shared" si="0"/>
        <v>0</v>
      </c>
      <c r="F8" s="31">
        <f>$F$1*E8</f>
        <v>0</v>
      </c>
      <c r="G8" s="31">
        <f t="shared" si="5"/>
        <v>0</v>
      </c>
      <c r="H8" s="31">
        <f t="shared" si="6"/>
        <v>0</v>
      </c>
      <c r="I8" s="44" t="e">
        <f t="shared" si="7"/>
        <v>#DIV/0!</v>
      </c>
      <c r="J8" s="45" t="e">
        <f t="shared" si="8"/>
        <v>#DIV/0!</v>
      </c>
      <c r="K8" s="45" t="e">
        <f t="shared" si="9"/>
        <v>#DIV/0!</v>
      </c>
      <c r="L8" s="46">
        <f t="shared" si="10"/>
        <v>0</v>
      </c>
      <c r="M8" s="46">
        <f t="shared" si="11"/>
        <v>0</v>
      </c>
      <c r="N8" s="46">
        <f t="shared" ref="N8:N19" si="13">G8*0%</f>
        <v>0</v>
      </c>
      <c r="O8" s="46">
        <f>G8*25%</f>
        <v>0</v>
      </c>
      <c r="P8" s="47">
        <f>IFERROR(VLOOKUP(A8,[1]Pivot!A:B,2,0),0)</f>
        <v>26624.750000000004</v>
      </c>
      <c r="Q8" s="94">
        <f>IFERROR(VLOOKUP(A8,[1]Pivot!A:D,4,0),0)</f>
        <v>28</v>
      </c>
      <c r="R8" s="47">
        <f>IFERROR(VLOOKUP(A8,[1]Pivot!A:C,3,0),0)</f>
        <v>10</v>
      </c>
      <c r="S8" s="48">
        <f t="shared" si="2"/>
        <v>0.35714285714285715</v>
      </c>
      <c r="T8" s="47">
        <f t="shared" si="3"/>
        <v>950.88392857142867</v>
      </c>
      <c r="U8" s="49">
        <f t="shared" si="4"/>
        <v>2662.4750000000004</v>
      </c>
      <c r="V8" s="93"/>
    </row>
    <row r="9" spans="1:25" x14ac:dyDescent="0.25">
      <c r="A9" s="43">
        <v>50170981</v>
      </c>
      <c r="B9" s="37" t="s">
        <v>27</v>
      </c>
      <c r="C9" s="6" t="s">
        <v>8</v>
      </c>
      <c r="D9" s="6">
        <v>1</v>
      </c>
      <c r="E9" s="7">
        <f t="shared" si="0"/>
        <v>0.16393442622950821</v>
      </c>
      <c r="F9" s="31">
        <f t="shared" si="1"/>
        <v>19987.635858300793</v>
      </c>
      <c r="G9" s="31">
        <f t="shared" si="5"/>
        <v>7.8908945354523459</v>
      </c>
      <c r="H9" s="31">
        <f t="shared" si="6"/>
        <v>18.927685471875751</v>
      </c>
      <c r="I9" s="44">
        <f t="shared" si="7"/>
        <v>2.3986742424242427</v>
      </c>
      <c r="J9" s="45">
        <f t="shared" si="8"/>
        <v>2533</v>
      </c>
      <c r="K9" s="45">
        <f t="shared" si="9"/>
        <v>1056</v>
      </c>
      <c r="L9" s="46">
        <f t="shared" si="10"/>
        <v>3.9454472677261729</v>
      </c>
      <c r="M9" s="46">
        <f t="shared" si="11"/>
        <v>1.1047252349633285</v>
      </c>
      <c r="N9" s="46">
        <f>G9*0%</f>
        <v>0</v>
      </c>
      <c r="O9" s="46">
        <f t="shared" si="12"/>
        <v>1.9727236338630865</v>
      </c>
      <c r="P9" s="47">
        <f>IFERROR(VLOOKUP(A9,[1]Pivot!A:B,2,0),0)</f>
        <v>20008.32</v>
      </c>
      <c r="Q9" s="94">
        <f>IFERROR(VLOOKUP(A9,[1]Pivot!A:D,4,0),0)</f>
        <v>15</v>
      </c>
      <c r="R9" s="47">
        <f>IFERROR(VLOOKUP(A9,[1]Pivot!A:C,3,0),0)</f>
        <v>8</v>
      </c>
      <c r="S9" s="48">
        <f t="shared" si="2"/>
        <v>0.53333333333333333</v>
      </c>
      <c r="T9" s="47">
        <f t="shared" si="3"/>
        <v>1333.8879999999999</v>
      </c>
      <c r="U9" s="49">
        <f t="shared" si="4"/>
        <v>2501.04</v>
      </c>
      <c r="V9" s="93"/>
    </row>
    <row r="10" spans="1:25" x14ac:dyDescent="0.25">
      <c r="A10" s="43" t="s">
        <v>31</v>
      </c>
      <c r="B10" s="37" t="s">
        <v>59</v>
      </c>
      <c r="C10" s="6" t="s">
        <v>8</v>
      </c>
      <c r="D10" s="6">
        <v>0</v>
      </c>
      <c r="E10" s="7">
        <f t="shared" si="0"/>
        <v>0</v>
      </c>
      <c r="F10" s="31">
        <f t="shared" si="1"/>
        <v>0</v>
      </c>
      <c r="G10" s="31">
        <f t="shared" si="5"/>
        <v>0</v>
      </c>
      <c r="H10" s="31">
        <f t="shared" si="6"/>
        <v>0</v>
      </c>
      <c r="I10" s="44" t="e">
        <f t="shared" si="7"/>
        <v>#DIV/0!</v>
      </c>
      <c r="J10" s="45" t="e">
        <f t="shared" si="8"/>
        <v>#DIV/0!</v>
      </c>
      <c r="K10" s="45" t="e">
        <f t="shared" si="9"/>
        <v>#DIV/0!</v>
      </c>
      <c r="L10" s="46">
        <f t="shared" si="10"/>
        <v>0</v>
      </c>
      <c r="M10" s="46">
        <f t="shared" si="11"/>
        <v>0</v>
      </c>
      <c r="N10" s="46">
        <f>G10*0%</f>
        <v>0</v>
      </c>
      <c r="O10" s="46">
        <f t="shared" si="12"/>
        <v>0</v>
      </c>
      <c r="P10" s="47">
        <f>IFERROR(VLOOKUP(A10,[1]Pivot!A:B,2,0),0)</f>
        <v>0</v>
      </c>
      <c r="Q10" s="94">
        <f>IFERROR(VLOOKUP(A10,[1]Pivot!A:D,4,0),0)</f>
        <v>0</v>
      </c>
      <c r="R10" s="47">
        <f>IFERROR(VLOOKUP(A10,[1]Pivot!A:C,3,0),0)</f>
        <v>0</v>
      </c>
      <c r="S10" s="48" t="str">
        <f t="shared" si="2"/>
        <v/>
      </c>
      <c r="T10" s="47" t="str">
        <f t="shared" si="3"/>
        <v/>
      </c>
      <c r="U10" s="49" t="str">
        <f t="shared" si="4"/>
        <v/>
      </c>
      <c r="V10" s="93"/>
    </row>
    <row r="11" spans="1:25" x14ac:dyDescent="0.25">
      <c r="A11" s="43">
        <v>50181637</v>
      </c>
      <c r="B11" s="37" t="s">
        <v>48</v>
      </c>
      <c r="C11" s="6" t="s">
        <v>31</v>
      </c>
      <c r="D11" s="6">
        <v>1</v>
      </c>
      <c r="E11" s="7">
        <f t="shared" si="0"/>
        <v>0.16393442622950821</v>
      </c>
      <c r="F11" s="31">
        <f>$F$1*E11</f>
        <v>19987.635858300793</v>
      </c>
      <c r="G11" s="31">
        <f t="shared" si="5"/>
        <v>7.8908945354523459</v>
      </c>
      <c r="H11" s="31">
        <f t="shared" si="6"/>
        <v>18.927685471875751</v>
      </c>
      <c r="I11" s="44">
        <f t="shared" si="7"/>
        <v>2.3986742424242427</v>
      </c>
      <c r="J11" s="45">
        <f t="shared" si="8"/>
        <v>2533</v>
      </c>
      <c r="K11" s="45">
        <f t="shared" si="9"/>
        <v>1056</v>
      </c>
      <c r="L11" s="46">
        <f t="shared" si="10"/>
        <v>3.9454472677261729</v>
      </c>
      <c r="M11" s="46">
        <f t="shared" si="11"/>
        <v>1.1047252349633285</v>
      </c>
      <c r="N11" s="46">
        <f t="shared" si="13"/>
        <v>0</v>
      </c>
      <c r="O11" s="46">
        <f t="shared" si="12"/>
        <v>1.9727236338630865</v>
      </c>
      <c r="P11" s="47">
        <f>IFERROR(VLOOKUP(A11,[1]Pivot!A:B,2,0),0)</f>
        <v>11625.97</v>
      </c>
      <c r="Q11" s="94">
        <f>IFERROR(VLOOKUP(A11,[1]Pivot!A:D,4,0),0)</f>
        <v>11</v>
      </c>
      <c r="R11" s="47">
        <f>IFERROR(VLOOKUP(A11,[1]Pivot!A:C,3,0),0)</f>
        <v>6</v>
      </c>
      <c r="S11" s="48">
        <f t="shared" si="2"/>
        <v>0.54545454545454541</v>
      </c>
      <c r="T11" s="47">
        <f t="shared" si="3"/>
        <v>1056.9063636363635</v>
      </c>
      <c r="U11" s="49">
        <f t="shared" si="4"/>
        <v>1937.6616666666666</v>
      </c>
      <c r="V11" s="93"/>
    </row>
    <row r="12" spans="1:25" x14ac:dyDescent="0.25">
      <c r="A12" s="43">
        <v>50188963</v>
      </c>
      <c r="B12" s="37" t="s">
        <v>60</v>
      </c>
      <c r="C12" s="6" t="s">
        <v>8</v>
      </c>
      <c r="D12" s="6">
        <v>0</v>
      </c>
      <c r="E12" s="7">
        <f t="shared" si="0"/>
        <v>0</v>
      </c>
      <c r="F12" s="31">
        <f t="shared" si="1"/>
        <v>0</v>
      </c>
      <c r="G12" s="31">
        <f t="shared" si="5"/>
        <v>0</v>
      </c>
      <c r="H12" s="31">
        <f t="shared" si="6"/>
        <v>0</v>
      </c>
      <c r="I12" s="44" t="e">
        <f t="shared" si="7"/>
        <v>#DIV/0!</v>
      </c>
      <c r="J12" s="45" t="e">
        <f t="shared" si="8"/>
        <v>#DIV/0!</v>
      </c>
      <c r="K12" s="45" t="e">
        <f t="shared" si="9"/>
        <v>#DIV/0!</v>
      </c>
      <c r="L12" s="46">
        <f t="shared" si="10"/>
        <v>0</v>
      </c>
      <c r="M12" s="46">
        <f t="shared" si="11"/>
        <v>0</v>
      </c>
      <c r="N12" s="46">
        <f t="shared" si="13"/>
        <v>0</v>
      </c>
      <c r="O12" s="46">
        <f t="shared" si="12"/>
        <v>0</v>
      </c>
      <c r="P12" s="47">
        <f>IFERROR(VLOOKUP(A12,[1]Pivot!A:B,2,0),0)</f>
        <v>0</v>
      </c>
      <c r="Q12" s="94">
        <f>IFERROR(VLOOKUP(A12,[1]Pivot!A:D,4,0),0)</f>
        <v>0</v>
      </c>
      <c r="R12" s="47">
        <f>IFERROR(VLOOKUP(A12,[1]Pivot!A:C,3,0),0)</f>
        <v>0</v>
      </c>
      <c r="S12" s="48" t="str">
        <f t="shared" si="2"/>
        <v/>
      </c>
      <c r="T12" s="47" t="str">
        <f t="shared" si="3"/>
        <v/>
      </c>
      <c r="U12" s="49" t="str">
        <f t="shared" si="4"/>
        <v/>
      </c>
      <c r="V12" s="93"/>
    </row>
    <row r="13" spans="1:25" x14ac:dyDescent="0.25">
      <c r="A13" s="43">
        <v>50000001</v>
      </c>
      <c r="B13" s="37" t="s">
        <v>28</v>
      </c>
      <c r="C13" s="6" t="s">
        <v>31</v>
      </c>
      <c r="D13" s="6">
        <v>0</v>
      </c>
      <c r="E13" s="7">
        <f t="shared" si="0"/>
        <v>0</v>
      </c>
      <c r="F13" s="31">
        <f t="shared" si="1"/>
        <v>0</v>
      </c>
      <c r="G13" s="31">
        <f t="shared" si="5"/>
        <v>0</v>
      </c>
      <c r="H13" s="31">
        <f t="shared" si="6"/>
        <v>0</v>
      </c>
      <c r="I13" s="44" t="e">
        <f t="shared" si="7"/>
        <v>#DIV/0!</v>
      </c>
      <c r="J13" s="45" t="e">
        <f t="shared" si="8"/>
        <v>#DIV/0!</v>
      </c>
      <c r="K13" s="45" t="e">
        <f t="shared" si="9"/>
        <v>#DIV/0!</v>
      </c>
      <c r="L13" s="46">
        <f t="shared" si="10"/>
        <v>0</v>
      </c>
      <c r="M13" s="46">
        <f t="shared" si="11"/>
        <v>0</v>
      </c>
      <c r="N13" s="46">
        <f t="shared" si="13"/>
        <v>0</v>
      </c>
      <c r="O13" s="46">
        <f t="shared" si="12"/>
        <v>0</v>
      </c>
      <c r="P13" s="47">
        <f>IFERROR(VLOOKUP(A13,[1]Pivot!A:B,2,0),0)</f>
        <v>29561.649999999998</v>
      </c>
      <c r="Q13" s="94">
        <f>IFERROR(VLOOKUP(A13,[1]Pivot!A:D,4,0),0)</f>
        <v>18</v>
      </c>
      <c r="R13" s="47">
        <f>IFERROR(VLOOKUP(A13,[1]Pivot!A:C,3,0),0)</f>
        <v>9</v>
      </c>
      <c r="S13" s="48">
        <f t="shared" si="2"/>
        <v>0.5</v>
      </c>
      <c r="T13" s="47">
        <f t="shared" si="3"/>
        <v>1642.3138888888889</v>
      </c>
      <c r="U13" s="49">
        <f t="shared" si="4"/>
        <v>3284.6277777777777</v>
      </c>
      <c r="V13" s="93"/>
    </row>
    <row r="14" spans="1:25" x14ac:dyDescent="0.25">
      <c r="A14" s="43">
        <v>50000002</v>
      </c>
      <c r="B14" s="37" t="s">
        <v>51</v>
      </c>
      <c r="C14" s="6" t="s">
        <v>31</v>
      </c>
      <c r="D14" s="6">
        <v>1</v>
      </c>
      <c r="E14" s="7">
        <f t="shared" si="0"/>
        <v>0.16393442622950821</v>
      </c>
      <c r="F14" s="31">
        <f t="shared" si="1"/>
        <v>19987.635858300793</v>
      </c>
      <c r="G14" s="31">
        <f t="shared" si="5"/>
        <v>7.8908945354523459</v>
      </c>
      <c r="H14" s="31">
        <f t="shared" si="6"/>
        <v>18.927685471875751</v>
      </c>
      <c r="I14" s="44">
        <f t="shared" si="7"/>
        <v>2.3986742424242427</v>
      </c>
      <c r="J14" s="45">
        <f t="shared" si="8"/>
        <v>2533</v>
      </c>
      <c r="K14" s="45">
        <f t="shared" si="9"/>
        <v>1056</v>
      </c>
      <c r="L14" s="46">
        <f t="shared" si="10"/>
        <v>3.9454472677261729</v>
      </c>
      <c r="M14" s="46">
        <f t="shared" si="11"/>
        <v>1.1047252349633285</v>
      </c>
      <c r="N14" s="46">
        <f t="shared" si="13"/>
        <v>0</v>
      </c>
      <c r="O14" s="46">
        <f t="shared" si="12"/>
        <v>1.9727236338630865</v>
      </c>
      <c r="P14" s="47">
        <f>IFERROR(VLOOKUP(A14,[1]Pivot!A:B,2,0),0)</f>
        <v>33205.4</v>
      </c>
      <c r="Q14" s="94">
        <f>IFERROR(VLOOKUP(A14,[1]Pivot!A:D,4,0),0)</f>
        <v>21</v>
      </c>
      <c r="R14" s="47">
        <f>IFERROR(VLOOKUP(A14,[1]Pivot!A:C,3,0),0)</f>
        <v>13</v>
      </c>
      <c r="S14" s="48">
        <f t="shared" si="2"/>
        <v>0.61904761904761907</v>
      </c>
      <c r="T14" s="47">
        <f t="shared" si="3"/>
        <v>1581.2095238095239</v>
      </c>
      <c r="U14" s="49">
        <f t="shared" si="4"/>
        <v>2554.2615384615387</v>
      </c>
      <c r="V14" s="93"/>
      <c r="Y14" s="96"/>
    </row>
    <row r="15" spans="1:25" x14ac:dyDescent="0.25">
      <c r="A15" s="43">
        <v>50000003</v>
      </c>
      <c r="B15" s="37" t="s">
        <v>29</v>
      </c>
      <c r="C15" s="6" t="s">
        <v>30</v>
      </c>
      <c r="D15" s="6">
        <v>1</v>
      </c>
      <c r="E15" s="7">
        <f t="shared" si="0"/>
        <v>0.16393442622950821</v>
      </c>
      <c r="F15" s="31">
        <f t="shared" si="1"/>
        <v>19987.635858300793</v>
      </c>
      <c r="G15" s="31">
        <f t="shared" si="5"/>
        <v>7.8908945354523459</v>
      </c>
      <c r="H15" s="31">
        <f t="shared" si="6"/>
        <v>18.927685471875751</v>
      </c>
      <c r="I15" s="44">
        <f t="shared" si="7"/>
        <v>2.3986742424242427</v>
      </c>
      <c r="J15" s="45">
        <f t="shared" si="8"/>
        <v>2533</v>
      </c>
      <c r="K15" s="45">
        <f t="shared" si="9"/>
        <v>1056</v>
      </c>
      <c r="L15" s="46">
        <f t="shared" si="10"/>
        <v>3.9454472677261729</v>
      </c>
      <c r="M15" s="46">
        <f t="shared" si="11"/>
        <v>1.1047252349633285</v>
      </c>
      <c r="N15" s="46">
        <f t="shared" si="13"/>
        <v>0</v>
      </c>
      <c r="O15" s="46">
        <f t="shared" si="12"/>
        <v>1.9727236338630865</v>
      </c>
      <c r="P15" s="47">
        <f>IFERROR(VLOOKUP(A15,[1]Pivot!A:B,2,0),0)</f>
        <v>1617.59</v>
      </c>
      <c r="Q15" s="94">
        <f>IFERROR(VLOOKUP(A15,[1]Pivot!A:D,4,0),0)</f>
        <v>2</v>
      </c>
      <c r="R15" s="47">
        <f>IFERROR(VLOOKUP(A15,[1]Pivot!A:C,3,0),0)</f>
        <v>1</v>
      </c>
      <c r="S15" s="48">
        <f t="shared" si="2"/>
        <v>0.5</v>
      </c>
      <c r="T15" s="47">
        <f t="shared" si="3"/>
        <v>808.79499999999996</v>
      </c>
      <c r="U15" s="49">
        <f t="shared" si="4"/>
        <v>1617.59</v>
      </c>
      <c r="V15" s="93"/>
    </row>
    <row r="16" spans="1:25" x14ac:dyDescent="0.25">
      <c r="A16" s="43">
        <v>50000000</v>
      </c>
      <c r="B16" s="37" t="s">
        <v>31</v>
      </c>
      <c r="C16" s="6" t="s">
        <v>30</v>
      </c>
      <c r="D16" s="6">
        <v>0</v>
      </c>
      <c r="E16" s="7">
        <f t="shared" si="0"/>
        <v>0</v>
      </c>
      <c r="F16" s="31">
        <f t="shared" si="1"/>
        <v>0</v>
      </c>
      <c r="G16" s="31">
        <f t="shared" si="5"/>
        <v>0</v>
      </c>
      <c r="H16" s="31">
        <f t="shared" si="6"/>
        <v>0</v>
      </c>
      <c r="I16" s="44" t="e">
        <f t="shared" si="7"/>
        <v>#DIV/0!</v>
      </c>
      <c r="J16" s="45" t="e">
        <f t="shared" si="8"/>
        <v>#DIV/0!</v>
      </c>
      <c r="K16" s="45" t="e">
        <f t="shared" si="9"/>
        <v>#DIV/0!</v>
      </c>
      <c r="L16" s="46">
        <f t="shared" si="10"/>
        <v>0</v>
      </c>
      <c r="M16" s="46">
        <f t="shared" si="11"/>
        <v>0</v>
      </c>
      <c r="N16" s="46">
        <f t="shared" si="13"/>
        <v>0</v>
      </c>
      <c r="O16" s="46">
        <f t="shared" si="12"/>
        <v>0</v>
      </c>
      <c r="P16" s="47">
        <f>IFERROR(VLOOKUP(A16,[1]Pivot!A:B,2,0),0)</f>
        <v>-13633.71</v>
      </c>
      <c r="Q16" s="94">
        <f>IFERROR(VLOOKUP(A16,[1]Pivot!A:D,4,0),0)</f>
        <v>-4</v>
      </c>
      <c r="R16" s="47">
        <f>IFERROR(VLOOKUP(A16,[1]Pivot!A:C,3,0),0)</f>
        <v>4</v>
      </c>
      <c r="S16" s="48">
        <f t="shared" si="2"/>
        <v>-1</v>
      </c>
      <c r="T16" s="47">
        <f t="shared" si="3"/>
        <v>3408.4274999999998</v>
      </c>
      <c r="U16" s="49">
        <f t="shared" si="4"/>
        <v>-3408.4274999999998</v>
      </c>
      <c r="V16" s="93"/>
    </row>
    <row r="17" spans="1:27" x14ac:dyDescent="0.25">
      <c r="A17" s="43">
        <v>0</v>
      </c>
      <c r="B17" s="37" t="s">
        <v>31</v>
      </c>
      <c r="C17" s="6" t="s">
        <v>30</v>
      </c>
      <c r="D17" s="6">
        <v>0</v>
      </c>
      <c r="E17" s="7">
        <f t="shared" si="0"/>
        <v>0</v>
      </c>
      <c r="F17" s="31">
        <f t="shared" si="1"/>
        <v>0</v>
      </c>
      <c r="G17" s="31">
        <f t="shared" si="5"/>
        <v>0</v>
      </c>
      <c r="H17" s="31">
        <f t="shared" si="6"/>
        <v>0</v>
      </c>
      <c r="I17" s="44" t="e">
        <f t="shared" si="7"/>
        <v>#DIV/0!</v>
      </c>
      <c r="J17" s="45" t="e">
        <f t="shared" si="8"/>
        <v>#DIV/0!</v>
      </c>
      <c r="K17" s="45" t="e">
        <f t="shared" si="9"/>
        <v>#DIV/0!</v>
      </c>
      <c r="L17" s="46">
        <f t="shared" si="10"/>
        <v>0</v>
      </c>
      <c r="M17" s="46">
        <f t="shared" si="11"/>
        <v>0</v>
      </c>
      <c r="N17" s="46">
        <f t="shared" si="13"/>
        <v>0</v>
      </c>
      <c r="O17" s="46">
        <f t="shared" si="12"/>
        <v>0</v>
      </c>
      <c r="P17" s="47">
        <f>IFERROR(VLOOKUP(A17,[1]Pivot!A:B,2,0),0)</f>
        <v>0</v>
      </c>
      <c r="Q17" s="94">
        <f>IFERROR(VLOOKUP(A17,[1]Pivot!A:D,4,0),0)</f>
        <v>0</v>
      </c>
      <c r="R17" s="47">
        <f>IFERROR(VLOOKUP(A17,[1]Pivot!A:C,3,0),0)</f>
        <v>0</v>
      </c>
      <c r="S17" s="48" t="str">
        <f t="shared" si="2"/>
        <v/>
      </c>
      <c r="T17" s="47" t="str">
        <f t="shared" si="3"/>
        <v/>
      </c>
      <c r="U17" s="49" t="str">
        <f t="shared" si="4"/>
        <v/>
      </c>
      <c r="V17" s="93"/>
    </row>
    <row r="18" spans="1:27" ht="15.75" thickBot="1" x14ac:dyDescent="0.3">
      <c r="A18" s="97">
        <v>0</v>
      </c>
      <c r="B18" s="38" t="s">
        <v>31</v>
      </c>
      <c r="C18" s="50" t="s">
        <v>31</v>
      </c>
      <c r="D18" s="50">
        <v>0</v>
      </c>
      <c r="E18" s="51">
        <f t="shared" si="0"/>
        <v>0</v>
      </c>
      <c r="F18" s="39">
        <f t="shared" si="1"/>
        <v>0</v>
      </c>
      <c r="G18" s="39">
        <f t="shared" si="5"/>
        <v>0</v>
      </c>
      <c r="H18" s="39">
        <f t="shared" si="6"/>
        <v>0</v>
      </c>
      <c r="I18" s="52" t="e">
        <f t="shared" si="7"/>
        <v>#DIV/0!</v>
      </c>
      <c r="J18" s="53" t="e">
        <f t="shared" si="8"/>
        <v>#DIV/0!</v>
      </c>
      <c r="K18" s="53" t="e">
        <f t="shared" si="9"/>
        <v>#DIV/0!</v>
      </c>
      <c r="L18" s="54">
        <f t="shared" si="10"/>
        <v>0</v>
      </c>
      <c r="M18" s="54">
        <f t="shared" ref="M18" si="14">G18*8%</f>
        <v>0</v>
      </c>
      <c r="N18" s="54">
        <f t="shared" si="13"/>
        <v>0</v>
      </c>
      <c r="O18" s="54">
        <f t="shared" si="12"/>
        <v>0</v>
      </c>
      <c r="P18" s="55">
        <f>IFERROR(VLOOKUP(A18,[1]Pivot!A:B,2,0),0)</f>
        <v>0</v>
      </c>
      <c r="Q18" s="98">
        <f>IFERROR(VLOOKUP(A18,[1]Pivot!A:D,4,0),0)</f>
        <v>0</v>
      </c>
      <c r="R18" s="55">
        <f>IFERROR(VLOOKUP(A18,[1]Pivot!A:C,3,0),0)</f>
        <v>0</v>
      </c>
      <c r="S18" s="56" t="str">
        <f t="shared" si="2"/>
        <v/>
      </c>
      <c r="T18" s="55" t="str">
        <f t="shared" si="3"/>
        <v/>
      </c>
      <c r="U18" s="57" t="str">
        <f t="shared" si="4"/>
        <v/>
      </c>
      <c r="V18" s="93"/>
    </row>
    <row r="19" spans="1:27" ht="15.75" thickBot="1" x14ac:dyDescent="0.3">
      <c r="A19" s="40"/>
      <c r="B19" s="33" t="s">
        <v>47</v>
      </c>
      <c r="C19" s="34"/>
      <c r="D19" s="34"/>
      <c r="E19" s="35"/>
      <c r="F19" s="36">
        <f>SUM(F3:F18)</f>
        <v>121924.57873563484</v>
      </c>
      <c r="G19" s="36">
        <f>SUM(G3:G18)</f>
        <v>48.134456666259311</v>
      </c>
      <c r="H19" s="36">
        <f>SUM(H3:H18)</f>
        <v>115.45888137844207</v>
      </c>
      <c r="I19" s="58">
        <f t="shared" si="7"/>
        <v>2.3986742424242422</v>
      </c>
      <c r="J19" s="41">
        <f t="shared" si="8"/>
        <v>2533</v>
      </c>
      <c r="K19" s="41">
        <f t="shared" si="9"/>
        <v>1056.0000000000002</v>
      </c>
      <c r="L19" s="59">
        <f t="shared" si="10"/>
        <v>24.067228333129655</v>
      </c>
      <c r="M19" s="59">
        <f t="shared" si="11"/>
        <v>6.7388239332763042</v>
      </c>
      <c r="N19" s="59">
        <f t="shared" si="13"/>
        <v>0</v>
      </c>
      <c r="O19" s="59">
        <f t="shared" si="12"/>
        <v>12.033614166564828</v>
      </c>
      <c r="P19" s="60">
        <f>SUM(P3:P18)</f>
        <v>138342.69</v>
      </c>
      <c r="Q19" s="60">
        <f>SUM(Q3:Q18)</f>
        <v>117</v>
      </c>
      <c r="R19" s="60">
        <f>SUM(R3:R18)</f>
        <v>61</v>
      </c>
      <c r="S19" s="61">
        <f t="shared" si="2"/>
        <v>0.5213675213675214</v>
      </c>
      <c r="T19" s="60">
        <f t="shared" si="3"/>
        <v>1182.416153846154</v>
      </c>
      <c r="U19" s="62">
        <f t="shared" si="4"/>
        <v>2267.912950819672</v>
      </c>
      <c r="V19" s="93"/>
    </row>
    <row r="20" spans="1:27" x14ac:dyDescent="0.25">
      <c r="A20" s="99"/>
      <c r="B20" s="99"/>
      <c r="C20" s="99"/>
      <c r="D20" s="42"/>
      <c r="E20" s="100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</row>
    <row r="21" spans="1:27" ht="21" x14ac:dyDescent="0.35">
      <c r="AA21" s="102"/>
    </row>
    <row r="27" spans="1:27" x14ac:dyDescent="0.25">
      <c r="R27" s="103"/>
    </row>
    <row r="28" spans="1:27" ht="15" hidden="1" customHeight="1" x14ac:dyDescent="0.25"/>
    <row r="33" ht="15" hidden="1" customHeight="1" x14ac:dyDescent="0.25"/>
  </sheetData>
  <mergeCells count="2">
    <mergeCell ref="G1:O1"/>
    <mergeCell ref="P1:U1"/>
  </mergeCells>
  <conditionalFormatting sqref="S3:S5 S7:S10 S15:S17 S12">
    <cfRule type="cellIs" dxfId="16" priority="6" operator="lessThan">
      <formula>2.4</formula>
    </cfRule>
  </conditionalFormatting>
  <conditionalFormatting sqref="S19">
    <cfRule type="cellIs" dxfId="15" priority="5" operator="lessThan">
      <formula>2.4</formula>
    </cfRule>
  </conditionalFormatting>
  <conditionalFormatting sqref="S18">
    <cfRule type="cellIs" dxfId="14" priority="4" operator="lessThan">
      <formula>2.4</formula>
    </cfRule>
  </conditionalFormatting>
  <conditionalFormatting sqref="S6">
    <cfRule type="cellIs" dxfId="13" priority="3" operator="lessThan">
      <formula>2.4</formula>
    </cfRule>
  </conditionalFormatting>
  <conditionalFormatting sqref="S13:S14">
    <cfRule type="cellIs" dxfId="12" priority="2" operator="lessThan">
      <formula>2.4</formula>
    </cfRule>
  </conditionalFormatting>
  <conditionalFormatting sqref="S11">
    <cfRule type="cellIs" dxfId="11" priority="1" operator="lessThan">
      <formula>2.4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B27" sqref="B27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15.7109375" bestFit="1" customWidth="1"/>
  </cols>
  <sheetData>
    <row r="1" spans="1:3" x14ac:dyDescent="0.25">
      <c r="A1" s="10" t="s">
        <v>0</v>
      </c>
      <c r="B1" s="10" t="s">
        <v>13</v>
      </c>
      <c r="C1" s="10" t="s">
        <v>14</v>
      </c>
    </row>
    <row r="2" spans="1:3" x14ac:dyDescent="0.25">
      <c r="A2" s="11">
        <v>46204</v>
      </c>
      <c r="B2" s="109">
        <v>93213.187585823485</v>
      </c>
      <c r="C2" s="12">
        <f>B2</f>
        <v>93213.187585823485</v>
      </c>
    </row>
    <row r="3" spans="1:3" x14ac:dyDescent="0.25">
      <c r="A3" s="11">
        <f>A2+1</f>
        <v>46205</v>
      </c>
      <c r="B3" s="82">
        <v>93213.187585823485</v>
      </c>
      <c r="C3" s="12">
        <f>C2+B3</f>
        <v>186426.37517164697</v>
      </c>
    </row>
    <row r="4" spans="1:3" x14ac:dyDescent="0.25">
      <c r="A4" s="11">
        <f t="shared" ref="A4:A32" si="0">A3+1</f>
        <v>46206</v>
      </c>
      <c r="B4" s="82">
        <v>108127.29759955524</v>
      </c>
      <c r="C4" s="12">
        <f t="shared" ref="C4:C32" si="1">C3+B4</f>
        <v>294553.67277120223</v>
      </c>
    </row>
    <row r="5" spans="1:3" x14ac:dyDescent="0.25">
      <c r="A5" s="11">
        <f t="shared" si="0"/>
        <v>46207</v>
      </c>
      <c r="B5" s="82">
        <v>190154.90267507988</v>
      </c>
      <c r="C5" s="12">
        <f t="shared" si="1"/>
        <v>484708.57544628211</v>
      </c>
    </row>
    <row r="6" spans="1:3" x14ac:dyDescent="0.25">
      <c r="A6" s="11">
        <f t="shared" si="0"/>
        <v>46208</v>
      </c>
      <c r="B6" s="82">
        <v>205069.01268881166</v>
      </c>
      <c r="C6" s="12">
        <f t="shared" si="1"/>
        <v>689777.5881350938</v>
      </c>
    </row>
    <row r="7" spans="1:3" x14ac:dyDescent="0.25">
      <c r="A7" s="11">
        <f t="shared" si="0"/>
        <v>46209</v>
      </c>
      <c r="B7" s="82">
        <v>74570.550068658777</v>
      </c>
      <c r="C7" s="12">
        <f t="shared" si="1"/>
        <v>764348.13820375258</v>
      </c>
    </row>
    <row r="8" spans="1:3" x14ac:dyDescent="0.25">
      <c r="A8" s="11">
        <f t="shared" si="0"/>
        <v>46210</v>
      </c>
      <c r="B8" s="82">
        <v>85756.132578957593</v>
      </c>
      <c r="C8" s="12">
        <f t="shared" si="1"/>
        <v>850104.27078271017</v>
      </c>
    </row>
    <row r="9" spans="1:3" x14ac:dyDescent="0.25">
      <c r="A9" s="11">
        <f t="shared" si="0"/>
        <v>46211</v>
      </c>
      <c r="B9" s="82">
        <v>85756.132578957593</v>
      </c>
      <c r="C9" s="12">
        <f t="shared" si="1"/>
        <v>935860.40336166776</v>
      </c>
    </row>
    <row r="10" spans="1:3" x14ac:dyDescent="0.25">
      <c r="A10" s="11">
        <f t="shared" si="0"/>
        <v>46212</v>
      </c>
      <c r="B10" s="104">
        <v>100670.24259268936</v>
      </c>
      <c r="C10" s="12">
        <f t="shared" si="1"/>
        <v>1036530.6459543571</v>
      </c>
    </row>
    <row r="11" spans="1:3" x14ac:dyDescent="0.25">
      <c r="A11" s="11">
        <f t="shared" si="0"/>
        <v>46213</v>
      </c>
      <c r="B11" s="82">
        <v>104398.77009612229</v>
      </c>
      <c r="C11" s="12">
        <f t="shared" si="1"/>
        <v>1140929.4160504793</v>
      </c>
    </row>
    <row r="12" spans="1:3" x14ac:dyDescent="0.25">
      <c r="A12" s="11">
        <f t="shared" si="0"/>
        <v>46214</v>
      </c>
      <c r="B12" s="82">
        <v>178969.32016478109</v>
      </c>
      <c r="C12" s="12">
        <f t="shared" si="1"/>
        <v>1319898.7362152603</v>
      </c>
    </row>
    <row r="13" spans="1:3" x14ac:dyDescent="0.25">
      <c r="A13" s="11">
        <f t="shared" si="0"/>
        <v>46215</v>
      </c>
      <c r="B13" s="82">
        <v>190154.90267507988</v>
      </c>
      <c r="C13" s="12">
        <f t="shared" si="1"/>
        <v>1510053.6388903402</v>
      </c>
    </row>
    <row r="14" spans="1:3" x14ac:dyDescent="0.25">
      <c r="A14" s="11">
        <f>A13+1</f>
        <v>46216</v>
      </c>
      <c r="B14" s="82">
        <v>74570.550068658777</v>
      </c>
      <c r="C14" s="12">
        <f>C13+B14</f>
        <v>1584624.188958999</v>
      </c>
    </row>
    <row r="15" spans="1:3" x14ac:dyDescent="0.25">
      <c r="A15" s="11">
        <f t="shared" si="0"/>
        <v>46217</v>
      </c>
      <c r="B15" s="82">
        <v>85756.132578957593</v>
      </c>
      <c r="C15" s="12">
        <f t="shared" si="1"/>
        <v>1670380.3215379566</v>
      </c>
    </row>
    <row r="16" spans="1:3" x14ac:dyDescent="0.25">
      <c r="A16" s="11">
        <f t="shared" si="0"/>
        <v>46218</v>
      </c>
      <c r="B16" s="104">
        <v>85756.132578957593</v>
      </c>
      <c r="C16" s="12">
        <f t="shared" si="1"/>
        <v>1756136.4541169142</v>
      </c>
    </row>
    <row r="17" spans="1:3" x14ac:dyDescent="0.25">
      <c r="A17" s="11">
        <f t="shared" si="0"/>
        <v>46219</v>
      </c>
      <c r="B17" s="104">
        <v>100670.24259268936</v>
      </c>
      <c r="C17" s="12">
        <f t="shared" si="1"/>
        <v>1856806.6967096035</v>
      </c>
    </row>
    <row r="18" spans="1:3" x14ac:dyDescent="0.25">
      <c r="A18" s="11">
        <f t="shared" si="0"/>
        <v>46220</v>
      </c>
      <c r="B18" s="82">
        <v>104398.77009612229</v>
      </c>
      <c r="C18" s="12">
        <f t="shared" si="1"/>
        <v>1961205.4668057258</v>
      </c>
    </row>
    <row r="19" spans="1:3" x14ac:dyDescent="0.25">
      <c r="A19" s="11">
        <f t="shared" si="0"/>
        <v>46221</v>
      </c>
      <c r="B19" s="82">
        <v>190154.90267507988</v>
      </c>
      <c r="C19" s="12">
        <f t="shared" si="1"/>
        <v>2151360.3694808055</v>
      </c>
    </row>
    <row r="20" spans="1:3" x14ac:dyDescent="0.25">
      <c r="A20" s="11">
        <f t="shared" si="0"/>
        <v>46222</v>
      </c>
      <c r="B20" s="82">
        <v>208797.54019224457</v>
      </c>
      <c r="C20" s="12">
        <f t="shared" si="1"/>
        <v>2360157.90967305</v>
      </c>
    </row>
    <row r="21" spans="1:3" x14ac:dyDescent="0.25">
      <c r="A21" s="11">
        <f t="shared" si="0"/>
        <v>46223</v>
      </c>
      <c r="B21" s="82">
        <v>74570.550068658777</v>
      </c>
      <c r="C21" s="12">
        <f t="shared" si="1"/>
        <v>2434728.4597417088</v>
      </c>
    </row>
    <row r="22" spans="1:3" x14ac:dyDescent="0.25">
      <c r="A22" s="11">
        <f t="shared" si="0"/>
        <v>46224</v>
      </c>
      <c r="B22" s="104">
        <v>85756.132578957593</v>
      </c>
      <c r="C22" s="12">
        <f t="shared" si="1"/>
        <v>2520484.5923206666</v>
      </c>
    </row>
    <row r="23" spans="1:3" x14ac:dyDescent="0.25">
      <c r="A23" s="11">
        <f>A22+1</f>
        <v>46225</v>
      </c>
      <c r="B23" s="82">
        <v>85756.132578957593</v>
      </c>
      <c r="C23" s="12">
        <f>C22+B23</f>
        <v>2606240.7248996245</v>
      </c>
    </row>
    <row r="24" spans="1:3" x14ac:dyDescent="0.25">
      <c r="A24" s="11">
        <f t="shared" si="0"/>
        <v>46226</v>
      </c>
      <c r="B24" s="82">
        <v>100670.24259268936</v>
      </c>
      <c r="C24" s="12">
        <f t="shared" si="1"/>
        <v>2706910.9674923141</v>
      </c>
    </row>
    <row r="25" spans="1:3" x14ac:dyDescent="0.25">
      <c r="A25" s="11">
        <f t="shared" si="0"/>
        <v>46227</v>
      </c>
      <c r="B25" s="82">
        <v>111855.82510298818</v>
      </c>
      <c r="C25" s="12">
        <f t="shared" si="1"/>
        <v>2818766.7925953022</v>
      </c>
    </row>
    <row r="26" spans="1:3" x14ac:dyDescent="0.25">
      <c r="A26" s="11">
        <f t="shared" si="0"/>
        <v>46228</v>
      </c>
      <c r="B26" s="82">
        <v>223711.65020597636</v>
      </c>
      <c r="C26" s="12">
        <f t="shared" si="1"/>
        <v>3042478.4428012786</v>
      </c>
    </row>
    <row r="27" spans="1:3" x14ac:dyDescent="0.25">
      <c r="A27" s="11">
        <f t="shared" si="0"/>
        <v>46229</v>
      </c>
      <c r="B27" s="82">
        <v>223711.65020597636</v>
      </c>
      <c r="C27" s="12">
        <f t="shared" si="1"/>
        <v>3266190.0930072549</v>
      </c>
    </row>
    <row r="28" spans="1:3" x14ac:dyDescent="0.25">
      <c r="A28" s="11">
        <f>A27+1</f>
        <v>46230</v>
      </c>
      <c r="B28" s="82">
        <v>74570.550068658777</v>
      </c>
      <c r="C28" s="12">
        <f>C27+B28</f>
        <v>3340760.6430759137</v>
      </c>
    </row>
    <row r="29" spans="1:3" x14ac:dyDescent="0.25">
      <c r="A29" s="11">
        <f t="shared" si="0"/>
        <v>46231</v>
      </c>
      <c r="B29" s="104">
        <v>85756.132578957593</v>
      </c>
      <c r="C29" s="12">
        <f t="shared" si="1"/>
        <v>3426516.775654871</v>
      </c>
    </row>
    <row r="30" spans="1:3" x14ac:dyDescent="0.25">
      <c r="A30" s="11">
        <f t="shared" si="0"/>
        <v>46232</v>
      </c>
      <c r="B30" s="104">
        <v>85756.132578957593</v>
      </c>
      <c r="C30" s="12">
        <f t="shared" si="1"/>
        <v>3512272.9082338288</v>
      </c>
    </row>
    <row r="31" spans="1:3" x14ac:dyDescent="0.25">
      <c r="A31" s="11">
        <f t="shared" si="0"/>
        <v>46233</v>
      </c>
      <c r="B31" s="104">
        <v>100670.24259268936</v>
      </c>
      <c r="C31" s="12">
        <f t="shared" si="1"/>
        <v>3612943.1508265184</v>
      </c>
    </row>
    <row r="32" spans="1:3" x14ac:dyDescent="0.25">
      <c r="A32" s="11">
        <f t="shared" si="0"/>
        <v>46234</v>
      </c>
      <c r="B32" s="104">
        <v>111855.82510298818</v>
      </c>
      <c r="C32" s="12">
        <f t="shared" si="1"/>
        <v>3724798.9759295066</v>
      </c>
    </row>
    <row r="33" spans="1:3" x14ac:dyDescent="0.25">
      <c r="A33" s="11"/>
      <c r="B33" s="12">
        <f>SUM(B2:B32)</f>
        <v>3724798.9759295066</v>
      </c>
      <c r="C33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2AF02E72CF94084DDE9E840CB0CA9" ma:contentTypeVersion="15" ma:contentTypeDescription="Create a new document." ma:contentTypeScope="" ma:versionID="cd5aad2c81be91f4b092cb6c31493a5e">
  <xsd:schema xmlns:xsd="http://www.w3.org/2001/XMLSchema" xmlns:xs="http://www.w3.org/2001/XMLSchema" xmlns:p="http://schemas.microsoft.com/office/2006/metadata/properties" xmlns:ns3="e5905fa5-cf4c-432d-8474-d207c5e03c6e" xmlns:ns4="b12d2cf2-966a-4571-9d13-db053e6ab0f9" targetNamespace="http://schemas.microsoft.com/office/2006/metadata/properties" ma:root="true" ma:fieldsID="ed0d7d9ad3b26cedf79c84f5c108d9cf" ns3:_="" ns4:_="">
    <xsd:import namespace="e5905fa5-cf4c-432d-8474-d207c5e03c6e"/>
    <xsd:import namespace="b12d2cf2-966a-4571-9d13-db053e6ab0f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05fa5-cf4c-432d-8474-d207c5e03c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cf2-966a-4571-9d13-db053e6ab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A49401-BEFA-4197-83E2-E48A19970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9924BE-8D23-402E-8089-5B4E5F2D7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05fa5-cf4c-432d-8474-d207c5e03c6e"/>
    <ds:schemaRef ds:uri="b12d2cf2-966a-4571-9d13-db053e6ab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EB43F5-2321-4415-A505-93086CC5DC41}">
  <ds:schemaRefs>
    <ds:schemaRef ds:uri="http://www.w3.org/XML/1998/namespace"/>
    <ds:schemaRef ds:uri="b12d2cf2-966a-4571-9d13-db053e6ab0f9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e5905fa5-cf4c-432d-8474-d207c5e03c6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MTD</vt:lpstr>
      <vt:lpstr>DASHBOARD</vt:lpstr>
      <vt:lpstr>Tgt Division</vt:lpstr>
      <vt:lpstr>AOP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2026-09-25T16:43:00Z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0x0101001EE2AF02E72CF94084DDE9E840CB0CA9</vt:lpwstr>
  </property>
</Properties>
</file>