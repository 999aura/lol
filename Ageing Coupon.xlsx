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BBACC169-BA0D-4ABA-A5E1-F83EB50950A9}" xr6:coauthVersionLast="36" xr6:coauthVersionMax="36" xr10:uidLastSave="{00000000-0000-0000-0000-000000000000}"/>
  <bookViews>
    <workbookView xWindow="0" yWindow="0" windowWidth="28800" windowHeight="11685" firstSheet="1" activeTab="1" xr2:uid="{13A5FADE-4F82-4798-820B-F79EE6FA7B8D}"/>
  </bookViews>
  <sheets>
    <sheet name="Sheet1" sheetId="1" state="hidden" r:id="rId1"/>
    <sheet name="Sheet2" sheetId="2" r:id="rId2"/>
  </sheets>
  <definedNames>
    <definedName name="_xlnm._FilterDatabase" localSheetId="0" hidden="1">Sheet1!$A$2:$O$40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L37" i="1"/>
  <c r="L21" i="1"/>
  <c r="L24" i="1"/>
  <c r="L39" i="1"/>
  <c r="L30" i="1"/>
  <c r="L23" i="1"/>
  <c r="L22" i="1"/>
  <c r="L25" i="1"/>
  <c r="L32" i="1"/>
  <c r="L27" i="1" l="1"/>
</calcChain>
</file>

<file path=xl/sharedStrings.xml><?xml version="1.0" encoding="utf-8"?>
<sst xmlns="http://schemas.openxmlformats.org/spreadsheetml/2006/main" count="332" uniqueCount="132">
  <si>
    <t>PromoCode</t>
  </si>
  <si>
    <t>StartDate</t>
  </si>
  <si>
    <t>EndDate</t>
  </si>
  <si>
    <t>CouponCode</t>
  </si>
  <si>
    <t>COUPONS</t>
  </si>
  <si>
    <t>STORE CODE</t>
  </si>
  <si>
    <t>STORE NAME</t>
  </si>
  <si>
    <t>BILL DATE</t>
  </si>
  <si>
    <t>BILL NO.</t>
  </si>
  <si>
    <t>ARTICLE</t>
  </si>
  <si>
    <t>DESCRIPTION</t>
  </si>
  <si>
    <t>MRP</t>
  </si>
  <si>
    <t>BILL VALUE</t>
  </si>
  <si>
    <t>MFG YEAR</t>
  </si>
  <si>
    <t>REASON FOR USAGE</t>
  </si>
  <si>
    <t>TLX5</t>
  </si>
  <si>
    <t>T9099030860</t>
  </si>
  <si>
    <t>T9172389400</t>
  </si>
  <si>
    <t>T9710681720</t>
  </si>
  <si>
    <t>T9798951184</t>
  </si>
  <si>
    <t>T9945803472</t>
  </si>
  <si>
    <t>T3136640001</t>
  </si>
  <si>
    <t>T3307310856</t>
  </si>
  <si>
    <t>T3317963228</t>
  </si>
  <si>
    <t>T3410829756</t>
  </si>
  <si>
    <t>T3443770154</t>
  </si>
  <si>
    <t>T3483276584</t>
  </si>
  <si>
    <t>T3613472890</t>
  </si>
  <si>
    <t>T3793874992</t>
  </si>
  <si>
    <t xml:space="preserve">Vegas Dwarka </t>
  </si>
  <si>
    <t>1.06.2026</t>
  </si>
  <si>
    <t>Nerf rival</t>
  </si>
  <si>
    <t>104/18</t>
  </si>
  <si>
    <t>10.06.2026</t>
  </si>
  <si>
    <t>Cross stitch craft,shifu travel</t>
  </si>
  <si>
    <t>102/06</t>
  </si>
  <si>
    <t>102/04</t>
  </si>
  <si>
    <t>102/07</t>
  </si>
  <si>
    <t>Old MFG</t>
  </si>
  <si>
    <t>Number floor puzzle,mould paint cup,frank dino puzzle,Picture palete,animal planet</t>
  </si>
  <si>
    <t>Skillmatic connect,Make a dream cath,highlife tiny tot,pnl farming cycle</t>
  </si>
  <si>
    <t>102/09</t>
  </si>
  <si>
    <t>Pitcure palet ,Rani of jhashi ,smartivity magico,yk rxplore space,Handcraft foam</t>
  </si>
  <si>
    <t>102//11</t>
  </si>
  <si>
    <t>102/12</t>
  </si>
  <si>
    <t>102/13</t>
  </si>
  <si>
    <t>104/06</t>
  </si>
  <si>
    <t>104/08</t>
  </si>
  <si>
    <t>104/09</t>
  </si>
  <si>
    <t>Kop bakers,rival hilious,inspiring wall décor,frank count well,shell mousic display,</t>
  </si>
  <si>
    <t>SKM mind challenge,KOP bakers special,framing cycle,skillmatic buildable,wooden kitchen set,</t>
  </si>
  <si>
    <t>Sm magico fun</t>
  </si>
  <si>
    <t>Shifu travel,yk knowledge jackpot,mirada papper plate,dough magic</t>
  </si>
  <si>
    <t>Youreka 3 in 1 steam kit</t>
  </si>
  <si>
    <t xml:space="preserve">Shifu plugo animals </t>
  </si>
  <si>
    <t>Coupon already used</t>
  </si>
  <si>
    <t>Shifu plugo combo</t>
  </si>
  <si>
    <t>T2777844559</t>
  </si>
  <si>
    <t>T3263434940</t>
  </si>
  <si>
    <t>24.06.2026</t>
  </si>
  <si>
    <t>104/19</t>
  </si>
  <si>
    <t>104/21</t>
  </si>
  <si>
    <t xml:space="preserve">SMARTIVITY </t>
  </si>
  <si>
    <t>T1019156119</t>
  </si>
  <si>
    <t>T1030791173</t>
  </si>
  <si>
    <t>T1082807572</t>
  </si>
  <si>
    <t>T1124897954</t>
  </si>
  <si>
    <t>T1380467008</t>
  </si>
  <si>
    <t>T1428160630</t>
  </si>
  <si>
    <t>T1444805367</t>
  </si>
  <si>
    <t>T1509547612</t>
  </si>
  <si>
    <t>T1101591405</t>
  </si>
  <si>
    <t>T1110943502</t>
  </si>
  <si>
    <t>T1244350127</t>
  </si>
  <si>
    <t>T1273531649</t>
  </si>
  <si>
    <t>T2714328833</t>
  </si>
  <si>
    <t>T1820615902</t>
  </si>
  <si>
    <t>T2317448331</t>
  </si>
  <si>
    <t>16.06.2026</t>
  </si>
  <si>
    <t>104/29</t>
  </si>
  <si>
    <t xml:space="preserve">NE NERF ALPHASTRIKE </t>
  </si>
  <si>
    <t>104/30</t>
  </si>
  <si>
    <t>Knowledge Jack Board Game</t>
  </si>
  <si>
    <t>104/32</t>
  </si>
  <si>
    <t>YK Magnetic Puzzle</t>
  </si>
  <si>
    <t>104/33</t>
  </si>
  <si>
    <t>M38 B0737 Space Game</t>
  </si>
  <si>
    <t>104/20</t>
  </si>
  <si>
    <t>NE WANDW 1 2 3 MATHS</t>
  </si>
  <si>
    <t>104/7</t>
  </si>
  <si>
    <t>104/11</t>
  </si>
  <si>
    <t>X shot chaos 50 ball</t>
  </si>
  <si>
    <t>104/12</t>
  </si>
  <si>
    <t>Shifu Ride</t>
  </si>
  <si>
    <t>104/13</t>
  </si>
  <si>
    <t>Exlpore jungle</t>
  </si>
  <si>
    <t>T1850086599</t>
  </si>
  <si>
    <t>104/14</t>
  </si>
  <si>
    <t xml:space="preserve">Spin Art </t>
  </si>
  <si>
    <t>104/17</t>
  </si>
  <si>
    <t>E SPIN ART MACHINE</t>
  </si>
  <si>
    <t>104/5</t>
  </si>
  <si>
    <t>Playshifu Arround the World</t>
  </si>
  <si>
    <t>T1541410549</t>
  </si>
  <si>
    <t>104/8</t>
  </si>
  <si>
    <t>NE YK NATURE SCIENCE</t>
  </si>
  <si>
    <t>104/6</t>
  </si>
  <si>
    <t>Skillmatic connect</t>
  </si>
  <si>
    <t xml:space="preserve">NOT USED </t>
  </si>
  <si>
    <t>T4148592060</t>
  </si>
  <si>
    <t>T4188731851</t>
  </si>
  <si>
    <t>21.09.2026</t>
  </si>
  <si>
    <t>22.09.2026</t>
  </si>
  <si>
    <t>NE KK CROSS STITCH, NE MIRADA HAIR CHALK, NE KK PYO POP ART CU</t>
  </si>
  <si>
    <t>493664293, 491602854 ,</t>
  </si>
  <si>
    <t>E B AND G ACTION TRA, NE ELC BUILD IT DELU,  NE ELC FUNNY FACES ,NE SS OP RAINBOW LIN ,</t>
  </si>
  <si>
    <t>493662867, 492365286, 482410100, 492407600</t>
  </si>
  <si>
    <t>T2252676812</t>
  </si>
  <si>
    <t>T2308284899</t>
  </si>
  <si>
    <t>T2351903264</t>
  </si>
  <si>
    <t>T4309161602</t>
  </si>
  <si>
    <t>T4437764098</t>
  </si>
  <si>
    <t>T4458703099</t>
  </si>
  <si>
    <t>494230476, 492407588</t>
  </si>
  <si>
    <t>NE DO YOU SEE ME YEL ,NE DO YOU SEE ME YEL</t>
  </si>
  <si>
    <t>23.09.2026</t>
  </si>
  <si>
    <t>102/28</t>
  </si>
  <si>
    <t>25.09.2026</t>
  </si>
  <si>
    <t>NE Dunlop nylon shut</t>
  </si>
  <si>
    <t>26.09.2026</t>
  </si>
  <si>
    <t>104/03</t>
  </si>
  <si>
    <t>Yk EXPLORE SPACE, Yk Knowledge jackpot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</si>
</sst>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" fontId="0" fillId="0" borderId="1" xfId="0" applyNumberFormat="1" applyBorder="1"/>
    <xf numFmtId="0" fontId="4" fillId="2" borderId="1" xfId="0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9" fontId="4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5" fillId="2" borderId="5" xfId="0" applyFont="1" applyFill="1" applyBorder="1" applyAlignment="1">
      <alignment vertical="center" wrapText="1"/>
    </xf>
    <xf numFmtId="0" fontId="5" fillId="0" borderId="1" xfId="0" applyFont="1" applyBorder="1"/>
    <xf numFmtId="1" fontId="0" fillId="5" borderId="0" xfId="0" applyNumberFormat="1" applyFill="1" applyAlignment="1">
      <alignment horizontal="left"/>
    </xf>
    <xf numFmtId="0" fontId="6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" fontId="0" fillId="5" borderId="1" xfId="0" applyNumberFormat="1" applyFont="1" applyFill="1" applyBorder="1" applyAlignment="1">
      <alignment horizontal="left"/>
    </xf>
    <xf numFmtId="0" fontId="6" fillId="0" borderId="1" xfId="0" applyFont="1" applyBorder="1"/>
    <xf numFmtId="0" fontId="0" fillId="0" borderId="1" xfId="0" applyFont="1" applyBorder="1"/>
    <xf numFmtId="1" fontId="0" fillId="5" borderId="0" xfId="0" applyNumberFormat="1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F977-0621-4D93-B5A3-7DABC7E6F1C8}">
  <dimension ref="A1:O40"/>
  <sheetViews>
    <sheetView topLeftCell="D1" workbookViewId="0">
      <selection activeCell="D2" sqref="D2:O4"/>
    </sheetView>
  </sheetViews>
  <sheetFormatPr defaultColWidth="11.140625" defaultRowHeight="15" x14ac:dyDescent="0.25"/>
  <cols>
    <col min="1" max="1" width="10" hidden="1" customWidth="1"/>
    <col min="2" max="3" width="9" hidden="1" customWidth="1"/>
    <col min="4" max="4" width="17.42578125" customWidth="1"/>
    <col min="5" max="5" width="17.7109375" hidden="1" customWidth="1"/>
    <col min="6" max="6" width="15.28515625" bestFit="1" customWidth="1"/>
    <col min="7" max="7" width="15.7109375" bestFit="1" customWidth="1"/>
    <col min="8" max="8" width="12.85546875" bestFit="1" customWidth="1"/>
    <col min="9" max="9" width="10.7109375" bestFit="1" customWidth="1"/>
    <col min="10" max="10" width="20.85546875" customWidth="1"/>
    <col min="11" max="11" width="74.85546875" customWidth="1"/>
    <col min="12" max="12" width="18.5703125" customWidth="1"/>
    <col min="13" max="13" width="14.42578125" bestFit="1" customWidth="1"/>
    <col min="14" max="14" width="12.5703125" bestFit="1" customWidth="1"/>
    <col min="15" max="15" width="23.42578125" bestFit="1" customWidth="1"/>
  </cols>
  <sheetData>
    <row r="1" spans="1:15" x14ac:dyDescent="0.25">
      <c r="A1" s="1"/>
    </row>
    <row r="2" spans="1:15" ht="15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 s="4">
        <v>33646733</v>
      </c>
      <c r="B3" s="5">
        <v>46174</v>
      </c>
      <c r="C3" s="5">
        <v>46203</v>
      </c>
      <c r="D3" s="18" t="s">
        <v>109</v>
      </c>
      <c r="E3" s="6"/>
      <c r="F3" s="7" t="s">
        <v>15</v>
      </c>
      <c r="G3" s="8" t="s">
        <v>29</v>
      </c>
      <c r="H3" s="8" t="s">
        <v>111</v>
      </c>
      <c r="I3" s="8" t="s">
        <v>35</v>
      </c>
      <c r="J3" s="20" t="s">
        <v>114</v>
      </c>
      <c r="K3" s="8" t="s">
        <v>113</v>
      </c>
      <c r="L3" s="8">
        <v>2548</v>
      </c>
      <c r="M3" s="8">
        <v>1274</v>
      </c>
      <c r="N3" s="8">
        <v>2022</v>
      </c>
      <c r="O3" s="8" t="s">
        <v>38</v>
      </c>
    </row>
    <row r="4" spans="1:15" x14ac:dyDescent="0.25">
      <c r="A4" s="4">
        <v>33646733</v>
      </c>
      <c r="B4" s="5">
        <v>46174</v>
      </c>
      <c r="C4" s="5">
        <v>46203</v>
      </c>
      <c r="D4" s="19" t="s">
        <v>110</v>
      </c>
      <c r="E4" s="6"/>
      <c r="F4" s="7" t="s">
        <v>15</v>
      </c>
      <c r="G4" s="8" t="s">
        <v>29</v>
      </c>
      <c r="H4" s="8" t="s">
        <v>112</v>
      </c>
      <c r="I4" s="8" t="s">
        <v>41</v>
      </c>
      <c r="J4" s="20" t="s">
        <v>116</v>
      </c>
      <c r="K4" s="8" t="s">
        <v>115</v>
      </c>
      <c r="L4" s="8">
        <v>7245</v>
      </c>
      <c r="M4" s="8">
        <v>3462</v>
      </c>
      <c r="N4" s="8">
        <v>2022</v>
      </c>
      <c r="O4" s="8" t="s">
        <v>38</v>
      </c>
    </row>
    <row r="5" spans="1:15" hidden="1" x14ac:dyDescent="0.25">
      <c r="A5" s="4">
        <v>33646733</v>
      </c>
      <c r="B5" s="5">
        <v>46174</v>
      </c>
      <c r="C5" s="5">
        <v>46203</v>
      </c>
      <c r="D5" s="4" t="s">
        <v>16</v>
      </c>
      <c r="E5" s="6">
        <v>0.6</v>
      </c>
      <c r="F5" s="7" t="s">
        <v>15</v>
      </c>
      <c r="G5" s="8" t="s">
        <v>29</v>
      </c>
      <c r="H5" s="8" t="s">
        <v>33</v>
      </c>
      <c r="I5" s="8" t="s">
        <v>46</v>
      </c>
      <c r="J5" s="9">
        <v>491315793</v>
      </c>
      <c r="K5" s="8" t="s">
        <v>52</v>
      </c>
      <c r="L5" s="8">
        <v>4295</v>
      </c>
      <c r="M5" s="8">
        <v>1718</v>
      </c>
      <c r="N5" s="8">
        <v>2022</v>
      </c>
      <c r="O5" s="8" t="s">
        <v>38</v>
      </c>
    </row>
    <row r="6" spans="1:15" hidden="1" x14ac:dyDescent="0.25">
      <c r="A6" s="4">
        <v>33646733</v>
      </c>
      <c r="B6" s="5">
        <v>46174</v>
      </c>
      <c r="C6" s="5">
        <v>46203</v>
      </c>
      <c r="D6" s="4" t="s">
        <v>17</v>
      </c>
      <c r="E6" s="6">
        <v>0.6</v>
      </c>
      <c r="F6" s="7" t="s">
        <v>15</v>
      </c>
      <c r="G6" s="8" t="s">
        <v>29</v>
      </c>
      <c r="H6" s="8" t="s">
        <v>33</v>
      </c>
      <c r="I6" s="8" t="s">
        <v>47</v>
      </c>
      <c r="J6" s="9">
        <v>492407795</v>
      </c>
      <c r="K6" s="8" t="s">
        <v>53</v>
      </c>
      <c r="L6" s="8">
        <v>1999</v>
      </c>
      <c r="M6" s="8">
        <v>799.6</v>
      </c>
      <c r="N6" s="8">
        <v>2022</v>
      </c>
      <c r="O6" s="8" t="s">
        <v>38</v>
      </c>
    </row>
    <row r="7" spans="1:15" hidden="1" x14ac:dyDescent="0.25">
      <c r="A7" s="4">
        <v>33646733</v>
      </c>
      <c r="B7" s="5">
        <v>46174</v>
      </c>
      <c r="C7" s="5">
        <v>46203</v>
      </c>
      <c r="D7" s="4" t="s">
        <v>18</v>
      </c>
      <c r="E7" s="6">
        <v>0.6</v>
      </c>
      <c r="F7" s="7" t="s">
        <v>15</v>
      </c>
      <c r="G7" s="8" t="s">
        <v>29</v>
      </c>
      <c r="H7" s="8" t="s">
        <v>33</v>
      </c>
      <c r="I7" s="8" t="s">
        <v>48</v>
      </c>
      <c r="J7" s="9">
        <v>493175405</v>
      </c>
      <c r="K7" s="8" t="s">
        <v>54</v>
      </c>
      <c r="L7" s="8">
        <v>3499</v>
      </c>
      <c r="M7" s="8">
        <v>1399.6</v>
      </c>
      <c r="N7" s="8">
        <v>2022</v>
      </c>
      <c r="O7" s="8" t="s">
        <v>38</v>
      </c>
    </row>
    <row r="8" spans="1:15" hidden="1" x14ac:dyDescent="0.25">
      <c r="A8" s="4">
        <v>33646733</v>
      </c>
      <c r="B8" s="5">
        <v>46174</v>
      </c>
      <c r="C8" s="5">
        <v>46203</v>
      </c>
      <c r="D8" s="4" t="s">
        <v>19</v>
      </c>
      <c r="E8" s="6">
        <v>0.6</v>
      </c>
      <c r="F8" s="7" t="s">
        <v>15</v>
      </c>
      <c r="G8" s="8" t="s">
        <v>29</v>
      </c>
      <c r="H8" s="8" t="s">
        <v>33</v>
      </c>
      <c r="I8" s="8" t="s">
        <v>37</v>
      </c>
      <c r="J8" s="9">
        <v>492908348</v>
      </c>
      <c r="K8" s="8" t="s">
        <v>56</v>
      </c>
      <c r="L8" s="8">
        <v>4999</v>
      </c>
      <c r="M8" s="8">
        <v>1999.6</v>
      </c>
      <c r="N8" s="8">
        <v>2022</v>
      </c>
      <c r="O8" s="8" t="s">
        <v>38</v>
      </c>
    </row>
    <row r="9" spans="1:15" hidden="1" x14ac:dyDescent="0.25">
      <c r="A9" s="4">
        <v>33646733</v>
      </c>
      <c r="B9" s="5">
        <v>46174</v>
      </c>
      <c r="C9" s="5">
        <v>46203</v>
      </c>
      <c r="D9" s="4" t="s">
        <v>20</v>
      </c>
      <c r="E9" s="6">
        <v>0.6</v>
      </c>
      <c r="F9" s="7" t="s">
        <v>15</v>
      </c>
      <c r="G9" s="8" t="s">
        <v>29</v>
      </c>
      <c r="H9" s="22" t="s">
        <v>55</v>
      </c>
      <c r="I9" s="22"/>
      <c r="J9" s="22"/>
      <c r="K9" s="22"/>
      <c r="L9" s="22"/>
      <c r="M9" s="22"/>
      <c r="N9" s="22"/>
      <c r="O9" s="22"/>
    </row>
    <row r="10" spans="1:15" hidden="1" x14ac:dyDescent="0.25">
      <c r="A10" s="10">
        <v>33646734</v>
      </c>
      <c r="B10" s="11">
        <v>46174</v>
      </c>
      <c r="C10" s="11">
        <v>46203</v>
      </c>
      <c r="D10" s="12" t="s">
        <v>21</v>
      </c>
      <c r="E10" s="6">
        <v>0.75</v>
      </c>
      <c r="F10" s="7" t="s">
        <v>15</v>
      </c>
      <c r="G10" s="8" t="s">
        <v>29</v>
      </c>
      <c r="H10" s="8" t="s">
        <v>30</v>
      </c>
      <c r="I10" s="8" t="s">
        <v>32</v>
      </c>
      <c r="J10" s="8">
        <v>491902615</v>
      </c>
      <c r="K10" s="8" t="s">
        <v>31</v>
      </c>
      <c r="L10" s="8">
        <v>4499</v>
      </c>
      <c r="M10" s="8">
        <v>1125</v>
      </c>
      <c r="N10" s="8">
        <v>2020</v>
      </c>
      <c r="O10" s="8" t="s">
        <v>38</v>
      </c>
    </row>
    <row r="11" spans="1:15" hidden="1" x14ac:dyDescent="0.25">
      <c r="A11" s="10">
        <v>33646734</v>
      </c>
      <c r="B11" s="11">
        <v>46174</v>
      </c>
      <c r="C11" s="11">
        <v>46203</v>
      </c>
      <c r="D11" s="12" t="s">
        <v>22</v>
      </c>
      <c r="E11" s="6">
        <v>0.75</v>
      </c>
      <c r="F11" s="7" t="s">
        <v>15</v>
      </c>
      <c r="G11" s="8" t="s">
        <v>29</v>
      </c>
      <c r="H11" s="8" t="s">
        <v>33</v>
      </c>
      <c r="I11" s="8" t="s">
        <v>36</v>
      </c>
      <c r="J11" s="9">
        <v>490784774</v>
      </c>
      <c r="K11" s="13" t="s">
        <v>39</v>
      </c>
      <c r="L11" s="8">
        <v>2495</v>
      </c>
      <c r="M11" s="8">
        <v>623.75</v>
      </c>
      <c r="N11" s="8">
        <v>2020</v>
      </c>
      <c r="O11" s="8" t="s">
        <v>38</v>
      </c>
    </row>
    <row r="12" spans="1:15" hidden="1" x14ac:dyDescent="0.25">
      <c r="A12" s="10">
        <v>33646734</v>
      </c>
      <c r="B12" s="11">
        <v>46174</v>
      </c>
      <c r="C12" s="11">
        <v>46203</v>
      </c>
      <c r="D12" s="12" t="s">
        <v>23</v>
      </c>
      <c r="E12" s="6">
        <v>0.75</v>
      </c>
      <c r="F12" s="7" t="s">
        <v>15</v>
      </c>
      <c r="G12" s="8" t="s">
        <v>29</v>
      </c>
      <c r="H12" s="8" t="s">
        <v>33</v>
      </c>
      <c r="I12" s="8" t="s">
        <v>35</v>
      </c>
      <c r="J12" s="9">
        <v>491315793</v>
      </c>
      <c r="K12" s="8" t="s">
        <v>34</v>
      </c>
      <c r="L12" s="8">
        <v>1198</v>
      </c>
      <c r="M12" s="8">
        <v>299.5</v>
      </c>
      <c r="N12" s="8">
        <v>2021</v>
      </c>
      <c r="O12" s="8" t="s">
        <v>38</v>
      </c>
    </row>
    <row r="13" spans="1:15" hidden="1" x14ac:dyDescent="0.25">
      <c r="A13" s="10">
        <v>33646734</v>
      </c>
      <c r="B13" s="11">
        <v>46174</v>
      </c>
      <c r="C13" s="11">
        <v>46203</v>
      </c>
      <c r="D13" s="12" t="s">
        <v>24</v>
      </c>
      <c r="E13" s="6">
        <v>0.75</v>
      </c>
      <c r="F13" s="7" t="s">
        <v>15</v>
      </c>
      <c r="G13" s="8" t="s">
        <v>29</v>
      </c>
      <c r="H13" s="8" t="s">
        <v>33</v>
      </c>
      <c r="I13" s="8" t="s">
        <v>37</v>
      </c>
      <c r="J13" s="9">
        <v>492409169</v>
      </c>
      <c r="K13" s="8" t="s">
        <v>40</v>
      </c>
      <c r="L13" s="8">
        <v>2448</v>
      </c>
      <c r="M13" s="8">
        <v>612</v>
      </c>
      <c r="N13" s="8">
        <v>2021</v>
      </c>
      <c r="O13" s="8" t="s">
        <v>38</v>
      </c>
    </row>
    <row r="14" spans="1:15" hidden="1" x14ac:dyDescent="0.25">
      <c r="A14" s="10">
        <v>33646734</v>
      </c>
      <c r="B14" s="11">
        <v>46174</v>
      </c>
      <c r="C14" s="11">
        <v>46203</v>
      </c>
      <c r="D14" s="12" t="s">
        <v>25</v>
      </c>
      <c r="E14" s="6">
        <v>0.75</v>
      </c>
      <c r="F14" s="7" t="s">
        <v>15</v>
      </c>
      <c r="G14" s="8" t="s">
        <v>29</v>
      </c>
      <c r="H14" s="8" t="s">
        <v>33</v>
      </c>
      <c r="I14" s="8" t="s">
        <v>41</v>
      </c>
      <c r="J14" s="9">
        <v>492407674</v>
      </c>
      <c r="K14" s="8" t="s">
        <v>42</v>
      </c>
      <c r="L14" s="8">
        <v>4644</v>
      </c>
      <c r="M14" s="8">
        <v>1161.25</v>
      </c>
      <c r="N14" s="8">
        <v>2021</v>
      </c>
      <c r="O14" s="8" t="s">
        <v>38</v>
      </c>
    </row>
    <row r="15" spans="1:15" hidden="1" x14ac:dyDescent="0.25">
      <c r="A15" s="10">
        <v>33646734</v>
      </c>
      <c r="B15" s="11">
        <v>46174</v>
      </c>
      <c r="C15" s="11">
        <v>46203</v>
      </c>
      <c r="D15" s="12" t="s">
        <v>26</v>
      </c>
      <c r="E15" s="6">
        <v>0.75</v>
      </c>
      <c r="F15" s="7" t="s">
        <v>15</v>
      </c>
      <c r="G15" s="8" t="s">
        <v>29</v>
      </c>
      <c r="H15" s="8" t="s">
        <v>33</v>
      </c>
      <c r="I15" s="8" t="s">
        <v>43</v>
      </c>
      <c r="J15" s="9">
        <v>491960127</v>
      </c>
      <c r="K15" s="8" t="s">
        <v>49</v>
      </c>
      <c r="L15" s="8">
        <v>7346</v>
      </c>
      <c r="M15" s="8">
        <v>1836.5</v>
      </c>
      <c r="N15" s="8">
        <v>2021</v>
      </c>
      <c r="O15" s="8" t="s">
        <v>38</v>
      </c>
    </row>
    <row r="16" spans="1:15" hidden="1" x14ac:dyDescent="0.25">
      <c r="A16" s="10">
        <v>33646734</v>
      </c>
      <c r="B16" s="11">
        <v>46174</v>
      </c>
      <c r="C16" s="11">
        <v>46203</v>
      </c>
      <c r="D16" s="12" t="s">
        <v>27</v>
      </c>
      <c r="E16" s="6">
        <v>0.75</v>
      </c>
      <c r="F16" s="7" t="s">
        <v>15</v>
      </c>
      <c r="G16" s="8" t="s">
        <v>29</v>
      </c>
      <c r="H16" s="8" t="s">
        <v>33</v>
      </c>
      <c r="I16" s="8" t="s">
        <v>44</v>
      </c>
      <c r="J16" s="9">
        <v>492407809</v>
      </c>
      <c r="K16" s="8" t="s">
        <v>50</v>
      </c>
      <c r="L16" s="8">
        <v>15745</v>
      </c>
      <c r="M16" s="8">
        <v>3936.25</v>
      </c>
      <c r="N16" s="8">
        <v>2021</v>
      </c>
      <c r="O16" s="8" t="s">
        <v>38</v>
      </c>
    </row>
    <row r="17" spans="1:15" hidden="1" x14ac:dyDescent="0.25">
      <c r="A17" s="10">
        <v>33646734</v>
      </c>
      <c r="B17" s="11">
        <v>46174</v>
      </c>
      <c r="C17" s="11">
        <v>46203</v>
      </c>
      <c r="D17" s="12" t="s">
        <v>28</v>
      </c>
      <c r="E17" s="6">
        <v>0.75</v>
      </c>
      <c r="F17" s="7" t="s">
        <v>15</v>
      </c>
      <c r="G17" s="8" t="s">
        <v>29</v>
      </c>
      <c r="H17" s="8" t="s">
        <v>33</v>
      </c>
      <c r="I17" s="8" t="s">
        <v>45</v>
      </c>
      <c r="J17" s="9">
        <v>491947789</v>
      </c>
      <c r="K17" s="8" t="s">
        <v>51</v>
      </c>
      <c r="L17" s="8">
        <v>3999</v>
      </c>
      <c r="M17" s="8">
        <v>999.75</v>
      </c>
      <c r="N17" s="8">
        <v>2021</v>
      </c>
      <c r="O17" s="8" t="s">
        <v>38</v>
      </c>
    </row>
    <row r="18" spans="1:15" hidden="1" x14ac:dyDescent="0.25">
      <c r="A18" s="10">
        <v>33646734</v>
      </c>
      <c r="B18" s="11">
        <v>46174</v>
      </c>
      <c r="C18" s="11">
        <v>46203</v>
      </c>
      <c r="D18" s="12" t="s">
        <v>57</v>
      </c>
      <c r="E18" s="6">
        <v>0.6</v>
      </c>
      <c r="F18" s="7" t="s">
        <v>15</v>
      </c>
      <c r="G18" s="8" t="s">
        <v>29</v>
      </c>
      <c r="H18" s="8" t="s">
        <v>59</v>
      </c>
      <c r="I18" s="8" t="s">
        <v>60</v>
      </c>
      <c r="J18" s="9">
        <v>492407491</v>
      </c>
      <c r="K18" s="8" t="s">
        <v>62</v>
      </c>
      <c r="L18" s="15">
        <v>8240</v>
      </c>
      <c r="M18" s="15">
        <v>3296</v>
      </c>
      <c r="N18" s="8">
        <v>2020</v>
      </c>
      <c r="O18" s="8" t="s">
        <v>38</v>
      </c>
    </row>
    <row r="19" spans="1:15" hidden="1" x14ac:dyDescent="0.25">
      <c r="A19" s="10">
        <v>33646734</v>
      </c>
      <c r="B19" s="11">
        <v>46174</v>
      </c>
      <c r="C19" s="11">
        <v>46203</v>
      </c>
      <c r="D19" s="12" t="s">
        <v>58</v>
      </c>
      <c r="E19" s="6">
        <v>0.75</v>
      </c>
      <c r="F19" s="7" t="s">
        <v>15</v>
      </c>
      <c r="G19" s="8" t="s">
        <v>29</v>
      </c>
      <c r="H19" s="8" t="s">
        <v>59</v>
      </c>
      <c r="I19" s="8" t="s">
        <v>61</v>
      </c>
      <c r="J19" s="9">
        <v>492407491</v>
      </c>
      <c r="K19" s="8" t="s">
        <v>62</v>
      </c>
      <c r="L19" s="15">
        <v>32856</v>
      </c>
      <c r="M19" s="15">
        <v>8214</v>
      </c>
      <c r="N19" s="8">
        <v>2021</v>
      </c>
      <c r="O19" s="8" t="s">
        <v>38</v>
      </c>
    </row>
    <row r="20" spans="1:15" hidden="1" x14ac:dyDescent="0.25">
      <c r="A20" s="10">
        <v>34727630</v>
      </c>
      <c r="B20" s="11">
        <v>46188</v>
      </c>
      <c r="C20" s="11">
        <v>46234</v>
      </c>
      <c r="D20" s="12" t="s">
        <v>63</v>
      </c>
      <c r="E20" s="6">
        <v>0.75</v>
      </c>
      <c r="F20" s="7" t="s">
        <v>15</v>
      </c>
      <c r="G20" s="8" t="s">
        <v>29</v>
      </c>
      <c r="H20" s="15" t="s">
        <v>78</v>
      </c>
      <c r="I20" s="15" t="s">
        <v>106</v>
      </c>
      <c r="J20" s="15">
        <v>8904279500778</v>
      </c>
      <c r="K20" s="15" t="s">
        <v>107</v>
      </c>
      <c r="L20" s="15">
        <f>2247+749</f>
        <v>2996</v>
      </c>
      <c r="M20" s="15">
        <v>749</v>
      </c>
      <c r="N20" s="15">
        <v>2021</v>
      </c>
      <c r="O20" s="8" t="s">
        <v>38</v>
      </c>
    </row>
    <row r="21" spans="1:15" hidden="1" x14ac:dyDescent="0.25">
      <c r="A21" s="10">
        <v>34727630</v>
      </c>
      <c r="B21" s="11">
        <v>46188</v>
      </c>
      <c r="C21" s="11">
        <v>46234</v>
      </c>
      <c r="D21" s="12" t="s">
        <v>64</v>
      </c>
      <c r="E21" s="6">
        <v>0.75</v>
      </c>
      <c r="F21" s="7" t="s">
        <v>15</v>
      </c>
      <c r="G21" s="8" t="s">
        <v>29</v>
      </c>
      <c r="H21" s="15" t="s">
        <v>78</v>
      </c>
      <c r="I21" s="15" t="s">
        <v>101</v>
      </c>
      <c r="J21" s="15">
        <v>8905450027442</v>
      </c>
      <c r="K21" s="15" t="s">
        <v>102</v>
      </c>
      <c r="L21" s="15">
        <f>7211+2403</f>
        <v>9614</v>
      </c>
      <c r="M21" s="15">
        <v>2403</v>
      </c>
      <c r="N21" s="15">
        <v>2021</v>
      </c>
      <c r="O21" s="8" t="s">
        <v>38</v>
      </c>
    </row>
    <row r="22" spans="1:15" hidden="1" x14ac:dyDescent="0.25">
      <c r="A22" s="10">
        <v>34727630</v>
      </c>
      <c r="B22" s="11">
        <v>46188</v>
      </c>
      <c r="C22" s="11">
        <v>46234</v>
      </c>
      <c r="D22" s="12" t="s">
        <v>65</v>
      </c>
      <c r="E22" s="6">
        <v>0.75</v>
      </c>
      <c r="F22" s="7" t="s">
        <v>15</v>
      </c>
      <c r="G22" s="8" t="s">
        <v>29</v>
      </c>
      <c r="H22" s="15" t="s">
        <v>78</v>
      </c>
      <c r="I22" s="15" t="s">
        <v>90</v>
      </c>
      <c r="J22" s="15">
        <v>193052079732</v>
      </c>
      <c r="K22" s="15" t="s">
        <v>91</v>
      </c>
      <c r="L22" s="15">
        <f>30285+10095</f>
        <v>40380</v>
      </c>
      <c r="M22" s="15">
        <v>10095</v>
      </c>
      <c r="N22" s="15">
        <v>2020</v>
      </c>
      <c r="O22" s="8" t="s">
        <v>38</v>
      </c>
    </row>
    <row r="23" spans="1:15" hidden="1" x14ac:dyDescent="0.25">
      <c r="A23" s="10">
        <v>34727630</v>
      </c>
      <c r="B23" s="11">
        <v>46188</v>
      </c>
      <c r="C23" s="11">
        <v>46234</v>
      </c>
      <c r="D23" s="12" t="s">
        <v>66</v>
      </c>
      <c r="E23" s="6">
        <v>0.75</v>
      </c>
      <c r="F23" s="7" t="s">
        <v>15</v>
      </c>
      <c r="G23" s="8" t="s">
        <v>29</v>
      </c>
      <c r="H23" s="15" t="s">
        <v>78</v>
      </c>
      <c r="I23" s="15" t="s">
        <v>92</v>
      </c>
      <c r="J23" s="15">
        <v>4501517098260</v>
      </c>
      <c r="K23" s="15" t="s">
        <v>93</v>
      </c>
      <c r="L23" s="15">
        <f>1771+573</f>
        <v>2344</v>
      </c>
      <c r="M23" s="15">
        <v>573</v>
      </c>
      <c r="N23" s="15">
        <v>2021</v>
      </c>
      <c r="O23" s="8" t="s">
        <v>38</v>
      </c>
    </row>
    <row r="24" spans="1:15" hidden="1" x14ac:dyDescent="0.25">
      <c r="A24" s="10">
        <v>34727630</v>
      </c>
      <c r="B24" s="11">
        <v>46188</v>
      </c>
      <c r="C24" s="11">
        <v>46234</v>
      </c>
      <c r="D24" s="12" t="s">
        <v>67</v>
      </c>
      <c r="E24" s="6">
        <v>0.75</v>
      </c>
      <c r="F24" s="7" t="s">
        <v>15</v>
      </c>
      <c r="G24" s="8" t="s">
        <v>29</v>
      </c>
      <c r="H24" s="15" t="s">
        <v>78</v>
      </c>
      <c r="I24" s="15" t="s">
        <v>99</v>
      </c>
      <c r="J24" s="15">
        <v>8904406023897</v>
      </c>
      <c r="K24" s="15" t="s">
        <v>100</v>
      </c>
      <c r="L24" s="15">
        <f>2173+724</f>
        <v>2897</v>
      </c>
      <c r="M24" s="15">
        <v>724</v>
      </c>
      <c r="N24" s="15">
        <v>2021</v>
      </c>
      <c r="O24" s="8" t="s">
        <v>38</v>
      </c>
    </row>
    <row r="25" spans="1:15" hidden="1" x14ac:dyDescent="0.25">
      <c r="A25" s="10">
        <v>34727630</v>
      </c>
      <c r="B25" s="11">
        <v>46188</v>
      </c>
      <c r="C25" s="11">
        <v>46234</v>
      </c>
      <c r="D25" s="12" t="s">
        <v>68</v>
      </c>
      <c r="E25" s="6">
        <v>0.75</v>
      </c>
      <c r="F25" s="7" t="s">
        <v>15</v>
      </c>
      <c r="G25" s="8" t="s">
        <v>29</v>
      </c>
      <c r="H25" s="15" t="s">
        <v>78</v>
      </c>
      <c r="I25" s="15" t="s">
        <v>60</v>
      </c>
      <c r="J25" s="15">
        <v>8904406032479</v>
      </c>
      <c r="K25" s="15" t="s">
        <v>88</v>
      </c>
      <c r="L25" s="15">
        <f>3071+1023</f>
        <v>4094</v>
      </c>
      <c r="M25" s="15">
        <v>1023</v>
      </c>
      <c r="N25" s="15">
        <v>2021</v>
      </c>
      <c r="O25" s="8" t="s">
        <v>38</v>
      </c>
    </row>
    <row r="26" spans="1:15" hidden="1" x14ac:dyDescent="0.25">
      <c r="A26" s="10">
        <v>34727630</v>
      </c>
      <c r="B26" s="11">
        <v>46188</v>
      </c>
      <c r="C26" s="11">
        <v>46234</v>
      </c>
      <c r="D26" s="12" t="s">
        <v>69</v>
      </c>
      <c r="E26" s="6">
        <v>0.75</v>
      </c>
      <c r="F26" s="7" t="s">
        <v>15</v>
      </c>
      <c r="G26" s="8" t="s">
        <v>29</v>
      </c>
      <c r="H26" s="15" t="s">
        <v>78</v>
      </c>
      <c r="I26" s="15" t="s">
        <v>87</v>
      </c>
      <c r="J26" s="15">
        <v>630509873258</v>
      </c>
      <c r="K26" s="15" t="s">
        <v>80</v>
      </c>
      <c r="L26" s="15">
        <v>1499</v>
      </c>
      <c r="M26" s="15">
        <v>374</v>
      </c>
      <c r="N26" s="15">
        <v>2021</v>
      </c>
      <c r="O26" s="8" t="s">
        <v>38</v>
      </c>
    </row>
    <row r="27" spans="1:15" hidden="1" x14ac:dyDescent="0.25">
      <c r="A27" s="10">
        <v>34727630</v>
      </c>
      <c r="B27" s="11">
        <v>46188</v>
      </c>
      <c r="C27" s="11">
        <v>46234</v>
      </c>
      <c r="D27" s="12" t="s">
        <v>70</v>
      </c>
      <c r="E27" s="6">
        <v>0.75</v>
      </c>
      <c r="F27" s="7" t="s">
        <v>15</v>
      </c>
      <c r="G27" s="8" t="s">
        <v>29</v>
      </c>
      <c r="H27" s="15" t="s">
        <v>78</v>
      </c>
      <c r="I27" s="15" t="s">
        <v>79</v>
      </c>
      <c r="J27" s="9">
        <v>630509873258</v>
      </c>
      <c r="K27" s="15" t="s">
        <v>80</v>
      </c>
      <c r="L27" s="15">
        <f>18701+6233</f>
        <v>24934</v>
      </c>
      <c r="M27" s="15">
        <v>6233</v>
      </c>
      <c r="N27" s="15">
        <v>2020</v>
      </c>
      <c r="O27" s="8" t="s">
        <v>38</v>
      </c>
    </row>
    <row r="28" spans="1:15" hidden="1" x14ac:dyDescent="0.25">
      <c r="A28" s="10">
        <v>34727630</v>
      </c>
      <c r="B28" s="11">
        <v>46188</v>
      </c>
      <c r="C28" s="11">
        <v>46234</v>
      </c>
      <c r="D28" s="12" t="s">
        <v>58</v>
      </c>
      <c r="E28" s="6">
        <v>0.75</v>
      </c>
      <c r="F28" s="7" t="s">
        <v>15</v>
      </c>
      <c r="G28" s="8" t="s">
        <v>29</v>
      </c>
      <c r="H28" s="23" t="s">
        <v>55</v>
      </c>
      <c r="I28" s="24"/>
      <c r="J28" s="24"/>
      <c r="K28" s="24"/>
      <c r="L28" s="24"/>
      <c r="M28" s="25"/>
      <c r="N28" s="15"/>
      <c r="O28" s="8" t="s">
        <v>38</v>
      </c>
    </row>
    <row r="29" spans="1:15" hidden="1" x14ac:dyDescent="0.25">
      <c r="A29" s="10">
        <v>34727585</v>
      </c>
      <c r="B29" s="11">
        <v>46188</v>
      </c>
      <c r="C29" s="11">
        <v>46234</v>
      </c>
      <c r="D29" s="12" t="s">
        <v>71</v>
      </c>
      <c r="E29" s="6">
        <v>0.6</v>
      </c>
      <c r="F29" s="7" t="s">
        <v>15</v>
      </c>
      <c r="G29" s="8" t="s">
        <v>29</v>
      </c>
      <c r="H29" s="15" t="s">
        <v>78</v>
      </c>
      <c r="I29" s="15" t="s">
        <v>101</v>
      </c>
      <c r="J29" s="15">
        <v>8908013692569</v>
      </c>
      <c r="K29" s="15" t="s">
        <v>54</v>
      </c>
      <c r="L29" s="15">
        <v>3499</v>
      </c>
      <c r="M29" s="15">
        <v>1399</v>
      </c>
      <c r="N29" s="15">
        <v>2022</v>
      </c>
      <c r="O29" s="8" t="s">
        <v>38</v>
      </c>
    </row>
    <row r="30" spans="1:15" hidden="1" x14ac:dyDescent="0.25">
      <c r="A30" s="10">
        <v>34727585</v>
      </c>
      <c r="B30" s="11">
        <v>46188</v>
      </c>
      <c r="C30" s="11">
        <v>46234</v>
      </c>
      <c r="D30" s="12" t="s">
        <v>72</v>
      </c>
      <c r="E30" s="6">
        <v>0.6</v>
      </c>
      <c r="F30" s="7" t="s">
        <v>15</v>
      </c>
      <c r="G30" s="8" t="s">
        <v>29</v>
      </c>
      <c r="H30" s="15" t="s">
        <v>78</v>
      </c>
      <c r="I30" s="15" t="s">
        <v>94</v>
      </c>
      <c r="J30" s="15">
        <v>8905450027442</v>
      </c>
      <c r="K30" s="15" t="s">
        <v>95</v>
      </c>
      <c r="L30" s="15">
        <f>899+599</f>
        <v>1498</v>
      </c>
      <c r="M30" s="15">
        <v>599</v>
      </c>
      <c r="N30" s="15">
        <v>2022</v>
      </c>
      <c r="O30" s="8" t="s">
        <v>38</v>
      </c>
    </row>
    <row r="31" spans="1:15" hidden="1" x14ac:dyDescent="0.25">
      <c r="A31" s="10">
        <v>34727585</v>
      </c>
      <c r="B31" s="11">
        <v>46188</v>
      </c>
      <c r="C31" s="11">
        <v>46234</v>
      </c>
      <c r="D31" s="12" t="s">
        <v>73</v>
      </c>
      <c r="E31" s="6">
        <v>0.6</v>
      </c>
      <c r="F31" s="7" t="s">
        <v>15</v>
      </c>
      <c r="G31" s="8" t="s">
        <v>29</v>
      </c>
      <c r="H31" s="15" t="s">
        <v>78</v>
      </c>
      <c r="I31" s="15" t="s">
        <v>81</v>
      </c>
      <c r="J31" s="9">
        <v>8905450027411</v>
      </c>
      <c r="K31" s="15" t="s">
        <v>82</v>
      </c>
      <c r="L31" s="15">
        <v>1599</v>
      </c>
      <c r="M31" s="15">
        <v>639</v>
      </c>
      <c r="N31" s="15">
        <v>2022</v>
      </c>
      <c r="O31" s="8" t="s">
        <v>38</v>
      </c>
    </row>
    <row r="32" spans="1:15" hidden="1" x14ac:dyDescent="0.25">
      <c r="A32" s="10">
        <v>34727585</v>
      </c>
      <c r="B32" s="11">
        <v>46188</v>
      </c>
      <c r="C32" s="11">
        <v>46234</v>
      </c>
      <c r="D32" s="12" t="s">
        <v>74</v>
      </c>
      <c r="E32" s="6">
        <v>0.6</v>
      </c>
      <c r="F32" s="7" t="s">
        <v>15</v>
      </c>
      <c r="G32" s="8" t="s">
        <v>29</v>
      </c>
      <c r="H32" s="15" t="s">
        <v>78</v>
      </c>
      <c r="I32" s="15" t="s">
        <v>85</v>
      </c>
      <c r="J32" s="15">
        <v>8905039140531</v>
      </c>
      <c r="K32" s="15" t="s">
        <v>86</v>
      </c>
      <c r="L32" s="15">
        <f>1918+1279</f>
        <v>3197</v>
      </c>
      <c r="M32" s="15">
        <v>1279</v>
      </c>
      <c r="N32" s="15">
        <v>2022</v>
      </c>
      <c r="O32" s="8" t="s">
        <v>38</v>
      </c>
    </row>
    <row r="33" spans="1:15" hidden="1" x14ac:dyDescent="0.25">
      <c r="A33" s="10">
        <v>34727585</v>
      </c>
      <c r="B33" s="11">
        <v>46188</v>
      </c>
      <c r="C33" s="11">
        <v>46234</v>
      </c>
      <c r="D33" s="12" t="s">
        <v>75</v>
      </c>
      <c r="E33" s="6">
        <v>0.6</v>
      </c>
      <c r="F33" s="7" t="s">
        <v>15</v>
      </c>
      <c r="G33" s="8" t="s">
        <v>29</v>
      </c>
      <c r="H33" s="26" t="s">
        <v>108</v>
      </c>
      <c r="I33" s="27"/>
      <c r="J33" s="27"/>
      <c r="K33" s="27"/>
      <c r="L33" s="27"/>
      <c r="M33" s="27"/>
      <c r="N33" s="28"/>
      <c r="O33" s="8" t="s">
        <v>38</v>
      </c>
    </row>
    <row r="34" spans="1:15" hidden="1" x14ac:dyDescent="0.25">
      <c r="A34" s="10">
        <v>34727585</v>
      </c>
      <c r="B34" s="11">
        <v>46188</v>
      </c>
      <c r="C34" s="11">
        <v>46234</v>
      </c>
      <c r="D34" s="12" t="s">
        <v>57</v>
      </c>
      <c r="E34" s="6">
        <v>0.6</v>
      </c>
      <c r="F34" s="7" t="s">
        <v>15</v>
      </c>
      <c r="G34" s="8" t="s">
        <v>29</v>
      </c>
      <c r="H34" s="23" t="s">
        <v>55</v>
      </c>
      <c r="I34" s="24"/>
      <c r="J34" s="24"/>
      <c r="K34" s="24"/>
      <c r="L34" s="24"/>
      <c r="M34" s="25"/>
      <c r="N34" s="15"/>
      <c r="O34" s="8" t="s">
        <v>38</v>
      </c>
    </row>
    <row r="35" spans="1:15" hidden="1" x14ac:dyDescent="0.25">
      <c r="A35" s="4">
        <v>34727366</v>
      </c>
      <c r="B35" s="5">
        <v>46188</v>
      </c>
      <c r="C35" s="5">
        <v>46234</v>
      </c>
      <c r="D35" s="4" t="s">
        <v>76</v>
      </c>
      <c r="E35" s="16">
        <v>0.4</v>
      </c>
      <c r="F35" s="7" t="s">
        <v>15</v>
      </c>
      <c r="G35" s="8" t="s">
        <v>29</v>
      </c>
      <c r="H35" s="23" t="s">
        <v>55</v>
      </c>
      <c r="I35" s="24"/>
      <c r="J35" s="24"/>
      <c r="K35" s="24"/>
      <c r="L35" s="24"/>
      <c r="M35" s="25"/>
      <c r="N35" s="15"/>
      <c r="O35" s="8" t="s">
        <v>38</v>
      </c>
    </row>
    <row r="36" spans="1:15" hidden="1" x14ac:dyDescent="0.25">
      <c r="A36" s="4">
        <v>34727366</v>
      </c>
      <c r="B36" s="5">
        <v>46188</v>
      </c>
      <c r="C36" s="5">
        <v>46234</v>
      </c>
      <c r="D36" s="4" t="s">
        <v>76</v>
      </c>
      <c r="E36" s="16">
        <v>0.4</v>
      </c>
      <c r="F36" s="7" t="s">
        <v>15</v>
      </c>
      <c r="G36" s="8" t="s">
        <v>29</v>
      </c>
      <c r="H36" s="23" t="s">
        <v>55</v>
      </c>
      <c r="I36" s="24"/>
      <c r="J36" s="24"/>
      <c r="K36" s="24"/>
      <c r="L36" s="24"/>
      <c r="M36" s="25"/>
      <c r="N36" s="15"/>
      <c r="O36" s="8" t="s">
        <v>38</v>
      </c>
    </row>
    <row r="37" spans="1:15" hidden="1" x14ac:dyDescent="0.25">
      <c r="A37" s="4">
        <v>34727366</v>
      </c>
      <c r="B37" s="5">
        <v>46188</v>
      </c>
      <c r="C37" s="5">
        <v>46234</v>
      </c>
      <c r="D37" s="4" t="s">
        <v>76</v>
      </c>
      <c r="E37" s="16">
        <v>0.4</v>
      </c>
      <c r="F37" s="7" t="s">
        <v>15</v>
      </c>
      <c r="G37" s="8" t="s">
        <v>29</v>
      </c>
      <c r="H37" s="15" t="s">
        <v>78</v>
      </c>
      <c r="I37" s="15" t="s">
        <v>89</v>
      </c>
      <c r="J37" s="15">
        <v>450151708260</v>
      </c>
      <c r="K37" s="15" t="s">
        <v>93</v>
      </c>
      <c r="L37" s="15">
        <f>459+688</f>
        <v>1147</v>
      </c>
      <c r="M37" s="15">
        <v>688</v>
      </c>
      <c r="N37" s="15">
        <v>2023</v>
      </c>
      <c r="O37" s="8" t="s">
        <v>38</v>
      </c>
    </row>
    <row r="38" spans="1:15" hidden="1" x14ac:dyDescent="0.25">
      <c r="A38" s="4">
        <v>34727366</v>
      </c>
      <c r="B38" s="5">
        <v>46188</v>
      </c>
      <c r="C38" s="5">
        <v>46234</v>
      </c>
      <c r="D38" s="4" t="s">
        <v>77</v>
      </c>
      <c r="E38" s="16">
        <v>0.4</v>
      </c>
      <c r="F38" s="7" t="s">
        <v>15</v>
      </c>
      <c r="G38" s="8" t="s">
        <v>29</v>
      </c>
      <c r="H38" s="15" t="s">
        <v>78</v>
      </c>
      <c r="I38" s="15" t="s">
        <v>83</v>
      </c>
      <c r="J38" s="15">
        <v>8906103501081</v>
      </c>
      <c r="K38" s="15" t="s">
        <v>84</v>
      </c>
      <c r="L38" s="15">
        <v>1599</v>
      </c>
      <c r="M38" s="15">
        <v>959</v>
      </c>
      <c r="N38" s="15">
        <v>2023</v>
      </c>
      <c r="O38" s="8" t="s">
        <v>38</v>
      </c>
    </row>
    <row r="39" spans="1:15" hidden="1" x14ac:dyDescent="0.25">
      <c r="A39" s="4">
        <v>34727366</v>
      </c>
      <c r="B39" s="5">
        <v>46188</v>
      </c>
      <c r="C39" s="5">
        <v>46234</v>
      </c>
      <c r="D39" s="4" t="s">
        <v>96</v>
      </c>
      <c r="E39" s="16">
        <v>0.4</v>
      </c>
      <c r="F39" s="14" t="s">
        <v>15</v>
      </c>
      <c r="G39" s="8" t="s">
        <v>29</v>
      </c>
      <c r="H39" s="15" t="s">
        <v>78</v>
      </c>
      <c r="I39" s="15" t="s">
        <v>97</v>
      </c>
      <c r="J39" s="15">
        <v>8904406023897</v>
      </c>
      <c r="K39" s="15" t="s">
        <v>98</v>
      </c>
      <c r="L39" s="15">
        <f>1099+659</f>
        <v>1758</v>
      </c>
      <c r="M39" s="15">
        <v>659</v>
      </c>
      <c r="N39" s="15">
        <v>2023</v>
      </c>
      <c r="O39" s="8" t="s">
        <v>38</v>
      </c>
    </row>
    <row r="40" spans="1:15" hidden="1" x14ac:dyDescent="0.25">
      <c r="A40" s="4">
        <v>34727366</v>
      </c>
      <c r="B40" s="5">
        <v>46188</v>
      </c>
      <c r="C40" s="5">
        <v>46234</v>
      </c>
      <c r="D40" s="4" t="s">
        <v>103</v>
      </c>
      <c r="E40" s="16">
        <v>0.4</v>
      </c>
      <c r="F40" s="14" t="s">
        <v>15</v>
      </c>
      <c r="G40" s="8" t="s">
        <v>29</v>
      </c>
      <c r="H40" s="15" t="s">
        <v>78</v>
      </c>
      <c r="I40" s="17" t="s">
        <v>104</v>
      </c>
      <c r="J40" s="15">
        <v>8905672267091</v>
      </c>
      <c r="K40" s="15" t="s">
        <v>105</v>
      </c>
      <c r="L40" s="15">
        <v>1999</v>
      </c>
      <c r="M40" s="17">
        <v>1199</v>
      </c>
      <c r="N40" s="17">
        <v>2023</v>
      </c>
      <c r="O40" s="8" t="s">
        <v>38</v>
      </c>
    </row>
  </sheetData>
  <mergeCells count="6">
    <mergeCell ref="H9:O9"/>
    <mergeCell ref="H28:M28"/>
    <mergeCell ref="H34:M34"/>
    <mergeCell ref="H35:M35"/>
    <mergeCell ref="H36:M36"/>
    <mergeCell ref="H33:N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D8CA-24BA-41C6-A7C7-937C1361D9A3}">
  <dimension ref="A1:L9"/>
  <sheetViews>
    <sheetView tabSelected="1" workbookViewId="0">
      <selection activeCell="D13" sqref="D13"/>
    </sheetView>
  </sheetViews>
  <sheetFormatPr defaultRowHeight="15" x14ac:dyDescent="0.25"/>
  <cols>
    <col min="1" max="1" width="14.42578125" customWidth="1"/>
    <col min="2" max="3" width="16.85546875" customWidth="1"/>
    <col min="4" max="4" width="16.42578125" customWidth="1"/>
    <col min="5" max="5" width="15.42578125" customWidth="1"/>
    <col min="6" max="6" width="12.42578125" customWidth="1"/>
    <col min="7" max="7" width="23.140625" customWidth="1"/>
    <col min="8" max="8" width="52.5703125" customWidth="1"/>
    <col min="10" max="10" width="19.7109375" customWidth="1"/>
    <col min="11" max="11" width="15.5703125" customWidth="1"/>
    <col min="12" max="12" width="27.85546875" customWidth="1"/>
  </cols>
  <sheetData>
    <row r="1" spans="1:12" ht="15.75" thickBot="1" x14ac:dyDescent="0.3">
      <c r="A1" s="38" t="s">
        <v>3</v>
      </c>
      <c r="B1" s="38" t="s">
        <v>4</v>
      </c>
      <c r="C1" s="29" t="s">
        <v>5</v>
      </c>
      <c r="D1" s="29" t="s">
        <v>6</v>
      </c>
      <c r="E1" s="29" t="s">
        <v>7</v>
      </c>
      <c r="F1" s="29" t="s">
        <v>8</v>
      </c>
      <c r="G1" s="29" t="s">
        <v>9</v>
      </c>
      <c r="H1" s="29" t="s">
        <v>10</v>
      </c>
      <c r="I1" s="29" t="s">
        <v>11</v>
      </c>
      <c r="J1" s="29" t="s">
        <v>12</v>
      </c>
      <c r="K1" s="29" t="s">
        <v>13</v>
      </c>
      <c r="L1" s="29" t="s">
        <v>14</v>
      </c>
    </row>
    <row r="2" spans="1:12" x14ac:dyDescent="0.25">
      <c r="A2" s="30" t="s">
        <v>109</v>
      </c>
      <c r="B2" s="31">
        <v>0.5</v>
      </c>
      <c r="C2" s="32" t="s">
        <v>15</v>
      </c>
      <c r="D2" s="33" t="s">
        <v>29</v>
      </c>
      <c r="E2" s="33" t="s">
        <v>111</v>
      </c>
      <c r="F2" s="33" t="s">
        <v>35</v>
      </c>
      <c r="G2" s="34" t="s">
        <v>114</v>
      </c>
      <c r="H2" s="33" t="s">
        <v>113</v>
      </c>
      <c r="I2" s="33">
        <v>2548</v>
      </c>
      <c r="J2" s="33">
        <v>1274</v>
      </c>
      <c r="K2" s="33">
        <v>2022</v>
      </c>
      <c r="L2" s="33" t="s">
        <v>38</v>
      </c>
    </row>
    <row r="3" spans="1:12" x14ac:dyDescent="0.25">
      <c r="A3" s="35" t="s">
        <v>110</v>
      </c>
      <c r="B3" s="31">
        <v>0.5</v>
      </c>
      <c r="C3" s="32" t="s">
        <v>15</v>
      </c>
      <c r="D3" s="33" t="s">
        <v>29</v>
      </c>
      <c r="E3" s="33" t="s">
        <v>112</v>
      </c>
      <c r="F3" s="33" t="s">
        <v>41</v>
      </c>
      <c r="G3" s="34" t="s">
        <v>116</v>
      </c>
      <c r="H3" s="33" t="s">
        <v>115</v>
      </c>
      <c r="I3" s="33">
        <v>7245</v>
      </c>
      <c r="J3" s="33">
        <v>3462</v>
      </c>
      <c r="K3" s="33">
        <v>2022</v>
      </c>
      <c r="L3" s="33" t="s">
        <v>38</v>
      </c>
    </row>
    <row r="4" spans="1:12" x14ac:dyDescent="0.25">
      <c r="A4" s="36" t="s">
        <v>117</v>
      </c>
      <c r="B4" s="31">
        <v>0.75</v>
      </c>
      <c r="C4" s="32" t="s">
        <v>15</v>
      </c>
      <c r="D4" s="33" t="s">
        <v>29</v>
      </c>
      <c r="E4" s="36" t="s">
        <v>127</v>
      </c>
      <c r="F4" s="36" t="s">
        <v>44</v>
      </c>
      <c r="G4" s="36"/>
      <c r="H4" s="36" t="s">
        <v>128</v>
      </c>
      <c r="I4" s="36">
        <v>750</v>
      </c>
      <c r="J4" s="36">
        <v>187.5</v>
      </c>
      <c r="K4" s="36">
        <v>2020</v>
      </c>
      <c r="L4" s="33" t="s">
        <v>38</v>
      </c>
    </row>
    <row r="5" spans="1:12" x14ac:dyDescent="0.25">
      <c r="A5" s="21" t="s">
        <v>118</v>
      </c>
      <c r="B5" s="31">
        <v>0.75</v>
      </c>
      <c r="C5" s="32" t="s">
        <v>15</v>
      </c>
      <c r="D5" s="33" t="s">
        <v>29</v>
      </c>
      <c r="E5" s="36"/>
      <c r="F5" s="36"/>
      <c r="G5" s="36"/>
      <c r="H5" s="36"/>
      <c r="I5" s="36"/>
      <c r="J5" s="36"/>
      <c r="K5" s="36"/>
      <c r="L5" s="33" t="s">
        <v>38</v>
      </c>
    </row>
    <row r="6" spans="1:12" x14ac:dyDescent="0.25">
      <c r="A6" s="21" t="s">
        <v>119</v>
      </c>
      <c r="B6" s="31">
        <v>0.75</v>
      </c>
      <c r="C6" s="32" t="s">
        <v>15</v>
      </c>
      <c r="D6" s="33" t="s">
        <v>29</v>
      </c>
      <c r="E6" s="36"/>
      <c r="F6" s="36"/>
      <c r="G6" s="36"/>
      <c r="H6" s="36"/>
      <c r="I6" s="36"/>
      <c r="J6" s="36"/>
      <c r="K6" s="36"/>
      <c r="L6" s="33" t="s">
        <v>38</v>
      </c>
    </row>
    <row r="7" spans="1:12" x14ac:dyDescent="0.25">
      <c r="A7" s="21" t="s">
        <v>120</v>
      </c>
      <c r="B7" s="31">
        <v>0.5</v>
      </c>
      <c r="C7" s="32" t="s">
        <v>15</v>
      </c>
      <c r="D7" s="33" t="s">
        <v>29</v>
      </c>
      <c r="E7" s="36" t="s">
        <v>125</v>
      </c>
      <c r="F7" s="36" t="s">
        <v>126</v>
      </c>
      <c r="G7" s="37" t="s">
        <v>123</v>
      </c>
      <c r="H7" s="36" t="s">
        <v>124</v>
      </c>
      <c r="I7" s="36">
        <v>1198</v>
      </c>
      <c r="J7" s="36">
        <v>599</v>
      </c>
      <c r="K7" s="36">
        <v>2022</v>
      </c>
      <c r="L7" s="33" t="s">
        <v>38</v>
      </c>
    </row>
    <row r="8" spans="1:12" x14ac:dyDescent="0.25">
      <c r="A8" s="21" t="s">
        <v>121</v>
      </c>
      <c r="B8" s="31">
        <v>0.5</v>
      </c>
      <c r="C8" s="32" t="s">
        <v>15</v>
      </c>
      <c r="D8" s="33" t="s">
        <v>29</v>
      </c>
      <c r="E8" s="36" t="s">
        <v>129</v>
      </c>
      <c r="F8" s="36" t="s">
        <v>130</v>
      </c>
      <c r="G8" s="36"/>
      <c r="H8" s="36" t="s">
        <v>131</v>
      </c>
      <c r="I8" s="36">
        <v>3398</v>
      </c>
      <c r="J8" s="36">
        <v>1719</v>
      </c>
      <c r="K8" s="36">
        <v>2022</v>
      </c>
      <c r="L8" s="33" t="s">
        <v>38</v>
      </c>
    </row>
    <row r="9" spans="1:12" x14ac:dyDescent="0.25">
      <c r="A9" s="21" t="s">
        <v>122</v>
      </c>
      <c r="B9" s="31">
        <v>0.5</v>
      </c>
      <c r="C9" s="32" t="s">
        <v>15</v>
      </c>
      <c r="D9" s="33" t="s">
        <v>29</v>
      </c>
      <c r="E9" s="36"/>
      <c r="F9" s="36"/>
      <c r="G9" s="36"/>
      <c r="H9" s="36"/>
      <c r="I9" s="36"/>
      <c r="J9" s="36"/>
      <c r="K9" s="36"/>
      <c r="L9" s="3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2026-06-03T12:02:05Z</dcterms:created>
  <dcterms:modified xsi:type="dcterms:W3CDTF">2026-09-26T09:20:34Z</dcterms:modified>
</cp:coreProperties>
</file>