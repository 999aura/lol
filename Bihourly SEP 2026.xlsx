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ThisWorkbook" defaultThemeVersion="124226"/>
  <xr:revisionPtr revIDLastSave="0" documentId="13_ncr:1_{2AB29406-540D-4E3F-9739-FDD2C9FF9C86}" xr6:coauthVersionLast="36" xr6:coauthVersionMax="36" xr10:uidLastSave="{00000000-0000-0000-0000-000000000000}"/>
  <bookViews>
    <workbookView xWindow="0" yWindow="0" windowWidth="28800" windowHeight="11085" activeTab="1" xr2:uid="{00000000-000D-0000-FFFF-FFFF00000000}"/>
  </bookViews>
  <sheets>
    <sheet name="FINAL" sheetId="78" r:id="rId1"/>
    <sheet name="Master" sheetId="17" r:id="rId2"/>
    <sheet name="PIVOT" sheetId="75" r:id="rId3"/>
    <sheet name="sale." sheetId="32" r:id="rId4"/>
    <sheet name="Sheet1" sheetId="79" r:id="rId5"/>
  </sheets>
  <externalReferences>
    <externalReference r:id="rId6"/>
  </externalReferences>
  <definedNames>
    <definedName name="_xlnm._FilterDatabase" localSheetId="1" hidden="1">Master!$A$2:$M$14</definedName>
    <definedName name="_xlnm._FilterDatabase" localSheetId="3" hidden="1">sale.!$A$1:$X$4211</definedName>
  </definedNames>
  <calcPr calcId="191029"/>
  <pivotCaches>
    <pivotCache cacheId="13" r:id="rId7"/>
  </pivotCaches>
</workbook>
</file>

<file path=xl/calcChain.xml><?xml version="1.0" encoding="utf-8"?>
<calcChain xmlns="http://schemas.openxmlformats.org/spreadsheetml/2006/main">
  <c r="K8" i="17" l="1"/>
  <c r="K9" i="17"/>
  <c r="K10" i="17"/>
  <c r="K11" i="17"/>
  <c r="K12" i="17"/>
  <c r="K13" i="17"/>
  <c r="K14" i="17"/>
  <c r="K314" i="78" l="1"/>
  <c r="M314" i="78" s="1"/>
  <c r="J314" i="78"/>
  <c r="E314" i="78"/>
  <c r="K313" i="78"/>
  <c r="M313" i="78" s="1"/>
  <c r="J313" i="78"/>
  <c r="E313" i="78"/>
  <c r="K312" i="78"/>
  <c r="M312" i="78" s="1"/>
  <c r="J312" i="78"/>
  <c r="E312" i="78"/>
  <c r="K311" i="78"/>
  <c r="M311" i="78" s="1"/>
  <c r="J311" i="78"/>
  <c r="E311" i="78"/>
  <c r="K310" i="78"/>
  <c r="M310" i="78" s="1"/>
  <c r="J310" i="78"/>
  <c r="E310" i="78"/>
  <c r="K309" i="78"/>
  <c r="M309" i="78" s="1"/>
  <c r="J309" i="78"/>
  <c r="E309" i="78"/>
  <c r="K308" i="78"/>
  <c r="M308" i="78" s="1"/>
  <c r="J308" i="78"/>
  <c r="E308" i="78"/>
  <c r="K307" i="78"/>
  <c r="M307" i="78" s="1"/>
  <c r="J307" i="78"/>
  <c r="E307" i="78"/>
  <c r="K306" i="78"/>
  <c r="M306" i="78" s="1"/>
  <c r="J306" i="78"/>
  <c r="E306" i="78"/>
  <c r="K305" i="78"/>
  <c r="M305" i="78" s="1"/>
  <c r="J305" i="78"/>
  <c r="E305" i="78"/>
  <c r="K304" i="78"/>
  <c r="M304" i="78" s="1"/>
  <c r="J304" i="78"/>
  <c r="E304" i="78"/>
  <c r="B302" i="78"/>
  <c r="B73" i="79" l="1"/>
  <c r="B72" i="79"/>
  <c r="B2" i="79"/>
  <c r="B76" i="79" s="1"/>
  <c r="B6" i="79" l="1"/>
  <c r="B34" i="79"/>
  <c r="B77" i="79"/>
  <c r="B7" i="79"/>
  <c r="B25" i="79"/>
  <c r="B30" i="79"/>
  <c r="B57" i="79"/>
  <c r="B68" i="79"/>
  <c r="B78" i="79"/>
  <c r="B4" i="79"/>
  <c r="B8" i="79"/>
  <c r="B26" i="79"/>
  <c r="B52" i="79"/>
  <c r="B69" i="79"/>
  <c r="B75" i="79"/>
  <c r="B5" i="79"/>
  <c r="B38" i="79"/>
  <c r="B43" i="79"/>
  <c r="B48" i="79"/>
  <c r="B60" i="79"/>
  <c r="B65" i="79"/>
  <c r="B27" i="79" l="1"/>
  <c r="B53" i="79" l="1"/>
  <c r="B61" i="79"/>
  <c r="B49" i="79"/>
  <c r="B58" i="79" l="1"/>
  <c r="B44" i="79"/>
  <c r="B31" i="79"/>
  <c r="B35" i="79"/>
  <c r="B39" i="79"/>
  <c r="B9" i="79" l="1"/>
  <c r="B10" i="79"/>
  <c r="B11" i="79"/>
  <c r="B3" i="79" l="1"/>
  <c r="B14" i="79" l="1"/>
  <c r="B70" i="79" l="1"/>
  <c r="W19" i="32" l="1"/>
  <c r="X19" i="32"/>
  <c r="W20" i="32"/>
  <c r="X20" i="32"/>
  <c r="W21" i="32"/>
  <c r="X21" i="32"/>
  <c r="W22" i="32"/>
  <c r="X22" i="32"/>
  <c r="W23" i="32"/>
  <c r="X23" i="32"/>
  <c r="W24" i="32"/>
  <c r="X24" i="32"/>
  <c r="W25" i="32"/>
  <c r="X25" i="32"/>
  <c r="W26" i="32"/>
  <c r="X26" i="32"/>
  <c r="W27" i="32"/>
  <c r="X27" i="32"/>
  <c r="W28" i="32"/>
  <c r="X28" i="32"/>
  <c r="W29" i="32"/>
  <c r="X29" i="32"/>
  <c r="W30" i="32"/>
  <c r="X30" i="32"/>
  <c r="W31" i="32"/>
  <c r="X31" i="32"/>
  <c r="W32" i="32"/>
  <c r="X32" i="32"/>
  <c r="W33" i="32"/>
  <c r="X33" i="32"/>
  <c r="W34" i="32"/>
  <c r="X34" i="32"/>
  <c r="W35" i="32"/>
  <c r="X35" i="32"/>
  <c r="W36" i="32"/>
  <c r="X36" i="32"/>
  <c r="W37" i="32"/>
  <c r="X37" i="32"/>
  <c r="W38" i="32"/>
  <c r="X38" i="32"/>
  <c r="W39" i="32"/>
  <c r="X39" i="32"/>
  <c r="W40" i="32"/>
  <c r="X40" i="32"/>
  <c r="W41" i="32"/>
  <c r="X41" i="32"/>
  <c r="W42" i="32"/>
  <c r="X42" i="32"/>
  <c r="W43" i="32"/>
  <c r="X43" i="32"/>
  <c r="W44" i="32"/>
  <c r="X44" i="32"/>
  <c r="W45" i="32"/>
  <c r="X45" i="32"/>
  <c r="W46" i="32"/>
  <c r="X46" i="32"/>
  <c r="W47" i="32"/>
  <c r="X47" i="32"/>
  <c r="W48" i="32"/>
  <c r="X48" i="32"/>
  <c r="W49" i="32"/>
  <c r="X49" i="32"/>
  <c r="W50" i="32"/>
  <c r="X50" i="32"/>
  <c r="W51" i="32"/>
  <c r="X51" i="32"/>
  <c r="W52" i="32"/>
  <c r="X52" i="32"/>
  <c r="W53" i="32"/>
  <c r="X53" i="32"/>
  <c r="W54" i="32"/>
  <c r="X54" i="32"/>
  <c r="W55" i="32"/>
  <c r="X55" i="32"/>
  <c r="W56" i="32"/>
  <c r="X56" i="32"/>
  <c r="W57" i="32"/>
  <c r="X57" i="32"/>
  <c r="W58" i="32"/>
  <c r="X58" i="32"/>
  <c r="W59" i="32"/>
  <c r="X59" i="32"/>
  <c r="W60" i="32"/>
  <c r="X60" i="32"/>
  <c r="W61" i="32"/>
  <c r="X61" i="32"/>
  <c r="W62" i="32"/>
  <c r="X62" i="32"/>
  <c r="W63" i="32"/>
  <c r="X63" i="32"/>
  <c r="W64" i="32"/>
  <c r="X64" i="32"/>
  <c r="W65" i="32"/>
  <c r="X65" i="32"/>
  <c r="W66" i="32"/>
  <c r="X66" i="32"/>
  <c r="W67" i="32"/>
  <c r="X67" i="32"/>
  <c r="W68" i="32"/>
  <c r="X68" i="32"/>
  <c r="W69" i="32"/>
  <c r="X69" i="32"/>
  <c r="W70" i="32"/>
  <c r="X70" i="32"/>
  <c r="W71" i="32"/>
  <c r="X71" i="32"/>
  <c r="W72" i="32"/>
  <c r="X72" i="32"/>
  <c r="W73" i="32"/>
  <c r="X73" i="32"/>
  <c r="W74" i="32"/>
  <c r="X74" i="32"/>
  <c r="W75" i="32"/>
  <c r="X75" i="32"/>
  <c r="W76" i="32"/>
  <c r="X76" i="32"/>
  <c r="W77" i="32"/>
  <c r="X77" i="32"/>
  <c r="W78" i="32"/>
  <c r="X78" i="32"/>
  <c r="W79" i="32"/>
  <c r="X79" i="32"/>
  <c r="W80" i="32"/>
  <c r="X80" i="32"/>
  <c r="W81" i="32"/>
  <c r="X81" i="32"/>
  <c r="W82" i="32"/>
  <c r="X82" i="32"/>
  <c r="W83" i="32"/>
  <c r="X83" i="32"/>
  <c r="W84" i="32"/>
  <c r="X84" i="32"/>
  <c r="W85" i="32"/>
  <c r="X85" i="32"/>
  <c r="W86" i="32"/>
  <c r="X86" i="32"/>
  <c r="W87" i="32"/>
  <c r="X87" i="32"/>
  <c r="W88" i="32"/>
  <c r="X88" i="32"/>
  <c r="W89" i="32"/>
  <c r="X89" i="32"/>
  <c r="W90" i="32"/>
  <c r="X90" i="32"/>
  <c r="W91" i="32"/>
  <c r="X91" i="32"/>
  <c r="W92" i="32"/>
  <c r="X92" i="32"/>
  <c r="W93" i="32"/>
  <c r="X93" i="32"/>
  <c r="W94" i="32"/>
  <c r="X94" i="32"/>
  <c r="W95" i="32"/>
  <c r="X95" i="32"/>
  <c r="W96" i="32"/>
  <c r="X96" i="32"/>
  <c r="W97" i="32"/>
  <c r="X97" i="32"/>
  <c r="W98" i="32"/>
  <c r="X98" i="32"/>
  <c r="W99" i="32"/>
  <c r="X99" i="32"/>
  <c r="K4" i="17" l="1"/>
  <c r="K7" i="17" l="1"/>
  <c r="W2" i="32" l="1"/>
  <c r="X2" i="32"/>
  <c r="W3" i="32"/>
  <c r="X3" i="32"/>
  <c r="W4" i="32"/>
  <c r="X4" i="32"/>
  <c r="W5" i="32"/>
  <c r="X5" i="32"/>
  <c r="W6" i="32"/>
  <c r="X6" i="32"/>
  <c r="W7" i="32"/>
  <c r="X7" i="32"/>
  <c r="W8" i="32"/>
  <c r="X8" i="32"/>
  <c r="W9" i="32"/>
  <c r="X9" i="32"/>
  <c r="W10" i="32"/>
  <c r="X10" i="32"/>
  <c r="W11" i="32"/>
  <c r="X11" i="32"/>
  <c r="W12" i="32"/>
  <c r="X12" i="32"/>
  <c r="W13" i="32"/>
  <c r="X13" i="32"/>
  <c r="W14" i="32"/>
  <c r="X14" i="32"/>
  <c r="W15" i="32"/>
  <c r="X15" i="32"/>
  <c r="W16" i="32"/>
  <c r="X16" i="32"/>
  <c r="W17" i="32"/>
  <c r="X17" i="32"/>
  <c r="W18" i="32"/>
  <c r="X18" i="32"/>
  <c r="W100" i="32"/>
  <c r="X100" i="32"/>
  <c r="W101" i="32"/>
  <c r="X101" i="32"/>
  <c r="W102" i="32"/>
  <c r="X102" i="32"/>
  <c r="W103" i="32"/>
  <c r="X103" i="32"/>
  <c r="W104" i="32"/>
  <c r="X104" i="32"/>
  <c r="W105" i="32"/>
  <c r="X105" i="32"/>
  <c r="W106" i="32"/>
  <c r="X106" i="32"/>
  <c r="W107" i="32"/>
  <c r="X107" i="32"/>
  <c r="W108" i="32"/>
  <c r="X108" i="32"/>
  <c r="W109" i="32"/>
  <c r="X109" i="32"/>
  <c r="W110" i="32"/>
  <c r="X110" i="32"/>
  <c r="W111" i="32"/>
  <c r="X111" i="32"/>
  <c r="W112" i="32"/>
  <c r="X112" i="32"/>
  <c r="W113" i="32"/>
  <c r="X113" i="32"/>
  <c r="W114" i="32"/>
  <c r="X114" i="32"/>
  <c r="W115" i="32"/>
  <c r="X115" i="32"/>
  <c r="W116" i="32"/>
  <c r="X116" i="32"/>
  <c r="W117" i="32"/>
  <c r="X117" i="32"/>
  <c r="W118" i="32"/>
  <c r="X118" i="32"/>
  <c r="W119" i="32"/>
  <c r="X119" i="32"/>
  <c r="W120" i="32"/>
  <c r="X120" i="32"/>
  <c r="W121" i="32"/>
  <c r="X121" i="32"/>
  <c r="W122" i="32"/>
  <c r="X122" i="32"/>
  <c r="W123" i="32"/>
  <c r="X123" i="32"/>
  <c r="W124" i="32"/>
  <c r="X124" i="32"/>
  <c r="W125" i="32"/>
  <c r="X125" i="32"/>
  <c r="W126" i="32"/>
  <c r="X126" i="32"/>
  <c r="W127" i="32"/>
  <c r="X127" i="32"/>
  <c r="W128" i="32"/>
  <c r="X128" i="32"/>
  <c r="W129" i="32"/>
  <c r="X129" i="32"/>
  <c r="W130" i="32"/>
  <c r="X130" i="32"/>
  <c r="W131" i="32"/>
  <c r="X131" i="32"/>
  <c r="W132" i="32"/>
  <c r="X132" i="32"/>
  <c r="W133" i="32"/>
  <c r="X133" i="32"/>
  <c r="W134" i="32"/>
  <c r="X134" i="32"/>
  <c r="W135" i="32"/>
  <c r="X135" i="32"/>
  <c r="W136" i="32"/>
  <c r="X136" i="32"/>
  <c r="W137" i="32"/>
  <c r="X137" i="32"/>
  <c r="W138" i="32"/>
  <c r="X138" i="32"/>
  <c r="W139" i="32"/>
  <c r="X139" i="32"/>
  <c r="W140" i="32"/>
  <c r="X140" i="32"/>
  <c r="W141" i="32"/>
  <c r="X141" i="32"/>
  <c r="W142" i="32"/>
  <c r="X142" i="32"/>
  <c r="W143" i="32"/>
  <c r="X143" i="32"/>
  <c r="W144" i="32"/>
  <c r="X144" i="32"/>
  <c r="W145" i="32"/>
  <c r="X145" i="32"/>
  <c r="W146" i="32"/>
  <c r="X146" i="32"/>
  <c r="W147" i="32"/>
  <c r="X147" i="32"/>
  <c r="W148" i="32"/>
  <c r="X148" i="32"/>
  <c r="W149" i="32"/>
  <c r="X149" i="32"/>
  <c r="W150" i="32"/>
  <c r="X150" i="32"/>
  <c r="W151" i="32"/>
  <c r="X151" i="32"/>
  <c r="W152" i="32"/>
  <c r="X152" i="32"/>
  <c r="W153" i="32"/>
  <c r="X153" i="32"/>
  <c r="W154" i="32"/>
  <c r="X154" i="32"/>
  <c r="W155" i="32"/>
  <c r="X155" i="32"/>
  <c r="W156" i="32"/>
  <c r="X156" i="32"/>
  <c r="W157" i="32"/>
  <c r="X157" i="32"/>
  <c r="W158" i="32"/>
  <c r="X158" i="32"/>
  <c r="W159" i="32"/>
  <c r="X159" i="32"/>
  <c r="W160" i="32"/>
  <c r="X160" i="32"/>
  <c r="W161" i="32"/>
  <c r="X161" i="32"/>
  <c r="W162" i="32"/>
  <c r="X162" i="32"/>
  <c r="W163" i="32"/>
  <c r="X163" i="32"/>
  <c r="W164" i="32"/>
  <c r="X164" i="32"/>
  <c r="W165" i="32"/>
  <c r="X165" i="32"/>
  <c r="W166" i="32"/>
  <c r="X166" i="32"/>
  <c r="W167" i="32"/>
  <c r="X167" i="32"/>
  <c r="W168" i="32"/>
  <c r="X168" i="32"/>
  <c r="W169" i="32"/>
  <c r="X169" i="32"/>
  <c r="W170" i="32"/>
  <c r="X170" i="32"/>
  <c r="W171" i="32"/>
  <c r="X171" i="32"/>
  <c r="W172" i="32"/>
  <c r="X172" i="32"/>
  <c r="W173" i="32"/>
  <c r="X173" i="32"/>
  <c r="W174" i="32"/>
  <c r="X174" i="32"/>
  <c r="W175" i="32"/>
  <c r="X175" i="32"/>
  <c r="W176" i="32"/>
  <c r="X176" i="32"/>
  <c r="W177" i="32"/>
  <c r="X177" i="32"/>
  <c r="W178" i="32"/>
  <c r="X178" i="32"/>
  <c r="W179" i="32"/>
  <c r="X179" i="32"/>
  <c r="W180" i="32"/>
  <c r="X180" i="32"/>
  <c r="W181" i="32"/>
  <c r="X181" i="32"/>
  <c r="W182" i="32"/>
  <c r="X182" i="32"/>
  <c r="W183" i="32"/>
  <c r="X183" i="32"/>
  <c r="W184" i="32"/>
  <c r="X184" i="32"/>
  <c r="W185" i="32"/>
  <c r="X185" i="32"/>
  <c r="W186" i="32"/>
  <c r="X186" i="32"/>
  <c r="W187" i="32"/>
  <c r="X187" i="32"/>
  <c r="W188" i="32"/>
  <c r="X188" i="32"/>
  <c r="W189" i="32"/>
  <c r="X189" i="32"/>
  <c r="W190" i="32"/>
  <c r="X190" i="32"/>
  <c r="W191" i="32"/>
  <c r="X191" i="32"/>
  <c r="W192" i="32"/>
  <c r="X192" i="32"/>
  <c r="W193" i="32"/>
  <c r="X193" i="32"/>
  <c r="W194" i="32"/>
  <c r="X194" i="32"/>
  <c r="W195" i="32"/>
  <c r="X195" i="32"/>
  <c r="W196" i="32"/>
  <c r="X196" i="32"/>
  <c r="W197" i="32"/>
  <c r="X197" i="32"/>
  <c r="W198" i="32"/>
  <c r="X198" i="32"/>
  <c r="W199" i="32"/>
  <c r="X199" i="32"/>
  <c r="W200" i="32"/>
  <c r="X200" i="32"/>
  <c r="W201" i="32"/>
  <c r="X201" i="32"/>
  <c r="W202" i="32"/>
  <c r="X202" i="32"/>
  <c r="W203" i="32"/>
  <c r="X203" i="32"/>
  <c r="W204" i="32"/>
  <c r="X204" i="32"/>
  <c r="W205" i="32"/>
  <c r="X205" i="32"/>
  <c r="W206" i="32"/>
  <c r="X206" i="32"/>
  <c r="W207" i="32"/>
  <c r="X207" i="32"/>
  <c r="W208" i="32"/>
  <c r="X208" i="32"/>
  <c r="W209" i="32"/>
  <c r="X209" i="32"/>
  <c r="W210" i="32"/>
  <c r="X210" i="32"/>
  <c r="W211" i="32"/>
  <c r="X211" i="32"/>
  <c r="W212" i="32"/>
  <c r="X212" i="32"/>
  <c r="W213" i="32"/>
  <c r="X213" i="32"/>
  <c r="W214" i="32"/>
  <c r="X214" i="32"/>
  <c r="W215" i="32"/>
  <c r="X215" i="32"/>
  <c r="W216" i="32"/>
  <c r="X216" i="32"/>
  <c r="W217" i="32"/>
  <c r="X217" i="32"/>
  <c r="W218" i="32"/>
  <c r="X218" i="32"/>
  <c r="W219" i="32"/>
  <c r="X219" i="32"/>
  <c r="W220" i="32"/>
  <c r="X220" i="32"/>
  <c r="W221" i="32"/>
  <c r="X221" i="32"/>
  <c r="W222" i="32"/>
  <c r="X222" i="32"/>
  <c r="W223" i="32"/>
  <c r="X223" i="32"/>
  <c r="W224" i="32"/>
  <c r="X224" i="32"/>
  <c r="W225" i="32"/>
  <c r="X225" i="32"/>
  <c r="W226" i="32"/>
  <c r="X226" i="32"/>
  <c r="W227" i="32"/>
  <c r="X227" i="32"/>
  <c r="W228" i="32"/>
  <c r="X228" i="32"/>
  <c r="W229" i="32"/>
  <c r="X229" i="32"/>
  <c r="W230" i="32"/>
  <c r="X230" i="32"/>
  <c r="W231" i="32"/>
  <c r="X231" i="32"/>
  <c r="W232" i="32"/>
  <c r="X232" i="32"/>
  <c r="W233" i="32"/>
  <c r="X233" i="32"/>
  <c r="W234" i="32"/>
  <c r="X234" i="32"/>
  <c r="W235" i="32"/>
  <c r="X235" i="32"/>
  <c r="W236" i="32"/>
  <c r="X236" i="32"/>
  <c r="W237" i="32"/>
  <c r="X237" i="32"/>
  <c r="W238" i="32"/>
  <c r="X238" i="32"/>
  <c r="W239" i="32"/>
  <c r="X239" i="32"/>
  <c r="W240" i="32"/>
  <c r="X240" i="32"/>
  <c r="W241" i="32"/>
  <c r="X241" i="32"/>
  <c r="W242" i="32"/>
  <c r="X242" i="32"/>
  <c r="W243" i="32"/>
  <c r="X243" i="32"/>
  <c r="W244" i="32"/>
  <c r="X244" i="32"/>
  <c r="W245" i="32"/>
  <c r="X245" i="32"/>
  <c r="W246" i="32"/>
  <c r="X246" i="32"/>
  <c r="W247" i="32"/>
  <c r="X247" i="32"/>
  <c r="W248" i="32"/>
  <c r="X248" i="32"/>
  <c r="W249" i="32"/>
  <c r="X249" i="32"/>
  <c r="W250" i="32"/>
  <c r="X250" i="32"/>
  <c r="W251" i="32"/>
  <c r="X251" i="32"/>
  <c r="W252" i="32"/>
  <c r="X252" i="32"/>
  <c r="W253" i="32"/>
  <c r="X253" i="32"/>
  <c r="W254" i="32"/>
  <c r="X254" i="32"/>
  <c r="W255" i="32"/>
  <c r="X255" i="32"/>
  <c r="W256" i="32"/>
  <c r="X256" i="32"/>
  <c r="W257" i="32"/>
  <c r="X257" i="32"/>
  <c r="W258" i="32"/>
  <c r="X258" i="32"/>
  <c r="W259" i="32"/>
  <c r="X259" i="32"/>
  <c r="W260" i="32"/>
  <c r="X260" i="32"/>
  <c r="W261" i="32"/>
  <c r="X261" i="32"/>
  <c r="W262" i="32"/>
  <c r="X262" i="32"/>
  <c r="W263" i="32"/>
  <c r="X263" i="32"/>
  <c r="W264" i="32"/>
  <c r="X264" i="32"/>
  <c r="W265" i="32"/>
  <c r="X265" i="32"/>
  <c r="W266" i="32"/>
  <c r="X266" i="32"/>
  <c r="W267" i="32"/>
  <c r="X267" i="32"/>
  <c r="W268" i="32"/>
  <c r="X268" i="32"/>
  <c r="W269" i="32"/>
  <c r="X269" i="32"/>
  <c r="W270" i="32"/>
  <c r="X270" i="32"/>
  <c r="W271" i="32"/>
  <c r="X271" i="32"/>
  <c r="W272" i="32"/>
  <c r="X272" i="32"/>
  <c r="W273" i="32"/>
  <c r="X273" i="32"/>
  <c r="W274" i="32"/>
  <c r="X274" i="32"/>
  <c r="W275" i="32"/>
  <c r="X275" i="32"/>
  <c r="W276" i="32"/>
  <c r="X276" i="32"/>
  <c r="W277" i="32"/>
  <c r="X277" i="32"/>
  <c r="W278" i="32"/>
  <c r="X278" i="32"/>
  <c r="W279" i="32"/>
  <c r="X279" i="32"/>
  <c r="W280" i="32"/>
  <c r="X280" i="32"/>
  <c r="W281" i="32"/>
  <c r="X281" i="32"/>
  <c r="W282" i="32"/>
  <c r="X282" i="32"/>
  <c r="W283" i="32"/>
  <c r="X283" i="32"/>
  <c r="W284" i="32"/>
  <c r="X284" i="32"/>
  <c r="W285" i="32"/>
  <c r="X285" i="32"/>
  <c r="W286" i="32"/>
  <c r="X286" i="32"/>
  <c r="W287" i="32"/>
  <c r="X287" i="32"/>
  <c r="W288" i="32"/>
  <c r="X288" i="32"/>
  <c r="W289" i="32"/>
  <c r="X289" i="32"/>
  <c r="W290" i="32"/>
  <c r="X290" i="32"/>
  <c r="W291" i="32"/>
  <c r="X291" i="32"/>
  <c r="W292" i="32"/>
  <c r="X292" i="32"/>
  <c r="W293" i="32"/>
  <c r="X293" i="32"/>
  <c r="W294" i="32"/>
  <c r="X294" i="32"/>
  <c r="W295" i="32"/>
  <c r="X295" i="32"/>
  <c r="W296" i="32"/>
  <c r="X296" i="32"/>
  <c r="W297" i="32"/>
  <c r="X297" i="32"/>
  <c r="W298" i="32"/>
  <c r="X298" i="32"/>
  <c r="W299" i="32"/>
  <c r="X299" i="32"/>
  <c r="W300" i="32"/>
  <c r="X300" i="32"/>
  <c r="W301" i="32"/>
  <c r="X301" i="32"/>
  <c r="W302" i="32"/>
  <c r="X302" i="32"/>
  <c r="W303" i="32"/>
  <c r="X303" i="32"/>
  <c r="W304" i="32"/>
  <c r="X304" i="32"/>
  <c r="W305" i="32"/>
  <c r="X305" i="32"/>
  <c r="W306" i="32"/>
  <c r="X306" i="32"/>
  <c r="W307" i="32"/>
  <c r="X307" i="32"/>
  <c r="W308" i="32"/>
  <c r="X308" i="32"/>
  <c r="W309" i="32"/>
  <c r="X309" i="32"/>
  <c r="W310" i="32"/>
  <c r="X310" i="32"/>
  <c r="W311" i="32"/>
  <c r="X311" i="32"/>
  <c r="W312" i="32"/>
  <c r="X312" i="32"/>
  <c r="W313" i="32"/>
  <c r="X313" i="32"/>
  <c r="W314" i="32"/>
  <c r="X314" i="32"/>
  <c r="W315" i="32"/>
  <c r="X315" i="32"/>
  <c r="W316" i="32"/>
  <c r="X316" i="32"/>
  <c r="W317" i="32"/>
  <c r="X317" i="32"/>
  <c r="W318" i="32"/>
  <c r="X318" i="32"/>
  <c r="W319" i="32"/>
  <c r="X319" i="32"/>
  <c r="W320" i="32"/>
  <c r="X320" i="32"/>
  <c r="W321" i="32"/>
  <c r="X321" i="32"/>
  <c r="W322" i="32"/>
  <c r="X322" i="32"/>
  <c r="W323" i="32"/>
  <c r="X323" i="32"/>
  <c r="W324" i="32"/>
  <c r="X324" i="32"/>
  <c r="W325" i="32"/>
  <c r="X325" i="32"/>
  <c r="W326" i="32"/>
  <c r="X326" i="32"/>
  <c r="W327" i="32"/>
  <c r="X327" i="32"/>
  <c r="W328" i="32"/>
  <c r="X328" i="32"/>
  <c r="W329" i="32"/>
  <c r="X329" i="32"/>
  <c r="W330" i="32"/>
  <c r="X330" i="32"/>
  <c r="W331" i="32"/>
  <c r="X331" i="32"/>
  <c r="W332" i="32"/>
  <c r="X332" i="32"/>
  <c r="W333" i="32"/>
  <c r="X333" i="32"/>
  <c r="W334" i="32"/>
  <c r="X334" i="32"/>
  <c r="W335" i="32"/>
  <c r="X335" i="32"/>
  <c r="W336" i="32"/>
  <c r="X336" i="32"/>
  <c r="W337" i="32"/>
  <c r="X337" i="32"/>
  <c r="W338" i="32"/>
  <c r="X338" i="32"/>
  <c r="W339" i="32"/>
  <c r="X339" i="32"/>
  <c r="W340" i="32"/>
  <c r="X340" i="32"/>
  <c r="W341" i="32"/>
  <c r="X341" i="32"/>
  <c r="W342" i="32"/>
  <c r="X342" i="32"/>
  <c r="W343" i="32"/>
  <c r="X343" i="32"/>
  <c r="W344" i="32"/>
  <c r="X344" i="32"/>
  <c r="W345" i="32"/>
  <c r="X345" i="32"/>
  <c r="W346" i="32"/>
  <c r="X346" i="32"/>
  <c r="W347" i="32"/>
  <c r="X347" i="32"/>
  <c r="W348" i="32"/>
  <c r="X348" i="32"/>
  <c r="W349" i="32"/>
  <c r="X349" i="32"/>
  <c r="W350" i="32"/>
  <c r="X350" i="32"/>
  <c r="W351" i="32"/>
  <c r="X351" i="32"/>
  <c r="W352" i="32"/>
  <c r="X352" i="32"/>
  <c r="W353" i="32"/>
  <c r="X353" i="32"/>
  <c r="W354" i="32"/>
  <c r="X354" i="32"/>
  <c r="W355" i="32"/>
  <c r="X355" i="32"/>
  <c r="W356" i="32"/>
  <c r="X356" i="32"/>
  <c r="W357" i="32"/>
  <c r="X357" i="32"/>
  <c r="W358" i="32"/>
  <c r="X358" i="32"/>
  <c r="W359" i="32"/>
  <c r="X359" i="32"/>
  <c r="W360" i="32"/>
  <c r="X360" i="32"/>
  <c r="W361" i="32"/>
  <c r="X361" i="32"/>
  <c r="W362" i="32"/>
  <c r="X362" i="32"/>
  <c r="W363" i="32"/>
  <c r="X363" i="32"/>
  <c r="W364" i="32"/>
  <c r="X364" i="32"/>
  <c r="W365" i="32"/>
  <c r="X365" i="32"/>
  <c r="W366" i="32"/>
  <c r="X366" i="32"/>
  <c r="W367" i="32"/>
  <c r="X367" i="32"/>
  <c r="W368" i="32"/>
  <c r="X368" i="32"/>
  <c r="W369" i="32"/>
  <c r="X369" i="32"/>
  <c r="W370" i="32"/>
  <c r="X370" i="32"/>
  <c r="W371" i="32"/>
  <c r="X371" i="32"/>
  <c r="W372" i="32"/>
  <c r="X372" i="32"/>
  <c r="W373" i="32"/>
  <c r="X373" i="32"/>
  <c r="W374" i="32"/>
  <c r="X374" i="32"/>
  <c r="W375" i="32"/>
  <c r="X375" i="32"/>
  <c r="W376" i="32"/>
  <c r="X376" i="32"/>
  <c r="W377" i="32"/>
  <c r="X377" i="32"/>
  <c r="W378" i="32"/>
  <c r="X378" i="32"/>
  <c r="W379" i="32"/>
  <c r="X379" i="32"/>
  <c r="W380" i="32"/>
  <c r="X380" i="32"/>
  <c r="W381" i="32"/>
  <c r="X381" i="32"/>
  <c r="W382" i="32"/>
  <c r="X382" i="32"/>
  <c r="W383" i="32"/>
  <c r="X383" i="32"/>
  <c r="W384" i="32"/>
  <c r="X384" i="32"/>
  <c r="W385" i="32"/>
  <c r="X385" i="32"/>
  <c r="W386" i="32"/>
  <c r="X386" i="32"/>
  <c r="W387" i="32"/>
  <c r="X387" i="32"/>
  <c r="W388" i="32"/>
  <c r="X388" i="32"/>
  <c r="W389" i="32"/>
  <c r="X389" i="32"/>
  <c r="W390" i="32"/>
  <c r="X390" i="32"/>
  <c r="W391" i="32"/>
  <c r="X391" i="32"/>
  <c r="W392" i="32"/>
  <c r="X392" i="32"/>
  <c r="W393" i="32"/>
  <c r="X393" i="32"/>
  <c r="W394" i="32"/>
  <c r="X394" i="32"/>
  <c r="W395" i="32"/>
  <c r="X395" i="32"/>
  <c r="W396" i="32"/>
  <c r="X396" i="32"/>
  <c r="W397" i="32"/>
  <c r="X397" i="32"/>
  <c r="W398" i="32"/>
  <c r="X398" i="32"/>
  <c r="W399" i="32"/>
  <c r="X399" i="32"/>
  <c r="W400" i="32"/>
  <c r="X400" i="32"/>
  <c r="W401" i="32"/>
  <c r="X401" i="32"/>
  <c r="W402" i="32"/>
  <c r="X402" i="32"/>
  <c r="W403" i="32"/>
  <c r="X403" i="32"/>
  <c r="W404" i="32"/>
  <c r="X404" i="32"/>
  <c r="W405" i="32"/>
  <c r="X405" i="32"/>
  <c r="W406" i="32"/>
  <c r="X406" i="32"/>
  <c r="W407" i="32"/>
  <c r="X407" i="32"/>
  <c r="W408" i="32"/>
  <c r="X408" i="32"/>
  <c r="W409" i="32"/>
  <c r="X409" i="32"/>
  <c r="W410" i="32"/>
  <c r="X410" i="32"/>
  <c r="W411" i="32"/>
  <c r="X411" i="32"/>
  <c r="W412" i="32"/>
  <c r="X412" i="32"/>
  <c r="W413" i="32"/>
  <c r="X413" i="32"/>
  <c r="W414" i="32"/>
  <c r="X414" i="32"/>
  <c r="W415" i="32"/>
  <c r="X415" i="32"/>
  <c r="W416" i="32"/>
  <c r="X416" i="32"/>
  <c r="W417" i="32"/>
  <c r="X417" i="32"/>
  <c r="W418" i="32"/>
  <c r="X418" i="32"/>
  <c r="W419" i="32"/>
  <c r="X419" i="32"/>
  <c r="W420" i="32"/>
  <c r="X420" i="32"/>
  <c r="W421" i="32"/>
  <c r="X421" i="32"/>
  <c r="W422" i="32"/>
  <c r="X422" i="32"/>
  <c r="W423" i="32"/>
  <c r="X423" i="32"/>
  <c r="W424" i="32"/>
  <c r="X424" i="32"/>
  <c r="W425" i="32"/>
  <c r="X425" i="32"/>
  <c r="W426" i="32"/>
  <c r="X426" i="32"/>
  <c r="W427" i="32"/>
  <c r="X427" i="32"/>
  <c r="W428" i="32"/>
  <c r="X428" i="32"/>
  <c r="W429" i="32"/>
  <c r="X429" i="32"/>
  <c r="W430" i="32"/>
  <c r="X430" i="32"/>
  <c r="W431" i="32"/>
  <c r="X431" i="32"/>
  <c r="W432" i="32"/>
  <c r="X432" i="32"/>
  <c r="W433" i="32"/>
  <c r="X433" i="32"/>
  <c r="W434" i="32"/>
  <c r="X434" i="32"/>
  <c r="W435" i="32"/>
  <c r="X435" i="32"/>
  <c r="W436" i="32"/>
  <c r="X436" i="32"/>
  <c r="W437" i="32"/>
  <c r="X437" i="32"/>
  <c r="W438" i="32"/>
  <c r="X438" i="32"/>
  <c r="W439" i="32"/>
  <c r="X439" i="32"/>
  <c r="W440" i="32"/>
  <c r="X440" i="32"/>
  <c r="W441" i="32"/>
  <c r="X441" i="32"/>
  <c r="W442" i="32"/>
  <c r="X442" i="32"/>
  <c r="W443" i="32"/>
  <c r="X443" i="32"/>
  <c r="W444" i="32"/>
  <c r="X444" i="32"/>
  <c r="W445" i="32"/>
  <c r="X445" i="32"/>
  <c r="W446" i="32"/>
  <c r="X446" i="32"/>
  <c r="W447" i="32"/>
  <c r="X447" i="32"/>
  <c r="W448" i="32"/>
  <c r="X448" i="32"/>
  <c r="W449" i="32"/>
  <c r="X449" i="32"/>
  <c r="W450" i="32"/>
  <c r="X450" i="32"/>
  <c r="W451" i="32"/>
  <c r="X451" i="32"/>
  <c r="W452" i="32"/>
  <c r="X452" i="32"/>
  <c r="W453" i="32"/>
  <c r="X453" i="32"/>
  <c r="W454" i="32"/>
  <c r="X454" i="32"/>
  <c r="W455" i="32"/>
  <c r="X455" i="32"/>
  <c r="W456" i="32"/>
  <c r="X456" i="32"/>
  <c r="W457" i="32"/>
  <c r="X457" i="32"/>
  <c r="W458" i="32"/>
  <c r="X458" i="32"/>
  <c r="W459" i="32"/>
  <c r="X459" i="32"/>
  <c r="W460" i="32"/>
  <c r="X460" i="32"/>
  <c r="W461" i="32"/>
  <c r="X461" i="32"/>
  <c r="W462" i="32"/>
  <c r="X462" i="32"/>
  <c r="W463" i="32"/>
  <c r="X463" i="32"/>
  <c r="W464" i="32"/>
  <c r="X464" i="32"/>
  <c r="W465" i="32"/>
  <c r="X465" i="32"/>
  <c r="W466" i="32"/>
  <c r="X466" i="32"/>
  <c r="W467" i="32"/>
  <c r="X467" i="32"/>
  <c r="W468" i="32"/>
  <c r="X468" i="32"/>
  <c r="W469" i="32"/>
  <c r="X469" i="32"/>
  <c r="W470" i="32"/>
  <c r="X470" i="32"/>
  <c r="W471" i="32"/>
  <c r="X471" i="32"/>
  <c r="W472" i="32"/>
  <c r="X472" i="32"/>
  <c r="W473" i="32"/>
  <c r="X473" i="32"/>
  <c r="W474" i="32"/>
  <c r="X474" i="32"/>
  <c r="W475" i="32"/>
  <c r="X475" i="32"/>
  <c r="W476" i="32"/>
  <c r="X476" i="32"/>
  <c r="W477" i="32"/>
  <c r="X477" i="32"/>
  <c r="W478" i="32"/>
  <c r="X478" i="32"/>
  <c r="W479" i="32"/>
  <c r="X479" i="32"/>
  <c r="W480" i="32"/>
  <c r="X480" i="32"/>
  <c r="W481" i="32"/>
  <c r="X481" i="32"/>
  <c r="W482" i="32"/>
  <c r="X482" i="32"/>
  <c r="W483" i="32"/>
  <c r="X483" i="32"/>
  <c r="W484" i="32"/>
  <c r="X484" i="32"/>
  <c r="W485" i="32"/>
  <c r="X485" i="32"/>
  <c r="W486" i="32"/>
  <c r="X486" i="32"/>
  <c r="W487" i="32"/>
  <c r="X487" i="32"/>
  <c r="W488" i="32"/>
  <c r="X488" i="32"/>
  <c r="W489" i="32"/>
  <c r="X489" i="32"/>
  <c r="W490" i="32"/>
  <c r="X490" i="32"/>
  <c r="W491" i="32"/>
  <c r="X491" i="32"/>
  <c r="W492" i="32"/>
  <c r="X492" i="32"/>
  <c r="W493" i="32"/>
  <c r="X493" i="32"/>
  <c r="W494" i="32"/>
  <c r="X494" i="32"/>
  <c r="W495" i="32"/>
  <c r="X495" i="32"/>
  <c r="W496" i="32"/>
  <c r="X496" i="32"/>
  <c r="W497" i="32"/>
  <c r="X497" i="32"/>
  <c r="W498" i="32"/>
  <c r="X498" i="32"/>
  <c r="W499" i="32"/>
  <c r="X499" i="32"/>
  <c r="W500" i="32"/>
  <c r="X500" i="32"/>
  <c r="W501" i="32"/>
  <c r="X501" i="32"/>
  <c r="W502" i="32"/>
  <c r="X502" i="32"/>
  <c r="W503" i="32"/>
  <c r="X503" i="32"/>
  <c r="W504" i="32"/>
  <c r="X504" i="32"/>
  <c r="W505" i="32"/>
  <c r="X505" i="32"/>
  <c r="W506" i="32"/>
  <c r="X506" i="32"/>
  <c r="W507" i="32"/>
  <c r="X507" i="32"/>
  <c r="W508" i="32"/>
  <c r="X508" i="32"/>
  <c r="W509" i="32"/>
  <c r="X509" i="32"/>
  <c r="W510" i="32"/>
  <c r="X510" i="32"/>
  <c r="W511" i="32"/>
  <c r="X511" i="32"/>
  <c r="W512" i="32"/>
  <c r="X512" i="32"/>
  <c r="W513" i="32"/>
  <c r="X513" i="32"/>
  <c r="W514" i="32"/>
  <c r="X514" i="32"/>
  <c r="W515" i="32"/>
  <c r="X515" i="32"/>
  <c r="W516" i="32"/>
  <c r="X516" i="32"/>
  <c r="W517" i="32"/>
  <c r="X517" i="32"/>
  <c r="W518" i="32"/>
  <c r="X518" i="32"/>
  <c r="W519" i="32"/>
  <c r="X519" i="32"/>
  <c r="W520" i="32"/>
  <c r="X520" i="32"/>
  <c r="W521" i="32"/>
  <c r="X521" i="32"/>
  <c r="W522" i="32"/>
  <c r="X522" i="32"/>
  <c r="W523" i="32"/>
  <c r="X523" i="32"/>
  <c r="W524" i="32"/>
  <c r="X524" i="32"/>
  <c r="W525" i="32"/>
  <c r="X525" i="32"/>
  <c r="W526" i="32"/>
  <c r="X526" i="32"/>
  <c r="W527" i="32"/>
  <c r="X527" i="32"/>
  <c r="W528" i="32"/>
  <c r="X528" i="32"/>
  <c r="W529" i="32"/>
  <c r="X529" i="32"/>
  <c r="W530" i="32"/>
  <c r="X530" i="32"/>
  <c r="W531" i="32"/>
  <c r="X531" i="32"/>
  <c r="W532" i="32"/>
  <c r="X532" i="32"/>
  <c r="W533" i="32"/>
  <c r="X533" i="32"/>
  <c r="W534" i="32"/>
  <c r="X534" i="32"/>
  <c r="W535" i="32"/>
  <c r="X535" i="32"/>
  <c r="W536" i="32"/>
  <c r="X536" i="32"/>
  <c r="W537" i="32"/>
  <c r="X537" i="32"/>
  <c r="W538" i="32"/>
  <c r="X538" i="32"/>
  <c r="W539" i="32"/>
  <c r="X539" i="32"/>
  <c r="W540" i="32"/>
  <c r="X540" i="32"/>
  <c r="W541" i="32"/>
  <c r="X541" i="32"/>
  <c r="W542" i="32"/>
  <c r="X542" i="32"/>
  <c r="W543" i="32"/>
  <c r="X543" i="32"/>
  <c r="W544" i="32"/>
  <c r="X544" i="32"/>
  <c r="W545" i="32"/>
  <c r="X545" i="32"/>
  <c r="W546" i="32"/>
  <c r="X546" i="32"/>
  <c r="W547" i="32"/>
  <c r="X547" i="32"/>
  <c r="W548" i="32"/>
  <c r="X548" i="32"/>
  <c r="W549" i="32"/>
  <c r="X549" i="32"/>
  <c r="W550" i="32"/>
  <c r="X550" i="32"/>
  <c r="W551" i="32"/>
  <c r="X551" i="32"/>
  <c r="W552" i="32"/>
  <c r="X552" i="32"/>
  <c r="W553" i="32"/>
  <c r="X553" i="32"/>
  <c r="W554" i="32"/>
  <c r="X554" i="32"/>
  <c r="W555" i="32"/>
  <c r="X555" i="32"/>
  <c r="W556" i="32"/>
  <c r="X556" i="32"/>
  <c r="W557" i="32"/>
  <c r="X557" i="32"/>
  <c r="W558" i="32"/>
  <c r="X558" i="32"/>
  <c r="W559" i="32"/>
  <c r="X559" i="32"/>
  <c r="W560" i="32"/>
  <c r="X560" i="32"/>
  <c r="W561" i="32"/>
  <c r="X561" i="32"/>
  <c r="W562" i="32"/>
  <c r="X562" i="32"/>
  <c r="W563" i="32"/>
  <c r="X563" i="32"/>
  <c r="W564" i="32"/>
  <c r="X564" i="32"/>
  <c r="W565" i="32"/>
  <c r="X565" i="32"/>
  <c r="W566" i="32"/>
  <c r="X566" i="32"/>
  <c r="W567" i="32"/>
  <c r="X567" i="32"/>
  <c r="W568" i="32"/>
  <c r="X568" i="32"/>
  <c r="W569" i="32"/>
  <c r="X569" i="32"/>
  <c r="W570" i="32"/>
  <c r="X570" i="32"/>
  <c r="W571" i="32"/>
  <c r="X571" i="32"/>
  <c r="W572" i="32"/>
  <c r="X572" i="32"/>
  <c r="W573" i="32"/>
  <c r="X573" i="32"/>
  <c r="W574" i="32"/>
  <c r="X574" i="32"/>
  <c r="W575" i="32"/>
  <c r="X575" i="32"/>
  <c r="W576" i="32"/>
  <c r="X576" i="32"/>
  <c r="W577" i="32"/>
  <c r="X577" i="32"/>
  <c r="W578" i="32"/>
  <c r="X578" i="32"/>
  <c r="W579" i="32"/>
  <c r="X579" i="32"/>
  <c r="W580" i="32"/>
  <c r="X580" i="32"/>
  <c r="W581" i="32"/>
  <c r="X581" i="32"/>
  <c r="W582" i="32"/>
  <c r="X582" i="32"/>
  <c r="W583" i="32"/>
  <c r="X583" i="32"/>
  <c r="W584" i="32"/>
  <c r="X584" i="32"/>
  <c r="W585" i="32"/>
  <c r="X585" i="32"/>
  <c r="W586" i="32"/>
  <c r="X586" i="32"/>
  <c r="W587" i="32"/>
  <c r="X587" i="32"/>
  <c r="W588" i="32"/>
  <c r="X588" i="32"/>
  <c r="W589" i="32"/>
  <c r="X589" i="32"/>
  <c r="W590" i="32"/>
  <c r="X590" i="32"/>
  <c r="W591" i="32"/>
  <c r="X591" i="32"/>
  <c r="W592" i="32"/>
  <c r="X592" i="32"/>
  <c r="W593" i="32"/>
  <c r="X593" i="32"/>
  <c r="W594" i="32"/>
  <c r="X594" i="32"/>
  <c r="W595" i="32"/>
  <c r="X595" i="32"/>
  <c r="W596" i="32"/>
  <c r="X596" i="32"/>
  <c r="W597" i="32"/>
  <c r="X597" i="32"/>
  <c r="W598" i="32"/>
  <c r="X598" i="32"/>
  <c r="W599" i="32"/>
  <c r="X599" i="32"/>
  <c r="W600" i="32"/>
  <c r="X600" i="32"/>
  <c r="W601" i="32"/>
  <c r="X601" i="32"/>
  <c r="W602" i="32"/>
  <c r="X602" i="32"/>
  <c r="W603" i="32"/>
  <c r="X603" i="32"/>
  <c r="W604" i="32"/>
  <c r="X604" i="32"/>
  <c r="W605" i="32"/>
  <c r="X605" i="32"/>
  <c r="W606" i="32"/>
  <c r="X606" i="32"/>
  <c r="W607" i="32"/>
  <c r="X607" i="32"/>
  <c r="W608" i="32"/>
  <c r="X608" i="32"/>
  <c r="W609" i="32"/>
  <c r="X609" i="32"/>
  <c r="W610" i="32"/>
  <c r="X610" i="32"/>
  <c r="W611" i="32"/>
  <c r="X611" i="32"/>
  <c r="W612" i="32"/>
  <c r="X612" i="32"/>
  <c r="W613" i="32"/>
  <c r="X613" i="32"/>
  <c r="W614" i="32"/>
  <c r="X614" i="32"/>
  <c r="W615" i="32"/>
  <c r="X615" i="32"/>
  <c r="W616" i="32"/>
  <c r="X616" i="32"/>
  <c r="W617" i="32"/>
  <c r="X617" i="32"/>
  <c r="W618" i="32"/>
  <c r="X618" i="32"/>
  <c r="W619" i="32"/>
  <c r="X619" i="32"/>
  <c r="W620" i="32"/>
  <c r="X620" i="32"/>
  <c r="W621" i="32"/>
  <c r="X621" i="32"/>
  <c r="W622" i="32"/>
  <c r="X622" i="32"/>
  <c r="W623" i="32"/>
  <c r="X623" i="32"/>
  <c r="W624" i="32"/>
  <c r="X624" i="32"/>
  <c r="W625" i="32"/>
  <c r="X625" i="32"/>
  <c r="W626" i="32"/>
  <c r="X626" i="32"/>
  <c r="W627" i="32"/>
  <c r="X627" i="32"/>
  <c r="W628" i="32"/>
  <c r="X628" i="32"/>
  <c r="W629" i="32"/>
  <c r="X629" i="32"/>
  <c r="W630" i="32"/>
  <c r="X630" i="32"/>
  <c r="W631" i="32"/>
  <c r="X631" i="32"/>
  <c r="W632" i="32"/>
  <c r="X632" i="32"/>
  <c r="W633" i="32"/>
  <c r="X633" i="32"/>
  <c r="W634" i="32"/>
  <c r="X634" i="32"/>
  <c r="W635" i="32"/>
  <c r="X635" i="32"/>
  <c r="W636" i="32"/>
  <c r="X636" i="32"/>
  <c r="W637" i="32"/>
  <c r="X637" i="32"/>
  <c r="W638" i="32"/>
  <c r="X638" i="32"/>
  <c r="W639" i="32"/>
  <c r="X639" i="32"/>
  <c r="W640" i="32"/>
  <c r="X640" i="32"/>
  <c r="W641" i="32"/>
  <c r="X641" i="32"/>
  <c r="W642" i="32"/>
  <c r="X642" i="32"/>
  <c r="W643" i="32"/>
  <c r="X643" i="32"/>
  <c r="W644" i="32"/>
  <c r="X644" i="32"/>
  <c r="W645" i="32"/>
  <c r="X645" i="32"/>
  <c r="W646" i="32"/>
  <c r="X646" i="32"/>
  <c r="W647" i="32"/>
  <c r="X647" i="32"/>
  <c r="W648" i="32"/>
  <c r="X648" i="32"/>
  <c r="W649" i="32"/>
  <c r="X649" i="32"/>
  <c r="W650" i="32"/>
  <c r="X650" i="32"/>
  <c r="W651" i="32"/>
  <c r="X651" i="32"/>
  <c r="W652" i="32"/>
  <c r="X652" i="32"/>
  <c r="W653" i="32"/>
  <c r="X653" i="32"/>
  <c r="W654" i="32"/>
  <c r="X654" i="32"/>
  <c r="W655" i="32"/>
  <c r="X655" i="32"/>
  <c r="W656" i="32"/>
  <c r="X656" i="32"/>
  <c r="W657" i="32"/>
  <c r="X657" i="32"/>
  <c r="W658" i="32"/>
  <c r="X658" i="32"/>
  <c r="W659" i="32"/>
  <c r="X659" i="32"/>
  <c r="W660" i="32"/>
  <c r="X660" i="32"/>
  <c r="W661" i="32"/>
  <c r="X661" i="32"/>
  <c r="W662" i="32"/>
  <c r="X662" i="32"/>
  <c r="W663" i="32"/>
  <c r="X663" i="32"/>
  <c r="W664" i="32"/>
  <c r="X664" i="32"/>
  <c r="W665" i="32"/>
  <c r="X665" i="32"/>
  <c r="W666" i="32"/>
  <c r="X666" i="32"/>
  <c r="W667" i="32"/>
  <c r="X667" i="32"/>
  <c r="W668" i="32"/>
  <c r="X668" i="32"/>
  <c r="W669" i="32"/>
  <c r="X669" i="32"/>
  <c r="W670" i="32"/>
  <c r="X670" i="32"/>
  <c r="W671" i="32"/>
  <c r="X671" i="32"/>
  <c r="W672" i="32"/>
  <c r="X672" i="32"/>
  <c r="W673" i="32"/>
  <c r="X673" i="32"/>
  <c r="W674" i="32"/>
  <c r="X674" i="32"/>
  <c r="W675" i="32"/>
  <c r="X675" i="32"/>
  <c r="W676" i="32"/>
  <c r="X676" i="32"/>
  <c r="W677" i="32"/>
  <c r="X677" i="32"/>
  <c r="W678" i="32"/>
  <c r="X678" i="32"/>
  <c r="W679" i="32"/>
  <c r="X679" i="32"/>
  <c r="W680" i="32"/>
  <c r="X680" i="32"/>
  <c r="W681" i="32"/>
  <c r="X681" i="32"/>
  <c r="W682" i="32"/>
  <c r="X682" i="32"/>
  <c r="W683" i="32"/>
  <c r="X683" i="32"/>
  <c r="W684" i="32"/>
  <c r="X684" i="32"/>
  <c r="W685" i="32"/>
  <c r="X685" i="32"/>
  <c r="W686" i="32"/>
  <c r="X686" i="32"/>
  <c r="W687" i="32"/>
  <c r="X687" i="32"/>
  <c r="W688" i="32"/>
  <c r="X688" i="32"/>
  <c r="W689" i="32"/>
  <c r="X689" i="32"/>
  <c r="W690" i="32"/>
  <c r="X690" i="32"/>
  <c r="W691" i="32"/>
  <c r="X691" i="32"/>
  <c r="W692" i="32"/>
  <c r="X692" i="32"/>
  <c r="W693" i="32"/>
  <c r="X693" i="32"/>
  <c r="W694" i="32"/>
  <c r="X694" i="32"/>
  <c r="W695" i="32"/>
  <c r="X695" i="32"/>
  <c r="W696" i="32"/>
  <c r="X696" i="32"/>
  <c r="W697" i="32"/>
  <c r="X697" i="32"/>
  <c r="W698" i="32"/>
  <c r="X698" i="32"/>
  <c r="W699" i="32"/>
  <c r="X699" i="32"/>
  <c r="W700" i="32"/>
  <c r="X700" i="32"/>
  <c r="W701" i="32"/>
  <c r="X701" i="32"/>
  <c r="W702" i="32"/>
  <c r="X702" i="32"/>
  <c r="W703" i="32"/>
  <c r="X703" i="32"/>
  <c r="W704" i="32"/>
  <c r="X704" i="32"/>
  <c r="W705" i="32"/>
  <c r="X705" i="32"/>
  <c r="W706" i="32"/>
  <c r="X706" i="32"/>
  <c r="W707" i="32"/>
  <c r="X707" i="32"/>
  <c r="W708" i="32"/>
  <c r="X708" i="32"/>
  <c r="W709" i="32"/>
  <c r="X709" i="32"/>
  <c r="W710" i="32"/>
  <c r="X710" i="32"/>
  <c r="W711" i="32"/>
  <c r="X711" i="32"/>
  <c r="W712" i="32"/>
  <c r="X712" i="32"/>
  <c r="W713" i="32"/>
  <c r="X713" i="32"/>
  <c r="W714" i="32"/>
  <c r="X714" i="32"/>
  <c r="W715" i="32"/>
  <c r="X715" i="32"/>
  <c r="W716" i="32"/>
  <c r="X716" i="32"/>
  <c r="W717" i="32"/>
  <c r="X717" i="32"/>
  <c r="W718" i="32"/>
  <c r="X718" i="32"/>
  <c r="W719" i="32"/>
  <c r="X719" i="32"/>
  <c r="W720" i="32"/>
  <c r="X720" i="32"/>
  <c r="W721" i="32"/>
  <c r="X721" i="32"/>
  <c r="W722" i="32"/>
  <c r="X722" i="32"/>
  <c r="W723" i="32"/>
  <c r="X723" i="32"/>
  <c r="W724" i="32"/>
  <c r="X724" i="32"/>
  <c r="W725" i="32"/>
  <c r="X725" i="32"/>
  <c r="W726" i="32"/>
  <c r="X726" i="32"/>
  <c r="W727" i="32"/>
  <c r="X727" i="32"/>
  <c r="W728" i="32"/>
  <c r="X728" i="32"/>
  <c r="W729" i="32"/>
  <c r="X729" i="32"/>
  <c r="W730" i="32"/>
  <c r="X730" i="32"/>
  <c r="W731" i="32"/>
  <c r="X731" i="32"/>
  <c r="W732" i="32"/>
  <c r="X732" i="32"/>
  <c r="W733" i="32"/>
  <c r="X733" i="32"/>
  <c r="W734" i="32"/>
  <c r="X734" i="32"/>
  <c r="W735" i="32"/>
  <c r="X735" i="32"/>
  <c r="W736" i="32"/>
  <c r="X736" i="32"/>
  <c r="W737" i="32"/>
  <c r="X737" i="32"/>
  <c r="W738" i="32"/>
  <c r="X738" i="32"/>
  <c r="W739" i="32"/>
  <c r="X739" i="32"/>
  <c r="W740" i="32"/>
  <c r="X740" i="32"/>
  <c r="W741" i="32"/>
  <c r="X741" i="32"/>
  <c r="W742" i="32"/>
  <c r="X742" i="32"/>
  <c r="W743" i="32"/>
  <c r="X743" i="32"/>
  <c r="W744" i="32"/>
  <c r="X744" i="32"/>
  <c r="W745" i="32"/>
  <c r="X745" i="32"/>
  <c r="W746" i="32"/>
  <c r="X746" i="32"/>
  <c r="W747" i="32"/>
  <c r="X747" i="32"/>
  <c r="W748" i="32"/>
  <c r="X748" i="32"/>
  <c r="W749" i="32"/>
  <c r="X749" i="32"/>
  <c r="W750" i="32"/>
  <c r="X750" i="32"/>
  <c r="W751" i="32"/>
  <c r="X751" i="32"/>
  <c r="W752" i="32"/>
  <c r="X752" i="32"/>
  <c r="W753" i="32"/>
  <c r="X753" i="32"/>
  <c r="W754" i="32"/>
  <c r="X754" i="32"/>
  <c r="W755" i="32"/>
  <c r="X755" i="32"/>
  <c r="W756" i="32"/>
  <c r="X756" i="32"/>
  <c r="W757" i="32"/>
  <c r="X757" i="32"/>
  <c r="W758" i="32"/>
  <c r="X758" i="32"/>
  <c r="W759" i="32"/>
  <c r="X759" i="32"/>
  <c r="W760" i="32"/>
  <c r="X760" i="32"/>
  <c r="W761" i="32"/>
  <c r="X761" i="32"/>
  <c r="W762" i="32"/>
  <c r="X762" i="32"/>
  <c r="W763" i="32"/>
  <c r="X763" i="32"/>
  <c r="W764" i="32"/>
  <c r="X764" i="32"/>
  <c r="W765" i="32"/>
  <c r="X765" i="32"/>
  <c r="W766" i="32"/>
  <c r="X766" i="32"/>
  <c r="W767" i="32"/>
  <c r="X767" i="32"/>
  <c r="W768" i="32"/>
  <c r="X768" i="32"/>
  <c r="W769" i="32"/>
  <c r="X769" i="32"/>
  <c r="W770" i="32"/>
  <c r="X770" i="32"/>
  <c r="W771" i="32"/>
  <c r="X771" i="32"/>
  <c r="W772" i="32"/>
  <c r="X772" i="32"/>
  <c r="W773" i="32"/>
  <c r="X773" i="32"/>
  <c r="W774" i="32"/>
  <c r="X774" i="32"/>
  <c r="W775" i="32"/>
  <c r="X775" i="32"/>
  <c r="W776" i="32"/>
  <c r="X776" i="32"/>
  <c r="W777" i="32"/>
  <c r="X777" i="32"/>
  <c r="W778" i="32"/>
  <c r="X778" i="32"/>
  <c r="W779" i="32"/>
  <c r="X779" i="32"/>
  <c r="W780" i="32"/>
  <c r="X780" i="32"/>
  <c r="W781" i="32"/>
  <c r="X781" i="32"/>
  <c r="W782" i="32"/>
  <c r="X782" i="32"/>
  <c r="W783" i="32"/>
  <c r="X783" i="32"/>
  <c r="W784" i="32"/>
  <c r="X784" i="32"/>
  <c r="W785" i="32"/>
  <c r="X785" i="32"/>
  <c r="W786" i="32"/>
  <c r="X786" i="32"/>
  <c r="W787" i="32"/>
  <c r="X787" i="32"/>
  <c r="W788" i="32"/>
  <c r="X788" i="32"/>
  <c r="W789" i="32"/>
  <c r="X789" i="32"/>
  <c r="W790" i="32"/>
  <c r="X790" i="32"/>
  <c r="W791" i="32"/>
  <c r="X791" i="32"/>
  <c r="W792" i="32"/>
  <c r="X792" i="32"/>
  <c r="W793" i="32"/>
  <c r="X793" i="32"/>
  <c r="W794" i="32"/>
  <c r="X794" i="32"/>
  <c r="W795" i="32"/>
  <c r="X795" i="32"/>
  <c r="W796" i="32"/>
  <c r="X796" i="32"/>
  <c r="W797" i="32"/>
  <c r="X797" i="32"/>
  <c r="W798" i="32"/>
  <c r="X798" i="32"/>
  <c r="W799" i="32"/>
  <c r="X799" i="32"/>
  <c r="W800" i="32"/>
  <c r="X800" i="32"/>
  <c r="W801" i="32"/>
  <c r="X801" i="32"/>
  <c r="W802" i="32"/>
  <c r="X802" i="32"/>
  <c r="W803" i="32"/>
  <c r="X803" i="32"/>
  <c r="W804" i="32"/>
  <c r="X804" i="32"/>
  <c r="W805" i="32"/>
  <c r="X805" i="32"/>
  <c r="W806" i="32"/>
  <c r="X806" i="32"/>
  <c r="W807" i="32"/>
  <c r="X807" i="32"/>
  <c r="W808" i="32"/>
  <c r="X808" i="32"/>
  <c r="W809" i="32"/>
  <c r="X809" i="32"/>
  <c r="W810" i="32"/>
  <c r="X810" i="32"/>
  <c r="W811" i="32"/>
  <c r="X811" i="32"/>
  <c r="W812" i="32"/>
  <c r="X812" i="32"/>
  <c r="W813" i="32"/>
  <c r="X813" i="32"/>
  <c r="W814" i="32"/>
  <c r="X814" i="32"/>
  <c r="W815" i="32"/>
  <c r="X815" i="32"/>
  <c r="W816" i="32"/>
  <c r="X816" i="32"/>
  <c r="W817" i="32"/>
  <c r="X817" i="32"/>
  <c r="W818" i="32"/>
  <c r="X818" i="32"/>
  <c r="W819" i="32"/>
  <c r="X819" i="32"/>
  <c r="W820" i="32"/>
  <c r="X820" i="32"/>
  <c r="W821" i="32"/>
  <c r="X821" i="32"/>
  <c r="W822" i="32"/>
  <c r="X822" i="32"/>
  <c r="W823" i="32"/>
  <c r="X823" i="32"/>
  <c r="W824" i="32"/>
  <c r="X824" i="32"/>
  <c r="W825" i="32"/>
  <c r="X825" i="32"/>
  <c r="W826" i="32"/>
  <c r="X826" i="32"/>
  <c r="W827" i="32"/>
  <c r="X827" i="32"/>
  <c r="W828" i="32"/>
  <c r="X828" i="32"/>
  <c r="W829" i="32"/>
  <c r="X829" i="32"/>
  <c r="W830" i="32"/>
  <c r="X830" i="32"/>
  <c r="W831" i="32"/>
  <c r="X831" i="32"/>
  <c r="W832" i="32"/>
  <c r="X832" i="32"/>
  <c r="W833" i="32"/>
  <c r="X833" i="32"/>
  <c r="W834" i="32"/>
  <c r="X834" i="32"/>
  <c r="W835" i="32"/>
  <c r="X835" i="32"/>
  <c r="W836" i="32"/>
  <c r="X836" i="32"/>
  <c r="W837" i="32"/>
  <c r="X837" i="32"/>
  <c r="W838" i="32"/>
  <c r="X838" i="32"/>
  <c r="W839" i="32"/>
  <c r="X839" i="32"/>
  <c r="W840" i="32"/>
  <c r="X840" i="32"/>
  <c r="W841" i="32"/>
  <c r="X841" i="32"/>
  <c r="W842" i="32"/>
  <c r="X842" i="32"/>
  <c r="W843" i="32"/>
  <c r="X843" i="32"/>
  <c r="W844" i="32"/>
  <c r="X844" i="32"/>
  <c r="W845" i="32"/>
  <c r="X845" i="32"/>
  <c r="W846" i="32"/>
  <c r="X846" i="32"/>
  <c r="W847" i="32"/>
  <c r="X847" i="32"/>
  <c r="W848" i="32"/>
  <c r="X848" i="32"/>
  <c r="W849" i="32"/>
  <c r="X849" i="32"/>
  <c r="W850" i="32"/>
  <c r="X850" i="32"/>
  <c r="W851" i="32"/>
  <c r="X851" i="32"/>
  <c r="W852" i="32"/>
  <c r="X852" i="32"/>
  <c r="W853" i="32"/>
  <c r="X853" i="32"/>
  <c r="W854" i="32"/>
  <c r="X854" i="32"/>
  <c r="W855" i="32"/>
  <c r="X855" i="32"/>
  <c r="W856" i="32"/>
  <c r="X856" i="32"/>
  <c r="W857" i="32"/>
  <c r="X857" i="32"/>
  <c r="W858" i="32"/>
  <c r="X858" i="32"/>
  <c r="W859" i="32"/>
  <c r="X859" i="32"/>
  <c r="W860" i="32"/>
  <c r="X860" i="32"/>
  <c r="W861" i="32"/>
  <c r="X861" i="32"/>
  <c r="W862" i="32"/>
  <c r="X862" i="32"/>
  <c r="W863" i="32"/>
  <c r="X863" i="32"/>
  <c r="W864" i="32"/>
  <c r="X864" i="32"/>
  <c r="W865" i="32"/>
  <c r="X865" i="32"/>
  <c r="W866" i="32"/>
  <c r="X866" i="32"/>
  <c r="W867" i="32"/>
  <c r="X867" i="32"/>
  <c r="W868" i="32"/>
  <c r="X868" i="32"/>
  <c r="W869" i="32"/>
  <c r="X869" i="32"/>
  <c r="W870" i="32"/>
  <c r="X870" i="32"/>
  <c r="W871" i="32"/>
  <c r="X871" i="32"/>
  <c r="W872" i="32"/>
  <c r="X872" i="32"/>
  <c r="W873" i="32"/>
  <c r="X873" i="32"/>
  <c r="W874" i="32"/>
  <c r="X874" i="32"/>
  <c r="W875" i="32"/>
  <c r="X875" i="32"/>
  <c r="W876" i="32"/>
  <c r="X876" i="32"/>
  <c r="W877" i="32"/>
  <c r="X877" i="32"/>
  <c r="W878" i="32"/>
  <c r="X878" i="32"/>
  <c r="W879" i="32"/>
  <c r="X879" i="32"/>
  <c r="W880" i="32"/>
  <c r="X880" i="32"/>
  <c r="W881" i="32"/>
  <c r="X881" i="32"/>
  <c r="W882" i="32"/>
  <c r="X882" i="32"/>
  <c r="W883" i="32"/>
  <c r="X883" i="32"/>
  <c r="W884" i="32"/>
  <c r="X884" i="32"/>
  <c r="W885" i="32"/>
  <c r="X885" i="32"/>
  <c r="W886" i="32"/>
  <c r="X886" i="32"/>
  <c r="W887" i="32"/>
  <c r="X887" i="32"/>
  <c r="W888" i="32"/>
  <c r="X888" i="32"/>
  <c r="W889" i="32"/>
  <c r="X889" i="32"/>
  <c r="W890" i="32"/>
  <c r="X890" i="32"/>
  <c r="W891" i="32"/>
  <c r="X891" i="32"/>
  <c r="W892" i="32"/>
  <c r="X892" i="32"/>
  <c r="W893" i="32"/>
  <c r="X893" i="32"/>
  <c r="W894" i="32"/>
  <c r="X894" i="32"/>
  <c r="W895" i="32"/>
  <c r="X895" i="32"/>
  <c r="W896" i="32"/>
  <c r="X896" i="32"/>
  <c r="W897" i="32"/>
  <c r="X897" i="32"/>
  <c r="W898" i="32"/>
  <c r="X898" i="32"/>
  <c r="W899" i="32"/>
  <c r="X899" i="32"/>
  <c r="W900" i="32"/>
  <c r="X900" i="32"/>
  <c r="W901" i="32"/>
  <c r="X901" i="32"/>
  <c r="W902" i="32"/>
  <c r="X902" i="32"/>
  <c r="W903" i="32"/>
  <c r="X903" i="32"/>
  <c r="W904" i="32"/>
  <c r="X904" i="32"/>
  <c r="W905" i="32"/>
  <c r="X905" i="32"/>
  <c r="W906" i="32"/>
  <c r="X906" i="32"/>
  <c r="W907" i="32"/>
  <c r="X907" i="32"/>
  <c r="W908" i="32"/>
  <c r="X908" i="32"/>
  <c r="W909" i="32"/>
  <c r="X909" i="32"/>
  <c r="W910" i="32"/>
  <c r="X910" i="32"/>
  <c r="W911" i="32"/>
  <c r="X911" i="32"/>
  <c r="W912" i="32"/>
  <c r="X912" i="32"/>
  <c r="W913" i="32"/>
  <c r="X913" i="32"/>
  <c r="W914" i="32"/>
  <c r="X914" i="32"/>
  <c r="W915" i="32"/>
  <c r="X915" i="32"/>
  <c r="W916" i="32"/>
  <c r="X916" i="32"/>
  <c r="W917" i="32"/>
  <c r="X917" i="32"/>
  <c r="W918" i="32"/>
  <c r="X918" i="32"/>
  <c r="W919" i="32"/>
  <c r="X919" i="32"/>
  <c r="W920" i="32"/>
  <c r="X920" i="32"/>
  <c r="W921" i="32"/>
  <c r="X921" i="32"/>
  <c r="W922" i="32"/>
  <c r="X922" i="32"/>
  <c r="W923" i="32"/>
  <c r="X923" i="32"/>
  <c r="W924" i="32"/>
  <c r="X924" i="32"/>
  <c r="W925" i="32"/>
  <c r="X925" i="32"/>
  <c r="W926" i="32"/>
  <c r="X926" i="32"/>
  <c r="W927" i="32"/>
  <c r="X927" i="32"/>
  <c r="W928" i="32"/>
  <c r="X928" i="32"/>
  <c r="W929" i="32"/>
  <c r="X929" i="32"/>
  <c r="W930" i="32"/>
  <c r="X930" i="32"/>
  <c r="W931" i="32"/>
  <c r="X931" i="32"/>
  <c r="W932" i="32"/>
  <c r="X932" i="32"/>
  <c r="W933" i="32"/>
  <c r="X933" i="32"/>
  <c r="W934" i="32"/>
  <c r="X934" i="32"/>
  <c r="W935" i="32"/>
  <c r="X935" i="32"/>
  <c r="W936" i="32"/>
  <c r="X936" i="32"/>
  <c r="W937" i="32"/>
  <c r="X937" i="32"/>
  <c r="W938" i="32"/>
  <c r="X938" i="32"/>
  <c r="W939" i="32"/>
  <c r="X939" i="32"/>
  <c r="W940" i="32"/>
  <c r="X940" i="32"/>
  <c r="W941" i="32"/>
  <c r="X941" i="32"/>
  <c r="W942" i="32"/>
  <c r="X942" i="32"/>
  <c r="W943" i="32"/>
  <c r="X943" i="32"/>
  <c r="W944" i="32"/>
  <c r="X944" i="32"/>
  <c r="W945" i="32"/>
  <c r="X945" i="32"/>
  <c r="W946" i="32"/>
  <c r="X946" i="32"/>
  <c r="W947" i="32"/>
  <c r="X947" i="32"/>
  <c r="W948" i="32"/>
  <c r="X948" i="32"/>
  <c r="W949" i="32"/>
  <c r="X949" i="32"/>
  <c r="W950" i="32"/>
  <c r="X950" i="32"/>
  <c r="W951" i="32"/>
  <c r="X951" i="32"/>
  <c r="W952" i="32"/>
  <c r="X952" i="32"/>
  <c r="W953" i="32"/>
  <c r="X953" i="32"/>
  <c r="W954" i="32"/>
  <c r="X954" i="32"/>
  <c r="W955" i="32"/>
  <c r="X955" i="32"/>
  <c r="W956" i="32"/>
  <c r="X956" i="32"/>
  <c r="W957" i="32"/>
  <c r="X957" i="32"/>
  <c r="W958" i="32"/>
  <c r="X958" i="32"/>
  <c r="W959" i="32"/>
  <c r="X959" i="32"/>
  <c r="W960" i="32"/>
  <c r="X960" i="32"/>
  <c r="W961" i="32"/>
  <c r="X961" i="32"/>
  <c r="W962" i="32"/>
  <c r="X962" i="32"/>
  <c r="W963" i="32"/>
  <c r="X963" i="32"/>
  <c r="W964" i="32"/>
  <c r="X964" i="32"/>
  <c r="W965" i="32"/>
  <c r="X965" i="32"/>
  <c r="W966" i="32"/>
  <c r="X966" i="32"/>
  <c r="W967" i="32"/>
  <c r="X967" i="32"/>
  <c r="W968" i="32"/>
  <c r="X968" i="32"/>
  <c r="W969" i="32"/>
  <c r="X969" i="32"/>
  <c r="W970" i="32"/>
  <c r="X970" i="32"/>
  <c r="W971" i="32"/>
  <c r="X971" i="32"/>
  <c r="W972" i="32"/>
  <c r="X972" i="32"/>
  <c r="W973" i="32"/>
  <c r="X973" i="32"/>
  <c r="W974" i="32"/>
  <c r="X974" i="32"/>
  <c r="W975" i="32"/>
  <c r="X975" i="32"/>
  <c r="W976" i="32"/>
  <c r="X976" i="32"/>
  <c r="W977" i="32"/>
  <c r="X977" i="32"/>
  <c r="W978" i="32"/>
  <c r="X978" i="32"/>
  <c r="W979" i="32"/>
  <c r="X979" i="32"/>
  <c r="W980" i="32"/>
  <c r="X980" i="32"/>
  <c r="W981" i="32"/>
  <c r="X981" i="32"/>
  <c r="W982" i="32"/>
  <c r="X982" i="32"/>
  <c r="W983" i="32"/>
  <c r="X983" i="32"/>
  <c r="W984" i="32"/>
  <c r="X984" i="32"/>
  <c r="W985" i="32"/>
  <c r="X985" i="32"/>
  <c r="W986" i="32"/>
  <c r="X986" i="32"/>
  <c r="W987" i="32"/>
  <c r="X987" i="32"/>
  <c r="W988" i="32"/>
  <c r="X988" i="32"/>
  <c r="W989" i="32"/>
  <c r="X989" i="32"/>
  <c r="W990" i="32"/>
  <c r="X990" i="32"/>
  <c r="W991" i="32"/>
  <c r="X991" i="32"/>
  <c r="W992" i="32"/>
  <c r="X992" i="32"/>
  <c r="W993" i="32"/>
  <c r="X993" i="32"/>
  <c r="W994" i="32"/>
  <c r="X994" i="32"/>
  <c r="W995" i="32"/>
  <c r="X995" i="32"/>
  <c r="W996" i="32"/>
  <c r="X996" i="32"/>
  <c r="W997" i="32"/>
  <c r="X997" i="32"/>
  <c r="W998" i="32"/>
  <c r="X998" i="32"/>
  <c r="W999" i="32"/>
  <c r="X999" i="32"/>
  <c r="W1000" i="32"/>
  <c r="X1000" i="32"/>
  <c r="W1001" i="32"/>
  <c r="X1001" i="32"/>
  <c r="W1002" i="32"/>
  <c r="X1002" i="32"/>
  <c r="W1003" i="32"/>
  <c r="X1003" i="32"/>
  <c r="W1004" i="32"/>
  <c r="X1004" i="32"/>
  <c r="W1005" i="32"/>
  <c r="X1005" i="32"/>
  <c r="W1006" i="32"/>
  <c r="X1006" i="32"/>
  <c r="W1007" i="32"/>
  <c r="X1007" i="32"/>
  <c r="W1008" i="32"/>
  <c r="X1008" i="32"/>
  <c r="W1009" i="32"/>
  <c r="X1009" i="32"/>
  <c r="W1010" i="32"/>
  <c r="X1010" i="32"/>
  <c r="W1011" i="32"/>
  <c r="X1011" i="32"/>
  <c r="W1012" i="32"/>
  <c r="X1012" i="32"/>
  <c r="W1013" i="32"/>
  <c r="X1013" i="32"/>
  <c r="W1014" i="32"/>
  <c r="X1014" i="32"/>
  <c r="W1015" i="32"/>
  <c r="X1015" i="32"/>
  <c r="W1016" i="32"/>
  <c r="X1016" i="32"/>
  <c r="W1017" i="32"/>
  <c r="X1017" i="32"/>
  <c r="W1018" i="32"/>
  <c r="X1018" i="32"/>
  <c r="W1019" i="32"/>
  <c r="X1019" i="32"/>
  <c r="W1020" i="32"/>
  <c r="X1020" i="32"/>
  <c r="W1021" i="32"/>
  <c r="X1021" i="32"/>
  <c r="W1022" i="32"/>
  <c r="X1022" i="32"/>
  <c r="W1023" i="32"/>
  <c r="X1023" i="32"/>
  <c r="W1024" i="32"/>
  <c r="X1024" i="32"/>
  <c r="W1025" i="32"/>
  <c r="X1025" i="32"/>
  <c r="W1026" i="32"/>
  <c r="X1026" i="32"/>
  <c r="W1027" i="32"/>
  <c r="X1027" i="32"/>
  <c r="W1028" i="32"/>
  <c r="X1028" i="32"/>
  <c r="W1029" i="32"/>
  <c r="X1029" i="32"/>
  <c r="W1030" i="32"/>
  <c r="X1030" i="32"/>
  <c r="W1031" i="32"/>
  <c r="X1031" i="32"/>
  <c r="W1032" i="32"/>
  <c r="X1032" i="32"/>
  <c r="W1033" i="32"/>
  <c r="X1033" i="32"/>
  <c r="W1034" i="32"/>
  <c r="X1034" i="32"/>
  <c r="W1035" i="32"/>
  <c r="X1035" i="32"/>
  <c r="W1036" i="32"/>
  <c r="X1036" i="32"/>
  <c r="W1037" i="32"/>
  <c r="X1037" i="32"/>
  <c r="W1038" i="32"/>
  <c r="X1038" i="32"/>
  <c r="W1039" i="32"/>
  <c r="X1039" i="32"/>
  <c r="W1040" i="32"/>
  <c r="X1040" i="32"/>
  <c r="W1041" i="32"/>
  <c r="X1041" i="32"/>
  <c r="W1042" i="32"/>
  <c r="X1042" i="32"/>
  <c r="W1043" i="32"/>
  <c r="X1043" i="32"/>
  <c r="W1044" i="32"/>
  <c r="X1044" i="32"/>
  <c r="W1045" i="32"/>
  <c r="X1045" i="32"/>
  <c r="W1046" i="32"/>
  <c r="X1046" i="32"/>
  <c r="W1047" i="32"/>
  <c r="X1047" i="32"/>
  <c r="W1048" i="32"/>
  <c r="X1048" i="32"/>
  <c r="W1049" i="32"/>
  <c r="X1049" i="32"/>
  <c r="W1050" i="32"/>
  <c r="X1050" i="32"/>
  <c r="W1051" i="32"/>
  <c r="X1051" i="32"/>
  <c r="W1052" i="32"/>
  <c r="X1052" i="32"/>
  <c r="W1053" i="32"/>
  <c r="X1053" i="32"/>
  <c r="W1054" i="32"/>
  <c r="X1054" i="32"/>
  <c r="W1055" i="32"/>
  <c r="X1055" i="32"/>
  <c r="W1056" i="32"/>
  <c r="X1056" i="32"/>
  <c r="W1057" i="32"/>
  <c r="X1057" i="32"/>
  <c r="W1058" i="32"/>
  <c r="X1058" i="32"/>
  <c r="W1059" i="32"/>
  <c r="X1059" i="32"/>
  <c r="W1060" i="32"/>
  <c r="X1060" i="32"/>
  <c r="W1061" i="32"/>
  <c r="X1061" i="32"/>
  <c r="W1062" i="32"/>
  <c r="X1062" i="32"/>
  <c r="W1063" i="32"/>
  <c r="X1063" i="32"/>
  <c r="W1064" i="32"/>
  <c r="X1064" i="32"/>
  <c r="W1065" i="32"/>
  <c r="X1065" i="32"/>
  <c r="W1066" i="32"/>
  <c r="X1066" i="32"/>
  <c r="W1067" i="32"/>
  <c r="X1067" i="32"/>
  <c r="W1068" i="32"/>
  <c r="X1068" i="32"/>
  <c r="W1069" i="32"/>
  <c r="X1069" i="32"/>
  <c r="W1070" i="32"/>
  <c r="X1070" i="32"/>
  <c r="W1071" i="32"/>
  <c r="X1071" i="32"/>
  <c r="W1072" i="32"/>
  <c r="X1072" i="32"/>
  <c r="W1073" i="32"/>
  <c r="X1073" i="32"/>
  <c r="W1074" i="32"/>
  <c r="X1074" i="32"/>
  <c r="W1075" i="32"/>
  <c r="X1075" i="32"/>
  <c r="W1076" i="32"/>
  <c r="X1076" i="32"/>
  <c r="W1077" i="32"/>
  <c r="X1077" i="32"/>
  <c r="W1078" i="32"/>
  <c r="X1078" i="32"/>
  <c r="W1079" i="32"/>
  <c r="X1079" i="32"/>
  <c r="W1080" i="32"/>
  <c r="X1080" i="32"/>
  <c r="W1081" i="32"/>
  <c r="X1081" i="32"/>
  <c r="W1082" i="32"/>
  <c r="X1082" i="32"/>
  <c r="W1083" i="32"/>
  <c r="X1083" i="32"/>
  <c r="W1084" i="32"/>
  <c r="X1084" i="32"/>
  <c r="W1085" i="32"/>
  <c r="X1085" i="32"/>
  <c r="W1086" i="32"/>
  <c r="X1086" i="32"/>
  <c r="W1087" i="32"/>
  <c r="X1087" i="32"/>
  <c r="W1088" i="32"/>
  <c r="X1088" i="32"/>
  <c r="W1089" i="32"/>
  <c r="X1089" i="32"/>
  <c r="W1090" i="32"/>
  <c r="X1090" i="32"/>
  <c r="W1091" i="32"/>
  <c r="X1091" i="32"/>
  <c r="W1092" i="32"/>
  <c r="X1092" i="32"/>
  <c r="W1093" i="32"/>
  <c r="X1093" i="32"/>
  <c r="W1094" i="32"/>
  <c r="X1094" i="32"/>
  <c r="W1095" i="32"/>
  <c r="X1095" i="32"/>
  <c r="W1096" i="32"/>
  <c r="X1096" i="32"/>
  <c r="W1097" i="32"/>
  <c r="X1097" i="32"/>
  <c r="W1098" i="32"/>
  <c r="X1098" i="32"/>
  <c r="W1099" i="32"/>
  <c r="X1099" i="32"/>
  <c r="W1100" i="32"/>
  <c r="X1100" i="32"/>
  <c r="W1101" i="32"/>
  <c r="X1101" i="32"/>
  <c r="W1102" i="32"/>
  <c r="X1102" i="32"/>
  <c r="W1103" i="32"/>
  <c r="X1103" i="32"/>
  <c r="W1104" i="32"/>
  <c r="X1104" i="32"/>
  <c r="W1105" i="32"/>
  <c r="X1105" i="32"/>
  <c r="W1106" i="32"/>
  <c r="X1106" i="32"/>
  <c r="W1107" i="32"/>
  <c r="X1107" i="32"/>
  <c r="W1108" i="32"/>
  <c r="X1108" i="32"/>
  <c r="W1109" i="32"/>
  <c r="X1109" i="32"/>
  <c r="W1110" i="32"/>
  <c r="X1110" i="32"/>
  <c r="W1111" i="32"/>
  <c r="X1111" i="32"/>
  <c r="W1112" i="32"/>
  <c r="X1112" i="32"/>
  <c r="W1113" i="32"/>
  <c r="X1113" i="32"/>
  <c r="W1114" i="32"/>
  <c r="X1114" i="32"/>
  <c r="W1115" i="32"/>
  <c r="X1115" i="32"/>
  <c r="W1116" i="32"/>
  <c r="X1116" i="32"/>
  <c r="W1117" i="32"/>
  <c r="X1117" i="32"/>
  <c r="W1118" i="32"/>
  <c r="X1118" i="32"/>
  <c r="W1119" i="32"/>
  <c r="X1119" i="32"/>
  <c r="W1120" i="32"/>
  <c r="X1120" i="32"/>
  <c r="W1121" i="32"/>
  <c r="X1121" i="32"/>
  <c r="W1122" i="32"/>
  <c r="X1122" i="32"/>
  <c r="W1123" i="32"/>
  <c r="X1123" i="32"/>
  <c r="W1124" i="32"/>
  <c r="X1124" i="32"/>
  <c r="W1125" i="32"/>
  <c r="X1125" i="32"/>
  <c r="W1126" i="32"/>
  <c r="X1126" i="32"/>
  <c r="W1127" i="32"/>
  <c r="X1127" i="32"/>
  <c r="W1128" i="32"/>
  <c r="X1128" i="32"/>
  <c r="W1129" i="32"/>
  <c r="X1129" i="32"/>
  <c r="W1130" i="32"/>
  <c r="X1130" i="32"/>
  <c r="W1131" i="32"/>
  <c r="X1131" i="32"/>
  <c r="W1132" i="32"/>
  <c r="X1132" i="32"/>
  <c r="W1133" i="32"/>
  <c r="X1133" i="32"/>
  <c r="W1134" i="32"/>
  <c r="X1134" i="32"/>
  <c r="W1135" i="32"/>
  <c r="X1135" i="32"/>
  <c r="W1136" i="32"/>
  <c r="X1136" i="32"/>
  <c r="W1137" i="32"/>
  <c r="X1137" i="32"/>
  <c r="W1138" i="32"/>
  <c r="X1138" i="32"/>
  <c r="W1139" i="32"/>
  <c r="X1139" i="32"/>
  <c r="W1140" i="32"/>
  <c r="X1140" i="32"/>
  <c r="W1141" i="32"/>
  <c r="X1141" i="32"/>
  <c r="W1142" i="32"/>
  <c r="X1142" i="32"/>
  <c r="W1143" i="32"/>
  <c r="X1143" i="32"/>
  <c r="W1144" i="32"/>
  <c r="X1144" i="32"/>
  <c r="W1145" i="32"/>
  <c r="X1145" i="32"/>
  <c r="W1146" i="32"/>
  <c r="X1146" i="32"/>
  <c r="W1147" i="32"/>
  <c r="X1147" i="32"/>
  <c r="W1148" i="32"/>
  <c r="X1148" i="32"/>
  <c r="W1149" i="32"/>
  <c r="X1149" i="32"/>
  <c r="W1150" i="32"/>
  <c r="X1150" i="32"/>
  <c r="W1151" i="32"/>
  <c r="X1151" i="32"/>
  <c r="W1152" i="32"/>
  <c r="X1152" i="32"/>
  <c r="W1153" i="32"/>
  <c r="X1153" i="32"/>
  <c r="W1154" i="32"/>
  <c r="X1154" i="32"/>
  <c r="W1155" i="32"/>
  <c r="X1155" i="32"/>
  <c r="W1156" i="32"/>
  <c r="X1156" i="32"/>
  <c r="W1157" i="32"/>
  <c r="X1157" i="32"/>
  <c r="W1158" i="32"/>
  <c r="X1158" i="32"/>
  <c r="W1159" i="32"/>
  <c r="X1159" i="32"/>
  <c r="W1160" i="32"/>
  <c r="X1160" i="32"/>
  <c r="W1161" i="32"/>
  <c r="X1161" i="32"/>
  <c r="W1162" i="32"/>
  <c r="X1162" i="32"/>
  <c r="W1163" i="32"/>
  <c r="X1163" i="32"/>
  <c r="W1164" i="32"/>
  <c r="X1164" i="32"/>
  <c r="W1165" i="32"/>
  <c r="X1165" i="32"/>
  <c r="W1166" i="32"/>
  <c r="X1166" i="32"/>
  <c r="W1167" i="32"/>
  <c r="X1167" i="32"/>
  <c r="W1168" i="32"/>
  <c r="X1168" i="32"/>
  <c r="W1169" i="32"/>
  <c r="X1169" i="32"/>
  <c r="W1170" i="32"/>
  <c r="X1170" i="32"/>
  <c r="W1171" i="32"/>
  <c r="X1171" i="32"/>
  <c r="W1172" i="32"/>
  <c r="X1172" i="32"/>
  <c r="W1173" i="32"/>
  <c r="X1173" i="32"/>
  <c r="W1174" i="32"/>
  <c r="X1174" i="32"/>
  <c r="W1175" i="32"/>
  <c r="X1175" i="32"/>
  <c r="W1176" i="32"/>
  <c r="X1176" i="32"/>
  <c r="W1177" i="32"/>
  <c r="X1177" i="32"/>
  <c r="W1178" i="32"/>
  <c r="X1178" i="32"/>
  <c r="W1179" i="32"/>
  <c r="X1179" i="32"/>
  <c r="W1180" i="32"/>
  <c r="X1180" i="32"/>
  <c r="W1181" i="32"/>
  <c r="X1181" i="32"/>
  <c r="W1182" i="32"/>
  <c r="X1182" i="32"/>
  <c r="W1183" i="32"/>
  <c r="X1183" i="32"/>
  <c r="W1184" i="32"/>
  <c r="X1184" i="32"/>
  <c r="W1185" i="32"/>
  <c r="X1185" i="32"/>
  <c r="W1186" i="32"/>
  <c r="X1186" i="32"/>
  <c r="W1187" i="32"/>
  <c r="X1187" i="32"/>
  <c r="W1188" i="32"/>
  <c r="X1188" i="32"/>
  <c r="W1189" i="32"/>
  <c r="X1189" i="32"/>
  <c r="W1190" i="32"/>
  <c r="X1190" i="32"/>
  <c r="W1191" i="32"/>
  <c r="X1191" i="32"/>
  <c r="W1192" i="32"/>
  <c r="X1192" i="32"/>
  <c r="W1193" i="32"/>
  <c r="X1193" i="32"/>
  <c r="W1194" i="32"/>
  <c r="X1194" i="32"/>
  <c r="W1195" i="32"/>
  <c r="X1195" i="32"/>
  <c r="W1196" i="32"/>
  <c r="X1196" i="32"/>
  <c r="W1197" i="32"/>
  <c r="X1197" i="32"/>
  <c r="W1198" i="32"/>
  <c r="X1198" i="32"/>
  <c r="W1199" i="32"/>
  <c r="X1199" i="32"/>
  <c r="W1200" i="32"/>
  <c r="X1200" i="32"/>
  <c r="W1201" i="32"/>
  <c r="X1201" i="32"/>
  <c r="W1202" i="32"/>
  <c r="X1202" i="32"/>
  <c r="W1203" i="32"/>
  <c r="X1203" i="32"/>
  <c r="W1204" i="32"/>
  <c r="X1204" i="32"/>
  <c r="W1205" i="32"/>
  <c r="X1205" i="32"/>
  <c r="W1206" i="32"/>
  <c r="X1206" i="32"/>
  <c r="W1207" i="32"/>
  <c r="X1207" i="32"/>
  <c r="W1208" i="32"/>
  <c r="X1208" i="32"/>
  <c r="W1209" i="32"/>
  <c r="X1209" i="32"/>
  <c r="W1210" i="32"/>
  <c r="X1210" i="32"/>
  <c r="W1211" i="32"/>
  <c r="X1211" i="32"/>
  <c r="W1212" i="32"/>
  <c r="X1212" i="32"/>
  <c r="W1213" i="32"/>
  <c r="X1213" i="32"/>
  <c r="W1214" i="32"/>
  <c r="X1214" i="32"/>
  <c r="W1215" i="32"/>
  <c r="X1215" i="32"/>
  <c r="W1216" i="32"/>
  <c r="X1216" i="32"/>
  <c r="W1217" i="32"/>
  <c r="X1217" i="32"/>
  <c r="W1218" i="32"/>
  <c r="X1218" i="32"/>
  <c r="W1219" i="32"/>
  <c r="X1219" i="32"/>
  <c r="W1220" i="32"/>
  <c r="X1220" i="32"/>
  <c r="W1221" i="32"/>
  <c r="X1221" i="32"/>
  <c r="W1222" i="32"/>
  <c r="X1222" i="32"/>
  <c r="W1223" i="32"/>
  <c r="X1223" i="32"/>
  <c r="W1224" i="32"/>
  <c r="X1224" i="32"/>
  <c r="W1225" i="32"/>
  <c r="X1225" i="32"/>
  <c r="W1226" i="32"/>
  <c r="X1226" i="32"/>
  <c r="W1227" i="32"/>
  <c r="X1227" i="32"/>
  <c r="W1228" i="32"/>
  <c r="X1228" i="32"/>
  <c r="W1229" i="32"/>
  <c r="X1229" i="32"/>
  <c r="W1230" i="32"/>
  <c r="X1230" i="32"/>
  <c r="W1231" i="32"/>
  <c r="X1231" i="32"/>
  <c r="W1232" i="32"/>
  <c r="X1232" i="32"/>
  <c r="W1233" i="32"/>
  <c r="X1233" i="32"/>
  <c r="W1234" i="32"/>
  <c r="X1234" i="32"/>
  <c r="W1235" i="32"/>
  <c r="X1235" i="32"/>
  <c r="W1236" i="32"/>
  <c r="X1236" i="32"/>
  <c r="W1237" i="32"/>
  <c r="X1237" i="32"/>
  <c r="W1238" i="32"/>
  <c r="X1238" i="32"/>
  <c r="W1239" i="32"/>
  <c r="X1239" i="32"/>
  <c r="W1240" i="32"/>
  <c r="X1240" i="32"/>
  <c r="W1241" i="32"/>
  <c r="X1241" i="32"/>
  <c r="W1242" i="32"/>
  <c r="X1242" i="32"/>
  <c r="W1243" i="32"/>
  <c r="X1243" i="32"/>
  <c r="W1244" i="32"/>
  <c r="X1244" i="32"/>
  <c r="W1245" i="32"/>
  <c r="X1245" i="32"/>
  <c r="W1246" i="32"/>
  <c r="X1246" i="32"/>
  <c r="W1247" i="32"/>
  <c r="X1247" i="32"/>
  <c r="W1248" i="32"/>
  <c r="X1248" i="32"/>
  <c r="W1249" i="32"/>
  <c r="X1249" i="32"/>
  <c r="W1250" i="32"/>
  <c r="X1250" i="32"/>
  <c r="W1251" i="32"/>
  <c r="X1251" i="32"/>
  <c r="W1252" i="32"/>
  <c r="X1252" i="32"/>
  <c r="W1253" i="32"/>
  <c r="X1253" i="32"/>
  <c r="W1254" i="32"/>
  <c r="X1254" i="32"/>
  <c r="W1255" i="32"/>
  <c r="X1255" i="32"/>
  <c r="W1256" i="32"/>
  <c r="X1256" i="32"/>
  <c r="W1257" i="32"/>
  <c r="X1257" i="32"/>
  <c r="W1258" i="32"/>
  <c r="X1258" i="32"/>
  <c r="W1259" i="32"/>
  <c r="X1259" i="32"/>
  <c r="W1260" i="32"/>
  <c r="X1260" i="32"/>
  <c r="W1261" i="32"/>
  <c r="X1261" i="32"/>
  <c r="W1262" i="32"/>
  <c r="X1262" i="32"/>
  <c r="W1263" i="32"/>
  <c r="X1263" i="32"/>
  <c r="W1264" i="32"/>
  <c r="X1264" i="32"/>
  <c r="W1265" i="32"/>
  <c r="X1265" i="32"/>
  <c r="W1266" i="32"/>
  <c r="X1266" i="32"/>
  <c r="W1267" i="32"/>
  <c r="X1267" i="32"/>
  <c r="W1268" i="32"/>
  <c r="X1268" i="32"/>
  <c r="W1269" i="32"/>
  <c r="X1269" i="32"/>
  <c r="W1270" i="32"/>
  <c r="X1270" i="32"/>
  <c r="W1271" i="32"/>
  <c r="X1271" i="32"/>
  <c r="W1272" i="32"/>
  <c r="X1272" i="32"/>
  <c r="W1273" i="32"/>
  <c r="X1273" i="32"/>
  <c r="W1274" i="32"/>
  <c r="X1274" i="32"/>
  <c r="W1275" i="32"/>
  <c r="X1275" i="32"/>
  <c r="W1276" i="32"/>
  <c r="X1276" i="32"/>
  <c r="W1277" i="32"/>
  <c r="X1277" i="32"/>
  <c r="W1278" i="32"/>
  <c r="X1278" i="32"/>
  <c r="W1279" i="32"/>
  <c r="X1279" i="32"/>
  <c r="W1280" i="32"/>
  <c r="X1280" i="32"/>
  <c r="W1281" i="32"/>
  <c r="X1281" i="32"/>
  <c r="W1282" i="32"/>
  <c r="X1282" i="32"/>
  <c r="W1283" i="32"/>
  <c r="X1283" i="32"/>
  <c r="W1284" i="32"/>
  <c r="X1284" i="32"/>
  <c r="W1285" i="32"/>
  <c r="X1285" i="32"/>
  <c r="W1286" i="32"/>
  <c r="X1286" i="32"/>
  <c r="W1287" i="32"/>
  <c r="X1287" i="32"/>
  <c r="W1288" i="32"/>
  <c r="X1288" i="32"/>
  <c r="W1289" i="32"/>
  <c r="X1289" i="32"/>
  <c r="W1290" i="32"/>
  <c r="X1290" i="32"/>
  <c r="W1291" i="32"/>
  <c r="X1291" i="32"/>
  <c r="W1292" i="32"/>
  <c r="X1292" i="32"/>
  <c r="W1293" i="32"/>
  <c r="X1293" i="32"/>
  <c r="W1294" i="32"/>
  <c r="X1294" i="32"/>
  <c r="W1295" i="32"/>
  <c r="X1295" i="32"/>
  <c r="W1296" i="32"/>
  <c r="X1296" i="32"/>
  <c r="W1297" i="32"/>
  <c r="X1297" i="32"/>
  <c r="W1298" i="32"/>
  <c r="X1298" i="32"/>
  <c r="W1299" i="32"/>
  <c r="X1299" i="32"/>
  <c r="W1300" i="32"/>
  <c r="X1300" i="32"/>
  <c r="W1301" i="32"/>
  <c r="X1301" i="32"/>
  <c r="W1302" i="32"/>
  <c r="X1302" i="32"/>
  <c r="W1303" i="32"/>
  <c r="X1303" i="32"/>
  <c r="W1304" i="32"/>
  <c r="X1304" i="32"/>
  <c r="W1305" i="32"/>
  <c r="X1305" i="32"/>
  <c r="W1306" i="32"/>
  <c r="X1306" i="32"/>
  <c r="W1307" i="32"/>
  <c r="X1307" i="32"/>
  <c r="W1308" i="32"/>
  <c r="X1308" i="32"/>
  <c r="W1309" i="32"/>
  <c r="X1309" i="32"/>
  <c r="W1310" i="32"/>
  <c r="X1310" i="32"/>
  <c r="W1311" i="32"/>
  <c r="X1311" i="32"/>
  <c r="W1312" i="32"/>
  <c r="X1312" i="32"/>
  <c r="W1313" i="32"/>
  <c r="X1313" i="32"/>
  <c r="W1314" i="32"/>
  <c r="X1314" i="32"/>
  <c r="W1315" i="32"/>
  <c r="X1315" i="32"/>
  <c r="W1316" i="32"/>
  <c r="X1316" i="32"/>
  <c r="W1317" i="32"/>
  <c r="X1317" i="32"/>
  <c r="W1318" i="32"/>
  <c r="X1318" i="32"/>
  <c r="W1319" i="32"/>
  <c r="X1319" i="32"/>
  <c r="W1320" i="32"/>
  <c r="X1320" i="32"/>
  <c r="W1321" i="32"/>
  <c r="X1321" i="32"/>
  <c r="W1322" i="32"/>
  <c r="X1322" i="32"/>
  <c r="W1323" i="32"/>
  <c r="X1323" i="32"/>
  <c r="W1324" i="32"/>
  <c r="X1324" i="32"/>
  <c r="W1325" i="32"/>
  <c r="X1325" i="32"/>
  <c r="W1326" i="32"/>
  <c r="X1326" i="32"/>
  <c r="W1327" i="32"/>
  <c r="X1327" i="32"/>
  <c r="W1328" i="32"/>
  <c r="X1328" i="32"/>
  <c r="W1329" i="32"/>
  <c r="X1329" i="32"/>
  <c r="W1330" i="32"/>
  <c r="X1330" i="32"/>
  <c r="W1331" i="32"/>
  <c r="X1331" i="32"/>
  <c r="W1332" i="32"/>
  <c r="X1332" i="32"/>
  <c r="W1333" i="32"/>
  <c r="X1333" i="32"/>
  <c r="W1334" i="32"/>
  <c r="X1334" i="32"/>
  <c r="W1335" i="32"/>
  <c r="X1335" i="32"/>
  <c r="W1336" i="32"/>
  <c r="X1336" i="32"/>
  <c r="W1337" i="32"/>
  <c r="X1337" i="32"/>
  <c r="W1338" i="32"/>
  <c r="X1338" i="32"/>
  <c r="W1339" i="32"/>
  <c r="X1339" i="32"/>
  <c r="W1340" i="32"/>
  <c r="X1340" i="32"/>
  <c r="W1341" i="32"/>
  <c r="X1341" i="32"/>
  <c r="W1342" i="32"/>
  <c r="X1342" i="32"/>
  <c r="W1343" i="32"/>
  <c r="X1343" i="32"/>
  <c r="W1344" i="32"/>
  <c r="X1344" i="32"/>
  <c r="W1345" i="32"/>
  <c r="X1345" i="32"/>
  <c r="W1346" i="32"/>
  <c r="X1346" i="32"/>
  <c r="W1347" i="32"/>
  <c r="X1347" i="32"/>
  <c r="W1348" i="32"/>
  <c r="X1348" i="32"/>
  <c r="W1349" i="32"/>
  <c r="X1349" i="32"/>
  <c r="W1350" i="32"/>
  <c r="X1350" i="32"/>
  <c r="W1351" i="32"/>
  <c r="X1351" i="32"/>
  <c r="W1352" i="32"/>
  <c r="X1352" i="32"/>
  <c r="W1353" i="32"/>
  <c r="X1353" i="32"/>
  <c r="W1354" i="32"/>
  <c r="X1354" i="32"/>
  <c r="W1355" i="32"/>
  <c r="X1355" i="32"/>
  <c r="W1356" i="32"/>
  <c r="X1356" i="32"/>
  <c r="W1357" i="32"/>
  <c r="X1357" i="32"/>
  <c r="W1358" i="32"/>
  <c r="X1358" i="32"/>
  <c r="W1359" i="32"/>
  <c r="X1359" i="32"/>
  <c r="W1360" i="32"/>
  <c r="X1360" i="32"/>
  <c r="W1361" i="32"/>
  <c r="X1361" i="32"/>
  <c r="W1362" i="32"/>
  <c r="X1362" i="32"/>
  <c r="W1363" i="32"/>
  <c r="X1363" i="32"/>
  <c r="W1364" i="32"/>
  <c r="X1364" i="32"/>
  <c r="W1365" i="32"/>
  <c r="X1365" i="32"/>
  <c r="W1366" i="32"/>
  <c r="X1366" i="32"/>
  <c r="W1367" i="32"/>
  <c r="X1367" i="32"/>
  <c r="W1368" i="32"/>
  <c r="X1368" i="32"/>
  <c r="W1369" i="32"/>
  <c r="X1369" i="32"/>
  <c r="W1370" i="32"/>
  <c r="X1370" i="32"/>
  <c r="W1371" i="32"/>
  <c r="X1371" i="32"/>
  <c r="W1372" i="32"/>
  <c r="X1372" i="32"/>
  <c r="W1373" i="32"/>
  <c r="X1373" i="32"/>
  <c r="W1374" i="32"/>
  <c r="X1374" i="32"/>
  <c r="W1375" i="32"/>
  <c r="X1375" i="32"/>
  <c r="W1376" i="32"/>
  <c r="X1376" i="32"/>
  <c r="W1377" i="32"/>
  <c r="X1377" i="32"/>
  <c r="W1378" i="32"/>
  <c r="X1378" i="32"/>
  <c r="W1379" i="32"/>
  <c r="X1379" i="32"/>
  <c r="W1380" i="32"/>
  <c r="X1380" i="32"/>
  <c r="W1381" i="32"/>
  <c r="X1381" i="32"/>
  <c r="W1382" i="32"/>
  <c r="X1382" i="32"/>
  <c r="W1383" i="32"/>
  <c r="X1383" i="32"/>
  <c r="W1384" i="32"/>
  <c r="X1384" i="32"/>
  <c r="W1385" i="32"/>
  <c r="X1385" i="32"/>
  <c r="W1386" i="32"/>
  <c r="X1386" i="32"/>
  <c r="W1387" i="32"/>
  <c r="X1387" i="32"/>
  <c r="W1388" i="32"/>
  <c r="X1388" i="32"/>
  <c r="W1389" i="32"/>
  <c r="X1389" i="32"/>
  <c r="W1390" i="32"/>
  <c r="X1390" i="32"/>
  <c r="W1391" i="32"/>
  <c r="X1391" i="32"/>
  <c r="W1392" i="32"/>
  <c r="X1392" i="32"/>
  <c r="W1393" i="32"/>
  <c r="X1393" i="32"/>
  <c r="W1394" i="32"/>
  <c r="X1394" i="32"/>
  <c r="W1395" i="32"/>
  <c r="X1395" i="32"/>
  <c r="W1396" i="32"/>
  <c r="X1396" i="32"/>
  <c r="W1397" i="32"/>
  <c r="X1397" i="32"/>
  <c r="W1398" i="32"/>
  <c r="X1398" i="32"/>
  <c r="W1399" i="32"/>
  <c r="X1399" i="32"/>
  <c r="W1400" i="32"/>
  <c r="X1400" i="32"/>
  <c r="W1401" i="32"/>
  <c r="X1401" i="32"/>
  <c r="W1402" i="32"/>
  <c r="X1402" i="32"/>
  <c r="W1403" i="32"/>
  <c r="X1403" i="32"/>
  <c r="W1404" i="32"/>
  <c r="X1404" i="32"/>
  <c r="W1405" i="32"/>
  <c r="X1405" i="32"/>
  <c r="W1406" i="32"/>
  <c r="X1406" i="32"/>
  <c r="W1407" i="32"/>
  <c r="X1407" i="32"/>
  <c r="W1408" i="32"/>
  <c r="X1408" i="32"/>
  <c r="W1409" i="32"/>
  <c r="X1409" i="32"/>
  <c r="W1410" i="32"/>
  <c r="X1410" i="32"/>
  <c r="W1411" i="32"/>
  <c r="X1411" i="32"/>
  <c r="W1412" i="32"/>
  <c r="X1412" i="32"/>
  <c r="W1413" i="32"/>
  <c r="X1413" i="32"/>
  <c r="W1414" i="32"/>
  <c r="X1414" i="32"/>
  <c r="W1415" i="32"/>
  <c r="X1415" i="32"/>
  <c r="W1416" i="32"/>
  <c r="X1416" i="32"/>
  <c r="W1417" i="32"/>
  <c r="X1417" i="32"/>
  <c r="W1418" i="32"/>
  <c r="X1418" i="32"/>
  <c r="W1419" i="32"/>
  <c r="X1419" i="32"/>
  <c r="W1420" i="32"/>
  <c r="X1420" i="32"/>
  <c r="W1421" i="32"/>
  <c r="X1421" i="32"/>
  <c r="W1422" i="32"/>
  <c r="X1422" i="32"/>
  <c r="W1423" i="32"/>
  <c r="X1423" i="32"/>
  <c r="W1424" i="32"/>
  <c r="X1424" i="32"/>
  <c r="W1425" i="32"/>
  <c r="X1425" i="32"/>
  <c r="W1426" i="32"/>
  <c r="X1426" i="32"/>
  <c r="W1427" i="32"/>
  <c r="X1427" i="32"/>
  <c r="W1428" i="32"/>
  <c r="X1428" i="32"/>
  <c r="W1429" i="32"/>
  <c r="X1429" i="32"/>
  <c r="W1430" i="32"/>
  <c r="X1430" i="32"/>
  <c r="W1431" i="32"/>
  <c r="X1431" i="32"/>
  <c r="W1432" i="32"/>
  <c r="X1432" i="32"/>
  <c r="W1433" i="32"/>
  <c r="X1433" i="32"/>
  <c r="W1434" i="32"/>
  <c r="X1434" i="32"/>
  <c r="W1435" i="32"/>
  <c r="X1435" i="32"/>
  <c r="W1436" i="32"/>
  <c r="X1436" i="32"/>
  <c r="W1437" i="32"/>
  <c r="X1437" i="32"/>
  <c r="W1438" i="32"/>
  <c r="X1438" i="32"/>
  <c r="W1439" i="32"/>
  <c r="X1439" i="32"/>
  <c r="W1440" i="32"/>
  <c r="X1440" i="32"/>
  <c r="W1441" i="32"/>
  <c r="X1441" i="32"/>
  <c r="W1442" i="32"/>
  <c r="X1442" i="32"/>
  <c r="W1443" i="32"/>
  <c r="X1443" i="32"/>
  <c r="W1444" i="32"/>
  <c r="X1444" i="32"/>
  <c r="W1445" i="32"/>
  <c r="X1445" i="32"/>
  <c r="W1446" i="32"/>
  <c r="X1446" i="32"/>
  <c r="W1447" i="32"/>
  <c r="X1447" i="32"/>
  <c r="W1448" i="32"/>
  <c r="X1448" i="32"/>
  <c r="W1449" i="32"/>
  <c r="X1449" i="32"/>
  <c r="W1450" i="32"/>
  <c r="X1450" i="32"/>
  <c r="W1451" i="32"/>
  <c r="X1451" i="32"/>
  <c r="W1452" i="32"/>
  <c r="X1452" i="32"/>
  <c r="W1453" i="32"/>
  <c r="X1453" i="32"/>
  <c r="W1454" i="32"/>
  <c r="X1454" i="32"/>
  <c r="W1455" i="32"/>
  <c r="X1455" i="32"/>
  <c r="W1456" i="32"/>
  <c r="X1456" i="32"/>
  <c r="W1457" i="32"/>
  <c r="X1457" i="32"/>
  <c r="W1458" i="32"/>
  <c r="X1458" i="32"/>
  <c r="W1459" i="32"/>
  <c r="X1459" i="32"/>
  <c r="W1460" i="32"/>
  <c r="X1460" i="32"/>
  <c r="W1461" i="32"/>
  <c r="X1461" i="32"/>
  <c r="W1462" i="32"/>
  <c r="X1462" i="32"/>
  <c r="W1463" i="32"/>
  <c r="X1463" i="32"/>
  <c r="W1464" i="32"/>
  <c r="X1464" i="32"/>
  <c r="W1465" i="32"/>
  <c r="X1465" i="32"/>
  <c r="W1466" i="32"/>
  <c r="X1466" i="32"/>
  <c r="W1467" i="32"/>
  <c r="X1467" i="32"/>
  <c r="W1468" i="32"/>
  <c r="X1468" i="32"/>
  <c r="W1469" i="32"/>
  <c r="X1469" i="32"/>
  <c r="W1470" i="32"/>
  <c r="X1470" i="32"/>
  <c r="W1471" i="32"/>
  <c r="X1471" i="32"/>
  <c r="W1472" i="32"/>
  <c r="X1472" i="32"/>
  <c r="W1473" i="32"/>
  <c r="X1473" i="32"/>
  <c r="W1474" i="32"/>
  <c r="X1474" i="32"/>
  <c r="W1475" i="32"/>
  <c r="X1475" i="32"/>
  <c r="W1476" i="32"/>
  <c r="X1476" i="32"/>
  <c r="W1477" i="32"/>
  <c r="X1477" i="32"/>
  <c r="W1478" i="32"/>
  <c r="X1478" i="32"/>
  <c r="W1479" i="32"/>
  <c r="X1479" i="32"/>
  <c r="W1480" i="32"/>
  <c r="X1480" i="32"/>
  <c r="W1481" i="32"/>
  <c r="X1481" i="32"/>
  <c r="W1482" i="32"/>
  <c r="X1482" i="32"/>
  <c r="W1483" i="32"/>
  <c r="X1483" i="32"/>
  <c r="W1484" i="32"/>
  <c r="X1484" i="32"/>
  <c r="W1485" i="32"/>
  <c r="X1485" i="32"/>
  <c r="W1486" i="32"/>
  <c r="X1486" i="32"/>
  <c r="W1487" i="32"/>
  <c r="X1487" i="32"/>
  <c r="W1488" i="32"/>
  <c r="X1488" i="32"/>
  <c r="W1489" i="32"/>
  <c r="X1489" i="32"/>
  <c r="W1490" i="32"/>
  <c r="X1490" i="32"/>
  <c r="W1491" i="32"/>
  <c r="X1491" i="32"/>
  <c r="W1492" i="32"/>
  <c r="X1492" i="32"/>
  <c r="W1493" i="32"/>
  <c r="X1493" i="32"/>
  <c r="W1494" i="32"/>
  <c r="X1494" i="32"/>
  <c r="W1495" i="32"/>
  <c r="X1495" i="32"/>
  <c r="W1496" i="32"/>
  <c r="X1496" i="32"/>
  <c r="W1497" i="32"/>
  <c r="X1497" i="32"/>
  <c r="W1498" i="32"/>
  <c r="X1498" i="32"/>
  <c r="W1499" i="32"/>
  <c r="X1499" i="32"/>
  <c r="W1500" i="32"/>
  <c r="X1500" i="32"/>
  <c r="W1501" i="32"/>
  <c r="X1501" i="32"/>
  <c r="W1502" i="32"/>
  <c r="X1502" i="32"/>
  <c r="W1503" i="32"/>
  <c r="X1503" i="32"/>
  <c r="W1504" i="32"/>
  <c r="X1504" i="32"/>
  <c r="W1505" i="32"/>
  <c r="X1505" i="32"/>
  <c r="W1506" i="32"/>
  <c r="X1506" i="32"/>
  <c r="W1507" i="32"/>
  <c r="X1507" i="32"/>
  <c r="W1508" i="32"/>
  <c r="X1508" i="32"/>
  <c r="W1509" i="32"/>
  <c r="X1509" i="32"/>
  <c r="W1510" i="32"/>
  <c r="X1510" i="32"/>
  <c r="W1511" i="32"/>
  <c r="X1511" i="32"/>
  <c r="W1512" i="32"/>
  <c r="X1512" i="32"/>
  <c r="W1513" i="32"/>
  <c r="X1513" i="32"/>
  <c r="W1514" i="32"/>
  <c r="X1514" i="32"/>
  <c r="W1515" i="32"/>
  <c r="X1515" i="32"/>
  <c r="W1516" i="32"/>
  <c r="X1516" i="32"/>
  <c r="W1517" i="32"/>
  <c r="X1517" i="32"/>
  <c r="W1518" i="32"/>
  <c r="X1518" i="32"/>
  <c r="W1519" i="32"/>
  <c r="X1519" i="32"/>
  <c r="W1520" i="32"/>
  <c r="X1520" i="32"/>
  <c r="W1521" i="32"/>
  <c r="X1521" i="32"/>
  <c r="W1522" i="32"/>
  <c r="X1522" i="32"/>
  <c r="W1523" i="32"/>
  <c r="X1523" i="32"/>
  <c r="W1524" i="32"/>
  <c r="X1524" i="32"/>
  <c r="W1525" i="32"/>
  <c r="X1525" i="32"/>
  <c r="W1526" i="32"/>
  <c r="X1526" i="32"/>
  <c r="W1527" i="32"/>
  <c r="X1527" i="32"/>
  <c r="W1528" i="32"/>
  <c r="X1528" i="32"/>
  <c r="W1529" i="32"/>
  <c r="X1529" i="32"/>
  <c r="W1530" i="32"/>
  <c r="X1530" i="32"/>
  <c r="W1531" i="32"/>
  <c r="X1531" i="32"/>
  <c r="W1532" i="32"/>
  <c r="X1532" i="32"/>
  <c r="W1533" i="32"/>
  <c r="X1533" i="32"/>
  <c r="W1534" i="32"/>
  <c r="X1534" i="32"/>
  <c r="W1535" i="32"/>
  <c r="X1535" i="32"/>
  <c r="W1536" i="32"/>
  <c r="X1536" i="32"/>
  <c r="W1537" i="32"/>
  <c r="X1537" i="32"/>
  <c r="W1538" i="32"/>
  <c r="X1538" i="32"/>
  <c r="W1539" i="32"/>
  <c r="X1539" i="32"/>
  <c r="W1540" i="32"/>
  <c r="X1540" i="32"/>
  <c r="W1541" i="32"/>
  <c r="X1541" i="32"/>
  <c r="W1542" i="32"/>
  <c r="X1542" i="32"/>
  <c r="W1543" i="32"/>
  <c r="X1543" i="32"/>
  <c r="W1544" i="32"/>
  <c r="X1544" i="32"/>
  <c r="W1545" i="32"/>
  <c r="X1545" i="32"/>
  <c r="W1546" i="32"/>
  <c r="X1546" i="32"/>
  <c r="W1547" i="32"/>
  <c r="X1547" i="32"/>
  <c r="W1548" i="32"/>
  <c r="X1548" i="32"/>
  <c r="W1549" i="32"/>
  <c r="X1549" i="32"/>
  <c r="W1550" i="32"/>
  <c r="X1550" i="32"/>
  <c r="W1551" i="32"/>
  <c r="X1551" i="32"/>
  <c r="W1552" i="32"/>
  <c r="X1552" i="32"/>
  <c r="W1553" i="32"/>
  <c r="X1553" i="32"/>
  <c r="W1554" i="32"/>
  <c r="X1554" i="32"/>
  <c r="W1555" i="32"/>
  <c r="X1555" i="32"/>
  <c r="W1556" i="32"/>
  <c r="X1556" i="32"/>
  <c r="W1557" i="32"/>
  <c r="X1557" i="32"/>
  <c r="W1558" i="32"/>
  <c r="X1558" i="32"/>
  <c r="W1559" i="32"/>
  <c r="X1559" i="32"/>
  <c r="W1560" i="32"/>
  <c r="X1560" i="32"/>
  <c r="W1561" i="32"/>
  <c r="X1561" i="32"/>
  <c r="W1562" i="32"/>
  <c r="X1562" i="32"/>
  <c r="W1563" i="32"/>
  <c r="X1563" i="32"/>
  <c r="W1564" i="32"/>
  <c r="X1564" i="32"/>
  <c r="W1565" i="32"/>
  <c r="X1565" i="32"/>
  <c r="W1566" i="32"/>
  <c r="X1566" i="32"/>
  <c r="W1567" i="32"/>
  <c r="X1567" i="32"/>
  <c r="W1568" i="32"/>
  <c r="X1568" i="32"/>
  <c r="W1569" i="32"/>
  <c r="X1569" i="32"/>
  <c r="W1570" i="32"/>
  <c r="X1570" i="32"/>
  <c r="W1571" i="32"/>
  <c r="X1571" i="32"/>
  <c r="W1572" i="32"/>
  <c r="X1572" i="32"/>
  <c r="W1573" i="32"/>
  <c r="X1573" i="32"/>
  <c r="W1574" i="32"/>
  <c r="X1574" i="32"/>
  <c r="W1575" i="32"/>
  <c r="X1575" i="32"/>
  <c r="W1576" i="32"/>
  <c r="X1576" i="32"/>
  <c r="W1577" i="32"/>
  <c r="X1577" i="32"/>
  <c r="W1578" i="32"/>
  <c r="X1578" i="32"/>
  <c r="W1579" i="32"/>
  <c r="X1579" i="32"/>
  <c r="W1580" i="32"/>
  <c r="X1580" i="32"/>
  <c r="W1581" i="32"/>
  <c r="X1581" i="32"/>
  <c r="W1582" i="32"/>
  <c r="X1582" i="32"/>
  <c r="W1583" i="32"/>
  <c r="X1583" i="32"/>
  <c r="W1584" i="32"/>
  <c r="X1584" i="32"/>
  <c r="W1585" i="32"/>
  <c r="X1585" i="32"/>
  <c r="W1586" i="32"/>
  <c r="X1586" i="32"/>
  <c r="W1587" i="32"/>
  <c r="X1587" i="32"/>
  <c r="W1588" i="32"/>
  <c r="X1588" i="32"/>
  <c r="W1589" i="32"/>
  <c r="X1589" i="32"/>
  <c r="W1590" i="32"/>
  <c r="X1590" i="32"/>
  <c r="W1591" i="32"/>
  <c r="X1591" i="32"/>
  <c r="W1592" i="32"/>
  <c r="X1592" i="32"/>
  <c r="W1593" i="32"/>
  <c r="X1593" i="32"/>
  <c r="W1594" i="32"/>
  <c r="X1594" i="32"/>
  <c r="W1595" i="32"/>
  <c r="X1595" i="32"/>
  <c r="W1596" i="32"/>
  <c r="X1596" i="32"/>
  <c r="W1597" i="32"/>
  <c r="X1597" i="32"/>
  <c r="W1598" i="32"/>
  <c r="X1598" i="32"/>
  <c r="W1599" i="32"/>
  <c r="X1599" i="32"/>
  <c r="W1600" i="32"/>
  <c r="X1600" i="32"/>
  <c r="W1601" i="32"/>
  <c r="X1601" i="32"/>
  <c r="W1602" i="32"/>
  <c r="X1602" i="32"/>
  <c r="W1603" i="32"/>
  <c r="X1603" i="32"/>
  <c r="W1604" i="32"/>
  <c r="X1604" i="32"/>
  <c r="W1605" i="32"/>
  <c r="X1605" i="32"/>
  <c r="W1606" i="32"/>
  <c r="X1606" i="32"/>
  <c r="W1607" i="32"/>
  <c r="X1607" i="32"/>
  <c r="W1608" i="32"/>
  <c r="X1608" i="32"/>
  <c r="W1609" i="32"/>
  <c r="X1609" i="32"/>
  <c r="W1610" i="32"/>
  <c r="X1610" i="32"/>
  <c r="W1611" i="32"/>
  <c r="X1611" i="32"/>
  <c r="W1612" i="32"/>
  <c r="X1612" i="32"/>
  <c r="W1613" i="32"/>
  <c r="X1613" i="32"/>
  <c r="W1614" i="32"/>
  <c r="X1614" i="32"/>
  <c r="W1615" i="32"/>
  <c r="X1615" i="32"/>
  <c r="W1616" i="32"/>
  <c r="X1616" i="32"/>
  <c r="W1617" i="32"/>
  <c r="X1617" i="32"/>
  <c r="W1618" i="32"/>
  <c r="X1618" i="32"/>
  <c r="W1619" i="32"/>
  <c r="X1619" i="32"/>
  <c r="W1620" i="32"/>
  <c r="X1620" i="32"/>
  <c r="W1621" i="32"/>
  <c r="X1621" i="32"/>
  <c r="W1622" i="32"/>
  <c r="X1622" i="32"/>
  <c r="W1623" i="32"/>
  <c r="X1623" i="32"/>
  <c r="W1624" i="32"/>
  <c r="X1624" i="32"/>
  <c r="W1625" i="32"/>
  <c r="X1625" i="32"/>
  <c r="W1626" i="32"/>
  <c r="X1626" i="32"/>
  <c r="W1627" i="32"/>
  <c r="X1627" i="32"/>
  <c r="W1628" i="32"/>
  <c r="X1628" i="32"/>
  <c r="W1629" i="32"/>
  <c r="X1629" i="32"/>
  <c r="W1630" i="32"/>
  <c r="X1630" i="32"/>
  <c r="W1631" i="32"/>
  <c r="X1631" i="32"/>
  <c r="W1632" i="32"/>
  <c r="X1632" i="32"/>
  <c r="W1633" i="32"/>
  <c r="X1633" i="32"/>
  <c r="W1634" i="32"/>
  <c r="X1634" i="32"/>
  <c r="W1635" i="32"/>
  <c r="X1635" i="32"/>
  <c r="W1636" i="32"/>
  <c r="X1636" i="32"/>
  <c r="W1637" i="32"/>
  <c r="X1637" i="32"/>
  <c r="W1638" i="32"/>
  <c r="X1638" i="32"/>
  <c r="W1639" i="32"/>
  <c r="X1639" i="32"/>
  <c r="W1640" i="32"/>
  <c r="X1640" i="32"/>
  <c r="W1641" i="32"/>
  <c r="X1641" i="32"/>
  <c r="W1642" i="32"/>
  <c r="X1642" i="32"/>
  <c r="W1643" i="32"/>
  <c r="X1643" i="32"/>
  <c r="W1644" i="32"/>
  <c r="X1644" i="32"/>
  <c r="W1645" i="32"/>
  <c r="X1645" i="32"/>
  <c r="W1646" i="32"/>
  <c r="X1646" i="32"/>
  <c r="W1647" i="32"/>
  <c r="X1647" i="32"/>
  <c r="W1648" i="32"/>
  <c r="X1648" i="32"/>
  <c r="W1649" i="32"/>
  <c r="X1649" i="32"/>
  <c r="W1650" i="32"/>
  <c r="X1650" i="32"/>
  <c r="W1651" i="32"/>
  <c r="X1651" i="32"/>
  <c r="W1652" i="32"/>
  <c r="X1652" i="32"/>
  <c r="W1653" i="32"/>
  <c r="X1653" i="32"/>
  <c r="W1654" i="32"/>
  <c r="X1654" i="32"/>
  <c r="W1655" i="32"/>
  <c r="X1655" i="32"/>
  <c r="W1656" i="32"/>
  <c r="X1656" i="32"/>
  <c r="W1657" i="32"/>
  <c r="X1657" i="32"/>
  <c r="W1658" i="32"/>
  <c r="X1658" i="32"/>
  <c r="W1659" i="32"/>
  <c r="X1659" i="32"/>
  <c r="W1660" i="32"/>
  <c r="X1660" i="32"/>
  <c r="W1661" i="32"/>
  <c r="X1661" i="32"/>
  <c r="W1662" i="32"/>
  <c r="X1662" i="32"/>
  <c r="W1663" i="32"/>
  <c r="X1663" i="32"/>
  <c r="W1664" i="32"/>
  <c r="X1664" i="32"/>
  <c r="W1665" i="32"/>
  <c r="X1665" i="32"/>
  <c r="W1666" i="32"/>
  <c r="X1666" i="32"/>
  <c r="W1667" i="32"/>
  <c r="X1667" i="32"/>
  <c r="W1668" i="32"/>
  <c r="X1668" i="32"/>
  <c r="W1669" i="32"/>
  <c r="X1669" i="32"/>
  <c r="W1670" i="32"/>
  <c r="X1670" i="32"/>
  <c r="W1671" i="32"/>
  <c r="X1671" i="32"/>
  <c r="W1672" i="32"/>
  <c r="X1672" i="32"/>
  <c r="W1673" i="32"/>
  <c r="X1673" i="32"/>
  <c r="W1674" i="32"/>
  <c r="X1674" i="32"/>
  <c r="W1675" i="32"/>
  <c r="X1675" i="32"/>
  <c r="W1676" i="32"/>
  <c r="X1676" i="32"/>
  <c r="W1677" i="32"/>
  <c r="X1677" i="32"/>
  <c r="W1678" i="32"/>
  <c r="X1678" i="32"/>
  <c r="W1679" i="32"/>
  <c r="X1679" i="32"/>
  <c r="W1680" i="32"/>
  <c r="X1680" i="32"/>
  <c r="W1681" i="32"/>
  <c r="X1681" i="32"/>
  <c r="W1682" i="32"/>
  <c r="X1682" i="32"/>
  <c r="W1683" i="32"/>
  <c r="X1683" i="32"/>
  <c r="W1684" i="32"/>
  <c r="X1684" i="32"/>
  <c r="W1685" i="32"/>
  <c r="X1685" i="32"/>
  <c r="W1686" i="32"/>
  <c r="X1686" i="32"/>
  <c r="W1687" i="32"/>
  <c r="X1687" i="32"/>
  <c r="W1688" i="32"/>
  <c r="X1688" i="32"/>
  <c r="W1689" i="32"/>
  <c r="X1689" i="32"/>
  <c r="W1690" i="32"/>
  <c r="X1690" i="32"/>
  <c r="W1691" i="32"/>
  <c r="X1691" i="32"/>
  <c r="W1692" i="32"/>
  <c r="X1692" i="32"/>
  <c r="W1693" i="32"/>
  <c r="X1693" i="32"/>
  <c r="W1694" i="32"/>
  <c r="X1694" i="32"/>
  <c r="W1695" i="32"/>
  <c r="X1695" i="32"/>
  <c r="W1696" i="32"/>
  <c r="X1696" i="32"/>
  <c r="W1697" i="32"/>
  <c r="X1697" i="32"/>
  <c r="W1698" i="32"/>
  <c r="X1698" i="32"/>
  <c r="W1699" i="32"/>
  <c r="X1699" i="32"/>
  <c r="W1700" i="32"/>
  <c r="X1700" i="32"/>
  <c r="W1701" i="32"/>
  <c r="X1701" i="32"/>
  <c r="W1702" i="32"/>
  <c r="X1702" i="32"/>
  <c r="W1703" i="32"/>
  <c r="X1703" i="32"/>
  <c r="W1704" i="32"/>
  <c r="X1704" i="32"/>
  <c r="W1705" i="32"/>
  <c r="X1705" i="32"/>
  <c r="W1706" i="32"/>
  <c r="X1706" i="32"/>
  <c r="W1707" i="32"/>
  <c r="X1707" i="32"/>
  <c r="W1708" i="32"/>
  <c r="X1708" i="32"/>
  <c r="W1709" i="32"/>
  <c r="X1709" i="32"/>
  <c r="W1710" i="32"/>
  <c r="X1710" i="32"/>
  <c r="W1711" i="32"/>
  <c r="X1711" i="32"/>
  <c r="W1712" i="32"/>
  <c r="X1712" i="32"/>
  <c r="W1713" i="32"/>
  <c r="X1713" i="32"/>
  <c r="W1714" i="32"/>
  <c r="X1714" i="32"/>
  <c r="W1715" i="32"/>
  <c r="X1715" i="32"/>
  <c r="W1716" i="32"/>
  <c r="X1716" i="32"/>
  <c r="W1717" i="32"/>
  <c r="X1717" i="32"/>
  <c r="W1718" i="32"/>
  <c r="X1718" i="32"/>
  <c r="W1719" i="32"/>
  <c r="X1719" i="32"/>
  <c r="W1720" i="32"/>
  <c r="X1720" i="32"/>
  <c r="W1721" i="32"/>
  <c r="X1721" i="32"/>
  <c r="W1722" i="32"/>
  <c r="X1722" i="32"/>
  <c r="W1723" i="32"/>
  <c r="X1723" i="32"/>
  <c r="W1724" i="32"/>
  <c r="X1724" i="32"/>
  <c r="W1725" i="32"/>
  <c r="X1725" i="32"/>
  <c r="W1726" i="32"/>
  <c r="X1726" i="32"/>
  <c r="W1727" i="32"/>
  <c r="X1727" i="32"/>
  <c r="W1728" i="32"/>
  <c r="X1728" i="32"/>
  <c r="W1729" i="32"/>
  <c r="X1729" i="32"/>
  <c r="W1730" i="32"/>
  <c r="X1730" i="32"/>
  <c r="W1731" i="32"/>
  <c r="X1731" i="32"/>
  <c r="W1732" i="32"/>
  <c r="X1732" i="32"/>
  <c r="W1733" i="32"/>
  <c r="X1733" i="32"/>
  <c r="W1734" i="32"/>
  <c r="X1734" i="32"/>
  <c r="W1735" i="32"/>
  <c r="X1735" i="32"/>
  <c r="W1736" i="32"/>
  <c r="X1736" i="32"/>
  <c r="W1737" i="32"/>
  <c r="X1737" i="32"/>
  <c r="W1738" i="32"/>
  <c r="X1738" i="32"/>
  <c r="W1739" i="32"/>
  <c r="X1739" i="32"/>
  <c r="W1740" i="32"/>
  <c r="X1740" i="32"/>
  <c r="W1741" i="32"/>
  <c r="X1741" i="32"/>
  <c r="W1742" i="32"/>
  <c r="X1742" i="32"/>
  <c r="W1743" i="32"/>
  <c r="X1743" i="32"/>
  <c r="W1744" i="32"/>
  <c r="X1744" i="32"/>
  <c r="W1745" i="32"/>
  <c r="X1745" i="32"/>
  <c r="W1746" i="32"/>
  <c r="X1746" i="32"/>
  <c r="W1747" i="32"/>
  <c r="X1747" i="32"/>
  <c r="W1748" i="32"/>
  <c r="X1748" i="32"/>
  <c r="W1749" i="32"/>
  <c r="X1749" i="32"/>
  <c r="W1750" i="32"/>
  <c r="X1750" i="32"/>
  <c r="W1751" i="32"/>
  <c r="X1751" i="32"/>
  <c r="W1752" i="32"/>
  <c r="X1752" i="32"/>
  <c r="W1753" i="32"/>
  <c r="X1753" i="32"/>
  <c r="W1754" i="32"/>
  <c r="X1754" i="32"/>
  <c r="W1755" i="32"/>
  <c r="X1755" i="32"/>
  <c r="W1756" i="32"/>
  <c r="X1756" i="32"/>
  <c r="W1757" i="32"/>
  <c r="X1757" i="32"/>
  <c r="W1758" i="32"/>
  <c r="X1758" i="32"/>
  <c r="W1759" i="32"/>
  <c r="X1759" i="32"/>
  <c r="W1760" i="32"/>
  <c r="X1760" i="32"/>
  <c r="W1761" i="32"/>
  <c r="X1761" i="32"/>
  <c r="W1762" i="32"/>
  <c r="X1762" i="32"/>
  <c r="W1763" i="32"/>
  <c r="X1763" i="32"/>
  <c r="W1764" i="32"/>
  <c r="X1764" i="32"/>
  <c r="W1765" i="32"/>
  <c r="X1765" i="32"/>
  <c r="W1766" i="32"/>
  <c r="X1766" i="32"/>
  <c r="W1767" i="32"/>
  <c r="X1767" i="32"/>
  <c r="W1768" i="32"/>
  <c r="X1768" i="32"/>
  <c r="W1769" i="32"/>
  <c r="X1769" i="32"/>
  <c r="W1770" i="32"/>
  <c r="X1770" i="32"/>
  <c r="W1771" i="32"/>
  <c r="X1771" i="32"/>
  <c r="W1772" i="32"/>
  <c r="X1772" i="32"/>
  <c r="W1773" i="32"/>
  <c r="X1773" i="32"/>
  <c r="W1774" i="32"/>
  <c r="X1774" i="32"/>
  <c r="W1775" i="32"/>
  <c r="X1775" i="32"/>
  <c r="W1776" i="32"/>
  <c r="X1776" i="32"/>
  <c r="W1777" i="32"/>
  <c r="X1777" i="32"/>
  <c r="W1778" i="32"/>
  <c r="X1778" i="32"/>
  <c r="W1779" i="32"/>
  <c r="X1779" i="32"/>
  <c r="W1780" i="32"/>
  <c r="X1780" i="32"/>
  <c r="W1781" i="32"/>
  <c r="X1781" i="32"/>
  <c r="W1782" i="32"/>
  <c r="X1782" i="32"/>
  <c r="W1783" i="32"/>
  <c r="X1783" i="32"/>
  <c r="W1784" i="32"/>
  <c r="X1784" i="32"/>
  <c r="W1785" i="32"/>
  <c r="X1785" i="32"/>
  <c r="W1786" i="32"/>
  <c r="X1786" i="32"/>
  <c r="W1787" i="32"/>
  <c r="X1787" i="32"/>
  <c r="W1788" i="32"/>
  <c r="X1788" i="32"/>
  <c r="W1789" i="32"/>
  <c r="X1789" i="32"/>
  <c r="W1790" i="32"/>
  <c r="X1790" i="32"/>
  <c r="W1791" i="32"/>
  <c r="X1791" i="32"/>
  <c r="W1792" i="32"/>
  <c r="X1792" i="32"/>
  <c r="W1793" i="32"/>
  <c r="X1793" i="32"/>
  <c r="W1794" i="32"/>
  <c r="X1794" i="32"/>
  <c r="W1795" i="32"/>
  <c r="X1795" i="32"/>
  <c r="W1796" i="32"/>
  <c r="X1796" i="32"/>
  <c r="W1797" i="32"/>
  <c r="X1797" i="32"/>
  <c r="W1798" i="32"/>
  <c r="X1798" i="32"/>
  <c r="W1799" i="32"/>
  <c r="X1799" i="32"/>
  <c r="W1800" i="32"/>
  <c r="X1800" i="32"/>
  <c r="W1801" i="32"/>
  <c r="X1801" i="32"/>
  <c r="W1802" i="32"/>
  <c r="X1802" i="32"/>
  <c r="W1803" i="32"/>
  <c r="X1803" i="32"/>
  <c r="W1804" i="32"/>
  <c r="X1804" i="32"/>
  <c r="W1805" i="32"/>
  <c r="X1805" i="32"/>
  <c r="W1806" i="32"/>
  <c r="X1806" i="32"/>
  <c r="W1807" i="32"/>
  <c r="X1807" i="32"/>
  <c r="W1808" i="32"/>
  <c r="X1808" i="32"/>
  <c r="W1809" i="32"/>
  <c r="X1809" i="32"/>
  <c r="W1810" i="32"/>
  <c r="X1810" i="32"/>
  <c r="W1811" i="32"/>
  <c r="X1811" i="32"/>
  <c r="W1812" i="32"/>
  <c r="X1812" i="32"/>
  <c r="W1813" i="32"/>
  <c r="X1813" i="32"/>
  <c r="W1814" i="32"/>
  <c r="X1814" i="32"/>
  <c r="W1815" i="32"/>
  <c r="X1815" i="32"/>
  <c r="W1816" i="32"/>
  <c r="X1816" i="32"/>
  <c r="W1817" i="32"/>
  <c r="X1817" i="32"/>
  <c r="W1818" i="32"/>
  <c r="X1818" i="32"/>
  <c r="W1819" i="32"/>
  <c r="X1819" i="32"/>
  <c r="W1820" i="32"/>
  <c r="X1820" i="32"/>
  <c r="W1821" i="32"/>
  <c r="X1821" i="32"/>
  <c r="W1822" i="32"/>
  <c r="X1822" i="32"/>
  <c r="W1823" i="32"/>
  <c r="X1823" i="32"/>
  <c r="W1824" i="32"/>
  <c r="X1824" i="32"/>
  <c r="W1825" i="32"/>
  <c r="X1825" i="32"/>
  <c r="W1826" i="32"/>
  <c r="X1826" i="32"/>
  <c r="W1827" i="32"/>
  <c r="X1827" i="32"/>
  <c r="W1828" i="32"/>
  <c r="X1828" i="32"/>
  <c r="W1829" i="32"/>
  <c r="X1829" i="32"/>
  <c r="W1830" i="32"/>
  <c r="X1830" i="32"/>
  <c r="W1831" i="32"/>
  <c r="X1831" i="32"/>
  <c r="W1832" i="32"/>
  <c r="X1832" i="32"/>
  <c r="W1833" i="32"/>
  <c r="X1833" i="32"/>
  <c r="W1834" i="32"/>
  <c r="X1834" i="32"/>
  <c r="W1835" i="32"/>
  <c r="X1835" i="32"/>
  <c r="W1836" i="32"/>
  <c r="X1836" i="32"/>
  <c r="W1837" i="32"/>
  <c r="X1837" i="32"/>
  <c r="W1838" i="32"/>
  <c r="X1838" i="32"/>
  <c r="W1839" i="32"/>
  <c r="X1839" i="32"/>
  <c r="W1840" i="32"/>
  <c r="X1840" i="32"/>
  <c r="W1841" i="32"/>
  <c r="X1841" i="32"/>
  <c r="W1842" i="32"/>
  <c r="X1842" i="32"/>
  <c r="W1843" i="32"/>
  <c r="X1843" i="32"/>
  <c r="W1844" i="32"/>
  <c r="X1844" i="32"/>
  <c r="W1845" i="32"/>
  <c r="X1845" i="32"/>
  <c r="W1846" i="32"/>
  <c r="X1846" i="32"/>
  <c r="W1847" i="32"/>
  <c r="X1847" i="32"/>
  <c r="W1848" i="32"/>
  <c r="X1848" i="32"/>
  <c r="W1849" i="32"/>
  <c r="X1849" i="32"/>
  <c r="W1850" i="32"/>
  <c r="X1850" i="32"/>
  <c r="W1851" i="32"/>
  <c r="X1851" i="32"/>
  <c r="W1852" i="32"/>
  <c r="X1852" i="32"/>
  <c r="W1853" i="32"/>
  <c r="X1853" i="32"/>
  <c r="W1854" i="32"/>
  <c r="X1854" i="32"/>
  <c r="W1855" i="32"/>
  <c r="X1855" i="32"/>
  <c r="W1856" i="32"/>
  <c r="X1856" i="32"/>
  <c r="W1857" i="32"/>
  <c r="X1857" i="32"/>
  <c r="W1858" i="32"/>
  <c r="X1858" i="32"/>
  <c r="W1859" i="32"/>
  <c r="X1859" i="32"/>
  <c r="W1860" i="32"/>
  <c r="X1860" i="32"/>
  <c r="W1861" i="32"/>
  <c r="X1861" i="32"/>
  <c r="W1862" i="32"/>
  <c r="X1862" i="32"/>
  <c r="W1863" i="32"/>
  <c r="X1863" i="32"/>
  <c r="W1864" i="32"/>
  <c r="X1864" i="32"/>
  <c r="W1865" i="32"/>
  <c r="X1865" i="32"/>
  <c r="W1866" i="32"/>
  <c r="X1866" i="32"/>
  <c r="W1867" i="32"/>
  <c r="X1867" i="32"/>
  <c r="W1868" i="32"/>
  <c r="X1868" i="32"/>
  <c r="W1869" i="32"/>
  <c r="X1869" i="32"/>
  <c r="W1870" i="32"/>
  <c r="X1870" i="32"/>
  <c r="W1871" i="32"/>
  <c r="X1871" i="32"/>
  <c r="W1872" i="32"/>
  <c r="X1872" i="32"/>
  <c r="W1873" i="32"/>
  <c r="X1873" i="32"/>
  <c r="W1874" i="32"/>
  <c r="X1874" i="32"/>
  <c r="W1875" i="32"/>
  <c r="X1875" i="32"/>
  <c r="W1876" i="32"/>
  <c r="X1876" i="32"/>
  <c r="W1877" i="32"/>
  <c r="X1877" i="32"/>
  <c r="W1878" i="32"/>
  <c r="X1878" i="32"/>
  <c r="W1879" i="32"/>
  <c r="X1879" i="32"/>
  <c r="W1880" i="32"/>
  <c r="X1880" i="32"/>
  <c r="W1881" i="32"/>
  <c r="X1881" i="32"/>
  <c r="W1882" i="32"/>
  <c r="X1882" i="32"/>
  <c r="W1883" i="32"/>
  <c r="X1883" i="32"/>
  <c r="W1884" i="32"/>
  <c r="X1884" i="32"/>
  <c r="W1885" i="32"/>
  <c r="X1885" i="32"/>
  <c r="W1886" i="32"/>
  <c r="X1886" i="32"/>
  <c r="W1887" i="32"/>
  <c r="X1887" i="32"/>
  <c r="W1888" i="32"/>
  <c r="X1888" i="32"/>
  <c r="W1889" i="32"/>
  <c r="X1889" i="32"/>
  <c r="W1890" i="32"/>
  <c r="X1890" i="32"/>
  <c r="W1891" i="32"/>
  <c r="X1891" i="32"/>
  <c r="W1892" i="32"/>
  <c r="X1892" i="32"/>
  <c r="W1893" i="32"/>
  <c r="X1893" i="32"/>
  <c r="W1894" i="32"/>
  <c r="X1894" i="32"/>
  <c r="W1895" i="32"/>
  <c r="X1895" i="32"/>
  <c r="W1896" i="32"/>
  <c r="X1896" i="32"/>
  <c r="W1897" i="32"/>
  <c r="X1897" i="32"/>
  <c r="W1898" i="32"/>
  <c r="X1898" i="32"/>
  <c r="W1899" i="32"/>
  <c r="X1899" i="32"/>
  <c r="W1900" i="32"/>
  <c r="X1900" i="32"/>
  <c r="W1901" i="32"/>
  <c r="X1901" i="32"/>
  <c r="W1902" i="32"/>
  <c r="X1902" i="32"/>
  <c r="W1903" i="32"/>
  <c r="X1903" i="32"/>
  <c r="W1904" i="32"/>
  <c r="X1904" i="32"/>
  <c r="W1905" i="32"/>
  <c r="X1905" i="32"/>
  <c r="W1906" i="32"/>
  <c r="X1906" i="32"/>
  <c r="W1907" i="32"/>
  <c r="X1907" i="32"/>
  <c r="W1908" i="32"/>
  <c r="X1908" i="32"/>
  <c r="W1909" i="32"/>
  <c r="X1909" i="32"/>
  <c r="W1910" i="32"/>
  <c r="X1910" i="32"/>
  <c r="W1911" i="32"/>
  <c r="X1911" i="32"/>
  <c r="W1912" i="32"/>
  <c r="X1912" i="32"/>
  <c r="W1913" i="32"/>
  <c r="X1913" i="32"/>
  <c r="W1914" i="32"/>
  <c r="X1914" i="32"/>
  <c r="W1915" i="32"/>
  <c r="X1915" i="32"/>
  <c r="W1916" i="32"/>
  <c r="X1916" i="32"/>
  <c r="W1917" i="32"/>
  <c r="X1917" i="32"/>
  <c r="W1918" i="32"/>
  <c r="X1918" i="32"/>
  <c r="W1919" i="32"/>
  <c r="X1919" i="32"/>
  <c r="W1920" i="32"/>
  <c r="X1920" i="32"/>
  <c r="W1921" i="32"/>
  <c r="X1921" i="32"/>
  <c r="W1922" i="32"/>
  <c r="X1922" i="32"/>
  <c r="W1923" i="32"/>
  <c r="X1923" i="32"/>
  <c r="W1924" i="32"/>
  <c r="X1924" i="32"/>
  <c r="W1925" i="32"/>
  <c r="X1925" i="32"/>
  <c r="W1926" i="32"/>
  <c r="X1926" i="32"/>
  <c r="W1927" i="32"/>
  <c r="X1927" i="32"/>
  <c r="W1928" i="32"/>
  <c r="X1928" i="32"/>
  <c r="W1929" i="32"/>
  <c r="X1929" i="32"/>
  <c r="W1930" i="32"/>
  <c r="X1930" i="32"/>
  <c r="W1931" i="32"/>
  <c r="X1931" i="32"/>
  <c r="W1932" i="32"/>
  <c r="X1932" i="32"/>
  <c r="W1933" i="32"/>
  <c r="X1933" i="32"/>
  <c r="W1934" i="32"/>
  <c r="X1934" i="32"/>
  <c r="W1935" i="32"/>
  <c r="X1935" i="32"/>
  <c r="W1936" i="32"/>
  <c r="X1936" i="32"/>
  <c r="W1937" i="32"/>
  <c r="X1937" i="32"/>
  <c r="W1938" i="32"/>
  <c r="X1938" i="32"/>
  <c r="W1939" i="32"/>
  <c r="X1939" i="32"/>
  <c r="W1940" i="32"/>
  <c r="X1940" i="32"/>
  <c r="W1941" i="32"/>
  <c r="X1941" i="32"/>
  <c r="W1942" i="32"/>
  <c r="X1942" i="32"/>
  <c r="W1943" i="32"/>
  <c r="X1943" i="32"/>
  <c r="W1944" i="32"/>
  <c r="X1944" i="32"/>
  <c r="W1945" i="32"/>
  <c r="X1945" i="32"/>
  <c r="W1946" i="32"/>
  <c r="X1946" i="32"/>
  <c r="W1947" i="32"/>
  <c r="X1947" i="32"/>
  <c r="W1948" i="32"/>
  <c r="X1948" i="32"/>
  <c r="W1949" i="32"/>
  <c r="X1949" i="32"/>
  <c r="W1950" i="32"/>
  <c r="X1950" i="32"/>
  <c r="W1951" i="32"/>
  <c r="X1951" i="32"/>
  <c r="W1952" i="32"/>
  <c r="X1952" i="32"/>
  <c r="W1953" i="32"/>
  <c r="X1953" i="32"/>
  <c r="W1954" i="32"/>
  <c r="X1954" i="32"/>
  <c r="W1955" i="32"/>
  <c r="X1955" i="32"/>
  <c r="W1956" i="32"/>
  <c r="X1956" i="32"/>
  <c r="W1957" i="32"/>
  <c r="X1957" i="32"/>
  <c r="W1958" i="32"/>
  <c r="X1958" i="32"/>
  <c r="W1959" i="32"/>
  <c r="X1959" i="32"/>
  <c r="W1960" i="32"/>
  <c r="X1960" i="32"/>
  <c r="W1961" i="32"/>
  <c r="X1961" i="32"/>
  <c r="W1962" i="32"/>
  <c r="X1962" i="32"/>
  <c r="W1963" i="32"/>
  <c r="X1963" i="32"/>
  <c r="W1964" i="32"/>
  <c r="X1964" i="32"/>
  <c r="W1965" i="32"/>
  <c r="X1965" i="32"/>
  <c r="W1966" i="32"/>
  <c r="X1966" i="32"/>
  <c r="W1967" i="32"/>
  <c r="X1967" i="32"/>
  <c r="W1968" i="32"/>
  <c r="X1968" i="32"/>
  <c r="W1969" i="32"/>
  <c r="X1969" i="32"/>
  <c r="W1970" i="32"/>
  <c r="X1970" i="32"/>
  <c r="W1971" i="32"/>
  <c r="X1971" i="32"/>
  <c r="W1972" i="32"/>
  <c r="X1972" i="32"/>
  <c r="W1973" i="32"/>
  <c r="X1973" i="32"/>
  <c r="W1974" i="32"/>
  <c r="X1974" i="32"/>
  <c r="W1975" i="32"/>
  <c r="X1975" i="32"/>
  <c r="W1976" i="32"/>
  <c r="X1976" i="32"/>
  <c r="W1977" i="32"/>
  <c r="X1977" i="32"/>
  <c r="W1978" i="32"/>
  <c r="X1978" i="32"/>
  <c r="W1979" i="32"/>
  <c r="X1979" i="32"/>
  <c r="W1980" i="32"/>
  <c r="X1980" i="32"/>
  <c r="W1981" i="32"/>
  <c r="X1981" i="32"/>
  <c r="W1982" i="32"/>
  <c r="X1982" i="32"/>
  <c r="W1983" i="32"/>
  <c r="X1983" i="32"/>
  <c r="W1984" i="32"/>
  <c r="X1984" i="32"/>
  <c r="W1985" i="32"/>
  <c r="X1985" i="32"/>
  <c r="W1986" i="32"/>
  <c r="X1986" i="32"/>
  <c r="W1987" i="32"/>
  <c r="X1987" i="32"/>
  <c r="W1988" i="32"/>
  <c r="X1988" i="32"/>
  <c r="W1989" i="32"/>
  <c r="X1989" i="32"/>
  <c r="W1990" i="32"/>
  <c r="X1990" i="32"/>
  <c r="W1991" i="32"/>
  <c r="X1991" i="32"/>
  <c r="W1992" i="32"/>
  <c r="X1992" i="32"/>
  <c r="W1993" i="32"/>
  <c r="X1993" i="32"/>
  <c r="W1994" i="32"/>
  <c r="X1994" i="32"/>
  <c r="W1995" i="32"/>
  <c r="X1995" i="32"/>
  <c r="W1996" i="32"/>
  <c r="X1996" i="32"/>
  <c r="W1997" i="32"/>
  <c r="X1997" i="32"/>
  <c r="W1998" i="32"/>
  <c r="X1998" i="32"/>
  <c r="W1999" i="32"/>
  <c r="X1999" i="32"/>
  <c r="W2000" i="32"/>
  <c r="X2000" i="32"/>
  <c r="W2001" i="32"/>
  <c r="X2001" i="32"/>
  <c r="W2002" i="32"/>
  <c r="X2002" i="32"/>
  <c r="W2003" i="32"/>
  <c r="X2003" i="32"/>
  <c r="W2004" i="32"/>
  <c r="X2004" i="32"/>
  <c r="W2005" i="32"/>
  <c r="X2005" i="32"/>
  <c r="W2006" i="32"/>
  <c r="X2006" i="32"/>
  <c r="W2007" i="32"/>
  <c r="X2007" i="32"/>
  <c r="W2008" i="32"/>
  <c r="X2008" i="32"/>
  <c r="W2009" i="32"/>
  <c r="X2009" i="32"/>
  <c r="W2010" i="32"/>
  <c r="X2010" i="32"/>
  <c r="W2011" i="32"/>
  <c r="X2011" i="32"/>
  <c r="W2012" i="32"/>
  <c r="X2012" i="32"/>
  <c r="W2013" i="32"/>
  <c r="X2013" i="32"/>
  <c r="W2014" i="32"/>
  <c r="X2014" i="32"/>
  <c r="W2015" i="32"/>
  <c r="X2015" i="32"/>
  <c r="W2016" i="32"/>
  <c r="X2016" i="32"/>
  <c r="W2017" i="32"/>
  <c r="X2017" i="32"/>
  <c r="W2018" i="32"/>
  <c r="X2018" i="32"/>
  <c r="W2019" i="32"/>
  <c r="X2019" i="32"/>
  <c r="W2020" i="32"/>
  <c r="X2020" i="32"/>
  <c r="W2021" i="32"/>
  <c r="X2021" i="32"/>
  <c r="W2022" i="32"/>
  <c r="X2022" i="32"/>
  <c r="W2023" i="32"/>
  <c r="X2023" i="32"/>
  <c r="W2024" i="32"/>
  <c r="X2024" i="32"/>
  <c r="W2025" i="32"/>
  <c r="X2025" i="32"/>
  <c r="W2026" i="32"/>
  <c r="X2026" i="32"/>
  <c r="W2027" i="32"/>
  <c r="X2027" i="32"/>
  <c r="W2028" i="32"/>
  <c r="X2028" i="32"/>
  <c r="W2029" i="32"/>
  <c r="X2029" i="32"/>
  <c r="W2030" i="32"/>
  <c r="X2030" i="32"/>
  <c r="W2031" i="32"/>
  <c r="X2031" i="32"/>
  <c r="W2032" i="32"/>
  <c r="X2032" i="32"/>
  <c r="W2033" i="32"/>
  <c r="X2033" i="32"/>
  <c r="W2034" i="32"/>
  <c r="X2034" i="32"/>
  <c r="W2035" i="32"/>
  <c r="X2035" i="32"/>
  <c r="W2036" i="32"/>
  <c r="X2036" i="32"/>
  <c r="W2037" i="32"/>
  <c r="X2037" i="32"/>
  <c r="W2038" i="32"/>
  <c r="X2038" i="32"/>
  <c r="W2039" i="32"/>
  <c r="X2039" i="32"/>
  <c r="W2040" i="32"/>
  <c r="X2040" i="32"/>
  <c r="W2041" i="32"/>
  <c r="X2041" i="32"/>
  <c r="W2042" i="32"/>
  <c r="X2042" i="32"/>
  <c r="W2043" i="32"/>
  <c r="X2043" i="32"/>
  <c r="W2044" i="32"/>
  <c r="X2044" i="32"/>
  <c r="W2045" i="32"/>
  <c r="X2045" i="32"/>
  <c r="W2046" i="32"/>
  <c r="X2046" i="32"/>
  <c r="W2047" i="32"/>
  <c r="X2047" i="32"/>
  <c r="W2048" i="32"/>
  <c r="X2048" i="32"/>
  <c r="W2049" i="32"/>
  <c r="X2049" i="32"/>
  <c r="W2050" i="32"/>
  <c r="X2050" i="32"/>
  <c r="W2051" i="32"/>
  <c r="X2051" i="32"/>
  <c r="W2052" i="32"/>
  <c r="X2052" i="32"/>
  <c r="W2053" i="32"/>
  <c r="X2053" i="32"/>
  <c r="W2054" i="32"/>
  <c r="X2054" i="32"/>
  <c r="W2055" i="32"/>
  <c r="X2055" i="32"/>
  <c r="W2056" i="32"/>
  <c r="X2056" i="32"/>
  <c r="W2057" i="32"/>
  <c r="X2057" i="32"/>
  <c r="W2058" i="32"/>
  <c r="X2058" i="32"/>
  <c r="W2059" i="32"/>
  <c r="X2059" i="32"/>
  <c r="W2060" i="32"/>
  <c r="X2060" i="32"/>
  <c r="W2061" i="32"/>
  <c r="X2061" i="32"/>
  <c r="W2062" i="32"/>
  <c r="X2062" i="32"/>
  <c r="W2063" i="32"/>
  <c r="X2063" i="32"/>
  <c r="W2064" i="32"/>
  <c r="X2064" i="32"/>
  <c r="W2065" i="32"/>
  <c r="X2065" i="32"/>
  <c r="W2066" i="32"/>
  <c r="X2066" i="32"/>
  <c r="W2067" i="32"/>
  <c r="X2067" i="32"/>
  <c r="W2068" i="32"/>
  <c r="X2068" i="32"/>
  <c r="W2069" i="32"/>
  <c r="X2069" i="32"/>
  <c r="W2070" i="32"/>
  <c r="X2070" i="32"/>
  <c r="W2071" i="32"/>
  <c r="X2071" i="32"/>
  <c r="W2072" i="32"/>
  <c r="X2072" i="32"/>
  <c r="W2073" i="32"/>
  <c r="X2073" i="32"/>
  <c r="W2074" i="32"/>
  <c r="X2074" i="32"/>
  <c r="W2075" i="32"/>
  <c r="X2075" i="32"/>
  <c r="W2076" i="32"/>
  <c r="X2076" i="32"/>
  <c r="W2077" i="32"/>
  <c r="X2077" i="32"/>
  <c r="W2078" i="32"/>
  <c r="X2078" i="32"/>
  <c r="W2079" i="32"/>
  <c r="X2079" i="32"/>
  <c r="W2080" i="32"/>
  <c r="X2080" i="32"/>
  <c r="W2081" i="32"/>
  <c r="X2081" i="32"/>
  <c r="W2082" i="32"/>
  <c r="X2082" i="32"/>
  <c r="W2083" i="32"/>
  <c r="X2083" i="32"/>
  <c r="W2084" i="32"/>
  <c r="X2084" i="32"/>
  <c r="W2085" i="32"/>
  <c r="X2085" i="32"/>
  <c r="W2086" i="32"/>
  <c r="X2086" i="32"/>
  <c r="W2087" i="32"/>
  <c r="X2087" i="32"/>
  <c r="W2088" i="32"/>
  <c r="X2088" i="32"/>
  <c r="W2089" i="32"/>
  <c r="X2089" i="32"/>
  <c r="W2090" i="32"/>
  <c r="X2090" i="32"/>
  <c r="W2091" i="32"/>
  <c r="X2091" i="32"/>
  <c r="W2092" i="32"/>
  <c r="X2092" i="32"/>
  <c r="W2093" i="32"/>
  <c r="X2093" i="32"/>
  <c r="W2094" i="32"/>
  <c r="X2094" i="32"/>
  <c r="W2095" i="32"/>
  <c r="X2095" i="32"/>
  <c r="W2096" i="32"/>
  <c r="X2096" i="32"/>
  <c r="W2097" i="32"/>
  <c r="X2097" i="32"/>
  <c r="W2098" i="32"/>
  <c r="X2098" i="32"/>
  <c r="W2099" i="32"/>
  <c r="X2099" i="32"/>
  <c r="W2100" i="32"/>
  <c r="X2100" i="32"/>
  <c r="W2101" i="32"/>
  <c r="X2101" i="32"/>
  <c r="W2102" i="32"/>
  <c r="X2102" i="32"/>
  <c r="W2103" i="32"/>
  <c r="X2103" i="32"/>
  <c r="W2104" i="32"/>
  <c r="X2104" i="32"/>
  <c r="W2105" i="32"/>
  <c r="X2105" i="32"/>
  <c r="W2106" i="32"/>
  <c r="X2106" i="32"/>
  <c r="W2107" i="32"/>
  <c r="X2107" i="32"/>
  <c r="W2108" i="32"/>
  <c r="X2108" i="32"/>
  <c r="W2109" i="32"/>
  <c r="X2109" i="32"/>
  <c r="W2110" i="32"/>
  <c r="X2110" i="32"/>
  <c r="W2111" i="32"/>
  <c r="X2111" i="32"/>
  <c r="W2112" i="32"/>
  <c r="X2112" i="32"/>
  <c r="W2113" i="32"/>
  <c r="X2113" i="32"/>
  <c r="W2114" i="32"/>
  <c r="X2114" i="32"/>
  <c r="W2115" i="32"/>
  <c r="X2115" i="32"/>
  <c r="W2116" i="32"/>
  <c r="X2116" i="32"/>
  <c r="W2117" i="32"/>
  <c r="X2117" i="32"/>
  <c r="W2118" i="32"/>
  <c r="X2118" i="32"/>
  <c r="W2119" i="32"/>
  <c r="X2119" i="32"/>
  <c r="W2120" i="32"/>
  <c r="X2120" i="32"/>
  <c r="W2121" i="32"/>
  <c r="X2121" i="32"/>
  <c r="W2122" i="32"/>
  <c r="X2122" i="32"/>
  <c r="W2123" i="32"/>
  <c r="X2123" i="32"/>
  <c r="W2124" i="32"/>
  <c r="X2124" i="32"/>
  <c r="W2125" i="32"/>
  <c r="X2125" i="32"/>
  <c r="W2126" i="32"/>
  <c r="X2126" i="32"/>
  <c r="W2127" i="32"/>
  <c r="X2127" i="32"/>
  <c r="W2128" i="32"/>
  <c r="X2128" i="32"/>
  <c r="W2129" i="32"/>
  <c r="X2129" i="32"/>
  <c r="W2130" i="32"/>
  <c r="X2130" i="32"/>
  <c r="W2131" i="32"/>
  <c r="X2131" i="32"/>
  <c r="W2132" i="32"/>
  <c r="X2132" i="32"/>
  <c r="W2133" i="32"/>
  <c r="X2133" i="32"/>
  <c r="W2134" i="32"/>
  <c r="X2134" i="32"/>
  <c r="W2135" i="32"/>
  <c r="X2135" i="32"/>
  <c r="W2136" i="32"/>
  <c r="X2136" i="32"/>
  <c r="W2137" i="32"/>
  <c r="X2137" i="32"/>
  <c r="W2138" i="32"/>
  <c r="X2138" i="32"/>
  <c r="W2139" i="32"/>
  <c r="X2139" i="32"/>
  <c r="W2140" i="32"/>
  <c r="X2140" i="32"/>
  <c r="W2141" i="32"/>
  <c r="X2141" i="32"/>
  <c r="W2142" i="32"/>
  <c r="X2142" i="32"/>
  <c r="W2143" i="32"/>
  <c r="X2143" i="32"/>
  <c r="W2144" i="32"/>
  <c r="X2144" i="32"/>
  <c r="W2145" i="32"/>
  <c r="X2145" i="32"/>
  <c r="W2146" i="32"/>
  <c r="X2146" i="32"/>
  <c r="W2147" i="32"/>
  <c r="X2147" i="32"/>
  <c r="W2148" i="32"/>
  <c r="X2148" i="32"/>
  <c r="W2149" i="32"/>
  <c r="X2149" i="32"/>
  <c r="W2150" i="32"/>
  <c r="X2150" i="32"/>
  <c r="W2151" i="32"/>
  <c r="X2151" i="32"/>
  <c r="W2152" i="32"/>
  <c r="X2152" i="32"/>
  <c r="W2153" i="32"/>
  <c r="X2153" i="32"/>
  <c r="W2154" i="32"/>
  <c r="X2154" i="32"/>
  <c r="W2155" i="32"/>
  <c r="X2155" i="32"/>
  <c r="W2156" i="32"/>
  <c r="X2156" i="32"/>
  <c r="W2157" i="32"/>
  <c r="X2157" i="32"/>
  <c r="W2158" i="32"/>
  <c r="X2158" i="32"/>
  <c r="W2159" i="32"/>
  <c r="X2159" i="32"/>
  <c r="W2160" i="32"/>
  <c r="X2160" i="32"/>
  <c r="W2161" i="32"/>
  <c r="X2161" i="32"/>
  <c r="W2162" i="32"/>
  <c r="X2162" i="32"/>
  <c r="W2163" i="32"/>
  <c r="X2163" i="32"/>
  <c r="W2164" i="32"/>
  <c r="X2164" i="32"/>
  <c r="W2165" i="32"/>
  <c r="X2165" i="32"/>
  <c r="W2166" i="32"/>
  <c r="X2166" i="32"/>
  <c r="W2167" i="32"/>
  <c r="X2167" i="32"/>
  <c r="W2168" i="32"/>
  <c r="X2168" i="32"/>
  <c r="W2169" i="32"/>
  <c r="X2169" i="32"/>
  <c r="W2170" i="32"/>
  <c r="X2170" i="32"/>
  <c r="W2171" i="32"/>
  <c r="X2171" i="32"/>
  <c r="W2172" i="32"/>
  <c r="X2172" i="32"/>
  <c r="W2173" i="32"/>
  <c r="X2173" i="32"/>
  <c r="W2174" i="32"/>
  <c r="X2174" i="32"/>
  <c r="W2175" i="32"/>
  <c r="X2175" i="32"/>
  <c r="W2176" i="32"/>
  <c r="X2176" i="32"/>
  <c r="W2177" i="32"/>
  <c r="X2177" i="32"/>
  <c r="W2178" i="32"/>
  <c r="X2178" i="32"/>
  <c r="W2179" i="32"/>
  <c r="X2179" i="32"/>
  <c r="W2180" i="32"/>
  <c r="X2180" i="32"/>
  <c r="W2181" i="32"/>
  <c r="X2181" i="32"/>
  <c r="W2182" i="32"/>
  <c r="X2182" i="32"/>
  <c r="W2183" i="32"/>
  <c r="X2183" i="32"/>
  <c r="W2184" i="32"/>
  <c r="X2184" i="32"/>
  <c r="W2185" i="32"/>
  <c r="X2185" i="32"/>
  <c r="W2186" i="32"/>
  <c r="X2186" i="32"/>
  <c r="W2187" i="32"/>
  <c r="X2187" i="32"/>
  <c r="W2188" i="32"/>
  <c r="X2188" i="32"/>
  <c r="W2189" i="32"/>
  <c r="X2189" i="32"/>
  <c r="W2190" i="32"/>
  <c r="X2190" i="32"/>
  <c r="W2191" i="32"/>
  <c r="X2191" i="32"/>
  <c r="W2192" i="32"/>
  <c r="X2192" i="32"/>
  <c r="W2193" i="32"/>
  <c r="X2193" i="32"/>
  <c r="W2194" i="32"/>
  <c r="X2194" i="32"/>
  <c r="W2195" i="32"/>
  <c r="X2195" i="32"/>
  <c r="W2196" i="32"/>
  <c r="X2196" i="32"/>
  <c r="W2197" i="32"/>
  <c r="X2197" i="32"/>
  <c r="W2198" i="32"/>
  <c r="X2198" i="32"/>
  <c r="W2199" i="32"/>
  <c r="X2199" i="32"/>
  <c r="W2200" i="32"/>
  <c r="X2200" i="32"/>
  <c r="W2201" i="32"/>
  <c r="X2201" i="32"/>
  <c r="W2202" i="32"/>
  <c r="X2202" i="32"/>
  <c r="W2203" i="32"/>
  <c r="X2203" i="32"/>
  <c r="W2204" i="32"/>
  <c r="X2204" i="32"/>
  <c r="W2205" i="32"/>
  <c r="X2205" i="32"/>
  <c r="W2206" i="32"/>
  <c r="X2206" i="32"/>
  <c r="W2207" i="32"/>
  <c r="X2207" i="32"/>
  <c r="W2208" i="32"/>
  <c r="X2208" i="32"/>
  <c r="W2209" i="32"/>
  <c r="X2209" i="32"/>
  <c r="W2210" i="32"/>
  <c r="X2210" i="32"/>
  <c r="W2211" i="32"/>
  <c r="X2211" i="32"/>
  <c r="W2212" i="32"/>
  <c r="X2212" i="32"/>
  <c r="W2213" i="32"/>
  <c r="X2213" i="32"/>
  <c r="W2214" i="32"/>
  <c r="X2214" i="32"/>
  <c r="W2215" i="32"/>
  <c r="X2215" i="32"/>
  <c r="W2216" i="32"/>
  <c r="X2216" i="32"/>
  <c r="W2217" i="32"/>
  <c r="X2217" i="32"/>
  <c r="W2218" i="32"/>
  <c r="X2218" i="32"/>
  <c r="W2219" i="32"/>
  <c r="X2219" i="32"/>
  <c r="W2220" i="32"/>
  <c r="X2220" i="32"/>
  <c r="W2221" i="32"/>
  <c r="X2221" i="32"/>
  <c r="W2222" i="32"/>
  <c r="X2222" i="32"/>
  <c r="W2223" i="32"/>
  <c r="X2223" i="32"/>
  <c r="W2224" i="32"/>
  <c r="X2224" i="32"/>
  <c r="W2225" i="32"/>
  <c r="X2225" i="32"/>
  <c r="W2226" i="32"/>
  <c r="X2226" i="32"/>
  <c r="W2227" i="32"/>
  <c r="X2227" i="32"/>
  <c r="W2228" i="32"/>
  <c r="X2228" i="32"/>
  <c r="W2229" i="32"/>
  <c r="X2229" i="32"/>
  <c r="W2230" i="32"/>
  <c r="X2230" i="32"/>
  <c r="W2231" i="32"/>
  <c r="X2231" i="32"/>
  <c r="W2232" i="32"/>
  <c r="X2232" i="32"/>
  <c r="W2233" i="32"/>
  <c r="X2233" i="32"/>
  <c r="W2234" i="32"/>
  <c r="X2234" i="32"/>
  <c r="W2235" i="32"/>
  <c r="X2235" i="32"/>
  <c r="W2236" i="32"/>
  <c r="X2236" i="32"/>
  <c r="W2237" i="32"/>
  <c r="X2237" i="32"/>
  <c r="W2238" i="32"/>
  <c r="X2238" i="32"/>
  <c r="W2239" i="32"/>
  <c r="X2239" i="32"/>
  <c r="W2240" i="32"/>
  <c r="X2240" i="32"/>
  <c r="W2241" i="32"/>
  <c r="X2241" i="32"/>
  <c r="W2242" i="32"/>
  <c r="X2242" i="32"/>
  <c r="W2243" i="32"/>
  <c r="X2243" i="32"/>
  <c r="W2244" i="32"/>
  <c r="X2244" i="32"/>
  <c r="W2245" i="32"/>
  <c r="X2245" i="32"/>
  <c r="W2246" i="32"/>
  <c r="X2246" i="32"/>
  <c r="W2247" i="32"/>
  <c r="X2247" i="32"/>
  <c r="W2248" i="32"/>
  <c r="X2248" i="32"/>
  <c r="W2249" i="32"/>
  <c r="X2249" i="32"/>
  <c r="W2250" i="32"/>
  <c r="X2250" i="32"/>
  <c r="W2251" i="32"/>
  <c r="X2251" i="32"/>
  <c r="W2252" i="32"/>
  <c r="X2252" i="32"/>
  <c r="W2253" i="32"/>
  <c r="X2253" i="32"/>
  <c r="W2254" i="32"/>
  <c r="X2254" i="32"/>
  <c r="W2255" i="32"/>
  <c r="X2255" i="32"/>
  <c r="W2256" i="32"/>
  <c r="X2256" i="32"/>
  <c r="W2257" i="32"/>
  <c r="X2257" i="32"/>
  <c r="W2258" i="32"/>
  <c r="X2258" i="32"/>
  <c r="W2259" i="32"/>
  <c r="X2259" i="32"/>
  <c r="W2260" i="32"/>
  <c r="X2260" i="32"/>
  <c r="W2261" i="32"/>
  <c r="X2261" i="32"/>
  <c r="W2262" i="32"/>
  <c r="X2262" i="32"/>
  <c r="W2263" i="32"/>
  <c r="X2263" i="32"/>
  <c r="W2264" i="32"/>
  <c r="X2264" i="32"/>
  <c r="W2265" i="32"/>
  <c r="X2265" i="32"/>
  <c r="W2266" i="32"/>
  <c r="X2266" i="32"/>
  <c r="W2267" i="32"/>
  <c r="X2267" i="32"/>
  <c r="W2268" i="32"/>
  <c r="X2268" i="32"/>
  <c r="W2269" i="32"/>
  <c r="X2269" i="32"/>
  <c r="W2270" i="32"/>
  <c r="X2270" i="32"/>
  <c r="W2271" i="32"/>
  <c r="X2271" i="32"/>
  <c r="W2272" i="32"/>
  <c r="X2272" i="32"/>
  <c r="W2273" i="32"/>
  <c r="X2273" i="32"/>
  <c r="W2274" i="32"/>
  <c r="X2274" i="32"/>
  <c r="W2275" i="32"/>
  <c r="X2275" i="32"/>
  <c r="W2276" i="32"/>
  <c r="X2276" i="32"/>
  <c r="W2277" i="32"/>
  <c r="X2277" i="32"/>
  <c r="W2278" i="32"/>
  <c r="X2278" i="32"/>
  <c r="W2279" i="32"/>
  <c r="X2279" i="32"/>
  <c r="W2280" i="32"/>
  <c r="X2280" i="32"/>
  <c r="W2281" i="32"/>
  <c r="X2281" i="32"/>
  <c r="W2282" i="32"/>
  <c r="X2282" i="32"/>
  <c r="W2283" i="32"/>
  <c r="X2283" i="32"/>
  <c r="W2284" i="32"/>
  <c r="X2284" i="32"/>
  <c r="W2285" i="32"/>
  <c r="X2285" i="32"/>
  <c r="W2286" i="32"/>
  <c r="X2286" i="32"/>
  <c r="W2287" i="32"/>
  <c r="X2287" i="32"/>
  <c r="W2288" i="32"/>
  <c r="X2288" i="32"/>
  <c r="W2289" i="32"/>
  <c r="X2289" i="32"/>
  <c r="W2290" i="32"/>
  <c r="X2290" i="32"/>
  <c r="W2291" i="32"/>
  <c r="X2291" i="32"/>
  <c r="W2292" i="32"/>
  <c r="X2292" i="32"/>
  <c r="W2293" i="32"/>
  <c r="X2293" i="32"/>
  <c r="W2294" i="32"/>
  <c r="X2294" i="32"/>
  <c r="W2295" i="32"/>
  <c r="X2295" i="32"/>
  <c r="W2296" i="32"/>
  <c r="X2296" i="32"/>
  <c r="W2297" i="32"/>
  <c r="X2297" i="32"/>
  <c r="W2298" i="32"/>
  <c r="X2298" i="32"/>
  <c r="W2299" i="32"/>
  <c r="X2299" i="32"/>
  <c r="W2300" i="32"/>
  <c r="X2300" i="32"/>
  <c r="W2301" i="32"/>
  <c r="X2301" i="32"/>
  <c r="W2302" i="32"/>
  <c r="X2302" i="32"/>
  <c r="W2303" i="32"/>
  <c r="X2303" i="32"/>
  <c r="W2304" i="32"/>
  <c r="X2304" i="32"/>
  <c r="W2305" i="32"/>
  <c r="X2305" i="32"/>
  <c r="W2306" i="32"/>
  <c r="X2306" i="32"/>
  <c r="W2307" i="32"/>
  <c r="X2307" i="32"/>
  <c r="W2308" i="32"/>
  <c r="X2308" i="32"/>
  <c r="W2309" i="32"/>
  <c r="X2309" i="32"/>
  <c r="W2310" i="32"/>
  <c r="X2310" i="32"/>
  <c r="W2311" i="32"/>
  <c r="X2311" i="32"/>
  <c r="W2312" i="32"/>
  <c r="X2312" i="32"/>
  <c r="W2313" i="32"/>
  <c r="X2313" i="32"/>
  <c r="W2314" i="32"/>
  <c r="X2314" i="32"/>
  <c r="W2315" i="32"/>
  <c r="X2315" i="32"/>
  <c r="W2316" i="32"/>
  <c r="X2316" i="32"/>
  <c r="W2317" i="32"/>
  <c r="X2317" i="32"/>
  <c r="W2318" i="32"/>
  <c r="X2318" i="32"/>
  <c r="W2319" i="32"/>
  <c r="X2319" i="32"/>
  <c r="W2320" i="32"/>
  <c r="X2320" i="32"/>
  <c r="W2321" i="32"/>
  <c r="X2321" i="32"/>
  <c r="W2322" i="32"/>
  <c r="X2322" i="32"/>
  <c r="W2323" i="32"/>
  <c r="X2323" i="32"/>
  <c r="W2324" i="32"/>
  <c r="X2324" i="32"/>
  <c r="W2325" i="32"/>
  <c r="X2325" i="32"/>
  <c r="W2326" i="32"/>
  <c r="X2326" i="32"/>
  <c r="W2327" i="32"/>
  <c r="X2327" i="32"/>
  <c r="W2328" i="32"/>
  <c r="X2328" i="32"/>
  <c r="W2329" i="32"/>
  <c r="X2329" i="32"/>
  <c r="W2330" i="32"/>
  <c r="X2330" i="32"/>
  <c r="W2331" i="32"/>
  <c r="X2331" i="32"/>
  <c r="W2332" i="32"/>
  <c r="X2332" i="32"/>
  <c r="W2333" i="32"/>
  <c r="X2333" i="32"/>
  <c r="W2334" i="32"/>
  <c r="X2334" i="32"/>
  <c r="W2335" i="32"/>
  <c r="X2335" i="32"/>
  <c r="W2336" i="32"/>
  <c r="X2336" i="32"/>
  <c r="W2337" i="32"/>
  <c r="X2337" i="32"/>
  <c r="W2338" i="32"/>
  <c r="X2338" i="32"/>
  <c r="W2339" i="32"/>
  <c r="X2339" i="32"/>
  <c r="W2340" i="32"/>
  <c r="X2340" i="32"/>
  <c r="W2341" i="32"/>
  <c r="X2341" i="32"/>
  <c r="W2342" i="32"/>
  <c r="X2342" i="32"/>
  <c r="W2343" i="32"/>
  <c r="X2343" i="32"/>
  <c r="W2344" i="32"/>
  <c r="X2344" i="32"/>
  <c r="W2345" i="32"/>
  <c r="X2345" i="32"/>
  <c r="W2346" i="32"/>
  <c r="X2346" i="32"/>
  <c r="W2347" i="32"/>
  <c r="X2347" i="32"/>
  <c r="W2348" i="32"/>
  <c r="X2348" i="32"/>
  <c r="W2349" i="32"/>
  <c r="X2349" i="32"/>
  <c r="W2350" i="32"/>
  <c r="X2350" i="32"/>
  <c r="W2351" i="32"/>
  <c r="X2351" i="32"/>
  <c r="W2352" i="32"/>
  <c r="X2352" i="32"/>
  <c r="W2353" i="32"/>
  <c r="X2353" i="32"/>
  <c r="W2354" i="32"/>
  <c r="X2354" i="32"/>
  <c r="W2355" i="32"/>
  <c r="X2355" i="32"/>
  <c r="W2356" i="32"/>
  <c r="X2356" i="32"/>
  <c r="W2357" i="32"/>
  <c r="X2357" i="32"/>
  <c r="W2358" i="32"/>
  <c r="X2358" i="32"/>
  <c r="W2359" i="32"/>
  <c r="X2359" i="32"/>
  <c r="W2360" i="32"/>
  <c r="X2360" i="32"/>
  <c r="W2361" i="32"/>
  <c r="X2361" i="32"/>
  <c r="W2362" i="32"/>
  <c r="X2362" i="32"/>
  <c r="W2363" i="32"/>
  <c r="X2363" i="32"/>
  <c r="W2364" i="32"/>
  <c r="X2364" i="32"/>
  <c r="W2365" i="32"/>
  <c r="X2365" i="32"/>
  <c r="W2366" i="32"/>
  <c r="X2366" i="32"/>
  <c r="W2367" i="32"/>
  <c r="X2367" i="32"/>
  <c r="W2368" i="32"/>
  <c r="X2368" i="32"/>
  <c r="W2369" i="32"/>
  <c r="X2369" i="32"/>
  <c r="W2370" i="32"/>
  <c r="X2370" i="32"/>
  <c r="W2371" i="32"/>
  <c r="X2371" i="32"/>
  <c r="W2372" i="32"/>
  <c r="X2372" i="32"/>
  <c r="W2373" i="32"/>
  <c r="X2373" i="32"/>
  <c r="W2374" i="32"/>
  <c r="X2374" i="32"/>
  <c r="W2375" i="32"/>
  <c r="X2375" i="32"/>
  <c r="W2376" i="32"/>
  <c r="X2376" i="32"/>
  <c r="W2377" i="32"/>
  <c r="X2377" i="32"/>
  <c r="W2378" i="32"/>
  <c r="X2378" i="32"/>
  <c r="W2379" i="32"/>
  <c r="X2379" i="32"/>
  <c r="W2380" i="32"/>
  <c r="X2380" i="32"/>
  <c r="W2381" i="32"/>
  <c r="X2381" i="32"/>
  <c r="W2382" i="32"/>
  <c r="X2382" i="32"/>
  <c r="W2383" i="32"/>
  <c r="X2383" i="32"/>
  <c r="W2384" i="32"/>
  <c r="X2384" i="32"/>
  <c r="W2385" i="32"/>
  <c r="X2385" i="32"/>
  <c r="W2386" i="32"/>
  <c r="X2386" i="32"/>
  <c r="W2387" i="32"/>
  <c r="X2387" i="32"/>
  <c r="W2388" i="32"/>
  <c r="X2388" i="32"/>
  <c r="W2389" i="32"/>
  <c r="X2389" i="32"/>
  <c r="W2390" i="32"/>
  <c r="X2390" i="32"/>
  <c r="W2391" i="32"/>
  <c r="X2391" i="32"/>
  <c r="W2392" i="32"/>
  <c r="X2392" i="32"/>
  <c r="W2393" i="32"/>
  <c r="X2393" i="32"/>
  <c r="W2394" i="32"/>
  <c r="X2394" i="32"/>
  <c r="W2395" i="32"/>
  <c r="X2395" i="32"/>
  <c r="W2396" i="32"/>
  <c r="X2396" i="32"/>
  <c r="W2397" i="32"/>
  <c r="X2397" i="32"/>
  <c r="W2398" i="32"/>
  <c r="X2398" i="32"/>
  <c r="W2399" i="32"/>
  <c r="X2399" i="32"/>
  <c r="W2400" i="32"/>
  <c r="X2400" i="32"/>
  <c r="W2401" i="32"/>
  <c r="X2401" i="32"/>
  <c r="W2402" i="32"/>
  <c r="X2402" i="32"/>
  <c r="W2403" i="32"/>
  <c r="X2403" i="32"/>
  <c r="W2404" i="32"/>
  <c r="X2404" i="32"/>
  <c r="W2405" i="32"/>
  <c r="X2405" i="32"/>
  <c r="W2406" i="32"/>
  <c r="X2406" i="32"/>
  <c r="W2407" i="32"/>
  <c r="X2407" i="32"/>
  <c r="W2408" i="32"/>
  <c r="X2408" i="32"/>
  <c r="W2409" i="32"/>
  <c r="X2409" i="32"/>
  <c r="W2410" i="32"/>
  <c r="X2410" i="32"/>
  <c r="W2411" i="32"/>
  <c r="X2411" i="32"/>
  <c r="W2412" i="32"/>
  <c r="X2412" i="32"/>
  <c r="W2413" i="32"/>
  <c r="X2413" i="32"/>
  <c r="W2414" i="32"/>
  <c r="X2414" i="32"/>
  <c r="W2415" i="32"/>
  <c r="X2415" i="32"/>
  <c r="W2416" i="32"/>
  <c r="X2416" i="32"/>
  <c r="W2417" i="32"/>
  <c r="X2417" i="32"/>
  <c r="W2418" i="32"/>
  <c r="X2418" i="32"/>
  <c r="W2419" i="32"/>
  <c r="X2419" i="32"/>
  <c r="W2420" i="32"/>
  <c r="X2420" i="32"/>
  <c r="W2421" i="32"/>
  <c r="X2421" i="32"/>
  <c r="W2422" i="32"/>
  <c r="X2422" i="32"/>
  <c r="W2423" i="32"/>
  <c r="X2423" i="32"/>
  <c r="W2424" i="32"/>
  <c r="X2424" i="32"/>
  <c r="W2425" i="32"/>
  <c r="X2425" i="32"/>
  <c r="W2426" i="32"/>
  <c r="X2426" i="32"/>
  <c r="W2427" i="32"/>
  <c r="X2427" i="32"/>
  <c r="W2428" i="32"/>
  <c r="X2428" i="32"/>
  <c r="W2429" i="32"/>
  <c r="X2429" i="32"/>
  <c r="W2430" i="32"/>
  <c r="X2430" i="32"/>
  <c r="W2431" i="32"/>
  <c r="X2431" i="32"/>
  <c r="W2432" i="32"/>
  <c r="X2432" i="32"/>
  <c r="W2433" i="32"/>
  <c r="X2433" i="32"/>
  <c r="W2434" i="32"/>
  <c r="X2434" i="32"/>
  <c r="W2435" i="32"/>
  <c r="X2435" i="32"/>
  <c r="W2436" i="32"/>
  <c r="X2436" i="32"/>
  <c r="W2437" i="32"/>
  <c r="X2437" i="32"/>
  <c r="W2438" i="32"/>
  <c r="X2438" i="32"/>
  <c r="W2439" i="32"/>
  <c r="X2439" i="32"/>
  <c r="W2440" i="32"/>
  <c r="X2440" i="32"/>
  <c r="W2441" i="32"/>
  <c r="X2441" i="32"/>
  <c r="W2442" i="32"/>
  <c r="X2442" i="32"/>
  <c r="W2443" i="32"/>
  <c r="X2443" i="32"/>
  <c r="W2444" i="32"/>
  <c r="X2444" i="32"/>
  <c r="W2445" i="32"/>
  <c r="X2445" i="32"/>
  <c r="W2446" i="32"/>
  <c r="X2446" i="32"/>
  <c r="W2447" i="32"/>
  <c r="X2447" i="32"/>
  <c r="W2448" i="32"/>
  <c r="X2448" i="32"/>
  <c r="W2449" i="32"/>
  <c r="X2449" i="32"/>
  <c r="W2450" i="32"/>
  <c r="X2450" i="32"/>
  <c r="W2451" i="32"/>
  <c r="X2451" i="32"/>
  <c r="W2452" i="32"/>
  <c r="X2452" i="32"/>
  <c r="W2453" i="32"/>
  <c r="X2453" i="32"/>
  <c r="W2454" i="32"/>
  <c r="X2454" i="32"/>
  <c r="W2455" i="32"/>
  <c r="X2455" i="32"/>
  <c r="W2456" i="32"/>
  <c r="X2456" i="32"/>
  <c r="W2457" i="32"/>
  <c r="X2457" i="32"/>
  <c r="W2458" i="32"/>
  <c r="X2458" i="32"/>
  <c r="W2459" i="32"/>
  <c r="X2459" i="32"/>
  <c r="W2460" i="32"/>
  <c r="X2460" i="32"/>
  <c r="W2461" i="32"/>
  <c r="X2461" i="32"/>
  <c r="W2462" i="32"/>
  <c r="X2462" i="32"/>
  <c r="W2463" i="32"/>
  <c r="X2463" i="32"/>
  <c r="W2464" i="32"/>
  <c r="X2464" i="32"/>
  <c r="W2465" i="32"/>
  <c r="X2465" i="32"/>
  <c r="W2466" i="32"/>
  <c r="X2466" i="32"/>
  <c r="W2467" i="32"/>
  <c r="X2467" i="32"/>
  <c r="W2468" i="32"/>
  <c r="X2468" i="32"/>
  <c r="W2469" i="32"/>
  <c r="X2469" i="32"/>
  <c r="W2470" i="32"/>
  <c r="X2470" i="32"/>
  <c r="W2471" i="32"/>
  <c r="X2471" i="32"/>
  <c r="W2472" i="32"/>
  <c r="X2472" i="32"/>
  <c r="W2473" i="32"/>
  <c r="X2473" i="32"/>
  <c r="W2474" i="32"/>
  <c r="X2474" i="32"/>
  <c r="W2475" i="32"/>
  <c r="X2475" i="32"/>
  <c r="W2476" i="32"/>
  <c r="X2476" i="32"/>
  <c r="W2477" i="32"/>
  <c r="X2477" i="32"/>
  <c r="W2478" i="32"/>
  <c r="X2478" i="32"/>
  <c r="W2479" i="32"/>
  <c r="X2479" i="32"/>
  <c r="W2480" i="32"/>
  <c r="X2480" i="32"/>
  <c r="W2481" i="32"/>
  <c r="X2481" i="32"/>
  <c r="W2482" i="32"/>
  <c r="X2482" i="32"/>
  <c r="W2483" i="32"/>
  <c r="X2483" i="32"/>
  <c r="W2484" i="32"/>
  <c r="X2484" i="32"/>
  <c r="W2485" i="32"/>
  <c r="X2485" i="32"/>
  <c r="W2486" i="32"/>
  <c r="X2486" i="32"/>
  <c r="W2487" i="32"/>
  <c r="X2487" i="32"/>
  <c r="W2488" i="32"/>
  <c r="X2488" i="32"/>
  <c r="W2489" i="32"/>
  <c r="X2489" i="32"/>
  <c r="W2490" i="32"/>
  <c r="X2490" i="32"/>
  <c r="W2491" i="32"/>
  <c r="X2491" i="32"/>
  <c r="W2492" i="32"/>
  <c r="X2492" i="32"/>
  <c r="W2493" i="32"/>
  <c r="X2493" i="32"/>
  <c r="W2494" i="32"/>
  <c r="X2494" i="32"/>
  <c r="W2495" i="32"/>
  <c r="X2495" i="32"/>
  <c r="W2496" i="32"/>
  <c r="X2496" i="32"/>
  <c r="W2497" i="32"/>
  <c r="X2497" i="32"/>
  <c r="W2498" i="32"/>
  <c r="X2498" i="32"/>
  <c r="W2499" i="32"/>
  <c r="X2499" i="32"/>
  <c r="W2500" i="32"/>
  <c r="X2500" i="32"/>
  <c r="W2501" i="32"/>
  <c r="X2501" i="32"/>
  <c r="W2502" i="32"/>
  <c r="X2502" i="32"/>
  <c r="W2503" i="32"/>
  <c r="X2503" i="32"/>
  <c r="W2504" i="32"/>
  <c r="X2504" i="32"/>
  <c r="W2505" i="32"/>
  <c r="X2505" i="32"/>
  <c r="W2506" i="32"/>
  <c r="X2506" i="32"/>
  <c r="W2507" i="32"/>
  <c r="X2507" i="32"/>
  <c r="W2508" i="32"/>
  <c r="X2508" i="32"/>
  <c r="W2509" i="32"/>
  <c r="X2509" i="32"/>
  <c r="W2510" i="32"/>
  <c r="X2510" i="32"/>
  <c r="W2511" i="32"/>
  <c r="X2511" i="32"/>
  <c r="W2512" i="32"/>
  <c r="X2512" i="32"/>
  <c r="W2513" i="32"/>
  <c r="X2513" i="32"/>
  <c r="W2514" i="32"/>
  <c r="X2514" i="32"/>
  <c r="W2515" i="32"/>
  <c r="X2515" i="32"/>
  <c r="W2516" i="32"/>
  <c r="X2516" i="32"/>
  <c r="W2517" i="32"/>
  <c r="X2517" i="32"/>
  <c r="W2518" i="32"/>
  <c r="X2518" i="32"/>
  <c r="W2519" i="32"/>
  <c r="X2519" i="32"/>
  <c r="W2520" i="32"/>
  <c r="X2520" i="32"/>
  <c r="W2521" i="32"/>
  <c r="X2521" i="32"/>
  <c r="W2522" i="32"/>
  <c r="X2522" i="32"/>
  <c r="W2523" i="32"/>
  <c r="X2523" i="32"/>
  <c r="W2524" i="32"/>
  <c r="X2524" i="32"/>
  <c r="W2525" i="32"/>
  <c r="X2525" i="32"/>
  <c r="W2526" i="32"/>
  <c r="X2526" i="32"/>
  <c r="W2527" i="32"/>
  <c r="X2527" i="32"/>
  <c r="W2528" i="32"/>
  <c r="X2528" i="32"/>
  <c r="W2529" i="32"/>
  <c r="X2529" i="32"/>
  <c r="W2530" i="32"/>
  <c r="X2530" i="32"/>
  <c r="W2531" i="32"/>
  <c r="X2531" i="32"/>
  <c r="W2532" i="32"/>
  <c r="X2532" i="32"/>
  <c r="W2533" i="32"/>
  <c r="X2533" i="32"/>
  <c r="W2534" i="32"/>
  <c r="X2534" i="32"/>
  <c r="W2535" i="32"/>
  <c r="X2535" i="32"/>
  <c r="W2536" i="32"/>
  <c r="X2536" i="32"/>
  <c r="W2537" i="32"/>
  <c r="X2537" i="32"/>
  <c r="W2538" i="32"/>
  <c r="X2538" i="32"/>
  <c r="W2539" i="32"/>
  <c r="X2539" i="32"/>
  <c r="W2540" i="32"/>
  <c r="X2540" i="32"/>
  <c r="W2541" i="32"/>
  <c r="X2541" i="32"/>
  <c r="W2542" i="32"/>
  <c r="X2542" i="32"/>
  <c r="W2543" i="32"/>
  <c r="X2543" i="32"/>
  <c r="W2544" i="32"/>
  <c r="X2544" i="32"/>
  <c r="W2545" i="32"/>
  <c r="X2545" i="32"/>
  <c r="W2546" i="32"/>
  <c r="X2546" i="32"/>
  <c r="W2547" i="32"/>
  <c r="X2547" i="32"/>
  <c r="W2548" i="32"/>
  <c r="X2548" i="32"/>
  <c r="W2549" i="32"/>
  <c r="X2549" i="32"/>
  <c r="W2550" i="32"/>
  <c r="X2550" i="32"/>
  <c r="W2551" i="32"/>
  <c r="X2551" i="32"/>
  <c r="W2552" i="32"/>
  <c r="X2552" i="32"/>
  <c r="W2553" i="32"/>
  <c r="X2553" i="32"/>
  <c r="W2554" i="32"/>
  <c r="X2554" i="32"/>
  <c r="W2555" i="32"/>
  <c r="X2555" i="32"/>
  <c r="W2556" i="32"/>
  <c r="X2556" i="32"/>
  <c r="W2557" i="32"/>
  <c r="X2557" i="32"/>
  <c r="W2558" i="32"/>
  <c r="X2558" i="32"/>
  <c r="W2559" i="32"/>
  <c r="X2559" i="32"/>
  <c r="W2560" i="32"/>
  <c r="X2560" i="32"/>
  <c r="W2561" i="32"/>
  <c r="X2561" i="32"/>
  <c r="W2562" i="32"/>
  <c r="X2562" i="32"/>
  <c r="W2563" i="32"/>
  <c r="X2563" i="32"/>
  <c r="W2564" i="32"/>
  <c r="X2564" i="32"/>
  <c r="W2565" i="32"/>
  <c r="X2565" i="32"/>
  <c r="W2566" i="32"/>
  <c r="X2566" i="32"/>
  <c r="W2567" i="32"/>
  <c r="X2567" i="32"/>
  <c r="W2568" i="32"/>
  <c r="X2568" i="32"/>
  <c r="W2569" i="32"/>
  <c r="X2569" i="32"/>
  <c r="W2570" i="32"/>
  <c r="X2570" i="32"/>
  <c r="W2571" i="32"/>
  <c r="X2571" i="32"/>
  <c r="W2572" i="32"/>
  <c r="X2572" i="32"/>
  <c r="W2573" i="32"/>
  <c r="X2573" i="32"/>
  <c r="W2574" i="32"/>
  <c r="X2574" i="32"/>
  <c r="W2575" i="32"/>
  <c r="X2575" i="32"/>
  <c r="W2576" i="32"/>
  <c r="X2576" i="32"/>
  <c r="W2577" i="32"/>
  <c r="X2577" i="32"/>
  <c r="W2578" i="32"/>
  <c r="X2578" i="32"/>
  <c r="W2579" i="32"/>
  <c r="X2579" i="32"/>
  <c r="W2580" i="32"/>
  <c r="X2580" i="32"/>
  <c r="W2581" i="32"/>
  <c r="X2581" i="32"/>
  <c r="W2582" i="32"/>
  <c r="X2582" i="32"/>
  <c r="W2583" i="32"/>
  <c r="X2583" i="32"/>
  <c r="W2584" i="32"/>
  <c r="X2584" i="32"/>
  <c r="W2585" i="32"/>
  <c r="X2585" i="32"/>
  <c r="W2586" i="32"/>
  <c r="X2586" i="32"/>
  <c r="W2587" i="32"/>
  <c r="X2587" i="32"/>
  <c r="W2588" i="32"/>
  <c r="X2588" i="32"/>
  <c r="W2589" i="32"/>
  <c r="X2589" i="32"/>
  <c r="W2590" i="32"/>
  <c r="X2590" i="32"/>
  <c r="W2591" i="32"/>
  <c r="X2591" i="32"/>
  <c r="W2592" i="32"/>
  <c r="X2592" i="32"/>
  <c r="W2593" i="32"/>
  <c r="X2593" i="32"/>
  <c r="W2594" i="32"/>
  <c r="X2594" i="32"/>
  <c r="W2595" i="32"/>
  <c r="X2595" i="32"/>
  <c r="W2596" i="32"/>
  <c r="X2596" i="32"/>
  <c r="W2597" i="32"/>
  <c r="X2597" i="32"/>
  <c r="W2598" i="32"/>
  <c r="X2598" i="32"/>
  <c r="W2599" i="32"/>
  <c r="X2599" i="32"/>
  <c r="W2600" i="32"/>
  <c r="X2600" i="32"/>
  <c r="W2601" i="32"/>
  <c r="X2601" i="32"/>
  <c r="W2602" i="32"/>
  <c r="X2602" i="32"/>
  <c r="W2603" i="32"/>
  <c r="X2603" i="32"/>
  <c r="W2604" i="32"/>
  <c r="X2604" i="32"/>
  <c r="W2605" i="32"/>
  <c r="X2605" i="32"/>
  <c r="W2606" i="32"/>
  <c r="X2606" i="32"/>
  <c r="W2607" i="32"/>
  <c r="X2607" i="32"/>
  <c r="W2608" i="32"/>
  <c r="X2608" i="32"/>
  <c r="W2609" i="32"/>
  <c r="X2609" i="32"/>
  <c r="W2610" i="32"/>
  <c r="X2610" i="32"/>
  <c r="W2611" i="32"/>
  <c r="X2611" i="32"/>
  <c r="W2612" i="32"/>
  <c r="X2612" i="32"/>
  <c r="W2613" i="32"/>
  <c r="X2613" i="32"/>
  <c r="W2614" i="32"/>
  <c r="X2614" i="32"/>
  <c r="W2615" i="32"/>
  <c r="X2615" i="32"/>
  <c r="W2616" i="32"/>
  <c r="X2616" i="32"/>
  <c r="W2617" i="32"/>
  <c r="X2617" i="32"/>
  <c r="W2618" i="32"/>
  <c r="X2618" i="32"/>
  <c r="W2619" i="32"/>
  <c r="X2619" i="32"/>
  <c r="W2620" i="32"/>
  <c r="X2620" i="32"/>
  <c r="W2621" i="32"/>
  <c r="X2621" i="32"/>
  <c r="W2622" i="32"/>
  <c r="X2622" i="32"/>
  <c r="W2623" i="32"/>
  <c r="X2623" i="32"/>
  <c r="W2624" i="32"/>
  <c r="X2624" i="32"/>
  <c r="W2625" i="32"/>
  <c r="X2625" i="32"/>
  <c r="W2626" i="32"/>
  <c r="X2626" i="32"/>
  <c r="W2627" i="32"/>
  <c r="X2627" i="32"/>
  <c r="W2628" i="32"/>
  <c r="X2628" i="32"/>
  <c r="W2629" i="32"/>
  <c r="X2629" i="32"/>
  <c r="W2630" i="32"/>
  <c r="X2630" i="32"/>
  <c r="W2631" i="32"/>
  <c r="X2631" i="32"/>
  <c r="W2632" i="32"/>
  <c r="X2632" i="32"/>
  <c r="W2633" i="32"/>
  <c r="X2633" i="32"/>
  <c r="W2634" i="32"/>
  <c r="X2634" i="32"/>
  <c r="W2635" i="32"/>
  <c r="X2635" i="32"/>
  <c r="W2636" i="32"/>
  <c r="X2636" i="32"/>
  <c r="W2637" i="32"/>
  <c r="X2637" i="32"/>
  <c r="W2638" i="32"/>
  <c r="X2638" i="32"/>
  <c r="W2639" i="32"/>
  <c r="X2639" i="32"/>
  <c r="W2640" i="32"/>
  <c r="X2640" i="32"/>
  <c r="W2641" i="32"/>
  <c r="X2641" i="32"/>
  <c r="W2642" i="32"/>
  <c r="X2642" i="32"/>
  <c r="W2643" i="32"/>
  <c r="X2643" i="32"/>
  <c r="W2644" i="32"/>
  <c r="X2644" i="32"/>
  <c r="W2645" i="32"/>
  <c r="X2645" i="32"/>
  <c r="W2646" i="32"/>
  <c r="X2646" i="32"/>
  <c r="W2647" i="32"/>
  <c r="X2647" i="32"/>
  <c r="W2648" i="32"/>
  <c r="X2648" i="32"/>
  <c r="W2649" i="32"/>
  <c r="X2649" i="32"/>
  <c r="W2650" i="32"/>
  <c r="X2650" i="32"/>
  <c r="W2651" i="32"/>
  <c r="X2651" i="32"/>
  <c r="W2652" i="32"/>
  <c r="X2652" i="32"/>
  <c r="W2653" i="32"/>
  <c r="X2653" i="32"/>
  <c r="W2654" i="32"/>
  <c r="X2654" i="32"/>
  <c r="W2655" i="32"/>
  <c r="X2655" i="32"/>
  <c r="W2656" i="32"/>
  <c r="X2656" i="32"/>
  <c r="W2657" i="32"/>
  <c r="X2657" i="32"/>
  <c r="W2658" i="32"/>
  <c r="X2658" i="32"/>
  <c r="W2659" i="32"/>
  <c r="X2659" i="32"/>
  <c r="W2660" i="32"/>
  <c r="X2660" i="32"/>
  <c r="W2661" i="32"/>
  <c r="X2661" i="32"/>
  <c r="W2662" i="32"/>
  <c r="X2662" i="32"/>
  <c r="W2663" i="32"/>
  <c r="X2663" i="32"/>
  <c r="W2664" i="32"/>
  <c r="X2664" i="32"/>
  <c r="W2665" i="32"/>
  <c r="X2665" i="32"/>
  <c r="W2666" i="32"/>
  <c r="X2666" i="32"/>
  <c r="W2667" i="32"/>
  <c r="X2667" i="32"/>
  <c r="W2668" i="32"/>
  <c r="X2668" i="32"/>
  <c r="W2669" i="32"/>
  <c r="X2669" i="32"/>
  <c r="W2670" i="32"/>
  <c r="X2670" i="32"/>
  <c r="W2671" i="32"/>
  <c r="X2671" i="32"/>
  <c r="W2672" i="32"/>
  <c r="X2672" i="32"/>
  <c r="W2673" i="32"/>
  <c r="X2673" i="32"/>
  <c r="W2674" i="32"/>
  <c r="X2674" i="32"/>
  <c r="W2675" i="32"/>
  <c r="X2675" i="32"/>
  <c r="W2676" i="32"/>
  <c r="X2676" i="32"/>
  <c r="W2677" i="32"/>
  <c r="X2677" i="32"/>
  <c r="W2678" i="32"/>
  <c r="X2678" i="32"/>
  <c r="W2679" i="32"/>
  <c r="X2679" i="32"/>
  <c r="W2680" i="32"/>
  <c r="X2680" i="32"/>
  <c r="W2681" i="32"/>
  <c r="X2681" i="32"/>
  <c r="W2682" i="32"/>
  <c r="X2682" i="32"/>
  <c r="W2683" i="32"/>
  <c r="X2683" i="32"/>
  <c r="W2684" i="32"/>
  <c r="X2684" i="32"/>
  <c r="W2685" i="32"/>
  <c r="X2685" i="32"/>
  <c r="W2686" i="32"/>
  <c r="X2686" i="32"/>
  <c r="W2687" i="32"/>
  <c r="X2687" i="32"/>
  <c r="W2688" i="32"/>
  <c r="X2688" i="32"/>
  <c r="W2689" i="32"/>
  <c r="X2689" i="32"/>
  <c r="W2690" i="32"/>
  <c r="X2690" i="32"/>
  <c r="W2691" i="32"/>
  <c r="X2691" i="32"/>
  <c r="W2692" i="32"/>
  <c r="X2692" i="32"/>
  <c r="W2693" i="32"/>
  <c r="X2693" i="32"/>
  <c r="W2694" i="32"/>
  <c r="X2694" i="32"/>
  <c r="W2695" i="32"/>
  <c r="X2695" i="32"/>
  <c r="W2696" i="32"/>
  <c r="X2696" i="32"/>
  <c r="W2697" i="32"/>
  <c r="X2697" i="32"/>
  <c r="W2698" i="32"/>
  <c r="X2698" i="32"/>
  <c r="W2699" i="32"/>
  <c r="X2699" i="32"/>
  <c r="W2700" i="32"/>
  <c r="X2700" i="32"/>
  <c r="W2701" i="32"/>
  <c r="X2701" i="32"/>
  <c r="W2702" i="32"/>
  <c r="X2702" i="32"/>
  <c r="W2703" i="32"/>
  <c r="X2703" i="32"/>
  <c r="W2704" i="32"/>
  <c r="X2704" i="32"/>
  <c r="W2705" i="32"/>
  <c r="X2705" i="32"/>
  <c r="W2706" i="32"/>
  <c r="X2706" i="32"/>
  <c r="W2707" i="32"/>
  <c r="X2707" i="32"/>
  <c r="W2708" i="32"/>
  <c r="X2708" i="32"/>
  <c r="W2709" i="32"/>
  <c r="X2709" i="32"/>
  <c r="W2710" i="32"/>
  <c r="X2710" i="32"/>
  <c r="W2711" i="32"/>
  <c r="X2711" i="32"/>
  <c r="W2712" i="32"/>
  <c r="X2712" i="32"/>
  <c r="W2713" i="32"/>
  <c r="X2713" i="32"/>
  <c r="W2714" i="32"/>
  <c r="X2714" i="32"/>
  <c r="W2715" i="32"/>
  <c r="X2715" i="32"/>
  <c r="W2716" i="32"/>
  <c r="X2716" i="32"/>
  <c r="W2717" i="32"/>
  <c r="X2717" i="32"/>
  <c r="W2718" i="32"/>
  <c r="X2718" i="32"/>
  <c r="W2719" i="32"/>
  <c r="X2719" i="32"/>
  <c r="W2720" i="32"/>
  <c r="X2720" i="32"/>
  <c r="W2721" i="32"/>
  <c r="X2721" i="32"/>
  <c r="W2722" i="32"/>
  <c r="X2722" i="32"/>
  <c r="W2723" i="32"/>
  <c r="X2723" i="32"/>
  <c r="W2724" i="32"/>
  <c r="X2724" i="32"/>
  <c r="W2725" i="32"/>
  <c r="X2725" i="32"/>
  <c r="W2726" i="32"/>
  <c r="X2726" i="32"/>
  <c r="W2727" i="32"/>
  <c r="X2727" i="32"/>
  <c r="W2728" i="32"/>
  <c r="X2728" i="32"/>
  <c r="W2729" i="32"/>
  <c r="X2729" i="32"/>
  <c r="W2730" i="32"/>
  <c r="X2730" i="32"/>
  <c r="W2731" i="32"/>
  <c r="X2731" i="32"/>
  <c r="W2732" i="32"/>
  <c r="X2732" i="32"/>
  <c r="W2733" i="32"/>
  <c r="X2733" i="32"/>
  <c r="W2734" i="32"/>
  <c r="X2734" i="32"/>
  <c r="W2735" i="32"/>
  <c r="X2735" i="32"/>
  <c r="W2736" i="32"/>
  <c r="X2736" i="32"/>
  <c r="W2737" i="32"/>
  <c r="X2737" i="32"/>
  <c r="W2738" i="32"/>
  <c r="X2738" i="32"/>
  <c r="W2739" i="32"/>
  <c r="X2739" i="32"/>
  <c r="W2740" i="32"/>
  <c r="X2740" i="32"/>
  <c r="W2741" i="32"/>
  <c r="X2741" i="32"/>
  <c r="W2742" i="32"/>
  <c r="X2742" i="32"/>
  <c r="W2743" i="32"/>
  <c r="X2743" i="32"/>
  <c r="W2744" i="32"/>
  <c r="X2744" i="32"/>
  <c r="W2745" i="32"/>
  <c r="X2745" i="32"/>
  <c r="W2746" i="32"/>
  <c r="X2746" i="32"/>
  <c r="W2747" i="32"/>
  <c r="X2747" i="32"/>
  <c r="W2748" i="32"/>
  <c r="X2748" i="32"/>
  <c r="W2749" i="32"/>
  <c r="X2749" i="32"/>
  <c r="W2750" i="32"/>
  <c r="X2750" i="32"/>
  <c r="W2751" i="32"/>
  <c r="X2751" i="32"/>
  <c r="W2752" i="32"/>
  <c r="X2752" i="32"/>
  <c r="W2753" i="32"/>
  <c r="X2753" i="32"/>
  <c r="W2754" i="32"/>
  <c r="X2754" i="32"/>
  <c r="W2755" i="32"/>
  <c r="X2755" i="32"/>
  <c r="W2756" i="32"/>
  <c r="X2756" i="32"/>
  <c r="W2757" i="32"/>
  <c r="X2757" i="32"/>
  <c r="W2758" i="32"/>
  <c r="X2758" i="32"/>
  <c r="W2759" i="32"/>
  <c r="X2759" i="32"/>
  <c r="W2760" i="32"/>
  <c r="X2760" i="32"/>
  <c r="W2761" i="32"/>
  <c r="X2761" i="32"/>
  <c r="W2762" i="32"/>
  <c r="X2762" i="32"/>
  <c r="W2763" i="32"/>
  <c r="X2763" i="32"/>
  <c r="W2764" i="32"/>
  <c r="X2764" i="32"/>
  <c r="W2765" i="32"/>
  <c r="X2765" i="32"/>
  <c r="W2766" i="32"/>
  <c r="X2766" i="32"/>
  <c r="W2767" i="32"/>
  <c r="X2767" i="32"/>
  <c r="W2768" i="32"/>
  <c r="X2768" i="32"/>
  <c r="W2769" i="32"/>
  <c r="X2769" i="32"/>
  <c r="W2770" i="32"/>
  <c r="X2770" i="32"/>
  <c r="W2771" i="32"/>
  <c r="X2771" i="32"/>
  <c r="W2772" i="32"/>
  <c r="X2772" i="32"/>
  <c r="W2773" i="32"/>
  <c r="X2773" i="32"/>
  <c r="W2774" i="32"/>
  <c r="X2774" i="32"/>
  <c r="W2775" i="32"/>
  <c r="X2775" i="32"/>
  <c r="W2776" i="32"/>
  <c r="X2776" i="32"/>
  <c r="W2777" i="32"/>
  <c r="X2777" i="32"/>
  <c r="W2778" i="32"/>
  <c r="X2778" i="32"/>
  <c r="W2779" i="32"/>
  <c r="X2779" i="32"/>
  <c r="W2780" i="32"/>
  <c r="X2780" i="32"/>
  <c r="W2781" i="32"/>
  <c r="X2781" i="32"/>
  <c r="W2782" i="32"/>
  <c r="X2782" i="32"/>
  <c r="W2783" i="32"/>
  <c r="X2783" i="32"/>
  <c r="W2784" i="32"/>
  <c r="X2784" i="32"/>
  <c r="W2785" i="32"/>
  <c r="X2785" i="32"/>
  <c r="W2786" i="32"/>
  <c r="X2786" i="32"/>
  <c r="W2787" i="32"/>
  <c r="X2787" i="32"/>
  <c r="W2788" i="32"/>
  <c r="X2788" i="32"/>
  <c r="W2789" i="32"/>
  <c r="X2789" i="32"/>
  <c r="W2790" i="32"/>
  <c r="X2790" i="32"/>
  <c r="W2791" i="32"/>
  <c r="X2791" i="32"/>
  <c r="W2792" i="32"/>
  <c r="X2792" i="32"/>
  <c r="W2793" i="32"/>
  <c r="X2793" i="32"/>
  <c r="W2794" i="32"/>
  <c r="X2794" i="32"/>
  <c r="W2795" i="32"/>
  <c r="X2795" i="32"/>
  <c r="W2796" i="32"/>
  <c r="X2796" i="32"/>
  <c r="W2797" i="32"/>
  <c r="X2797" i="32"/>
  <c r="W2798" i="32"/>
  <c r="X2798" i="32"/>
  <c r="W2799" i="32"/>
  <c r="X2799" i="32"/>
  <c r="W2800" i="32"/>
  <c r="X2800" i="32"/>
  <c r="W2801" i="32"/>
  <c r="X2801" i="32"/>
  <c r="W2802" i="32"/>
  <c r="X2802" i="32"/>
  <c r="W2803" i="32"/>
  <c r="X2803" i="32"/>
  <c r="W2804" i="32"/>
  <c r="X2804" i="32"/>
  <c r="W2805" i="32"/>
  <c r="X2805" i="32"/>
  <c r="W2806" i="32"/>
  <c r="X2806" i="32"/>
  <c r="W2807" i="32"/>
  <c r="X2807" i="32"/>
  <c r="W2808" i="32"/>
  <c r="X2808" i="32"/>
  <c r="W2809" i="32"/>
  <c r="X2809" i="32"/>
  <c r="W2810" i="32"/>
  <c r="X2810" i="32"/>
  <c r="W2811" i="32"/>
  <c r="X2811" i="32"/>
  <c r="W2812" i="32"/>
  <c r="X2812" i="32"/>
  <c r="W2813" i="32"/>
  <c r="X2813" i="32"/>
  <c r="W2814" i="32"/>
  <c r="X2814" i="32"/>
  <c r="W2815" i="32"/>
  <c r="X2815" i="32"/>
  <c r="W2816" i="32"/>
  <c r="X2816" i="32"/>
  <c r="W2817" i="32"/>
  <c r="X2817" i="32"/>
  <c r="W2818" i="32"/>
  <c r="X2818" i="32"/>
  <c r="W2819" i="32"/>
  <c r="X2819" i="32"/>
  <c r="W2820" i="32"/>
  <c r="X2820" i="32"/>
  <c r="W2821" i="32"/>
  <c r="X2821" i="32"/>
  <c r="W2822" i="32"/>
  <c r="X2822" i="32"/>
  <c r="W2823" i="32"/>
  <c r="X2823" i="32"/>
  <c r="W2824" i="32"/>
  <c r="X2824" i="32"/>
  <c r="W2825" i="32"/>
  <c r="X2825" i="32"/>
  <c r="W2826" i="32"/>
  <c r="X2826" i="32"/>
  <c r="W2827" i="32"/>
  <c r="X2827" i="32"/>
  <c r="W2828" i="32"/>
  <c r="X2828" i="32"/>
  <c r="W2829" i="32"/>
  <c r="X2829" i="32"/>
  <c r="W2830" i="32"/>
  <c r="X2830" i="32"/>
  <c r="W2831" i="32"/>
  <c r="X2831" i="32"/>
  <c r="W2832" i="32"/>
  <c r="X2832" i="32"/>
  <c r="W2833" i="32"/>
  <c r="X2833" i="32"/>
  <c r="W2834" i="32"/>
  <c r="X2834" i="32"/>
  <c r="W2835" i="32"/>
  <c r="X2835" i="32"/>
  <c r="W2836" i="32"/>
  <c r="X2836" i="32"/>
  <c r="W2837" i="32"/>
  <c r="X2837" i="32"/>
  <c r="W2838" i="32"/>
  <c r="X2838" i="32"/>
  <c r="W2839" i="32"/>
  <c r="X2839" i="32"/>
  <c r="W2840" i="32"/>
  <c r="X2840" i="32"/>
  <c r="W2841" i="32"/>
  <c r="X2841" i="32"/>
  <c r="W2842" i="32"/>
  <c r="X2842" i="32"/>
  <c r="W2843" i="32"/>
  <c r="X2843" i="32"/>
  <c r="W2844" i="32"/>
  <c r="X2844" i="32"/>
  <c r="W2845" i="32"/>
  <c r="X2845" i="32"/>
  <c r="W2846" i="32"/>
  <c r="X2846" i="32"/>
  <c r="W2847" i="32"/>
  <c r="X2847" i="32"/>
  <c r="W2848" i="32"/>
  <c r="X2848" i="32"/>
  <c r="W2849" i="32"/>
  <c r="X2849" i="32"/>
  <c r="W2850" i="32"/>
  <c r="X2850" i="32"/>
  <c r="W2851" i="32"/>
  <c r="X2851" i="32"/>
  <c r="W2852" i="32"/>
  <c r="X2852" i="32"/>
  <c r="W2853" i="32"/>
  <c r="X2853" i="32"/>
  <c r="W2854" i="32"/>
  <c r="X2854" i="32"/>
  <c r="W2855" i="32"/>
  <c r="X2855" i="32"/>
  <c r="W2856" i="32"/>
  <c r="X2856" i="32"/>
  <c r="W2857" i="32"/>
  <c r="X2857" i="32"/>
  <c r="W2858" i="32"/>
  <c r="X2858" i="32"/>
  <c r="W2859" i="32"/>
  <c r="X2859" i="32"/>
  <c r="W2860" i="32"/>
  <c r="X2860" i="32"/>
  <c r="W2861" i="32"/>
  <c r="X2861" i="32"/>
  <c r="W2862" i="32"/>
  <c r="X2862" i="32"/>
  <c r="W2863" i="32"/>
  <c r="X2863" i="32"/>
  <c r="W2864" i="32"/>
  <c r="X2864" i="32"/>
  <c r="W2865" i="32"/>
  <c r="X2865" i="32"/>
  <c r="W2866" i="32"/>
  <c r="X2866" i="32"/>
  <c r="W2867" i="32"/>
  <c r="X2867" i="32"/>
  <c r="W2868" i="32"/>
  <c r="X2868" i="32"/>
  <c r="W2869" i="32"/>
  <c r="X2869" i="32"/>
  <c r="W2870" i="32"/>
  <c r="X2870" i="32"/>
  <c r="W2871" i="32"/>
  <c r="X2871" i="32"/>
  <c r="W2872" i="32"/>
  <c r="X2872" i="32"/>
  <c r="W2873" i="32"/>
  <c r="X2873" i="32"/>
  <c r="W2874" i="32"/>
  <c r="X2874" i="32"/>
  <c r="W2875" i="32"/>
  <c r="X2875" i="32"/>
  <c r="W2876" i="32"/>
  <c r="X2876" i="32"/>
  <c r="W2877" i="32"/>
  <c r="X2877" i="32"/>
  <c r="W2878" i="32"/>
  <c r="X2878" i="32"/>
  <c r="W2879" i="32"/>
  <c r="X2879" i="32"/>
  <c r="W2880" i="32"/>
  <c r="X2880" i="32"/>
  <c r="W2881" i="32"/>
  <c r="X2881" i="32"/>
  <c r="W2882" i="32"/>
  <c r="X2882" i="32"/>
  <c r="W2883" i="32"/>
  <c r="X2883" i="32"/>
  <c r="W2884" i="32"/>
  <c r="X2884" i="32"/>
  <c r="W2885" i="32"/>
  <c r="X2885" i="32"/>
  <c r="W2886" i="32"/>
  <c r="X2886" i="32"/>
  <c r="W2887" i="32"/>
  <c r="X2887" i="32"/>
  <c r="W2888" i="32"/>
  <c r="X2888" i="32"/>
  <c r="W2889" i="32"/>
  <c r="X2889" i="32"/>
  <c r="W2890" i="32"/>
  <c r="X2890" i="32"/>
  <c r="W2891" i="32"/>
  <c r="X2891" i="32"/>
  <c r="W2892" i="32"/>
  <c r="X2892" i="32"/>
  <c r="W2893" i="32"/>
  <c r="X2893" i="32"/>
  <c r="W2894" i="32"/>
  <c r="X2894" i="32"/>
  <c r="W2895" i="32"/>
  <c r="X2895" i="32"/>
  <c r="W2896" i="32"/>
  <c r="X2896" i="32"/>
  <c r="W2897" i="32"/>
  <c r="X2897" i="32"/>
  <c r="W2898" i="32"/>
  <c r="X2898" i="32"/>
  <c r="W2899" i="32"/>
  <c r="X2899" i="32"/>
  <c r="W2900" i="32"/>
  <c r="X2900" i="32"/>
  <c r="W2901" i="32"/>
  <c r="X2901" i="32"/>
  <c r="W2902" i="32"/>
  <c r="X2902" i="32"/>
  <c r="W2903" i="32"/>
  <c r="X2903" i="32"/>
  <c r="W2904" i="32"/>
  <c r="X2904" i="32"/>
  <c r="W2905" i="32"/>
  <c r="X2905" i="32"/>
  <c r="W2906" i="32"/>
  <c r="X2906" i="32"/>
  <c r="W2907" i="32"/>
  <c r="X2907" i="32"/>
  <c r="W2908" i="32"/>
  <c r="X2908" i="32"/>
  <c r="W2909" i="32"/>
  <c r="X2909" i="32"/>
  <c r="W2910" i="32"/>
  <c r="X2910" i="32"/>
  <c r="W2911" i="32"/>
  <c r="X2911" i="32"/>
  <c r="W2912" i="32"/>
  <c r="X2912" i="32"/>
  <c r="W2913" i="32"/>
  <c r="X2913" i="32"/>
  <c r="W2914" i="32"/>
  <c r="X2914" i="32"/>
  <c r="W2915" i="32"/>
  <c r="X2915" i="32"/>
  <c r="W2916" i="32"/>
  <c r="X2916" i="32"/>
  <c r="W2917" i="32"/>
  <c r="X2917" i="32"/>
  <c r="W2918" i="32"/>
  <c r="X2918" i="32"/>
  <c r="W2919" i="32"/>
  <c r="X2919" i="32"/>
  <c r="W2920" i="32"/>
  <c r="X2920" i="32"/>
  <c r="W2921" i="32"/>
  <c r="X2921" i="32"/>
  <c r="W2922" i="32"/>
  <c r="X2922" i="32"/>
  <c r="W2923" i="32"/>
  <c r="X2923" i="32"/>
  <c r="W2924" i="32"/>
  <c r="X2924" i="32"/>
  <c r="W2925" i="32"/>
  <c r="X2925" i="32"/>
  <c r="W2926" i="32"/>
  <c r="X2926" i="32"/>
  <c r="W2927" i="32"/>
  <c r="X2927" i="32"/>
  <c r="W2928" i="32"/>
  <c r="X2928" i="32"/>
  <c r="W2929" i="32"/>
  <c r="X2929" i="32"/>
  <c r="W2930" i="32"/>
  <c r="X2930" i="32"/>
  <c r="W2931" i="32"/>
  <c r="X2931" i="32"/>
  <c r="W2932" i="32"/>
  <c r="X2932" i="32"/>
  <c r="W2933" i="32"/>
  <c r="X2933" i="32"/>
  <c r="W2934" i="32"/>
  <c r="X2934" i="32"/>
  <c r="W2935" i="32"/>
  <c r="X2935" i="32"/>
  <c r="W2936" i="32"/>
  <c r="X2936" i="32"/>
  <c r="W2937" i="32"/>
  <c r="X2937" i="32"/>
  <c r="W2938" i="32"/>
  <c r="X2938" i="32"/>
  <c r="W2939" i="32"/>
  <c r="X2939" i="32"/>
  <c r="W2940" i="32"/>
  <c r="X2940" i="32"/>
  <c r="W2941" i="32"/>
  <c r="X2941" i="32"/>
  <c r="W2942" i="32"/>
  <c r="X2942" i="32"/>
  <c r="W2943" i="32"/>
  <c r="X2943" i="32"/>
  <c r="W2944" i="32"/>
  <c r="X2944" i="32"/>
  <c r="W2945" i="32"/>
  <c r="X2945" i="32"/>
  <c r="W2946" i="32"/>
  <c r="X2946" i="32"/>
  <c r="W2947" i="32"/>
  <c r="X2947" i="32"/>
  <c r="W2948" i="32"/>
  <c r="X2948" i="32"/>
  <c r="W2949" i="32"/>
  <c r="X2949" i="32"/>
  <c r="W2950" i="32"/>
  <c r="X2950" i="32"/>
  <c r="W2951" i="32"/>
  <c r="X2951" i="32"/>
  <c r="W2952" i="32"/>
  <c r="X2952" i="32"/>
  <c r="W2953" i="32"/>
  <c r="X2953" i="32"/>
  <c r="W2954" i="32"/>
  <c r="X2954" i="32"/>
  <c r="W2955" i="32"/>
  <c r="X2955" i="32"/>
  <c r="W2956" i="32"/>
  <c r="X2956" i="32"/>
  <c r="W2957" i="32"/>
  <c r="X2957" i="32"/>
  <c r="W2958" i="32"/>
  <c r="X2958" i="32"/>
  <c r="W2959" i="32"/>
  <c r="X2959" i="32"/>
  <c r="W2960" i="32"/>
  <c r="X2960" i="32"/>
  <c r="W2961" i="32"/>
  <c r="X2961" i="32"/>
  <c r="W2962" i="32"/>
  <c r="X2962" i="32"/>
  <c r="W2963" i="32"/>
  <c r="X2963" i="32"/>
  <c r="W2964" i="32"/>
  <c r="X2964" i="32"/>
  <c r="W2965" i="32"/>
  <c r="X2965" i="32"/>
  <c r="W2966" i="32"/>
  <c r="X2966" i="32"/>
  <c r="W2967" i="32"/>
  <c r="X2967" i="32"/>
  <c r="W2968" i="32"/>
  <c r="X2968" i="32"/>
  <c r="W2969" i="32"/>
  <c r="X2969" i="32"/>
  <c r="W2970" i="32"/>
  <c r="X2970" i="32"/>
  <c r="W2971" i="32"/>
  <c r="X2971" i="32"/>
  <c r="W2972" i="32"/>
  <c r="X2972" i="32"/>
  <c r="W2973" i="32"/>
  <c r="X2973" i="32"/>
  <c r="W2974" i="32"/>
  <c r="X2974" i="32"/>
  <c r="W2975" i="32"/>
  <c r="X2975" i="32"/>
  <c r="W2976" i="32"/>
  <c r="X2976" i="32"/>
  <c r="W2977" i="32"/>
  <c r="X2977" i="32"/>
  <c r="W2978" i="32"/>
  <c r="X2978" i="32"/>
  <c r="W2979" i="32"/>
  <c r="X2979" i="32"/>
  <c r="W2980" i="32"/>
  <c r="X2980" i="32"/>
  <c r="W2981" i="32"/>
  <c r="X2981" i="32"/>
  <c r="W2982" i="32"/>
  <c r="X2982" i="32"/>
  <c r="W2983" i="32"/>
  <c r="X2983" i="32"/>
  <c r="W2984" i="32"/>
  <c r="X2984" i="32"/>
  <c r="W2985" i="32"/>
  <c r="X2985" i="32"/>
  <c r="W2986" i="32"/>
  <c r="X2986" i="32"/>
  <c r="W2987" i="32"/>
  <c r="X2987" i="32"/>
  <c r="W2988" i="32"/>
  <c r="X2988" i="32"/>
  <c r="W2989" i="32"/>
  <c r="X2989" i="32"/>
  <c r="W2990" i="32"/>
  <c r="X2990" i="32"/>
  <c r="W2991" i="32"/>
  <c r="X2991" i="32"/>
  <c r="W2992" i="32"/>
  <c r="X2992" i="32"/>
  <c r="W2993" i="32"/>
  <c r="X2993" i="32"/>
  <c r="W2994" i="32"/>
  <c r="X2994" i="32"/>
  <c r="W2995" i="32"/>
  <c r="X2995" i="32"/>
  <c r="W2996" i="32"/>
  <c r="X2996" i="32"/>
  <c r="W2997" i="32"/>
  <c r="X2997" i="32"/>
  <c r="W2998" i="32"/>
  <c r="X2998" i="32"/>
  <c r="W2999" i="32"/>
  <c r="X2999" i="32"/>
  <c r="W3000" i="32"/>
  <c r="X3000" i="32"/>
  <c r="W3001" i="32"/>
  <c r="X3001" i="32"/>
  <c r="W3002" i="32"/>
  <c r="X3002" i="32"/>
  <c r="W3003" i="32"/>
  <c r="X3003" i="32"/>
  <c r="W3004" i="32"/>
  <c r="X3004" i="32"/>
  <c r="W3005" i="32"/>
  <c r="X3005" i="32"/>
  <c r="W3006" i="32"/>
  <c r="X3006" i="32"/>
  <c r="W3007" i="32"/>
  <c r="X3007" i="32"/>
  <c r="W3008" i="32"/>
  <c r="X3008" i="32"/>
  <c r="W3009" i="32"/>
  <c r="X3009" i="32"/>
  <c r="W3010" i="32"/>
  <c r="X3010" i="32"/>
  <c r="W3011" i="32"/>
  <c r="X3011" i="32"/>
  <c r="W3012" i="32"/>
  <c r="X3012" i="32"/>
  <c r="W3013" i="32"/>
  <c r="X3013" i="32"/>
  <c r="W3014" i="32"/>
  <c r="X3014" i="32"/>
  <c r="W3015" i="32"/>
  <c r="X3015" i="32"/>
  <c r="W3016" i="32"/>
  <c r="X3016" i="32"/>
  <c r="W3017" i="32"/>
  <c r="X3017" i="32"/>
  <c r="W3018" i="32"/>
  <c r="X3018" i="32"/>
  <c r="W3019" i="32"/>
  <c r="X3019" i="32"/>
  <c r="W3020" i="32"/>
  <c r="X3020" i="32"/>
  <c r="W3021" i="32"/>
  <c r="X3021" i="32"/>
  <c r="W3022" i="32"/>
  <c r="X3022" i="32"/>
  <c r="W3023" i="32"/>
  <c r="X3023" i="32"/>
  <c r="W3024" i="32"/>
  <c r="X3024" i="32"/>
  <c r="W3025" i="32"/>
  <c r="X3025" i="32"/>
  <c r="W3026" i="32"/>
  <c r="X3026" i="32"/>
  <c r="W3027" i="32"/>
  <c r="X3027" i="32"/>
  <c r="W3028" i="32"/>
  <c r="X3028" i="32"/>
  <c r="W3029" i="32"/>
  <c r="X3029" i="32"/>
  <c r="W3030" i="32"/>
  <c r="X3030" i="32"/>
  <c r="W3031" i="32"/>
  <c r="X3031" i="32"/>
  <c r="W3032" i="32"/>
  <c r="X3032" i="32"/>
  <c r="W3033" i="32"/>
  <c r="X3033" i="32"/>
  <c r="W3034" i="32"/>
  <c r="X3034" i="32"/>
  <c r="W3035" i="32"/>
  <c r="X3035" i="32"/>
  <c r="W3036" i="32"/>
  <c r="X3036" i="32"/>
  <c r="W3037" i="32"/>
  <c r="X3037" i="32"/>
  <c r="W3038" i="32"/>
  <c r="X3038" i="32"/>
  <c r="W3039" i="32"/>
  <c r="X3039" i="32"/>
  <c r="W3040" i="32"/>
  <c r="X3040" i="32"/>
  <c r="W3041" i="32"/>
  <c r="X3041" i="32"/>
  <c r="W3042" i="32"/>
  <c r="X3042" i="32"/>
  <c r="W3043" i="32"/>
  <c r="X3043" i="32"/>
  <c r="W3044" i="32"/>
  <c r="X3044" i="32"/>
  <c r="W3045" i="32"/>
  <c r="X3045" i="32"/>
  <c r="W3046" i="32"/>
  <c r="X3046" i="32"/>
  <c r="W3047" i="32"/>
  <c r="X3047" i="32"/>
  <c r="W3048" i="32"/>
  <c r="X3048" i="32"/>
  <c r="W3049" i="32"/>
  <c r="X3049" i="32"/>
  <c r="W3050" i="32"/>
  <c r="X3050" i="32"/>
  <c r="W3051" i="32"/>
  <c r="X3051" i="32"/>
  <c r="W3052" i="32"/>
  <c r="X3052" i="32"/>
  <c r="W3053" i="32"/>
  <c r="X3053" i="32"/>
  <c r="W3054" i="32"/>
  <c r="X3054" i="32"/>
  <c r="W3055" i="32"/>
  <c r="X3055" i="32"/>
  <c r="W3056" i="32"/>
  <c r="X3056" i="32"/>
  <c r="W3057" i="32"/>
  <c r="X3057" i="32"/>
  <c r="W3058" i="32"/>
  <c r="X3058" i="32"/>
  <c r="W3059" i="32"/>
  <c r="X3059" i="32"/>
  <c r="W3060" i="32"/>
  <c r="X3060" i="32"/>
  <c r="W3061" i="32"/>
  <c r="X3061" i="32"/>
  <c r="W3062" i="32"/>
  <c r="X3062" i="32"/>
  <c r="W3063" i="32"/>
  <c r="X3063" i="32"/>
  <c r="W3064" i="32"/>
  <c r="X3064" i="32"/>
  <c r="W3065" i="32"/>
  <c r="X3065" i="32"/>
  <c r="W3066" i="32"/>
  <c r="X3066" i="32"/>
  <c r="W3067" i="32"/>
  <c r="X3067" i="32"/>
  <c r="W3068" i="32"/>
  <c r="X3068" i="32"/>
  <c r="W3069" i="32"/>
  <c r="X3069" i="32"/>
  <c r="W3070" i="32"/>
  <c r="X3070" i="32"/>
  <c r="W3071" i="32"/>
  <c r="X3071" i="32"/>
  <c r="W3072" i="32"/>
  <c r="X3072" i="32"/>
  <c r="W3073" i="32"/>
  <c r="X3073" i="32"/>
  <c r="W3074" i="32"/>
  <c r="X3074" i="32"/>
  <c r="W3075" i="32"/>
  <c r="X3075" i="32"/>
  <c r="W3076" i="32"/>
  <c r="X3076" i="32"/>
  <c r="W3077" i="32"/>
  <c r="X3077" i="32"/>
  <c r="W3078" i="32"/>
  <c r="X3078" i="32"/>
  <c r="W3079" i="32"/>
  <c r="X3079" i="32"/>
  <c r="W3080" i="32"/>
  <c r="X3080" i="32"/>
  <c r="W3081" i="32"/>
  <c r="X3081" i="32"/>
  <c r="W3082" i="32"/>
  <c r="X3082" i="32"/>
  <c r="W3083" i="32"/>
  <c r="X3083" i="32"/>
  <c r="W3084" i="32"/>
  <c r="X3084" i="32"/>
  <c r="W3085" i="32"/>
  <c r="X3085" i="32"/>
  <c r="W3086" i="32"/>
  <c r="X3086" i="32"/>
  <c r="W3087" i="32"/>
  <c r="X3087" i="32"/>
  <c r="W3088" i="32"/>
  <c r="X3088" i="32"/>
  <c r="W3089" i="32"/>
  <c r="X3089" i="32"/>
  <c r="W3090" i="32"/>
  <c r="X3090" i="32"/>
  <c r="W3091" i="32"/>
  <c r="X3091" i="32"/>
  <c r="W3092" i="32"/>
  <c r="X3092" i="32"/>
  <c r="W3093" i="32"/>
  <c r="X3093" i="32"/>
  <c r="W3094" i="32"/>
  <c r="X3094" i="32"/>
  <c r="W3095" i="32"/>
  <c r="X3095" i="32"/>
  <c r="W3096" i="32"/>
  <c r="X3096" i="32"/>
  <c r="W3097" i="32"/>
  <c r="X3097" i="32"/>
  <c r="W3098" i="32"/>
  <c r="X3098" i="32"/>
  <c r="W3099" i="32"/>
  <c r="X3099" i="32"/>
  <c r="W3100" i="32"/>
  <c r="X3100" i="32"/>
  <c r="W3101" i="32"/>
  <c r="X3101" i="32"/>
  <c r="W3102" i="32"/>
  <c r="X3102" i="32"/>
  <c r="W3103" i="32"/>
  <c r="X3103" i="32"/>
  <c r="W3104" i="32"/>
  <c r="X3104" i="32"/>
  <c r="W3105" i="32"/>
  <c r="X3105" i="32"/>
  <c r="W3106" i="32"/>
  <c r="X3106" i="32"/>
  <c r="W3107" i="32"/>
  <c r="X3107" i="32"/>
  <c r="W3108" i="32"/>
  <c r="X3108" i="32"/>
  <c r="W3109" i="32"/>
  <c r="X3109" i="32"/>
  <c r="W3110" i="32"/>
  <c r="X3110" i="32"/>
  <c r="W3111" i="32"/>
  <c r="X3111" i="32"/>
  <c r="W3112" i="32"/>
  <c r="X3112" i="32"/>
  <c r="W3113" i="32"/>
  <c r="X3113" i="32"/>
  <c r="W3114" i="32"/>
  <c r="X3114" i="32"/>
  <c r="W3115" i="32"/>
  <c r="X3115" i="32"/>
  <c r="W3116" i="32"/>
  <c r="X3116" i="32"/>
  <c r="W3117" i="32"/>
  <c r="X3117" i="32"/>
  <c r="W3118" i="32"/>
  <c r="X3118" i="32"/>
  <c r="W3119" i="32"/>
  <c r="X3119" i="32"/>
  <c r="W3120" i="32"/>
  <c r="X3120" i="32"/>
  <c r="W3121" i="32"/>
  <c r="X3121" i="32"/>
  <c r="W3122" i="32"/>
  <c r="X3122" i="32"/>
  <c r="W3123" i="32"/>
  <c r="X3123" i="32"/>
  <c r="W3124" i="32"/>
  <c r="X3124" i="32"/>
  <c r="W3125" i="32"/>
  <c r="X3125" i="32"/>
  <c r="W3126" i="32"/>
  <c r="X3126" i="32"/>
  <c r="W3127" i="32"/>
  <c r="X3127" i="32"/>
  <c r="W3128" i="32"/>
  <c r="X3128" i="32"/>
  <c r="W3129" i="32"/>
  <c r="X3129" i="32"/>
  <c r="W3130" i="32"/>
  <c r="X3130" i="32"/>
  <c r="W3131" i="32"/>
  <c r="X3131" i="32"/>
  <c r="W3132" i="32"/>
  <c r="X3132" i="32"/>
  <c r="W3133" i="32"/>
  <c r="X3133" i="32"/>
  <c r="W3134" i="32"/>
  <c r="X3134" i="32"/>
  <c r="W3135" i="32"/>
  <c r="X3135" i="32"/>
  <c r="W3136" i="32"/>
  <c r="X3136" i="32"/>
  <c r="W3137" i="32"/>
  <c r="X3137" i="32"/>
  <c r="W3138" i="32"/>
  <c r="X3138" i="32"/>
  <c r="W3139" i="32"/>
  <c r="X3139" i="32"/>
  <c r="W3140" i="32"/>
  <c r="X3140" i="32"/>
  <c r="W3141" i="32"/>
  <c r="X3141" i="32"/>
  <c r="W3142" i="32"/>
  <c r="X3142" i="32"/>
  <c r="W3143" i="32"/>
  <c r="X3143" i="32"/>
  <c r="W3144" i="32"/>
  <c r="X3144" i="32"/>
  <c r="W3145" i="32"/>
  <c r="X3145" i="32"/>
  <c r="W3146" i="32"/>
  <c r="X3146" i="32"/>
  <c r="W3147" i="32"/>
  <c r="X3147" i="32"/>
  <c r="W3148" i="32"/>
  <c r="X3148" i="32"/>
  <c r="W3149" i="32"/>
  <c r="X3149" i="32"/>
  <c r="W3150" i="32"/>
  <c r="X3150" i="32"/>
  <c r="W3151" i="32"/>
  <c r="X3151" i="32"/>
  <c r="W3152" i="32"/>
  <c r="X3152" i="32"/>
  <c r="W3153" i="32"/>
  <c r="X3153" i="32"/>
  <c r="W3154" i="32"/>
  <c r="X3154" i="32"/>
  <c r="W3155" i="32"/>
  <c r="X3155" i="32"/>
  <c r="W3156" i="32"/>
  <c r="X3156" i="32"/>
  <c r="W3157" i="32"/>
  <c r="X3157" i="32"/>
  <c r="W3158" i="32"/>
  <c r="X3158" i="32"/>
  <c r="W3159" i="32"/>
  <c r="X3159" i="32"/>
  <c r="W3160" i="32"/>
  <c r="X3160" i="32"/>
  <c r="W3161" i="32"/>
  <c r="X3161" i="32"/>
  <c r="W3162" i="32"/>
  <c r="X3162" i="32"/>
  <c r="W3163" i="32"/>
  <c r="X3163" i="32"/>
  <c r="W3164" i="32"/>
  <c r="X3164" i="32"/>
  <c r="W3165" i="32"/>
  <c r="X3165" i="32"/>
  <c r="W3166" i="32"/>
  <c r="X3166" i="32"/>
  <c r="W3167" i="32"/>
  <c r="X3167" i="32"/>
  <c r="W3168" i="32"/>
  <c r="X3168" i="32"/>
  <c r="W3169" i="32"/>
  <c r="X3169" i="32"/>
  <c r="W3170" i="32"/>
  <c r="X3170" i="32"/>
  <c r="W3171" i="32"/>
  <c r="X3171" i="32"/>
  <c r="W3172" i="32"/>
  <c r="X3172" i="32"/>
  <c r="W3173" i="32"/>
  <c r="X3173" i="32"/>
  <c r="W3174" i="32"/>
  <c r="X3174" i="32"/>
  <c r="W3175" i="32"/>
  <c r="X3175" i="32"/>
  <c r="W3176" i="32"/>
  <c r="X3176" i="32"/>
  <c r="W3177" i="32"/>
  <c r="X3177" i="32"/>
  <c r="W3178" i="32"/>
  <c r="X3178" i="32"/>
  <c r="W3179" i="32"/>
  <c r="X3179" i="32"/>
  <c r="W3180" i="32"/>
  <c r="X3180" i="32"/>
  <c r="W3181" i="32"/>
  <c r="X3181" i="32"/>
  <c r="W3182" i="32"/>
  <c r="X3182" i="32"/>
  <c r="W3183" i="32"/>
  <c r="X3183" i="32"/>
  <c r="W3184" i="32"/>
  <c r="X3184" i="32"/>
  <c r="W3185" i="32"/>
  <c r="X3185" i="32"/>
  <c r="W3186" i="32"/>
  <c r="X3186" i="32"/>
  <c r="W3187" i="32"/>
  <c r="X3187" i="32"/>
  <c r="W3188" i="32"/>
  <c r="X3188" i="32"/>
  <c r="W3189" i="32"/>
  <c r="X3189" i="32"/>
  <c r="W3190" i="32"/>
  <c r="X3190" i="32"/>
  <c r="W3191" i="32"/>
  <c r="X3191" i="32"/>
  <c r="W3192" i="32"/>
  <c r="X3192" i="32"/>
  <c r="W3193" i="32"/>
  <c r="X3193" i="32"/>
  <c r="W3194" i="32"/>
  <c r="X3194" i="32"/>
  <c r="W3195" i="32"/>
  <c r="X3195" i="32"/>
  <c r="W3196" i="32"/>
  <c r="X3196" i="32"/>
  <c r="W3197" i="32"/>
  <c r="X3197" i="32"/>
  <c r="W3198" i="32"/>
  <c r="X3198" i="32"/>
  <c r="W3199" i="32"/>
  <c r="X3199" i="32"/>
  <c r="W3200" i="32"/>
  <c r="X3200" i="32"/>
  <c r="W3201" i="32"/>
  <c r="X3201" i="32"/>
  <c r="W3202" i="32"/>
  <c r="X3202" i="32"/>
  <c r="W3203" i="32"/>
  <c r="X3203" i="32"/>
  <c r="W3204" i="32"/>
  <c r="X3204" i="32"/>
  <c r="W3205" i="32"/>
  <c r="X3205" i="32"/>
  <c r="W3206" i="32"/>
  <c r="X3206" i="32"/>
  <c r="W3207" i="32"/>
  <c r="X3207" i="32"/>
  <c r="W3208" i="32"/>
  <c r="X3208" i="32"/>
  <c r="W3209" i="32"/>
  <c r="X3209" i="32"/>
  <c r="W3210" i="32"/>
  <c r="X3210" i="32"/>
  <c r="W3211" i="32"/>
  <c r="X3211" i="32"/>
  <c r="W3212" i="32"/>
  <c r="X3212" i="32"/>
  <c r="W3213" i="32"/>
  <c r="X3213" i="32"/>
  <c r="W3214" i="32"/>
  <c r="X3214" i="32"/>
  <c r="W3215" i="32"/>
  <c r="X3215" i="32"/>
  <c r="W3216" i="32"/>
  <c r="X3216" i="32"/>
  <c r="W3217" i="32"/>
  <c r="X3217" i="32"/>
  <c r="W3218" i="32"/>
  <c r="X3218" i="32"/>
  <c r="W3219" i="32"/>
  <c r="X3219" i="32"/>
  <c r="W3220" i="32"/>
  <c r="X3220" i="32"/>
  <c r="W3221" i="32"/>
  <c r="X3221" i="32"/>
  <c r="W3222" i="32"/>
  <c r="X3222" i="32"/>
  <c r="W3223" i="32"/>
  <c r="X3223" i="32"/>
  <c r="W3224" i="32"/>
  <c r="X3224" i="32"/>
  <c r="W3225" i="32"/>
  <c r="X3225" i="32"/>
  <c r="W3226" i="32"/>
  <c r="X3226" i="32"/>
  <c r="W3227" i="32"/>
  <c r="X3227" i="32"/>
  <c r="W3228" i="32"/>
  <c r="X3228" i="32"/>
  <c r="W3229" i="32"/>
  <c r="X3229" i="32"/>
  <c r="W3230" i="32"/>
  <c r="X3230" i="32"/>
  <c r="W3231" i="32"/>
  <c r="X3231" i="32"/>
  <c r="W3232" i="32"/>
  <c r="X3232" i="32"/>
  <c r="W3233" i="32"/>
  <c r="X3233" i="32"/>
  <c r="W3234" i="32"/>
  <c r="X3234" i="32"/>
  <c r="W3235" i="32"/>
  <c r="X3235" i="32"/>
  <c r="W3236" i="32"/>
  <c r="X3236" i="32"/>
  <c r="W3237" i="32"/>
  <c r="X3237" i="32"/>
  <c r="W3238" i="32"/>
  <c r="X3238" i="32"/>
  <c r="W3239" i="32"/>
  <c r="X3239" i="32"/>
  <c r="W3240" i="32"/>
  <c r="X3240" i="32"/>
  <c r="W3241" i="32"/>
  <c r="X3241" i="32"/>
  <c r="W3242" i="32"/>
  <c r="X3242" i="32"/>
  <c r="W3243" i="32"/>
  <c r="X3243" i="32"/>
  <c r="W3244" i="32"/>
  <c r="X3244" i="32"/>
  <c r="W3245" i="32"/>
  <c r="X3245" i="32"/>
  <c r="W3246" i="32"/>
  <c r="X3246" i="32"/>
  <c r="W3247" i="32"/>
  <c r="X3247" i="32"/>
  <c r="W3248" i="32"/>
  <c r="X3248" i="32"/>
  <c r="W3249" i="32"/>
  <c r="X3249" i="32"/>
  <c r="W3250" i="32"/>
  <c r="X3250" i="32"/>
  <c r="W3251" i="32"/>
  <c r="X3251" i="32"/>
  <c r="W3252" i="32"/>
  <c r="X3252" i="32"/>
  <c r="W3253" i="32"/>
  <c r="X3253" i="32"/>
  <c r="W3254" i="32"/>
  <c r="X3254" i="32"/>
  <c r="W3255" i="32"/>
  <c r="X3255" i="32"/>
  <c r="W3256" i="32"/>
  <c r="X3256" i="32"/>
  <c r="W3257" i="32"/>
  <c r="X3257" i="32"/>
  <c r="W3258" i="32"/>
  <c r="X3258" i="32"/>
  <c r="W3259" i="32"/>
  <c r="X3259" i="32"/>
  <c r="W3260" i="32"/>
  <c r="X3260" i="32"/>
  <c r="W3261" i="32"/>
  <c r="X3261" i="32"/>
  <c r="W3262" i="32"/>
  <c r="X3262" i="32"/>
  <c r="W3263" i="32"/>
  <c r="X3263" i="32"/>
  <c r="W3264" i="32"/>
  <c r="X3264" i="32"/>
  <c r="W3265" i="32"/>
  <c r="X3265" i="32"/>
  <c r="W3266" i="32"/>
  <c r="X3266" i="32"/>
  <c r="W3267" i="32"/>
  <c r="X3267" i="32"/>
  <c r="W3268" i="32"/>
  <c r="X3268" i="32"/>
  <c r="W3269" i="32"/>
  <c r="X3269" i="32"/>
  <c r="W3270" i="32"/>
  <c r="X3270" i="32"/>
  <c r="W3271" i="32"/>
  <c r="X3271" i="32"/>
  <c r="W3272" i="32"/>
  <c r="X3272" i="32"/>
  <c r="W3273" i="32"/>
  <c r="X3273" i="32"/>
  <c r="W3274" i="32"/>
  <c r="X3274" i="32"/>
  <c r="W3275" i="32"/>
  <c r="X3275" i="32"/>
  <c r="W3276" i="32"/>
  <c r="X3276" i="32"/>
  <c r="W3277" i="32"/>
  <c r="X3277" i="32"/>
  <c r="W3278" i="32"/>
  <c r="X3278" i="32"/>
  <c r="W3279" i="32"/>
  <c r="X3279" i="32"/>
  <c r="W3280" i="32"/>
  <c r="X3280" i="32"/>
  <c r="W3281" i="32"/>
  <c r="X3281" i="32"/>
  <c r="W3282" i="32"/>
  <c r="X3282" i="32"/>
  <c r="W3283" i="32"/>
  <c r="X3283" i="32"/>
  <c r="W3284" i="32"/>
  <c r="X3284" i="32"/>
  <c r="W3285" i="32"/>
  <c r="X3285" i="32"/>
  <c r="W3286" i="32"/>
  <c r="X3286" i="32"/>
  <c r="W3287" i="32"/>
  <c r="X3287" i="32"/>
  <c r="W3288" i="32"/>
  <c r="X3288" i="32"/>
  <c r="W3289" i="32"/>
  <c r="X3289" i="32"/>
  <c r="W3290" i="32"/>
  <c r="X3290" i="32"/>
  <c r="W3291" i="32"/>
  <c r="X3291" i="32"/>
  <c r="W3292" i="32"/>
  <c r="X3292" i="32"/>
  <c r="W3293" i="32"/>
  <c r="X3293" i="32"/>
  <c r="W3294" i="32"/>
  <c r="X3294" i="32"/>
  <c r="W3295" i="32"/>
  <c r="X3295" i="32"/>
  <c r="W3296" i="32"/>
  <c r="X3296" i="32"/>
  <c r="W3297" i="32"/>
  <c r="X3297" i="32"/>
  <c r="W3298" i="32"/>
  <c r="X3298" i="32"/>
  <c r="W3299" i="32"/>
  <c r="X3299" i="32"/>
  <c r="W3300" i="32"/>
  <c r="X3300" i="32"/>
  <c r="W3301" i="32"/>
  <c r="X3301" i="32"/>
  <c r="W3302" i="32"/>
  <c r="X3302" i="32"/>
  <c r="W3303" i="32"/>
  <c r="X3303" i="32"/>
  <c r="W3304" i="32"/>
  <c r="X3304" i="32"/>
  <c r="W3305" i="32"/>
  <c r="X3305" i="32"/>
  <c r="W3306" i="32"/>
  <c r="X3306" i="32"/>
  <c r="W3307" i="32"/>
  <c r="X3307" i="32"/>
  <c r="W3308" i="32"/>
  <c r="X3308" i="32"/>
  <c r="W3309" i="32"/>
  <c r="X3309" i="32"/>
  <c r="W3310" i="32"/>
  <c r="X3310" i="32"/>
  <c r="W3311" i="32"/>
  <c r="X3311" i="32"/>
  <c r="W3312" i="32"/>
  <c r="X3312" i="32"/>
  <c r="W3313" i="32"/>
  <c r="X3313" i="32"/>
  <c r="W3314" i="32"/>
  <c r="X3314" i="32"/>
  <c r="W3315" i="32"/>
  <c r="X3315" i="32"/>
  <c r="W3316" i="32"/>
  <c r="X3316" i="32"/>
  <c r="W3317" i="32"/>
  <c r="X3317" i="32"/>
  <c r="W3318" i="32"/>
  <c r="X3318" i="32"/>
  <c r="W3319" i="32"/>
  <c r="X3319" i="32"/>
  <c r="W3320" i="32"/>
  <c r="X3320" i="32"/>
  <c r="W3321" i="32"/>
  <c r="X3321" i="32"/>
  <c r="W3322" i="32"/>
  <c r="X3322" i="32"/>
  <c r="W3323" i="32"/>
  <c r="X3323" i="32"/>
  <c r="W3324" i="32"/>
  <c r="X3324" i="32"/>
  <c r="W3325" i="32"/>
  <c r="X3325" i="32"/>
  <c r="W3326" i="32"/>
  <c r="X3326" i="32"/>
  <c r="W3327" i="32"/>
  <c r="X3327" i="32"/>
  <c r="W3328" i="32"/>
  <c r="X3328" i="32"/>
  <c r="W3329" i="32"/>
  <c r="X3329" i="32"/>
  <c r="W3330" i="32"/>
  <c r="X3330" i="32"/>
  <c r="W3331" i="32"/>
  <c r="X3331" i="32"/>
  <c r="W3332" i="32"/>
  <c r="X3332" i="32"/>
  <c r="W3333" i="32"/>
  <c r="X3333" i="32"/>
  <c r="W3334" i="32"/>
  <c r="X3334" i="32"/>
  <c r="W3335" i="32"/>
  <c r="X3335" i="32"/>
  <c r="W3336" i="32"/>
  <c r="X3336" i="32"/>
  <c r="W3337" i="32"/>
  <c r="X3337" i="32"/>
  <c r="W3338" i="32"/>
  <c r="X3338" i="32"/>
  <c r="W3339" i="32"/>
  <c r="X3339" i="32"/>
  <c r="W3340" i="32"/>
  <c r="X3340" i="32"/>
  <c r="W3341" i="32"/>
  <c r="X3341" i="32"/>
  <c r="W3342" i="32"/>
  <c r="X3342" i="32"/>
  <c r="W3343" i="32"/>
  <c r="X3343" i="32"/>
  <c r="W3344" i="32"/>
  <c r="X3344" i="32"/>
  <c r="W3345" i="32"/>
  <c r="X3345" i="32"/>
  <c r="W3346" i="32"/>
  <c r="X3346" i="32"/>
  <c r="W3347" i="32"/>
  <c r="X3347" i="32"/>
  <c r="W3348" i="32"/>
  <c r="X3348" i="32"/>
  <c r="W3349" i="32"/>
  <c r="X3349" i="32"/>
  <c r="W3350" i="32"/>
  <c r="X3350" i="32"/>
  <c r="W3351" i="32"/>
  <c r="X3351" i="32"/>
  <c r="W3352" i="32"/>
  <c r="X3352" i="32"/>
  <c r="W3353" i="32"/>
  <c r="X3353" i="32"/>
  <c r="W3354" i="32"/>
  <c r="X3354" i="32"/>
  <c r="W3355" i="32"/>
  <c r="X3355" i="32"/>
  <c r="W3356" i="32"/>
  <c r="X3356" i="32"/>
  <c r="W3357" i="32"/>
  <c r="X3357" i="32"/>
  <c r="W3358" i="32"/>
  <c r="X3358" i="32"/>
  <c r="W3359" i="32"/>
  <c r="X3359" i="32"/>
  <c r="W3360" i="32"/>
  <c r="X3360" i="32"/>
  <c r="W3361" i="32"/>
  <c r="X3361" i="32"/>
  <c r="W3362" i="32"/>
  <c r="X3362" i="32"/>
  <c r="W3363" i="32"/>
  <c r="X3363" i="32"/>
  <c r="W3364" i="32"/>
  <c r="X3364" i="32"/>
  <c r="W3365" i="32"/>
  <c r="X3365" i="32"/>
  <c r="W3366" i="32"/>
  <c r="X3366" i="32"/>
  <c r="W3367" i="32"/>
  <c r="X3367" i="32"/>
  <c r="W3368" i="32"/>
  <c r="X3368" i="32"/>
  <c r="W3369" i="32"/>
  <c r="X3369" i="32"/>
  <c r="W3370" i="32"/>
  <c r="X3370" i="32"/>
  <c r="W3371" i="32"/>
  <c r="X3371" i="32"/>
  <c r="W3372" i="32"/>
  <c r="X3372" i="32"/>
  <c r="W3373" i="32"/>
  <c r="X3373" i="32"/>
  <c r="W3374" i="32"/>
  <c r="X3374" i="32"/>
  <c r="W3375" i="32"/>
  <c r="X3375" i="32"/>
  <c r="W3376" i="32"/>
  <c r="X3376" i="32"/>
  <c r="W3377" i="32"/>
  <c r="X3377" i="32"/>
  <c r="W3378" i="32"/>
  <c r="X3378" i="32"/>
  <c r="W3379" i="32"/>
  <c r="X3379" i="32"/>
  <c r="W3380" i="32"/>
  <c r="X3380" i="32"/>
  <c r="W3381" i="32"/>
  <c r="X3381" i="32"/>
  <c r="W3382" i="32"/>
  <c r="X3382" i="32"/>
  <c r="W3383" i="32"/>
  <c r="X3383" i="32"/>
  <c r="W3384" i="32"/>
  <c r="X3384" i="32"/>
  <c r="W3385" i="32"/>
  <c r="X3385" i="32"/>
  <c r="W3386" i="32"/>
  <c r="X3386" i="32"/>
  <c r="W3387" i="32"/>
  <c r="X3387" i="32"/>
  <c r="W3388" i="32"/>
  <c r="X3388" i="32"/>
  <c r="W3389" i="32"/>
  <c r="X3389" i="32"/>
  <c r="W3390" i="32"/>
  <c r="X3390" i="32"/>
  <c r="W3391" i="32"/>
  <c r="X3391" i="32"/>
  <c r="W3392" i="32"/>
  <c r="X3392" i="32"/>
  <c r="W3393" i="32"/>
  <c r="X3393" i="32"/>
  <c r="W3394" i="32"/>
  <c r="X3394" i="32"/>
  <c r="W3395" i="32"/>
  <c r="X3395" i="32"/>
  <c r="W3396" i="32"/>
  <c r="X3396" i="32"/>
  <c r="W3397" i="32"/>
  <c r="X3397" i="32"/>
  <c r="W3398" i="32"/>
  <c r="X3398" i="32"/>
  <c r="W3399" i="32"/>
  <c r="X3399" i="32"/>
  <c r="W3400" i="32"/>
  <c r="X3400" i="32"/>
  <c r="W3401" i="32"/>
  <c r="X3401" i="32"/>
  <c r="W3402" i="32"/>
  <c r="X3402" i="32"/>
  <c r="W3403" i="32"/>
  <c r="X3403" i="32"/>
  <c r="W3404" i="32"/>
  <c r="X3404" i="32"/>
  <c r="W3405" i="32"/>
  <c r="X3405" i="32"/>
  <c r="W3406" i="32"/>
  <c r="X3406" i="32"/>
  <c r="W3407" i="32"/>
  <c r="X3407" i="32"/>
  <c r="W3408" i="32"/>
  <c r="X3408" i="32"/>
  <c r="W3409" i="32"/>
  <c r="X3409" i="32"/>
  <c r="W3410" i="32"/>
  <c r="X3410" i="32"/>
  <c r="W3411" i="32"/>
  <c r="X3411" i="32"/>
  <c r="W3412" i="32"/>
  <c r="X3412" i="32"/>
  <c r="W3413" i="32"/>
  <c r="X3413" i="32"/>
  <c r="W3414" i="32"/>
  <c r="X3414" i="32"/>
  <c r="W3415" i="32"/>
  <c r="X3415" i="32"/>
  <c r="W3416" i="32"/>
  <c r="X3416" i="32"/>
  <c r="W3417" i="32"/>
  <c r="X3417" i="32"/>
  <c r="W3418" i="32"/>
  <c r="X3418" i="32"/>
  <c r="W3419" i="32"/>
  <c r="X3419" i="32"/>
  <c r="W3420" i="32"/>
  <c r="X3420" i="32"/>
  <c r="W3421" i="32"/>
  <c r="X3421" i="32"/>
  <c r="W3422" i="32"/>
  <c r="X3422" i="32"/>
  <c r="W3423" i="32"/>
  <c r="X3423" i="32"/>
  <c r="W3424" i="32"/>
  <c r="X3424" i="32"/>
  <c r="W3425" i="32"/>
  <c r="X3425" i="32"/>
  <c r="W3426" i="32"/>
  <c r="X3426" i="32"/>
  <c r="W3427" i="32"/>
  <c r="X3427" i="32"/>
  <c r="W3428" i="32"/>
  <c r="X3428" i="32"/>
  <c r="W3429" i="32"/>
  <c r="X3429" i="32"/>
  <c r="W3430" i="32"/>
  <c r="X3430" i="32"/>
  <c r="W3431" i="32"/>
  <c r="X3431" i="32"/>
  <c r="W3432" i="32"/>
  <c r="X3432" i="32"/>
  <c r="W3433" i="32"/>
  <c r="X3433" i="32"/>
  <c r="W3434" i="32"/>
  <c r="X3434" i="32"/>
  <c r="W3435" i="32"/>
  <c r="X3435" i="32"/>
  <c r="W3436" i="32"/>
  <c r="X3436" i="32"/>
  <c r="W3437" i="32"/>
  <c r="X3437" i="32"/>
  <c r="W3438" i="32"/>
  <c r="X3438" i="32"/>
  <c r="W3439" i="32"/>
  <c r="X3439" i="32"/>
  <c r="W3440" i="32"/>
  <c r="X3440" i="32"/>
  <c r="W3441" i="32"/>
  <c r="X3441" i="32"/>
  <c r="W3442" i="32"/>
  <c r="X3442" i="32"/>
  <c r="W3443" i="32"/>
  <c r="X3443" i="32"/>
  <c r="W3444" i="32"/>
  <c r="X3444" i="32"/>
  <c r="W3445" i="32"/>
  <c r="X3445" i="32"/>
  <c r="W3446" i="32"/>
  <c r="X3446" i="32"/>
  <c r="W3447" i="32"/>
  <c r="X3447" i="32"/>
  <c r="W3448" i="32"/>
  <c r="X3448" i="32"/>
  <c r="W3449" i="32"/>
  <c r="X3449" i="32"/>
  <c r="W3450" i="32"/>
  <c r="X3450" i="32"/>
  <c r="W3451" i="32"/>
  <c r="X3451" i="32"/>
  <c r="W3452" i="32"/>
  <c r="X3452" i="32"/>
  <c r="W3453" i="32"/>
  <c r="X3453" i="32"/>
  <c r="W3454" i="32"/>
  <c r="X3454" i="32"/>
  <c r="W3455" i="32"/>
  <c r="X3455" i="32"/>
  <c r="W3456" i="32"/>
  <c r="X3456" i="32"/>
  <c r="W3457" i="32"/>
  <c r="X3457" i="32"/>
  <c r="W3458" i="32"/>
  <c r="X3458" i="32"/>
  <c r="W3459" i="32"/>
  <c r="X3459" i="32"/>
  <c r="W3460" i="32"/>
  <c r="X3460" i="32"/>
  <c r="W3461" i="32"/>
  <c r="X3461" i="32"/>
  <c r="W3462" i="32"/>
  <c r="X3462" i="32"/>
  <c r="W3463" i="32"/>
  <c r="X3463" i="32"/>
  <c r="W3464" i="32"/>
  <c r="X3464" i="32"/>
  <c r="W3465" i="32"/>
  <c r="X3465" i="32"/>
  <c r="W3466" i="32"/>
  <c r="X3466" i="32"/>
  <c r="W3467" i="32"/>
  <c r="X3467" i="32"/>
  <c r="W3468" i="32"/>
  <c r="X3468" i="32"/>
  <c r="W3469" i="32"/>
  <c r="X3469" i="32"/>
  <c r="W3470" i="32"/>
  <c r="X3470" i="32"/>
  <c r="W3471" i="32"/>
  <c r="X3471" i="32"/>
  <c r="W3472" i="32"/>
  <c r="X3472" i="32"/>
  <c r="W3473" i="32"/>
  <c r="X3473" i="32"/>
  <c r="W3474" i="32"/>
  <c r="X3474" i="32"/>
  <c r="W3475" i="32"/>
  <c r="X3475" i="32"/>
  <c r="W3476" i="32"/>
  <c r="X3476" i="32"/>
  <c r="W3477" i="32"/>
  <c r="X3477" i="32"/>
  <c r="W3478" i="32"/>
  <c r="X3478" i="32"/>
  <c r="W3479" i="32"/>
  <c r="X3479" i="32"/>
  <c r="W3480" i="32"/>
  <c r="X3480" i="32"/>
  <c r="W3481" i="32"/>
  <c r="X3481" i="32"/>
  <c r="W3482" i="32"/>
  <c r="X3482" i="32"/>
  <c r="W3483" i="32"/>
  <c r="X3483" i="32"/>
  <c r="W3484" i="32"/>
  <c r="X3484" i="32"/>
  <c r="W3485" i="32"/>
  <c r="X3485" i="32"/>
  <c r="W3486" i="32"/>
  <c r="X3486" i="32"/>
  <c r="W3487" i="32"/>
  <c r="X3487" i="32"/>
  <c r="W3488" i="32"/>
  <c r="X3488" i="32"/>
  <c r="W3489" i="32"/>
  <c r="X3489" i="32"/>
  <c r="W3490" i="32"/>
  <c r="X3490" i="32"/>
  <c r="W3491" i="32"/>
  <c r="X3491" i="32"/>
  <c r="W3492" i="32"/>
  <c r="X3492" i="32"/>
  <c r="W3493" i="32"/>
  <c r="X3493" i="32"/>
  <c r="W3494" i="32"/>
  <c r="X3494" i="32"/>
  <c r="W3495" i="32"/>
  <c r="X3495" i="32"/>
  <c r="W3496" i="32"/>
  <c r="X3496" i="32"/>
  <c r="W3497" i="32"/>
  <c r="X3497" i="32"/>
  <c r="W3498" i="32"/>
  <c r="X3498" i="32"/>
  <c r="W3499" i="32"/>
  <c r="X3499" i="32"/>
  <c r="W3500" i="32"/>
  <c r="X3500" i="32"/>
  <c r="W3501" i="32"/>
  <c r="X3501" i="32"/>
  <c r="W3502" i="32"/>
  <c r="X3502" i="32"/>
  <c r="W3503" i="32"/>
  <c r="X3503" i="32"/>
  <c r="W3504" i="32"/>
  <c r="X3504" i="32"/>
  <c r="W3505" i="32"/>
  <c r="X3505" i="32"/>
  <c r="W3506" i="32"/>
  <c r="X3506" i="32"/>
  <c r="W3507" i="32"/>
  <c r="X3507" i="32"/>
  <c r="W3508" i="32"/>
  <c r="X3508" i="32"/>
  <c r="W3509" i="32"/>
  <c r="X3509" i="32"/>
  <c r="W3510" i="32"/>
  <c r="X3510" i="32"/>
  <c r="W3511" i="32"/>
  <c r="X3511" i="32"/>
  <c r="W3512" i="32"/>
  <c r="X3512" i="32"/>
  <c r="W3513" i="32"/>
  <c r="X3513" i="32"/>
  <c r="W3514" i="32"/>
  <c r="X3514" i="32"/>
  <c r="W3515" i="32"/>
  <c r="X3515" i="32"/>
  <c r="W3516" i="32"/>
  <c r="X3516" i="32"/>
  <c r="W3517" i="32"/>
  <c r="X3517" i="32"/>
  <c r="W3518" i="32"/>
  <c r="X3518" i="32"/>
  <c r="W3519" i="32"/>
  <c r="X3519" i="32"/>
  <c r="W3520" i="32"/>
  <c r="X3520" i="32"/>
  <c r="W3521" i="32"/>
  <c r="X3521" i="32"/>
  <c r="W3522" i="32"/>
  <c r="X3522" i="32"/>
  <c r="W3523" i="32"/>
  <c r="X3523" i="32"/>
  <c r="W3524" i="32"/>
  <c r="X3524" i="32"/>
  <c r="W3525" i="32"/>
  <c r="X3525" i="32"/>
  <c r="W3526" i="32"/>
  <c r="X3526" i="32"/>
  <c r="W3527" i="32"/>
  <c r="X3527" i="32"/>
  <c r="W3528" i="32"/>
  <c r="X3528" i="32"/>
  <c r="W3529" i="32"/>
  <c r="X3529" i="32"/>
  <c r="W3530" i="32"/>
  <c r="X3530" i="32"/>
  <c r="W3531" i="32"/>
  <c r="X3531" i="32"/>
  <c r="W3532" i="32"/>
  <c r="X3532" i="32"/>
  <c r="W3533" i="32"/>
  <c r="X3533" i="32"/>
  <c r="W3534" i="32"/>
  <c r="X3534" i="32"/>
  <c r="W3535" i="32"/>
  <c r="X3535" i="32"/>
  <c r="W3536" i="32"/>
  <c r="X3536" i="32"/>
  <c r="W3537" i="32"/>
  <c r="X3537" i="32"/>
  <c r="W3538" i="32"/>
  <c r="X3538" i="32"/>
  <c r="W3539" i="32"/>
  <c r="X3539" i="32"/>
  <c r="W3540" i="32"/>
  <c r="X3540" i="32"/>
  <c r="W3541" i="32"/>
  <c r="X3541" i="32"/>
  <c r="W3542" i="32"/>
  <c r="X3542" i="32"/>
  <c r="W3543" i="32"/>
  <c r="X3543" i="32"/>
  <c r="W3544" i="32"/>
  <c r="X3544" i="32"/>
  <c r="W3545" i="32"/>
  <c r="X3545" i="32"/>
  <c r="W3546" i="32"/>
  <c r="X3546" i="32"/>
  <c r="W3547" i="32"/>
  <c r="X3547" i="32"/>
  <c r="W3548" i="32"/>
  <c r="X3548" i="32"/>
  <c r="W3549" i="32"/>
  <c r="X3549" i="32"/>
  <c r="W3550" i="32"/>
  <c r="X3550" i="32"/>
  <c r="W3551" i="32"/>
  <c r="X3551" i="32"/>
  <c r="W3552" i="32"/>
  <c r="X3552" i="32"/>
  <c r="W3553" i="32"/>
  <c r="X3553" i="32"/>
  <c r="W3554" i="32"/>
  <c r="X3554" i="32"/>
  <c r="W3555" i="32"/>
  <c r="X3555" i="32"/>
  <c r="W3556" i="32"/>
  <c r="X3556" i="32"/>
  <c r="W3557" i="32"/>
  <c r="X3557" i="32"/>
  <c r="W3558" i="32"/>
  <c r="X3558" i="32"/>
  <c r="W3559" i="32"/>
  <c r="X3559" i="32"/>
  <c r="W3560" i="32"/>
  <c r="X3560" i="32"/>
  <c r="W3561" i="32"/>
  <c r="X3561" i="32"/>
  <c r="W3562" i="32"/>
  <c r="X3562" i="32"/>
  <c r="W3563" i="32"/>
  <c r="X3563" i="32"/>
  <c r="W3564" i="32"/>
  <c r="X3564" i="32"/>
  <c r="W3565" i="32"/>
  <c r="X3565" i="32"/>
  <c r="W3566" i="32"/>
  <c r="X3566" i="32"/>
  <c r="W3567" i="32"/>
  <c r="X3567" i="32"/>
  <c r="W3568" i="32"/>
  <c r="X3568" i="32"/>
  <c r="W3569" i="32"/>
  <c r="X3569" i="32"/>
  <c r="W3570" i="32"/>
  <c r="X3570" i="32"/>
  <c r="W3571" i="32"/>
  <c r="X3571" i="32"/>
  <c r="W3572" i="32"/>
  <c r="X3572" i="32"/>
  <c r="W3573" i="32"/>
  <c r="X3573" i="32"/>
  <c r="W3574" i="32"/>
  <c r="X3574" i="32"/>
  <c r="W3575" i="32"/>
  <c r="X3575" i="32"/>
  <c r="W3576" i="32"/>
  <c r="X3576" i="32"/>
  <c r="W3577" i="32"/>
  <c r="X3577" i="32"/>
  <c r="W3578" i="32"/>
  <c r="X3578" i="32"/>
  <c r="W3579" i="32"/>
  <c r="X3579" i="32"/>
  <c r="W3580" i="32"/>
  <c r="X3580" i="32"/>
  <c r="W3581" i="32"/>
  <c r="X3581" i="32"/>
  <c r="W3582" i="32"/>
  <c r="X3582" i="32"/>
  <c r="W3583" i="32"/>
  <c r="X3583" i="32"/>
  <c r="W3584" i="32"/>
  <c r="X3584" i="32"/>
  <c r="W3585" i="32"/>
  <c r="X3585" i="32"/>
  <c r="W3586" i="32"/>
  <c r="X3586" i="32"/>
  <c r="W3587" i="32"/>
  <c r="X3587" i="32"/>
  <c r="W3588" i="32"/>
  <c r="X3588" i="32"/>
  <c r="W3589" i="32"/>
  <c r="X3589" i="32"/>
  <c r="W3590" i="32"/>
  <c r="X3590" i="32"/>
  <c r="W3591" i="32"/>
  <c r="X3591" i="32"/>
  <c r="W3592" i="32"/>
  <c r="X3592" i="32"/>
  <c r="W3593" i="32"/>
  <c r="X3593" i="32"/>
  <c r="W3594" i="32"/>
  <c r="X3594" i="32"/>
  <c r="W3595" i="32"/>
  <c r="X3595" i="32"/>
  <c r="W3596" i="32"/>
  <c r="X3596" i="32"/>
  <c r="W3597" i="32"/>
  <c r="X3597" i="32"/>
  <c r="W3598" i="32"/>
  <c r="X3598" i="32"/>
  <c r="W3599" i="32"/>
  <c r="X3599" i="32"/>
  <c r="W3600" i="32"/>
  <c r="X3600" i="32"/>
  <c r="W3601" i="32"/>
  <c r="X3601" i="32"/>
  <c r="W3602" i="32"/>
  <c r="X3602" i="32"/>
  <c r="W3603" i="32"/>
  <c r="X3603" i="32"/>
  <c r="W3604" i="32"/>
  <c r="X3604" i="32"/>
  <c r="W3605" i="32"/>
  <c r="X3605" i="32"/>
  <c r="W3606" i="32"/>
  <c r="X3606" i="32"/>
  <c r="W3607" i="32"/>
  <c r="X3607" i="32"/>
  <c r="W3608" i="32"/>
  <c r="X3608" i="32"/>
  <c r="W3609" i="32"/>
  <c r="X3609" i="32"/>
  <c r="W3610" i="32"/>
  <c r="X3610" i="32"/>
  <c r="W3611" i="32"/>
  <c r="X3611" i="32"/>
  <c r="W3612" i="32"/>
  <c r="X3612" i="32"/>
  <c r="W3613" i="32"/>
  <c r="X3613" i="32"/>
  <c r="W3614" i="32"/>
  <c r="X3614" i="32"/>
  <c r="W3615" i="32"/>
  <c r="X3615" i="32"/>
  <c r="W3616" i="32"/>
  <c r="X3616" i="32"/>
  <c r="W3617" i="32"/>
  <c r="X3617" i="32"/>
  <c r="W3618" i="32"/>
  <c r="X3618" i="32"/>
  <c r="W3619" i="32"/>
  <c r="X3619" i="32"/>
  <c r="W3620" i="32"/>
  <c r="X3620" i="32"/>
  <c r="W3621" i="32"/>
  <c r="X3621" i="32"/>
  <c r="W3622" i="32"/>
  <c r="X3622" i="32"/>
  <c r="W3623" i="32"/>
  <c r="X3623" i="32"/>
  <c r="W3624" i="32"/>
  <c r="X3624" i="32"/>
  <c r="W3625" i="32"/>
  <c r="X3625" i="32"/>
  <c r="W3626" i="32"/>
  <c r="X3626" i="32"/>
  <c r="W3627" i="32"/>
  <c r="X3627" i="32"/>
  <c r="W3628" i="32"/>
  <c r="X3628" i="32"/>
  <c r="W3629" i="32"/>
  <c r="X3629" i="32"/>
  <c r="W3630" i="32"/>
  <c r="X3630" i="32"/>
  <c r="W3631" i="32"/>
  <c r="X3631" i="32"/>
  <c r="W3632" i="32"/>
  <c r="X3632" i="32"/>
  <c r="W3633" i="32"/>
  <c r="X3633" i="32"/>
  <c r="W3634" i="32"/>
  <c r="X3634" i="32"/>
  <c r="W3635" i="32"/>
  <c r="X3635" i="32"/>
  <c r="W3636" i="32"/>
  <c r="X3636" i="32"/>
  <c r="W3637" i="32"/>
  <c r="X3637" i="32"/>
  <c r="W3638" i="32"/>
  <c r="X3638" i="32"/>
  <c r="W3639" i="32"/>
  <c r="X3639" i="32"/>
  <c r="W3640" i="32"/>
  <c r="X3640" i="32"/>
  <c r="W3641" i="32"/>
  <c r="X3641" i="32"/>
  <c r="W3642" i="32"/>
  <c r="X3642" i="32"/>
  <c r="W3643" i="32"/>
  <c r="X3643" i="32"/>
  <c r="W3644" i="32"/>
  <c r="X3644" i="32"/>
  <c r="W3645" i="32"/>
  <c r="X3645" i="32"/>
  <c r="W3646" i="32"/>
  <c r="X3646" i="32"/>
  <c r="W3647" i="32"/>
  <c r="X3647" i="32"/>
  <c r="W3648" i="32"/>
  <c r="X3648" i="32"/>
  <c r="W3649" i="32"/>
  <c r="X3649" i="32"/>
  <c r="W3650" i="32"/>
  <c r="X3650" i="32"/>
  <c r="W3651" i="32"/>
  <c r="X3651" i="32"/>
  <c r="W3652" i="32"/>
  <c r="X3652" i="32"/>
  <c r="W3653" i="32"/>
  <c r="X3653" i="32"/>
  <c r="W3654" i="32"/>
  <c r="X3654" i="32"/>
  <c r="W3655" i="32"/>
  <c r="X3655" i="32"/>
  <c r="W3656" i="32"/>
  <c r="X3656" i="32"/>
  <c r="W3657" i="32"/>
  <c r="X3657" i="32"/>
  <c r="W3658" i="32"/>
  <c r="X3658" i="32"/>
  <c r="W3659" i="32"/>
  <c r="X3659" i="32"/>
  <c r="W3660" i="32"/>
  <c r="X3660" i="32"/>
  <c r="W3661" i="32"/>
  <c r="X3661" i="32"/>
  <c r="W3662" i="32"/>
  <c r="X3662" i="32"/>
  <c r="W3663" i="32"/>
  <c r="X3663" i="32"/>
  <c r="W3664" i="32"/>
  <c r="X3664" i="32"/>
  <c r="W3665" i="32"/>
  <c r="X3665" i="32"/>
  <c r="W3666" i="32"/>
  <c r="X3666" i="32"/>
  <c r="W3667" i="32"/>
  <c r="X3667" i="32"/>
  <c r="W3668" i="32"/>
  <c r="X3668" i="32"/>
  <c r="W3669" i="32"/>
  <c r="X3669" i="32"/>
  <c r="W3670" i="32"/>
  <c r="X3670" i="32"/>
  <c r="W3671" i="32"/>
  <c r="X3671" i="32"/>
  <c r="W3672" i="32"/>
  <c r="X3672" i="32"/>
  <c r="W3673" i="32"/>
  <c r="X3673" i="32"/>
  <c r="W3674" i="32"/>
  <c r="X3674" i="32"/>
  <c r="W3675" i="32"/>
  <c r="X3675" i="32"/>
  <c r="W3676" i="32"/>
  <c r="X3676" i="32"/>
  <c r="W3677" i="32"/>
  <c r="X3677" i="32"/>
  <c r="W3678" i="32"/>
  <c r="X3678" i="32"/>
  <c r="W3679" i="32"/>
  <c r="X3679" i="32"/>
  <c r="W3680" i="32"/>
  <c r="X3680" i="32"/>
  <c r="W3681" i="32"/>
  <c r="X3681" i="32"/>
  <c r="W3682" i="32"/>
  <c r="X3682" i="32"/>
  <c r="W3683" i="32"/>
  <c r="X3683" i="32"/>
  <c r="W3684" i="32"/>
  <c r="X3684" i="32"/>
  <c r="W3685" i="32"/>
  <c r="X3685" i="32"/>
  <c r="W3686" i="32"/>
  <c r="X3686" i="32"/>
  <c r="W3687" i="32"/>
  <c r="X3687" i="32"/>
  <c r="W3688" i="32"/>
  <c r="X3688" i="32"/>
  <c r="W3689" i="32"/>
  <c r="X3689" i="32"/>
  <c r="W3690" i="32"/>
  <c r="X3690" i="32"/>
  <c r="W3691" i="32"/>
  <c r="X3691" i="32"/>
  <c r="W3692" i="32"/>
  <c r="X3692" i="32"/>
  <c r="W3693" i="32"/>
  <c r="X3693" i="32"/>
  <c r="W3694" i="32"/>
  <c r="X3694" i="32"/>
  <c r="W3695" i="32"/>
  <c r="X3695" i="32"/>
  <c r="W3696" i="32"/>
  <c r="X3696" i="32"/>
  <c r="W3697" i="32"/>
  <c r="X3697" i="32"/>
  <c r="W3698" i="32"/>
  <c r="X3698" i="32"/>
  <c r="W3699" i="32"/>
  <c r="X3699" i="32"/>
  <c r="W3700" i="32"/>
  <c r="X3700" i="32"/>
  <c r="W3701" i="32"/>
  <c r="X3701" i="32"/>
  <c r="W3702" i="32"/>
  <c r="X3702" i="32"/>
  <c r="W3703" i="32"/>
  <c r="X3703" i="32"/>
  <c r="W3704" i="32"/>
  <c r="X3704" i="32"/>
  <c r="W3705" i="32"/>
  <c r="X3705" i="32"/>
  <c r="W3706" i="32"/>
  <c r="X3706" i="32"/>
  <c r="W3707" i="32"/>
  <c r="X3707" i="32"/>
  <c r="W3708" i="32"/>
  <c r="X3708" i="32"/>
  <c r="W3709" i="32"/>
  <c r="X3709" i="32"/>
  <c r="W3710" i="32"/>
  <c r="X3710" i="32"/>
  <c r="W3711" i="32"/>
  <c r="X3711" i="32"/>
  <c r="W3712" i="32"/>
  <c r="X3712" i="32"/>
  <c r="W3713" i="32"/>
  <c r="X3713" i="32"/>
  <c r="W3714" i="32"/>
  <c r="X3714" i="32"/>
  <c r="W3715" i="32"/>
  <c r="X3715" i="32"/>
  <c r="W3716" i="32"/>
  <c r="X3716" i="32"/>
  <c r="W3717" i="32"/>
  <c r="X3717" i="32"/>
  <c r="W3718" i="32"/>
  <c r="X3718" i="32"/>
  <c r="W3719" i="32"/>
  <c r="X3719" i="32"/>
  <c r="W3720" i="32"/>
  <c r="X3720" i="32"/>
  <c r="W3721" i="32"/>
  <c r="X3721" i="32"/>
  <c r="W3722" i="32"/>
  <c r="X3722" i="32"/>
  <c r="W3723" i="32"/>
  <c r="X3723" i="32"/>
  <c r="W3724" i="32"/>
  <c r="X3724" i="32"/>
  <c r="W3725" i="32"/>
  <c r="X3725" i="32"/>
  <c r="W3726" i="32"/>
  <c r="X3726" i="32"/>
  <c r="W3727" i="32"/>
  <c r="X3727" i="32"/>
  <c r="W3728" i="32"/>
  <c r="X3728" i="32"/>
  <c r="W3729" i="32"/>
  <c r="X3729" i="32"/>
  <c r="W3730" i="32"/>
  <c r="X3730" i="32"/>
  <c r="W3731" i="32"/>
  <c r="X3731" i="32"/>
  <c r="W3732" i="32"/>
  <c r="X3732" i="32"/>
  <c r="W3733" i="32"/>
  <c r="X3733" i="32"/>
  <c r="W3734" i="32"/>
  <c r="X3734" i="32"/>
  <c r="W3735" i="32"/>
  <c r="X3735" i="32"/>
  <c r="W3736" i="32"/>
  <c r="X3736" i="32"/>
  <c r="W3737" i="32"/>
  <c r="X3737" i="32"/>
  <c r="W3738" i="32"/>
  <c r="X3738" i="32"/>
  <c r="W3739" i="32"/>
  <c r="X3739" i="32"/>
  <c r="W3740" i="32"/>
  <c r="X3740" i="32"/>
  <c r="W3741" i="32"/>
  <c r="X3741" i="32"/>
  <c r="W3742" i="32"/>
  <c r="X3742" i="32"/>
  <c r="W3743" i="32"/>
  <c r="X3743" i="32"/>
  <c r="W3744" i="32"/>
  <c r="X3744" i="32"/>
  <c r="W3745" i="32"/>
  <c r="X3745" i="32"/>
  <c r="W3746" i="32"/>
  <c r="X3746" i="32"/>
  <c r="W3747" i="32"/>
  <c r="X3747" i="32"/>
  <c r="W3748" i="32"/>
  <c r="X3748" i="32"/>
  <c r="W3749" i="32"/>
  <c r="X3749" i="32"/>
  <c r="W3750" i="32"/>
  <c r="X3750" i="32"/>
  <c r="W3751" i="32"/>
  <c r="X3751" i="32"/>
  <c r="W3752" i="32"/>
  <c r="X3752" i="32"/>
  <c r="W3753" i="32"/>
  <c r="X3753" i="32"/>
  <c r="W3754" i="32"/>
  <c r="X3754" i="32"/>
  <c r="W3755" i="32"/>
  <c r="X3755" i="32"/>
  <c r="W3756" i="32"/>
  <c r="X3756" i="32"/>
  <c r="W3757" i="32"/>
  <c r="X3757" i="32"/>
  <c r="W3758" i="32"/>
  <c r="X3758" i="32"/>
  <c r="W3759" i="32"/>
  <c r="X3759" i="32"/>
  <c r="W3760" i="32"/>
  <c r="X3760" i="32"/>
  <c r="W3761" i="32"/>
  <c r="X3761" i="32"/>
  <c r="W3762" i="32"/>
  <c r="X3762" i="32"/>
  <c r="W3763" i="32"/>
  <c r="X3763" i="32"/>
  <c r="W3764" i="32"/>
  <c r="X3764" i="32"/>
  <c r="W3765" i="32"/>
  <c r="X3765" i="32"/>
  <c r="W3766" i="32"/>
  <c r="X3766" i="32"/>
  <c r="W3767" i="32"/>
  <c r="X3767" i="32"/>
  <c r="W3768" i="32"/>
  <c r="X3768" i="32"/>
  <c r="W3769" i="32"/>
  <c r="X3769" i="32"/>
  <c r="W3770" i="32"/>
  <c r="X3770" i="32"/>
  <c r="W3771" i="32"/>
  <c r="X3771" i="32"/>
  <c r="W3772" i="32"/>
  <c r="X3772" i="32"/>
  <c r="W3773" i="32"/>
  <c r="X3773" i="32"/>
  <c r="W3774" i="32"/>
  <c r="X3774" i="32"/>
  <c r="W3775" i="32"/>
  <c r="X3775" i="32"/>
  <c r="W3776" i="32"/>
  <c r="X3776" i="32"/>
  <c r="W3777" i="32"/>
  <c r="X3777" i="32"/>
  <c r="W3778" i="32"/>
  <c r="X3778" i="32"/>
  <c r="W3779" i="32"/>
  <c r="X3779" i="32"/>
  <c r="W3780" i="32"/>
  <c r="X3780" i="32"/>
  <c r="W3781" i="32"/>
  <c r="X3781" i="32"/>
  <c r="W3782" i="32"/>
  <c r="X3782" i="32"/>
  <c r="W3783" i="32"/>
  <c r="X3783" i="32"/>
  <c r="W3784" i="32"/>
  <c r="X3784" i="32"/>
  <c r="W3785" i="32"/>
  <c r="X3785" i="32"/>
  <c r="W3786" i="32"/>
  <c r="X3786" i="32"/>
  <c r="W3787" i="32"/>
  <c r="X3787" i="32"/>
  <c r="W3788" i="32"/>
  <c r="X3788" i="32"/>
  <c r="W3789" i="32"/>
  <c r="X3789" i="32"/>
  <c r="W3790" i="32"/>
  <c r="X3790" i="32"/>
  <c r="W3791" i="32"/>
  <c r="X3791" i="32"/>
  <c r="W3792" i="32"/>
  <c r="X3792" i="32"/>
  <c r="W3793" i="32"/>
  <c r="X3793" i="32"/>
  <c r="W3794" i="32"/>
  <c r="X3794" i="32"/>
  <c r="W3795" i="32"/>
  <c r="X3795" i="32"/>
  <c r="W3796" i="32"/>
  <c r="X3796" i="32"/>
  <c r="W3797" i="32"/>
  <c r="X3797" i="32"/>
  <c r="W3798" i="32"/>
  <c r="X3798" i="32"/>
  <c r="W3799" i="32"/>
  <c r="X3799" i="32"/>
  <c r="W3800" i="32"/>
  <c r="X3800" i="32"/>
  <c r="W3801" i="32"/>
  <c r="X3801" i="32"/>
  <c r="W3802" i="32"/>
  <c r="X3802" i="32"/>
  <c r="W3803" i="32"/>
  <c r="X3803" i="32"/>
  <c r="W3804" i="32"/>
  <c r="X3804" i="32"/>
  <c r="W3805" i="32"/>
  <c r="X3805" i="32"/>
  <c r="W3806" i="32"/>
  <c r="X3806" i="32"/>
  <c r="W3807" i="32"/>
  <c r="X3807" i="32"/>
  <c r="W3808" i="32"/>
  <c r="X3808" i="32"/>
  <c r="W3809" i="32"/>
  <c r="X3809" i="32"/>
  <c r="W3810" i="32"/>
  <c r="X3810" i="32"/>
  <c r="W3811" i="32"/>
  <c r="X3811" i="32"/>
  <c r="W3812" i="32"/>
  <c r="X3812" i="32"/>
  <c r="W3813" i="32"/>
  <c r="X3813" i="32"/>
  <c r="W3814" i="32"/>
  <c r="X3814" i="32"/>
  <c r="W3815" i="32"/>
  <c r="X3815" i="32"/>
  <c r="W3816" i="32"/>
  <c r="X3816" i="32"/>
  <c r="W3817" i="32"/>
  <c r="X3817" i="32"/>
  <c r="W3818" i="32"/>
  <c r="X3818" i="32"/>
  <c r="W3819" i="32"/>
  <c r="X3819" i="32"/>
  <c r="W3820" i="32"/>
  <c r="X3820" i="32"/>
  <c r="W3821" i="32"/>
  <c r="X3821" i="32"/>
  <c r="W3822" i="32"/>
  <c r="X3822" i="32"/>
  <c r="W3823" i="32"/>
  <c r="X3823" i="32"/>
  <c r="W3824" i="32"/>
  <c r="X3824" i="32"/>
  <c r="W3825" i="32"/>
  <c r="X3825" i="32"/>
  <c r="W3826" i="32"/>
  <c r="X3826" i="32"/>
  <c r="W3827" i="32"/>
  <c r="X3827" i="32"/>
  <c r="W3828" i="32"/>
  <c r="X3828" i="32"/>
  <c r="W3829" i="32"/>
  <c r="X3829" i="32"/>
  <c r="W3830" i="32"/>
  <c r="X3830" i="32"/>
  <c r="W3831" i="32"/>
  <c r="X3831" i="32"/>
  <c r="W3832" i="32"/>
  <c r="X3832" i="32"/>
  <c r="W3833" i="32"/>
  <c r="X3833" i="32"/>
  <c r="W3834" i="32"/>
  <c r="X3834" i="32"/>
  <c r="W3835" i="32"/>
  <c r="X3835" i="32"/>
  <c r="W3836" i="32"/>
  <c r="X3836" i="32"/>
  <c r="W3837" i="32"/>
  <c r="X3837" i="32"/>
  <c r="W3838" i="32"/>
  <c r="X3838" i="32"/>
  <c r="W3839" i="32"/>
  <c r="X3839" i="32"/>
  <c r="W3840" i="32"/>
  <c r="X3840" i="32"/>
  <c r="W3841" i="32"/>
  <c r="X3841" i="32"/>
  <c r="W3842" i="32"/>
  <c r="X3842" i="32"/>
  <c r="W3843" i="32"/>
  <c r="X3843" i="32"/>
  <c r="W3844" i="32"/>
  <c r="X3844" i="32"/>
  <c r="W3845" i="32"/>
  <c r="X3845" i="32"/>
  <c r="W3846" i="32"/>
  <c r="X3846" i="32"/>
  <c r="W3847" i="32"/>
  <c r="X3847" i="32"/>
  <c r="W3848" i="32"/>
  <c r="X3848" i="32"/>
  <c r="W3849" i="32"/>
  <c r="X3849" i="32"/>
  <c r="W3850" i="32"/>
  <c r="X3850" i="32"/>
  <c r="W3851" i="32"/>
  <c r="X3851" i="32"/>
  <c r="W3852" i="32"/>
  <c r="X3852" i="32"/>
  <c r="W3853" i="32"/>
  <c r="X3853" i="32"/>
  <c r="W3854" i="32"/>
  <c r="X3854" i="32"/>
  <c r="W3855" i="32"/>
  <c r="X3855" i="32"/>
  <c r="W3856" i="32"/>
  <c r="X3856" i="32"/>
  <c r="W3857" i="32"/>
  <c r="X3857" i="32"/>
  <c r="W3858" i="32"/>
  <c r="X3858" i="32"/>
  <c r="W3859" i="32"/>
  <c r="X3859" i="32"/>
  <c r="W3860" i="32"/>
  <c r="X3860" i="32"/>
  <c r="W3861" i="32"/>
  <c r="X3861" i="32"/>
  <c r="W3862" i="32"/>
  <c r="X3862" i="32"/>
  <c r="W3863" i="32"/>
  <c r="X3863" i="32"/>
  <c r="W3864" i="32"/>
  <c r="X3864" i="32"/>
  <c r="W3865" i="32"/>
  <c r="X3865" i="32"/>
  <c r="W3866" i="32"/>
  <c r="X3866" i="32"/>
  <c r="W3867" i="32"/>
  <c r="X3867" i="32"/>
  <c r="W3868" i="32"/>
  <c r="X3868" i="32"/>
  <c r="W3869" i="32"/>
  <c r="X3869" i="32"/>
  <c r="W3870" i="32"/>
  <c r="X3870" i="32"/>
  <c r="W3871" i="32"/>
  <c r="X3871" i="32"/>
  <c r="W3872" i="32"/>
  <c r="X3872" i="32"/>
  <c r="W3873" i="32"/>
  <c r="X3873" i="32"/>
  <c r="W3874" i="32"/>
  <c r="X3874" i="32"/>
  <c r="W3875" i="32"/>
  <c r="X3875" i="32"/>
  <c r="W3876" i="32"/>
  <c r="X3876" i="32"/>
  <c r="W3877" i="32"/>
  <c r="X3877" i="32"/>
  <c r="W3878" i="32"/>
  <c r="X3878" i="32"/>
  <c r="W3879" i="32"/>
  <c r="X3879" i="32"/>
  <c r="W3880" i="32"/>
  <c r="X3880" i="32"/>
  <c r="W3881" i="32"/>
  <c r="X3881" i="32"/>
  <c r="W3882" i="32"/>
  <c r="X3882" i="32"/>
  <c r="W3883" i="32"/>
  <c r="X3883" i="32"/>
  <c r="W3884" i="32"/>
  <c r="X3884" i="32"/>
  <c r="W3885" i="32"/>
  <c r="X3885" i="32"/>
  <c r="W3886" i="32"/>
  <c r="X3886" i="32"/>
  <c r="W3887" i="32"/>
  <c r="X3887" i="32"/>
  <c r="W3888" i="32"/>
  <c r="X3888" i="32"/>
  <c r="W3889" i="32"/>
  <c r="X3889" i="32"/>
  <c r="W3890" i="32"/>
  <c r="X3890" i="32"/>
  <c r="W3891" i="32"/>
  <c r="X3891" i="32"/>
  <c r="W3892" i="32"/>
  <c r="X3892" i="32"/>
  <c r="W3893" i="32"/>
  <c r="X3893" i="32"/>
  <c r="W3894" i="32"/>
  <c r="X3894" i="32"/>
  <c r="W3895" i="32"/>
  <c r="X3895" i="32"/>
  <c r="W3896" i="32"/>
  <c r="X3896" i="32"/>
  <c r="W3897" i="32"/>
  <c r="X3897" i="32"/>
  <c r="W3898" i="32"/>
  <c r="X3898" i="32"/>
  <c r="W3899" i="32"/>
  <c r="X3899" i="32"/>
  <c r="W3900" i="32"/>
  <c r="X3900" i="32"/>
  <c r="W3901" i="32"/>
  <c r="X3901" i="32"/>
  <c r="W3902" i="32"/>
  <c r="X3902" i="32"/>
  <c r="W3903" i="32"/>
  <c r="X3903" i="32"/>
  <c r="W3904" i="32"/>
  <c r="X3904" i="32"/>
  <c r="W3905" i="32"/>
  <c r="X3905" i="32"/>
  <c r="W3906" i="32"/>
  <c r="X3906" i="32"/>
  <c r="W3907" i="32"/>
  <c r="X3907" i="32"/>
  <c r="W3908" i="32"/>
  <c r="X3908" i="32"/>
  <c r="W3909" i="32"/>
  <c r="X3909" i="32"/>
  <c r="W3910" i="32"/>
  <c r="X3910" i="32"/>
  <c r="W3911" i="32"/>
  <c r="X3911" i="32"/>
  <c r="W3912" i="32"/>
  <c r="X3912" i="32"/>
  <c r="W3913" i="32"/>
  <c r="X3913" i="32"/>
  <c r="W3914" i="32"/>
  <c r="X3914" i="32"/>
  <c r="W3915" i="32"/>
  <c r="X3915" i="32"/>
  <c r="W3916" i="32"/>
  <c r="X3916" i="32"/>
  <c r="W3917" i="32"/>
  <c r="X3917" i="32"/>
  <c r="W3918" i="32"/>
  <c r="X3918" i="32"/>
  <c r="W3919" i="32"/>
  <c r="X3919" i="32"/>
  <c r="W3920" i="32"/>
  <c r="X3920" i="32"/>
  <c r="W3921" i="32"/>
  <c r="X3921" i="32"/>
  <c r="W3922" i="32"/>
  <c r="X3922" i="32"/>
  <c r="W3923" i="32"/>
  <c r="X3923" i="32"/>
  <c r="W3924" i="32"/>
  <c r="X3924" i="32"/>
  <c r="W3925" i="32"/>
  <c r="X3925" i="32"/>
  <c r="W3926" i="32"/>
  <c r="X3926" i="32"/>
  <c r="W3927" i="32"/>
  <c r="X3927" i="32"/>
  <c r="W3928" i="32"/>
  <c r="X3928" i="32"/>
  <c r="W3929" i="32"/>
  <c r="X3929" i="32"/>
  <c r="W3930" i="32"/>
  <c r="X3930" i="32"/>
  <c r="W3931" i="32"/>
  <c r="X3931" i="32"/>
  <c r="W3932" i="32"/>
  <c r="X3932" i="32"/>
  <c r="W3933" i="32"/>
  <c r="X3933" i="32"/>
  <c r="W3934" i="32"/>
  <c r="X3934" i="32"/>
  <c r="W3935" i="32"/>
  <c r="X3935" i="32"/>
  <c r="W3936" i="32"/>
  <c r="X3936" i="32"/>
  <c r="W3937" i="32"/>
  <c r="X3937" i="32"/>
  <c r="W3938" i="32"/>
  <c r="X3938" i="32"/>
  <c r="W3939" i="32"/>
  <c r="X3939" i="32"/>
  <c r="W3940" i="32"/>
  <c r="X3940" i="32"/>
  <c r="W3941" i="32"/>
  <c r="X3941" i="32"/>
  <c r="W3942" i="32"/>
  <c r="X3942" i="32"/>
  <c r="W3943" i="32"/>
  <c r="X3943" i="32"/>
  <c r="W3944" i="32"/>
  <c r="X3944" i="32"/>
  <c r="W3945" i="32"/>
  <c r="X3945" i="32"/>
  <c r="W3946" i="32"/>
  <c r="X3946" i="32"/>
  <c r="W3947" i="32"/>
  <c r="X3947" i="32"/>
  <c r="W3948" i="32"/>
  <c r="X3948" i="32"/>
  <c r="W3949" i="32"/>
  <c r="X3949" i="32"/>
  <c r="W3950" i="32"/>
  <c r="X3950" i="32"/>
  <c r="W3951" i="32"/>
  <c r="X3951" i="32"/>
  <c r="W3952" i="32"/>
  <c r="X3952" i="32"/>
  <c r="W3953" i="32"/>
  <c r="X3953" i="32"/>
  <c r="W3954" i="32"/>
  <c r="X3954" i="32"/>
  <c r="W3955" i="32"/>
  <c r="X3955" i="32"/>
  <c r="W3956" i="32"/>
  <c r="X3956" i="32"/>
  <c r="W3957" i="32"/>
  <c r="X3957" i="32"/>
  <c r="W3958" i="32"/>
  <c r="X3958" i="32"/>
  <c r="W3959" i="32"/>
  <c r="X3959" i="32"/>
  <c r="W3960" i="32"/>
  <c r="X3960" i="32"/>
  <c r="W3961" i="32"/>
  <c r="X3961" i="32"/>
  <c r="W3962" i="32"/>
  <c r="X3962" i="32"/>
  <c r="W3963" i="32"/>
  <c r="X3963" i="32"/>
  <c r="W3964" i="32"/>
  <c r="X3964" i="32"/>
  <c r="W3965" i="32"/>
  <c r="X3965" i="32"/>
  <c r="W3966" i="32"/>
  <c r="X3966" i="32"/>
  <c r="W3967" i="32"/>
  <c r="X3967" i="32"/>
  <c r="W3968" i="32"/>
  <c r="X3968" i="32"/>
  <c r="W3969" i="32"/>
  <c r="X3969" i="32"/>
  <c r="W3970" i="32"/>
  <c r="X3970" i="32"/>
  <c r="W3971" i="32"/>
  <c r="X3971" i="32"/>
  <c r="W3972" i="32"/>
  <c r="X3972" i="32"/>
  <c r="W3973" i="32"/>
  <c r="X3973" i="32"/>
  <c r="W3974" i="32"/>
  <c r="X3974" i="32"/>
  <c r="W3975" i="32"/>
  <c r="X3975" i="32"/>
  <c r="W3976" i="32"/>
  <c r="X3976" i="32"/>
  <c r="W3977" i="32"/>
  <c r="X3977" i="32"/>
  <c r="W3978" i="32"/>
  <c r="X3978" i="32"/>
  <c r="W3979" i="32"/>
  <c r="X3979" i="32"/>
  <c r="W3980" i="32"/>
  <c r="X3980" i="32"/>
  <c r="W3981" i="32"/>
  <c r="X3981" i="32"/>
  <c r="W3982" i="32"/>
  <c r="X3982" i="32"/>
  <c r="W3983" i="32"/>
  <c r="X3983" i="32"/>
  <c r="W3984" i="32"/>
  <c r="X3984" i="32"/>
  <c r="W3985" i="32"/>
  <c r="X3985" i="32"/>
  <c r="W3986" i="32"/>
  <c r="X3986" i="32"/>
  <c r="W3987" i="32"/>
  <c r="X3987" i="32"/>
  <c r="W3988" i="32"/>
  <c r="X3988" i="32"/>
  <c r="W3989" i="32"/>
  <c r="X3989" i="32"/>
  <c r="W3990" i="32"/>
  <c r="X3990" i="32"/>
  <c r="W3991" i="32"/>
  <c r="X3991" i="32"/>
  <c r="W3992" i="32"/>
  <c r="X3992" i="32"/>
  <c r="W3993" i="32"/>
  <c r="X3993" i="32"/>
  <c r="W3994" i="32"/>
  <c r="X3994" i="32"/>
  <c r="W3995" i="32"/>
  <c r="X3995" i="32"/>
  <c r="W3996" i="32"/>
  <c r="X3996" i="32"/>
  <c r="W3997" i="32"/>
  <c r="X3997" i="32"/>
  <c r="W3998" i="32"/>
  <c r="X3998" i="32"/>
  <c r="W3999" i="32"/>
  <c r="X3999" i="32"/>
  <c r="W4000" i="32"/>
  <c r="X4000" i="32"/>
  <c r="W4001" i="32"/>
  <c r="X4001" i="32"/>
  <c r="W4002" i="32"/>
  <c r="X4002" i="32"/>
  <c r="W4003" i="32"/>
  <c r="X4003" i="32"/>
  <c r="W4004" i="32"/>
  <c r="X4004" i="32"/>
  <c r="W4005" i="32"/>
  <c r="X4005" i="32"/>
  <c r="W4006" i="32"/>
  <c r="X4006" i="32"/>
  <c r="W4007" i="32"/>
  <c r="X4007" i="32"/>
  <c r="W4008" i="32"/>
  <c r="X4008" i="32"/>
  <c r="W4009" i="32"/>
  <c r="X4009" i="32"/>
  <c r="W4010" i="32"/>
  <c r="X4010" i="32"/>
  <c r="W4011" i="32"/>
  <c r="X4011" i="32"/>
  <c r="W4012" i="32"/>
  <c r="X4012" i="32"/>
  <c r="W4013" i="32"/>
  <c r="X4013" i="32"/>
  <c r="W4014" i="32"/>
  <c r="X4014" i="32"/>
  <c r="W4015" i="32"/>
  <c r="X4015" i="32"/>
  <c r="W4016" i="32"/>
  <c r="X4016" i="32"/>
  <c r="W4017" i="32"/>
  <c r="X4017" i="32"/>
  <c r="W4018" i="32"/>
  <c r="X4018" i="32"/>
  <c r="W4019" i="32"/>
  <c r="X4019" i="32"/>
  <c r="W4020" i="32"/>
  <c r="X4020" i="32"/>
  <c r="W4021" i="32"/>
  <c r="X4021" i="32"/>
  <c r="W4022" i="32"/>
  <c r="X4022" i="32"/>
  <c r="W4023" i="32"/>
  <c r="X4023" i="32"/>
  <c r="W4024" i="32"/>
  <c r="X4024" i="32"/>
  <c r="W4025" i="32"/>
  <c r="X4025" i="32"/>
  <c r="W4026" i="32"/>
  <c r="X4026" i="32"/>
  <c r="W4027" i="32"/>
  <c r="X4027" i="32"/>
  <c r="W4028" i="32"/>
  <c r="X4028" i="32"/>
  <c r="W4029" i="32"/>
  <c r="X4029" i="32"/>
  <c r="W4030" i="32"/>
  <c r="X4030" i="32"/>
  <c r="W4031" i="32"/>
  <c r="X4031" i="32"/>
  <c r="W4032" i="32"/>
  <c r="X4032" i="32"/>
  <c r="W4033" i="32"/>
  <c r="X4033" i="32"/>
  <c r="W4034" i="32"/>
  <c r="X4034" i="32"/>
  <c r="W4035" i="32"/>
  <c r="X4035" i="32"/>
  <c r="W4036" i="32"/>
  <c r="X4036" i="32"/>
  <c r="W4037" i="32"/>
  <c r="X4037" i="32"/>
  <c r="W4038" i="32"/>
  <c r="X4038" i="32"/>
  <c r="W4039" i="32"/>
  <c r="X4039" i="32"/>
  <c r="W4040" i="32"/>
  <c r="X4040" i="32"/>
  <c r="W4041" i="32"/>
  <c r="X4041" i="32"/>
  <c r="W4042" i="32"/>
  <c r="X4042" i="32"/>
  <c r="W4043" i="32"/>
  <c r="X4043" i="32"/>
  <c r="W4044" i="32"/>
  <c r="X4044" i="32"/>
  <c r="W4045" i="32"/>
  <c r="X4045" i="32"/>
  <c r="W4046" i="32"/>
  <c r="X4046" i="32"/>
  <c r="W4047" i="32"/>
  <c r="X4047" i="32"/>
  <c r="W4048" i="32"/>
  <c r="X4048" i="32"/>
  <c r="W4049" i="32"/>
  <c r="X4049" i="32"/>
  <c r="W4050" i="32"/>
  <c r="X4050" i="32"/>
  <c r="W4051" i="32"/>
  <c r="X4051" i="32"/>
  <c r="W4052" i="32"/>
  <c r="X4052" i="32"/>
  <c r="W4053" i="32"/>
  <c r="X4053" i="32"/>
  <c r="W4054" i="32"/>
  <c r="X4054" i="32"/>
  <c r="W4055" i="32"/>
  <c r="X4055" i="32"/>
  <c r="W4056" i="32"/>
  <c r="X4056" i="32"/>
  <c r="W4057" i="32"/>
  <c r="X4057" i="32"/>
  <c r="W4058" i="32"/>
  <c r="X4058" i="32"/>
  <c r="W4059" i="32"/>
  <c r="X4059" i="32"/>
  <c r="W4060" i="32"/>
  <c r="X4060" i="32"/>
  <c r="W4061" i="32"/>
  <c r="X4061" i="32"/>
  <c r="W4062" i="32"/>
  <c r="X4062" i="32"/>
  <c r="W4063" i="32"/>
  <c r="X4063" i="32"/>
  <c r="W4064" i="32"/>
  <c r="X4064" i="32"/>
  <c r="W4065" i="32"/>
  <c r="X4065" i="32"/>
  <c r="W4066" i="32"/>
  <c r="X4066" i="32"/>
  <c r="W4067" i="32"/>
  <c r="X4067" i="32"/>
  <c r="W4068" i="32"/>
  <c r="X4068" i="32"/>
  <c r="W4069" i="32"/>
  <c r="X4069" i="32"/>
  <c r="W4070" i="32"/>
  <c r="X4070" i="32"/>
  <c r="W4071" i="32"/>
  <c r="X4071" i="32"/>
  <c r="W4072" i="32"/>
  <c r="X4072" i="32"/>
  <c r="W4073" i="32"/>
  <c r="X4073" i="32"/>
  <c r="W4074" i="32"/>
  <c r="X4074" i="32"/>
  <c r="W4075" i="32"/>
  <c r="X4075" i="32"/>
  <c r="W4076" i="32"/>
  <c r="X4076" i="32"/>
  <c r="W4077" i="32"/>
  <c r="X4077" i="32"/>
  <c r="W4078" i="32"/>
  <c r="X4078" i="32"/>
  <c r="W4079" i="32"/>
  <c r="X4079" i="32"/>
  <c r="W4080" i="32"/>
  <c r="X4080" i="32"/>
  <c r="W4081" i="32"/>
  <c r="X4081" i="32"/>
  <c r="W4082" i="32"/>
  <c r="X4082" i="32"/>
  <c r="W4083" i="32"/>
  <c r="X4083" i="32"/>
  <c r="W4084" i="32"/>
  <c r="X4084" i="32"/>
  <c r="W4085" i="32"/>
  <c r="X4085" i="32"/>
  <c r="W4086" i="32"/>
  <c r="X4086" i="32"/>
  <c r="W4087" i="32"/>
  <c r="X4087" i="32"/>
  <c r="W4088" i="32"/>
  <c r="X4088" i="32"/>
  <c r="W4089" i="32"/>
  <c r="X4089" i="32"/>
  <c r="W4090" i="32"/>
  <c r="X4090" i="32"/>
  <c r="W4091" i="32"/>
  <c r="X4091" i="32"/>
  <c r="W4092" i="32"/>
  <c r="X4092" i="32"/>
  <c r="W4093" i="32"/>
  <c r="X4093" i="32"/>
  <c r="W4094" i="32"/>
  <c r="X4094" i="32"/>
  <c r="W4095" i="32"/>
  <c r="X4095" i="32"/>
  <c r="W4096" i="32"/>
  <c r="X4096" i="32"/>
  <c r="W4097" i="32"/>
  <c r="X4097" i="32"/>
  <c r="W4098" i="32"/>
  <c r="X4098" i="32"/>
  <c r="W4099" i="32"/>
  <c r="X4099" i="32"/>
  <c r="W4100" i="32"/>
  <c r="X4100" i="32"/>
  <c r="W4101" i="32"/>
  <c r="X4101" i="32"/>
  <c r="W4102" i="32"/>
  <c r="X4102" i="32"/>
  <c r="W4103" i="32"/>
  <c r="X4103" i="32"/>
  <c r="W4104" i="32"/>
  <c r="X4104" i="32"/>
  <c r="W4105" i="32"/>
  <c r="X4105" i="32"/>
  <c r="W4106" i="32"/>
  <c r="X4106" i="32"/>
  <c r="W4107" i="32"/>
  <c r="X4107" i="32"/>
  <c r="W4108" i="32"/>
  <c r="X4108" i="32"/>
  <c r="W4109" i="32"/>
  <c r="X4109" i="32"/>
  <c r="W4110" i="32"/>
  <c r="X4110" i="32"/>
  <c r="W4111" i="32"/>
  <c r="X4111" i="32"/>
  <c r="W4112" i="32"/>
  <c r="X4112" i="32"/>
  <c r="W4113" i="32"/>
  <c r="X4113" i="32"/>
  <c r="W4114" i="32"/>
  <c r="X4114" i="32"/>
  <c r="W4115" i="32"/>
  <c r="X4115" i="32"/>
  <c r="W4116" i="32"/>
  <c r="X4116" i="32"/>
  <c r="W4117" i="32"/>
  <c r="X4117" i="32"/>
  <c r="W4118" i="32"/>
  <c r="X4118" i="32"/>
  <c r="W4119" i="32"/>
  <c r="X4119" i="32"/>
  <c r="W4120" i="32"/>
  <c r="X4120" i="32"/>
  <c r="W4121" i="32"/>
  <c r="X4121" i="32"/>
  <c r="W4122" i="32"/>
  <c r="X4122" i="32"/>
  <c r="W4123" i="32"/>
  <c r="X4123" i="32"/>
  <c r="W4124" i="32"/>
  <c r="X4124" i="32"/>
  <c r="W4125" i="32"/>
  <c r="X4125" i="32"/>
  <c r="W4126" i="32"/>
  <c r="X4126" i="32"/>
  <c r="W4127" i="32"/>
  <c r="X4127" i="32"/>
  <c r="W4128" i="32"/>
  <c r="X4128" i="32"/>
  <c r="W4129" i="32"/>
  <c r="X4129" i="32"/>
  <c r="W4130" i="32"/>
  <c r="X4130" i="32"/>
  <c r="W4131" i="32"/>
  <c r="X4131" i="32"/>
  <c r="W4132" i="32"/>
  <c r="X4132" i="32"/>
  <c r="W4133" i="32"/>
  <c r="X4133" i="32"/>
  <c r="W4134" i="32"/>
  <c r="X4134" i="32"/>
  <c r="W4135" i="32"/>
  <c r="X4135" i="32"/>
  <c r="W4136" i="32"/>
  <c r="X4136" i="32"/>
  <c r="W4137" i="32"/>
  <c r="X4137" i="32"/>
  <c r="W4138" i="32"/>
  <c r="X4138" i="32"/>
  <c r="W4139" i="32"/>
  <c r="X4139" i="32"/>
  <c r="W4140" i="32"/>
  <c r="X4140" i="32"/>
  <c r="W4141" i="32"/>
  <c r="X4141" i="32"/>
  <c r="W4142" i="32"/>
  <c r="X4142" i="32"/>
  <c r="W4143" i="32"/>
  <c r="X4143" i="32"/>
  <c r="W4144" i="32"/>
  <c r="X4144" i="32"/>
  <c r="W4145" i="32"/>
  <c r="X4145" i="32"/>
  <c r="W4146" i="32"/>
  <c r="X4146" i="32"/>
  <c r="W4147" i="32"/>
  <c r="X4147" i="32"/>
  <c r="W4148" i="32"/>
  <c r="X4148" i="32"/>
  <c r="W4149" i="32"/>
  <c r="X4149" i="32"/>
  <c r="W4150" i="32"/>
  <c r="X4150" i="32"/>
  <c r="W4151" i="32"/>
  <c r="X4151" i="32"/>
  <c r="W4152" i="32"/>
  <c r="X4152" i="32"/>
  <c r="W4153" i="32"/>
  <c r="X4153" i="32"/>
  <c r="W4154" i="32"/>
  <c r="X4154" i="32"/>
  <c r="W4155" i="32"/>
  <c r="X4155" i="32"/>
  <c r="W4156" i="32"/>
  <c r="X4156" i="32"/>
  <c r="W4157" i="32"/>
  <c r="X4157" i="32"/>
  <c r="W4158" i="32"/>
  <c r="X4158" i="32"/>
  <c r="W4159" i="32"/>
  <c r="X4159" i="32"/>
  <c r="W4160" i="32"/>
  <c r="X4160" i="32"/>
  <c r="W4161" i="32"/>
  <c r="X4161" i="32"/>
  <c r="W4162" i="32"/>
  <c r="X4162" i="32"/>
  <c r="W4163" i="32"/>
  <c r="X4163" i="32"/>
  <c r="W4164" i="32"/>
  <c r="X4164" i="32"/>
  <c r="W4165" i="32"/>
  <c r="X4165" i="32"/>
  <c r="W4166" i="32"/>
  <c r="X4166" i="32"/>
  <c r="W4167" i="32"/>
  <c r="X4167" i="32"/>
  <c r="W4168" i="32"/>
  <c r="X4168" i="32"/>
  <c r="W4169" i="32"/>
  <c r="X4169" i="32"/>
  <c r="W4170" i="32"/>
  <c r="X4170" i="32"/>
  <c r="W4171" i="32"/>
  <c r="X4171" i="32"/>
  <c r="W4172" i="32"/>
  <c r="X4172" i="32"/>
  <c r="W4173" i="32"/>
  <c r="X4173" i="32"/>
  <c r="W4174" i="32"/>
  <c r="X4174" i="32"/>
  <c r="W4175" i="32"/>
  <c r="X4175" i="32"/>
  <c r="W4176" i="32"/>
  <c r="X4176" i="32"/>
  <c r="W4177" i="32"/>
  <c r="X4177" i="32"/>
  <c r="W4178" i="32"/>
  <c r="X4178" i="32"/>
  <c r="W4179" i="32"/>
  <c r="X4179" i="32"/>
  <c r="W4180" i="32"/>
  <c r="X4180" i="32"/>
  <c r="W4181" i="32"/>
  <c r="X4181" i="32"/>
  <c r="W4182" i="32"/>
  <c r="X4182" i="32"/>
  <c r="W4183" i="32"/>
  <c r="X4183" i="32"/>
  <c r="W4184" i="32"/>
  <c r="X4184" i="32"/>
  <c r="W4185" i="32"/>
  <c r="X4185" i="32"/>
  <c r="W4186" i="32"/>
  <c r="X4186" i="32"/>
  <c r="W4187" i="32"/>
  <c r="X4187" i="32"/>
  <c r="W4188" i="32"/>
  <c r="X4188" i="32"/>
  <c r="W4189" i="32"/>
  <c r="X4189" i="32"/>
  <c r="W4190" i="32"/>
  <c r="X4190" i="32"/>
  <c r="W4191" i="32"/>
  <c r="X4191" i="32"/>
  <c r="W4192" i="32"/>
  <c r="X4192" i="32"/>
  <c r="W4193" i="32"/>
  <c r="X4193" i="32"/>
  <c r="W4194" i="32"/>
  <c r="X4194" i="32"/>
  <c r="W4195" i="32"/>
  <c r="X4195" i="32"/>
  <c r="W4196" i="32"/>
  <c r="X4196" i="32"/>
  <c r="W4197" i="32"/>
  <c r="X4197" i="32"/>
  <c r="W4198" i="32"/>
  <c r="X4198" i="32"/>
  <c r="W4199" i="32"/>
  <c r="X4199" i="32"/>
  <c r="W4200" i="32"/>
  <c r="X4200" i="32"/>
  <c r="W4201" i="32"/>
  <c r="X4201" i="32"/>
  <c r="W4202" i="32"/>
  <c r="X4202" i="32"/>
  <c r="W4203" i="32"/>
  <c r="X4203" i="32"/>
  <c r="W4204" i="32"/>
  <c r="X4204" i="32"/>
  <c r="W4205" i="32"/>
  <c r="X4205" i="32"/>
  <c r="W4206" i="32"/>
  <c r="X4206" i="32"/>
  <c r="W4207" i="32"/>
  <c r="X4207" i="32"/>
  <c r="W4208" i="32"/>
  <c r="X4208" i="32"/>
  <c r="W4209" i="32"/>
  <c r="X4209" i="32"/>
  <c r="W4210" i="32"/>
  <c r="X4210" i="32"/>
  <c r="W4211" i="32"/>
  <c r="X4211" i="32"/>
  <c r="W4212" i="32"/>
  <c r="W4213" i="32"/>
  <c r="W4214" i="32"/>
  <c r="W4215" i="32"/>
  <c r="W4216" i="32"/>
  <c r="W4217" i="32"/>
  <c r="W4218" i="32"/>
  <c r="W4219" i="32"/>
  <c r="W4220" i="32"/>
  <c r="W4221" i="32"/>
  <c r="W4222" i="32"/>
  <c r="W4223" i="32"/>
  <c r="W4224" i="32"/>
  <c r="W4225" i="32"/>
  <c r="W4226" i="32"/>
  <c r="W4227" i="32"/>
  <c r="W4228" i="32"/>
  <c r="W4229" i="32"/>
  <c r="W4230" i="32"/>
  <c r="W4231" i="32"/>
  <c r="W4232" i="32"/>
  <c r="W4233" i="32"/>
  <c r="W4234" i="32"/>
  <c r="W4235" i="32"/>
  <c r="W4236" i="32"/>
  <c r="W4237" i="32"/>
  <c r="W4238" i="32"/>
  <c r="W4239" i="32"/>
  <c r="W4240" i="32"/>
  <c r="W4241" i="32"/>
  <c r="W4242" i="32"/>
  <c r="W4243" i="32"/>
  <c r="W4244" i="32"/>
  <c r="W4245" i="32"/>
  <c r="W4246" i="32"/>
  <c r="W4247" i="32"/>
  <c r="W4248" i="32"/>
  <c r="W4249" i="32"/>
  <c r="W4250" i="32"/>
  <c r="W4251" i="32"/>
  <c r="W4252" i="32"/>
  <c r="W4253" i="32"/>
  <c r="W4254" i="32"/>
  <c r="W4255" i="32"/>
  <c r="W4256" i="32"/>
  <c r="W4257" i="32"/>
  <c r="W4258" i="32"/>
  <c r="W4259" i="32"/>
  <c r="W4260" i="32"/>
  <c r="W4261" i="32"/>
  <c r="W4262" i="32"/>
  <c r="W4263" i="32"/>
  <c r="W4264" i="32"/>
  <c r="W4265" i="32"/>
  <c r="W4266" i="32"/>
  <c r="W4267" i="32"/>
  <c r="W4268" i="32"/>
  <c r="W4269" i="32"/>
  <c r="W4270" i="32"/>
  <c r="W4271" i="32"/>
  <c r="W4272" i="32"/>
  <c r="W4273" i="32"/>
  <c r="W4274" i="32"/>
  <c r="W4275" i="32"/>
  <c r="W4276" i="32"/>
  <c r="W4277" i="32"/>
  <c r="W4278" i="32"/>
  <c r="W4279" i="32"/>
  <c r="W4280" i="32"/>
  <c r="W4281" i="32"/>
  <c r="W4282" i="32"/>
  <c r="W4283" i="32"/>
  <c r="W4284" i="32"/>
  <c r="W4285" i="32"/>
  <c r="W4286" i="32"/>
  <c r="W4287" i="32"/>
  <c r="W4288" i="32"/>
  <c r="W4289" i="32"/>
  <c r="W4290" i="32"/>
  <c r="W4291" i="32"/>
  <c r="W4292" i="32"/>
  <c r="W4293" i="32"/>
  <c r="W4294" i="32"/>
  <c r="W4295" i="32"/>
  <c r="W4296" i="32"/>
  <c r="W4297" i="32"/>
  <c r="W4298" i="32"/>
  <c r="W4299" i="32"/>
  <c r="W4300" i="32"/>
  <c r="W4301" i="32"/>
  <c r="W4302" i="32"/>
  <c r="W4303" i="32"/>
  <c r="W4304" i="32"/>
  <c r="W4305" i="32"/>
  <c r="W4306" i="32"/>
  <c r="W4307" i="32"/>
  <c r="W4308" i="32"/>
  <c r="W4309" i="32"/>
  <c r="W4310" i="32"/>
  <c r="W4311" i="32"/>
  <c r="W4312" i="32"/>
  <c r="W4313" i="32"/>
  <c r="W4314" i="32"/>
  <c r="W4315" i="32"/>
  <c r="W4316" i="32"/>
  <c r="W4317" i="32"/>
  <c r="W4318" i="32"/>
  <c r="W4319" i="32"/>
  <c r="W4320" i="32"/>
  <c r="W4321" i="32"/>
  <c r="W4322" i="32"/>
  <c r="W4323" i="32"/>
  <c r="W4324" i="32"/>
  <c r="W4325" i="32"/>
  <c r="W4326" i="32"/>
  <c r="W4327" i="32"/>
  <c r="W4328" i="32"/>
  <c r="W4329" i="32"/>
  <c r="W4330" i="32"/>
  <c r="W4331" i="32"/>
  <c r="W4332" i="32"/>
  <c r="W4333" i="32"/>
  <c r="W4334" i="32"/>
  <c r="W4335" i="32"/>
  <c r="W4336" i="32"/>
  <c r="W4337" i="32"/>
  <c r="W4338" i="32"/>
  <c r="W4339" i="32"/>
  <c r="W4340" i="32"/>
  <c r="W4341" i="32"/>
  <c r="W4342" i="32"/>
  <c r="W4343" i="32"/>
  <c r="W4344" i="32"/>
  <c r="W4345" i="32"/>
  <c r="W4346" i="32"/>
  <c r="W4347" i="32"/>
  <c r="W4348" i="32"/>
  <c r="W4349" i="32"/>
  <c r="W4350" i="32"/>
  <c r="W4351" i="32"/>
  <c r="W4352" i="32"/>
  <c r="W4353" i="32"/>
  <c r="W4354" i="32"/>
  <c r="W4355" i="32"/>
  <c r="W4356" i="32"/>
  <c r="W4357" i="32"/>
  <c r="W4358" i="32"/>
  <c r="W4359" i="32"/>
  <c r="W4360" i="32"/>
  <c r="W4361" i="32"/>
  <c r="W4362" i="32"/>
  <c r="W4363" i="32"/>
  <c r="W4364" i="32"/>
  <c r="W4365" i="32"/>
  <c r="W4366" i="32"/>
  <c r="W4367" i="32"/>
  <c r="W4368" i="32"/>
  <c r="W4369" i="32"/>
  <c r="W4370" i="32"/>
  <c r="W4371" i="32"/>
  <c r="W4372" i="32"/>
  <c r="W4373" i="32"/>
  <c r="W4374" i="32"/>
  <c r="W4375" i="32"/>
  <c r="W4376" i="32"/>
  <c r="W4377" i="32"/>
  <c r="W4378" i="32"/>
  <c r="W4379" i="32"/>
  <c r="W4380" i="32"/>
  <c r="W4381" i="32"/>
  <c r="W4382" i="32"/>
  <c r="W4383" i="32"/>
  <c r="W4384" i="32"/>
  <c r="W4385" i="32"/>
  <c r="W4386" i="32"/>
  <c r="W4387" i="32"/>
  <c r="W4388" i="32"/>
  <c r="W4389" i="32"/>
  <c r="W4390" i="32"/>
  <c r="W4391" i="32"/>
  <c r="W4392" i="32"/>
  <c r="W4393" i="32"/>
  <c r="W4394" i="32"/>
  <c r="W4395" i="32"/>
  <c r="W4396" i="32"/>
  <c r="W4397" i="32"/>
  <c r="W4398" i="32"/>
  <c r="W4399" i="32"/>
  <c r="W4400" i="32"/>
  <c r="W4401" i="32"/>
  <c r="W4402" i="32"/>
  <c r="W4403" i="32"/>
  <c r="W4404" i="32"/>
  <c r="W4405" i="32"/>
  <c r="W4406" i="32"/>
  <c r="W4407" i="32"/>
  <c r="W4408" i="32"/>
  <c r="W4409" i="32"/>
  <c r="W4410" i="32"/>
  <c r="W4411" i="32"/>
  <c r="W4412" i="32"/>
  <c r="W4413" i="32"/>
  <c r="W4414" i="32"/>
  <c r="W4415" i="32"/>
  <c r="W4416" i="32"/>
  <c r="W4417" i="32"/>
  <c r="W4418" i="32"/>
  <c r="W4419" i="32"/>
  <c r="W4420" i="32"/>
  <c r="W4421" i="32"/>
  <c r="W4422" i="32"/>
  <c r="W4423" i="32"/>
  <c r="W4424" i="32"/>
  <c r="W4425" i="32"/>
  <c r="W4426" i="32"/>
  <c r="W4427" i="32"/>
  <c r="W4428" i="32"/>
  <c r="W4429" i="32"/>
  <c r="W4430" i="32"/>
  <c r="W4431" i="32"/>
  <c r="W4432" i="32"/>
  <c r="W4433" i="32"/>
  <c r="W4434" i="32"/>
  <c r="W4435" i="32"/>
  <c r="W4436" i="32"/>
  <c r="W4437" i="32"/>
  <c r="W4438" i="32"/>
  <c r="W4439" i="32"/>
  <c r="W4440" i="32"/>
  <c r="W4441" i="32"/>
  <c r="W4442" i="32"/>
  <c r="W4443" i="32"/>
  <c r="W4444" i="32"/>
  <c r="W4445" i="32"/>
  <c r="W4446" i="32"/>
  <c r="W4447" i="32"/>
  <c r="W4448" i="32"/>
  <c r="W4449" i="32"/>
  <c r="W4450" i="32"/>
  <c r="W4451" i="32"/>
  <c r="W4452" i="32"/>
  <c r="W4453" i="32"/>
  <c r="W4454" i="32"/>
  <c r="W4455" i="32"/>
  <c r="W4456" i="32"/>
  <c r="W4457" i="32"/>
  <c r="W4458" i="32"/>
  <c r="W4459" i="32"/>
  <c r="W4460" i="32"/>
  <c r="W4461" i="32"/>
  <c r="W4462" i="32"/>
  <c r="W4463" i="32"/>
  <c r="W4464" i="32"/>
  <c r="W4465" i="32"/>
  <c r="W4466" i="32"/>
  <c r="W4467" i="32"/>
  <c r="W4468" i="32"/>
  <c r="W4469" i="32"/>
  <c r="W4470" i="32"/>
  <c r="W4471" i="32"/>
  <c r="W4472" i="32"/>
  <c r="W4473" i="32"/>
  <c r="W4474" i="32"/>
  <c r="W4475" i="32"/>
  <c r="W4476" i="32"/>
  <c r="W4477" i="32"/>
  <c r="W4478" i="32"/>
  <c r="W4479" i="32"/>
  <c r="W4480" i="32"/>
  <c r="W4481" i="32"/>
  <c r="W4482" i="32"/>
  <c r="W4483" i="32"/>
  <c r="W4484" i="32"/>
  <c r="W4485" i="32"/>
  <c r="W4486" i="32"/>
  <c r="W4487" i="32"/>
  <c r="W4488" i="32"/>
  <c r="W4489" i="32"/>
  <c r="W4490" i="32"/>
  <c r="W4491" i="32"/>
  <c r="W4492" i="32"/>
  <c r="W4493" i="32"/>
  <c r="W4494" i="32"/>
  <c r="W4495" i="32"/>
  <c r="W4496" i="32"/>
  <c r="W4497" i="32"/>
  <c r="W4498" i="32"/>
  <c r="W4499" i="32"/>
  <c r="W4500" i="32"/>
  <c r="W4501" i="32"/>
  <c r="W4502" i="32"/>
  <c r="W4503" i="32"/>
  <c r="W4504" i="32"/>
  <c r="W4505" i="32"/>
  <c r="W4506" i="32"/>
  <c r="W4507" i="32"/>
  <c r="W4508" i="32"/>
  <c r="W4509" i="32"/>
  <c r="W4510" i="32"/>
  <c r="W4511" i="32"/>
  <c r="W4512" i="32"/>
  <c r="W4513" i="32"/>
  <c r="W4514" i="32"/>
  <c r="W4515" i="32"/>
  <c r="W4516" i="32"/>
  <c r="W4517" i="32"/>
  <c r="W4518" i="32"/>
  <c r="W4519" i="32"/>
  <c r="W4520" i="32"/>
  <c r="W4521" i="32"/>
  <c r="W4522" i="32"/>
  <c r="W4523" i="32"/>
  <c r="W4524" i="32"/>
  <c r="W4525" i="32"/>
  <c r="W4526" i="32"/>
  <c r="W4527" i="32"/>
  <c r="W4528" i="32"/>
  <c r="W4529" i="32"/>
  <c r="W4530" i="32"/>
  <c r="W4531" i="32"/>
  <c r="W4532" i="32"/>
  <c r="W4533" i="32"/>
  <c r="W4534" i="32"/>
  <c r="W4535" i="32"/>
  <c r="W4536" i="32"/>
  <c r="W4537" i="32"/>
  <c r="W4538" i="32"/>
  <c r="W4539" i="32"/>
  <c r="W4540" i="32"/>
  <c r="W4541" i="32"/>
  <c r="W4542" i="32"/>
  <c r="W4543" i="32"/>
  <c r="W4544" i="32"/>
  <c r="W4545" i="32"/>
  <c r="W4546" i="32"/>
  <c r="W4547" i="32"/>
  <c r="W4548" i="32"/>
  <c r="W4549" i="32"/>
  <c r="W4550" i="32"/>
  <c r="W4551" i="32"/>
  <c r="W4552" i="32"/>
  <c r="W4553" i="32"/>
  <c r="W4554" i="32"/>
  <c r="W4555" i="32"/>
  <c r="W4556" i="32"/>
  <c r="W4557" i="32"/>
  <c r="W4558" i="32"/>
  <c r="W4559" i="32"/>
  <c r="W4560" i="32"/>
  <c r="W4561" i="32"/>
  <c r="W4562" i="32"/>
  <c r="W4563" i="32"/>
  <c r="W4564" i="32"/>
  <c r="W4565" i="32"/>
  <c r="W4566" i="32"/>
  <c r="W4567" i="32"/>
  <c r="W4568" i="32"/>
  <c r="W4569" i="32"/>
  <c r="W4570" i="32"/>
  <c r="W4571" i="32"/>
  <c r="W4572" i="32"/>
  <c r="W4573" i="32"/>
  <c r="W4574" i="32"/>
  <c r="W4575" i="32"/>
  <c r="W4576" i="32"/>
  <c r="W4577" i="32"/>
  <c r="W4578" i="32"/>
  <c r="W4579" i="32"/>
  <c r="W4580" i="32"/>
  <c r="W4581" i="32"/>
  <c r="W4582" i="32"/>
  <c r="W4583" i="32"/>
  <c r="W4584" i="32"/>
  <c r="W4585" i="32"/>
  <c r="W4586" i="32"/>
  <c r="W4587" i="32"/>
  <c r="W4588" i="32"/>
  <c r="W4589" i="32"/>
  <c r="W4590" i="32"/>
  <c r="W4591" i="32"/>
  <c r="W4592" i="32"/>
  <c r="W4593" i="32"/>
  <c r="W4594" i="32"/>
  <c r="W4595" i="32"/>
  <c r="W4596" i="32"/>
  <c r="W4597" i="32"/>
  <c r="W4598" i="32"/>
  <c r="W4599" i="32"/>
  <c r="W4600" i="32"/>
  <c r="W4601" i="32"/>
  <c r="W4602" i="32"/>
  <c r="W4603" i="32"/>
  <c r="W4604" i="32"/>
  <c r="W4605" i="32"/>
  <c r="W4606" i="32"/>
  <c r="W4607" i="32"/>
  <c r="W4608" i="32"/>
  <c r="W4609" i="32"/>
  <c r="W4610" i="32"/>
  <c r="W4611" i="32"/>
  <c r="W4612" i="32"/>
  <c r="W4613" i="32"/>
  <c r="W4614" i="32"/>
  <c r="W4615" i="32"/>
  <c r="W4616" i="32"/>
  <c r="W4617" i="32"/>
  <c r="W4618" i="32"/>
  <c r="W4619" i="32"/>
  <c r="W4620" i="32"/>
  <c r="W4621" i="32"/>
  <c r="W4622" i="32"/>
  <c r="W4623" i="32"/>
  <c r="W4624" i="32"/>
  <c r="W4625" i="32"/>
  <c r="W4626" i="32"/>
  <c r="W4627" i="32"/>
  <c r="W4628" i="32"/>
  <c r="W4629" i="32"/>
  <c r="W4630" i="32"/>
  <c r="W4631" i="32"/>
  <c r="W4632" i="32"/>
  <c r="W4633" i="32"/>
  <c r="W4634" i="32"/>
  <c r="W4635" i="32"/>
  <c r="W4636" i="32"/>
  <c r="W4637" i="32"/>
  <c r="W4638" i="32"/>
  <c r="W4639" i="32"/>
  <c r="W4640" i="32"/>
  <c r="W4641" i="32"/>
  <c r="W4642" i="32"/>
  <c r="W4643" i="32"/>
  <c r="W4644" i="32"/>
  <c r="W4645" i="32"/>
  <c r="W4646" i="32"/>
  <c r="W4647" i="32"/>
  <c r="W4648" i="32"/>
  <c r="W4649" i="32"/>
  <c r="W4650" i="32"/>
  <c r="W4651" i="32"/>
  <c r="W4652" i="32"/>
  <c r="W4653" i="32"/>
  <c r="W4654" i="32"/>
  <c r="W4655" i="32"/>
  <c r="W4656" i="32"/>
  <c r="W4657" i="32"/>
  <c r="W4658" i="32"/>
  <c r="W4659" i="32"/>
  <c r="W4660" i="32"/>
  <c r="W4661" i="32"/>
  <c r="W4662" i="32"/>
  <c r="W4663" i="32"/>
  <c r="W4664" i="32"/>
  <c r="W4665" i="32"/>
  <c r="W4666" i="32"/>
  <c r="W4667" i="32"/>
  <c r="W4668" i="32"/>
  <c r="W4669" i="32"/>
  <c r="W4670" i="32"/>
  <c r="W4671" i="32"/>
  <c r="W4672" i="32"/>
  <c r="W4673" i="32"/>
  <c r="W4674" i="32"/>
  <c r="W4675" i="32"/>
  <c r="W4676" i="32"/>
  <c r="W4677" i="32"/>
  <c r="W4678" i="32"/>
  <c r="W4679" i="32"/>
  <c r="W4680" i="32"/>
  <c r="W4681" i="32"/>
  <c r="W4682" i="32"/>
  <c r="W4683" i="32"/>
  <c r="W4684" i="32"/>
  <c r="W4685" i="32"/>
  <c r="W4686" i="32"/>
  <c r="W4687" i="32"/>
  <c r="W4688" i="32"/>
  <c r="W4689" i="32"/>
  <c r="W4690" i="32"/>
  <c r="W4691" i="32"/>
  <c r="W4692" i="32"/>
  <c r="W4693" i="32"/>
  <c r="W4694" i="32"/>
  <c r="W4695" i="32"/>
  <c r="W4696" i="32"/>
  <c r="W4697" i="32"/>
  <c r="W4698" i="32"/>
  <c r="W4699" i="32"/>
  <c r="W4700" i="32"/>
  <c r="W4701" i="32"/>
  <c r="W4702" i="32"/>
  <c r="W4703" i="32"/>
  <c r="W4704" i="32"/>
  <c r="W4705" i="32"/>
  <c r="W4706" i="32"/>
  <c r="W4707" i="32"/>
  <c r="W4708" i="32"/>
  <c r="W4709" i="32"/>
  <c r="W4710" i="32"/>
  <c r="W4711" i="32"/>
  <c r="W4712" i="32"/>
  <c r="W4713" i="32"/>
  <c r="W4714" i="32"/>
  <c r="W4715" i="32"/>
  <c r="W4716" i="32"/>
  <c r="W4717" i="32"/>
  <c r="W4718" i="32"/>
  <c r="W4719" i="32"/>
  <c r="W4720" i="32"/>
  <c r="W4721" i="32"/>
  <c r="W4722" i="32"/>
  <c r="W4723" i="32"/>
  <c r="W4724" i="32"/>
  <c r="W4725" i="32"/>
  <c r="W4726" i="32"/>
  <c r="W4727" i="32"/>
  <c r="W4728" i="32"/>
  <c r="W4729" i="32"/>
  <c r="W4730" i="32"/>
  <c r="W4731" i="32"/>
  <c r="W4732" i="32"/>
  <c r="W4733" i="32"/>
  <c r="W4734" i="32"/>
  <c r="W4735" i="32"/>
  <c r="W4736" i="32"/>
  <c r="W4737" i="32"/>
  <c r="W4738" i="32"/>
  <c r="W4739" i="32"/>
  <c r="W4740" i="32"/>
  <c r="W4741" i="32"/>
  <c r="W4742" i="32"/>
  <c r="W4743" i="32"/>
  <c r="W4744" i="32"/>
  <c r="W4745" i="32"/>
  <c r="W4746" i="32"/>
  <c r="W4747" i="32"/>
  <c r="W4748" i="32"/>
  <c r="W4749" i="32"/>
  <c r="W4750" i="32"/>
  <c r="W4751" i="32"/>
  <c r="W4752" i="32"/>
  <c r="W4753" i="32"/>
  <c r="W4754" i="32"/>
  <c r="W4755" i="32"/>
  <c r="W4756" i="32"/>
  <c r="W4757" i="32"/>
  <c r="W4758" i="32"/>
  <c r="W4759" i="32"/>
  <c r="W4760" i="32"/>
  <c r="W4761" i="32"/>
  <c r="W4762" i="32"/>
  <c r="W4763" i="32"/>
  <c r="W4764" i="32"/>
  <c r="W4765" i="32"/>
  <c r="W4766" i="32"/>
  <c r="W4767" i="32"/>
  <c r="W4768" i="32"/>
  <c r="W4769" i="32"/>
  <c r="W4770" i="32"/>
  <c r="W4771" i="32"/>
  <c r="W4772" i="32"/>
  <c r="W4773" i="32"/>
  <c r="W4774" i="32"/>
  <c r="W4775" i="32"/>
  <c r="W4776" i="32"/>
  <c r="W4777" i="32"/>
  <c r="W4778" i="32"/>
  <c r="W4779" i="32"/>
  <c r="W4780" i="32"/>
  <c r="W4781" i="32"/>
  <c r="W4782" i="32"/>
  <c r="W4783" i="32"/>
  <c r="W4784" i="32"/>
  <c r="W4785" i="32"/>
  <c r="W4786" i="32"/>
  <c r="W4787" i="32"/>
  <c r="W4788" i="32"/>
  <c r="W4789" i="32"/>
  <c r="W4790" i="32"/>
  <c r="W4791" i="32"/>
  <c r="W4792" i="32"/>
  <c r="W4793" i="32"/>
  <c r="W4794" i="32"/>
  <c r="W4795" i="32"/>
  <c r="W4796" i="32"/>
  <c r="W4797" i="32"/>
  <c r="W4798" i="32"/>
  <c r="W4799" i="32"/>
  <c r="W4800" i="32"/>
  <c r="W4801" i="32"/>
  <c r="W4802" i="32"/>
  <c r="W4803" i="32"/>
  <c r="W4804" i="32"/>
  <c r="W4805" i="32"/>
  <c r="W4806" i="32"/>
  <c r="W4807" i="32"/>
  <c r="W4808" i="32"/>
  <c r="W4809" i="32"/>
  <c r="W4810" i="32"/>
  <c r="W4811" i="32"/>
  <c r="W4812" i="32"/>
  <c r="W4813" i="32"/>
  <c r="W4814" i="32"/>
  <c r="W4815" i="32"/>
  <c r="W4816" i="32"/>
  <c r="W4817" i="32"/>
  <c r="W4818" i="32"/>
  <c r="W4819" i="32"/>
  <c r="W4820" i="32"/>
  <c r="W4821" i="32"/>
  <c r="W4822" i="32"/>
  <c r="W4823" i="32"/>
  <c r="W4824" i="32"/>
  <c r="W4825" i="32"/>
  <c r="W4826" i="32"/>
  <c r="W4827" i="32"/>
  <c r="W4828" i="32"/>
  <c r="W4829" i="32"/>
  <c r="W4830" i="32"/>
  <c r="W4831" i="32"/>
  <c r="W4832" i="32"/>
  <c r="W4833" i="32"/>
  <c r="W4834" i="32"/>
  <c r="W4835" i="32"/>
  <c r="W4836" i="32"/>
  <c r="W4837" i="32"/>
  <c r="W4838" i="32"/>
  <c r="W4839" i="32"/>
  <c r="W4840" i="32"/>
  <c r="W4841" i="32"/>
  <c r="W4842" i="32"/>
  <c r="W4843" i="32"/>
  <c r="W4844" i="32"/>
  <c r="W4845" i="32"/>
  <c r="W4846" i="32"/>
  <c r="W4847" i="32"/>
  <c r="W4848" i="32"/>
  <c r="W4849" i="32"/>
  <c r="W4850" i="32"/>
  <c r="W4851" i="32"/>
  <c r="W4852" i="32"/>
  <c r="W4853" i="32"/>
  <c r="W4854" i="32"/>
  <c r="W4855" i="32"/>
  <c r="W4856" i="32"/>
  <c r="W4857" i="32"/>
  <c r="W4858" i="32"/>
  <c r="W4859" i="32"/>
  <c r="W4860" i="32"/>
  <c r="W4861" i="32"/>
  <c r="W4862" i="32"/>
  <c r="W4863" i="32"/>
  <c r="W4864" i="32"/>
  <c r="W4865" i="32"/>
  <c r="W4866" i="32"/>
  <c r="W4867" i="32"/>
  <c r="W4868" i="32"/>
  <c r="W4869" i="32"/>
  <c r="W4870" i="32"/>
  <c r="W4871" i="32"/>
  <c r="W4872" i="32"/>
  <c r="W4873" i="32"/>
  <c r="W4874" i="32"/>
  <c r="W4875" i="32"/>
  <c r="W4876" i="32"/>
  <c r="W4877" i="32"/>
  <c r="W4878" i="32"/>
  <c r="W4879" i="32"/>
  <c r="W4880" i="32"/>
  <c r="W4881" i="32"/>
  <c r="W4882" i="32"/>
  <c r="W4883" i="32"/>
  <c r="W4884" i="32"/>
  <c r="W4885" i="32"/>
  <c r="W4886" i="32"/>
  <c r="W4887" i="32"/>
  <c r="W4888" i="32"/>
  <c r="W4889" i="32"/>
  <c r="W4890" i="32"/>
  <c r="W4891" i="32"/>
  <c r="W4892" i="32"/>
  <c r="W4893" i="32"/>
  <c r="W4894" i="32"/>
  <c r="W4895" i="32"/>
  <c r="W4896" i="32"/>
  <c r="W4897" i="32"/>
  <c r="W4898" i="32"/>
  <c r="W4899" i="32"/>
  <c r="W4900" i="32"/>
  <c r="W4901" i="32"/>
  <c r="W4902" i="32"/>
  <c r="W4903" i="32"/>
  <c r="W4904" i="32"/>
  <c r="W4905" i="32"/>
  <c r="W4906" i="32"/>
  <c r="W4907" i="32"/>
  <c r="W4908" i="32"/>
  <c r="W4909" i="32"/>
  <c r="W4910" i="32"/>
  <c r="W4911" i="32"/>
  <c r="W4912" i="32"/>
  <c r="W4913" i="32"/>
  <c r="W4914" i="32"/>
  <c r="W4915" i="32"/>
  <c r="W4916" i="32"/>
  <c r="W4917" i="32"/>
  <c r="W4918" i="32"/>
  <c r="W4919" i="32"/>
  <c r="W4920" i="32"/>
  <c r="W4921" i="32"/>
  <c r="W4922" i="32"/>
  <c r="W4923" i="32"/>
  <c r="W4924" i="32"/>
  <c r="W4925" i="32"/>
  <c r="W4926" i="32"/>
  <c r="W4927" i="32"/>
  <c r="W4928" i="32"/>
  <c r="W4929" i="32"/>
  <c r="W4930" i="32"/>
  <c r="W4931" i="32"/>
  <c r="W4932" i="32"/>
  <c r="W4933" i="32"/>
  <c r="W4934" i="32"/>
  <c r="W4935" i="32"/>
  <c r="W4936" i="32"/>
  <c r="W4937" i="32"/>
  <c r="W4938" i="32"/>
  <c r="W4939" i="32"/>
  <c r="W4940" i="32"/>
  <c r="W4941" i="32"/>
  <c r="W4942" i="32"/>
  <c r="W4943" i="32"/>
  <c r="W4944" i="32"/>
  <c r="W4945" i="32"/>
  <c r="W4946" i="32"/>
  <c r="W4947" i="32"/>
  <c r="W4948" i="32"/>
  <c r="W4949" i="32"/>
  <c r="W4950" i="32"/>
  <c r="W4951" i="32"/>
  <c r="W4952" i="32"/>
  <c r="W4953" i="32"/>
  <c r="W4954" i="32"/>
  <c r="W4955" i="32"/>
  <c r="W4956" i="32"/>
  <c r="W4957" i="32"/>
  <c r="W4958" i="32"/>
  <c r="W4959" i="32"/>
  <c r="W4960" i="32"/>
  <c r="W4961" i="32"/>
  <c r="W4962" i="32"/>
  <c r="W4963" i="32"/>
  <c r="W4964" i="32"/>
  <c r="W4965" i="32"/>
  <c r="W4966" i="32"/>
  <c r="W4967" i="32"/>
  <c r="W4968" i="32"/>
  <c r="W4969" i="32"/>
  <c r="W4970" i="32"/>
  <c r="W4971" i="32"/>
  <c r="W4972" i="32"/>
  <c r="W4973" i="32"/>
  <c r="W4974" i="32"/>
  <c r="W4975" i="32"/>
  <c r="W4976" i="32"/>
  <c r="W4977" i="32"/>
  <c r="W4978" i="32"/>
  <c r="W4979" i="32"/>
  <c r="W4980" i="32"/>
  <c r="W4981" i="32"/>
  <c r="W4982" i="32"/>
  <c r="W4983" i="32"/>
  <c r="W4984" i="32"/>
  <c r="W4985" i="32"/>
  <c r="W4986" i="32"/>
  <c r="W4987" i="32"/>
  <c r="W4988" i="32"/>
  <c r="W4989" i="32"/>
  <c r="W4990" i="32"/>
  <c r="W4991" i="32"/>
  <c r="W4992" i="32"/>
  <c r="W4993" i="32"/>
  <c r="W4994" i="32"/>
  <c r="W4995" i="32"/>
  <c r="W4996" i="32"/>
  <c r="W4997" i="32"/>
  <c r="W4998" i="32"/>
  <c r="W4999" i="32"/>
  <c r="W5000" i="32"/>
  <c r="W5001" i="32"/>
  <c r="W5002" i="32"/>
  <c r="W5003" i="32"/>
  <c r="W5004" i="32"/>
  <c r="W5005" i="32"/>
  <c r="W5006" i="32"/>
  <c r="W5007" i="32"/>
  <c r="W5008" i="32"/>
  <c r="W5009" i="32"/>
  <c r="W5010" i="32"/>
  <c r="W5011" i="32"/>
  <c r="W5012" i="32"/>
  <c r="W5013" i="32"/>
  <c r="W5014" i="32"/>
  <c r="W5015" i="32"/>
  <c r="W5016" i="32"/>
  <c r="W5017" i="32"/>
  <c r="W5018" i="32"/>
  <c r="W5019" i="32"/>
  <c r="W5020" i="32"/>
  <c r="W5021" i="32"/>
  <c r="W5022" i="32"/>
  <c r="W5023" i="32"/>
  <c r="W5024" i="32"/>
  <c r="W5025" i="32"/>
  <c r="W5026" i="32"/>
  <c r="W5027" i="32"/>
  <c r="W5028" i="32"/>
  <c r="W5029" i="32"/>
  <c r="W5030" i="32"/>
  <c r="W5031" i="32"/>
  <c r="W5032" i="32"/>
  <c r="W5033" i="32"/>
  <c r="W5034" i="32"/>
  <c r="W5035" i="32"/>
  <c r="W5036" i="32"/>
  <c r="W5037" i="32"/>
  <c r="W5038" i="32"/>
  <c r="W5039" i="32"/>
  <c r="W5040" i="32"/>
  <c r="W5041" i="32"/>
  <c r="W5042" i="32"/>
  <c r="W5043" i="32"/>
  <c r="W5044" i="32"/>
  <c r="W5045" i="32"/>
  <c r="W5046" i="32"/>
  <c r="W5047" i="32"/>
  <c r="W5048" i="32"/>
  <c r="W5049" i="32"/>
  <c r="W5050" i="32"/>
  <c r="W5051" i="32"/>
  <c r="W5052" i="32"/>
  <c r="W5053" i="32"/>
  <c r="W5054" i="32"/>
  <c r="W5055" i="32"/>
  <c r="W5056" i="32"/>
  <c r="W5057" i="32"/>
  <c r="W5058" i="32"/>
  <c r="W5059" i="32"/>
  <c r="W5060" i="32"/>
  <c r="W5061" i="32"/>
  <c r="W5062" i="32"/>
  <c r="W5063" i="32"/>
  <c r="W5064" i="32"/>
  <c r="W5065" i="32"/>
  <c r="W5066" i="32"/>
  <c r="W5067" i="32"/>
  <c r="W5068" i="32"/>
  <c r="W5069" i="32"/>
  <c r="W5070" i="32"/>
  <c r="W5071" i="32"/>
  <c r="W5072" i="32"/>
  <c r="W5073" i="32"/>
  <c r="W5074" i="32"/>
  <c r="W5075" i="32"/>
  <c r="W5076" i="32"/>
  <c r="W5077" i="32"/>
  <c r="W5078" i="32"/>
  <c r="W5079" i="32"/>
  <c r="W5080" i="32"/>
  <c r="W5081" i="32"/>
  <c r="W5082" i="32"/>
  <c r="W5083" i="32"/>
  <c r="W5084" i="32"/>
  <c r="W5085" i="32"/>
  <c r="W5086" i="32"/>
  <c r="W5087" i="32"/>
  <c r="W5088" i="32"/>
  <c r="W5089" i="32"/>
  <c r="W5090" i="32"/>
  <c r="W5091" i="32"/>
  <c r="W5092" i="32"/>
  <c r="W5093" i="32"/>
  <c r="W5094" i="32"/>
  <c r="W5095" i="32"/>
  <c r="W5096" i="32"/>
  <c r="W5097" i="32"/>
  <c r="W5098" i="32"/>
  <c r="W5099" i="32"/>
  <c r="W5100" i="32"/>
  <c r="W5101" i="32"/>
  <c r="W5102" i="32"/>
  <c r="W5103" i="32"/>
  <c r="W5104" i="32"/>
  <c r="W5105" i="32"/>
  <c r="W5106" i="32"/>
  <c r="W5107" i="32"/>
  <c r="W5108" i="32"/>
  <c r="W5109" i="32"/>
  <c r="W5110" i="32"/>
  <c r="W5111" i="32"/>
  <c r="W5112" i="32"/>
  <c r="W5113" i="32"/>
  <c r="W5114" i="32"/>
  <c r="W5115" i="32"/>
  <c r="W5116" i="32"/>
  <c r="W5117" i="32"/>
  <c r="W5118" i="32"/>
  <c r="W5119" i="32"/>
  <c r="W5120" i="32"/>
  <c r="W5121" i="32"/>
  <c r="W5122" i="32"/>
  <c r="W5123" i="32"/>
  <c r="W5124" i="32"/>
  <c r="W5125" i="32"/>
  <c r="W5126" i="32"/>
  <c r="W5127" i="32"/>
  <c r="W5128" i="32"/>
  <c r="W5129" i="32"/>
  <c r="W5130" i="32"/>
  <c r="W5131" i="32"/>
  <c r="W5132" i="32"/>
  <c r="W5133" i="32"/>
  <c r="W5134" i="32"/>
  <c r="W5135" i="32"/>
  <c r="W5136" i="32"/>
  <c r="W5137" i="32"/>
  <c r="W5138" i="32"/>
  <c r="W5139" i="32"/>
  <c r="W5140" i="32"/>
  <c r="W5141" i="32"/>
  <c r="W5142" i="32"/>
  <c r="W5143" i="32"/>
  <c r="W5144" i="32"/>
  <c r="W5145" i="32"/>
  <c r="W5146" i="32"/>
  <c r="W5147" i="32"/>
  <c r="W5148" i="32"/>
  <c r="W5149" i="32"/>
  <c r="W5150" i="32"/>
  <c r="W5151" i="32"/>
  <c r="W5152" i="32"/>
  <c r="W5153" i="32"/>
  <c r="W5154" i="32"/>
  <c r="W5155" i="32"/>
  <c r="W5156" i="32"/>
  <c r="W5157" i="32"/>
  <c r="W5158" i="32"/>
  <c r="W5159" i="32"/>
  <c r="W5160" i="32"/>
  <c r="W5161" i="32"/>
  <c r="W5162" i="32"/>
  <c r="W5163" i="32"/>
  <c r="W5164" i="32"/>
  <c r="W5165" i="32"/>
  <c r="W5166" i="32"/>
  <c r="W5167" i="32"/>
  <c r="W5168" i="32"/>
  <c r="W5169" i="32"/>
  <c r="W5170" i="32"/>
  <c r="W5171" i="32"/>
  <c r="W5172" i="32"/>
  <c r="W5173" i="32"/>
  <c r="W5174" i="32"/>
  <c r="W5175" i="32"/>
  <c r="W5176" i="32"/>
  <c r="W5177" i="32"/>
  <c r="W5178" i="32"/>
  <c r="W5179" i="32"/>
  <c r="W5180" i="32"/>
  <c r="W5181" i="32"/>
  <c r="W5182" i="32"/>
  <c r="W5183" i="32"/>
  <c r="W5184" i="32"/>
  <c r="W5185" i="32"/>
  <c r="W5186" i="32"/>
  <c r="W5187" i="32"/>
  <c r="W5188" i="32"/>
  <c r="W5189" i="32"/>
  <c r="W5190" i="32"/>
  <c r="W5191" i="32"/>
  <c r="W5192" i="32"/>
  <c r="W5193" i="32"/>
  <c r="W5194" i="32"/>
  <c r="W5195" i="32"/>
  <c r="W5196" i="32"/>
  <c r="W5197" i="32"/>
  <c r="W5198" i="32"/>
  <c r="W5199" i="32"/>
  <c r="W5200" i="32"/>
  <c r="W5201" i="32"/>
  <c r="W5202" i="32"/>
  <c r="W5203" i="32"/>
  <c r="W5204" i="32"/>
  <c r="W5205" i="32"/>
  <c r="W5206" i="32"/>
  <c r="W5207" i="32"/>
  <c r="W5208" i="32"/>
  <c r="W5209" i="32"/>
  <c r="W5210" i="32"/>
  <c r="W5211" i="32"/>
  <c r="W5212" i="32"/>
  <c r="W5213" i="32"/>
  <c r="W5214" i="32"/>
  <c r="W5215" i="32"/>
  <c r="W5216" i="32"/>
  <c r="W5217" i="32"/>
  <c r="W5218" i="32"/>
  <c r="W5219" i="32"/>
  <c r="W5220" i="32"/>
  <c r="W5221" i="32"/>
  <c r="W5222" i="32"/>
  <c r="W5223" i="32"/>
  <c r="W5224" i="32"/>
  <c r="W5225" i="32"/>
  <c r="W5226" i="32"/>
  <c r="W5227" i="32"/>
  <c r="W5228" i="32"/>
  <c r="W5229" i="32"/>
  <c r="W5230" i="32"/>
  <c r="W5231" i="32"/>
  <c r="W5232" i="32"/>
  <c r="W5233" i="32"/>
  <c r="W5234" i="32"/>
  <c r="W5235" i="32"/>
  <c r="W5236" i="32"/>
  <c r="W5237" i="32"/>
  <c r="W5238" i="32"/>
  <c r="W5239" i="32"/>
  <c r="W5240" i="32"/>
  <c r="W5241" i="32"/>
  <c r="W5242" i="32"/>
  <c r="W5243" i="32"/>
  <c r="W5244" i="32"/>
  <c r="W5245" i="32"/>
  <c r="W5246" i="32"/>
  <c r="W5247" i="32"/>
  <c r="W5248" i="32"/>
  <c r="W5249" i="32"/>
  <c r="W5250" i="32"/>
  <c r="W5251" i="32"/>
  <c r="W5252" i="32"/>
  <c r="W5253" i="32"/>
  <c r="W5254" i="32"/>
  <c r="W5255" i="32"/>
  <c r="W5256" i="32"/>
  <c r="W5257" i="32"/>
  <c r="W5258" i="32"/>
  <c r="W5259" i="32"/>
  <c r="W5260" i="32"/>
  <c r="W5261" i="32"/>
  <c r="W5262" i="32"/>
  <c r="W5263" i="32"/>
  <c r="W5264" i="32"/>
  <c r="W5265" i="32"/>
  <c r="W5266" i="32"/>
  <c r="W5267" i="32"/>
  <c r="W5268" i="32"/>
  <c r="W5269" i="32"/>
  <c r="W5270" i="32"/>
  <c r="W5271" i="32"/>
  <c r="W5272" i="32"/>
  <c r="W5273" i="32"/>
  <c r="W5274" i="32"/>
  <c r="W5275" i="32"/>
  <c r="W5276" i="32"/>
  <c r="W5277" i="32"/>
  <c r="W5278" i="32"/>
  <c r="W5279" i="32"/>
  <c r="W5280" i="32"/>
  <c r="W5281" i="32"/>
  <c r="W5282" i="32"/>
  <c r="W5283" i="32"/>
  <c r="W5284" i="32"/>
  <c r="W5285" i="32"/>
  <c r="W5286" i="32"/>
  <c r="W5287" i="32"/>
  <c r="W5288" i="32"/>
  <c r="W5289" i="32"/>
  <c r="W5290" i="32"/>
  <c r="W5291" i="32"/>
  <c r="W5292" i="32"/>
  <c r="W5293" i="32"/>
  <c r="W5294" i="32"/>
  <c r="W5295" i="32"/>
  <c r="W5296" i="32"/>
  <c r="W5297" i="32"/>
  <c r="W5298" i="32"/>
  <c r="W5299" i="32"/>
  <c r="W5300" i="32"/>
  <c r="W5301" i="32"/>
  <c r="W5302" i="32"/>
  <c r="W5303" i="32"/>
  <c r="W5304" i="32"/>
  <c r="W5305" i="32"/>
  <c r="W5306" i="32"/>
  <c r="W5307" i="32"/>
  <c r="W5308" i="32"/>
  <c r="W5309" i="32"/>
  <c r="W5310" i="32"/>
  <c r="W5311" i="32"/>
  <c r="W5312" i="32"/>
  <c r="W5313" i="32"/>
  <c r="W5314" i="32"/>
  <c r="W5315" i="32"/>
  <c r="W5316" i="32"/>
  <c r="W5317" i="32"/>
  <c r="W5318" i="32"/>
  <c r="W5319" i="32"/>
  <c r="W5320" i="32"/>
  <c r="W5321" i="32"/>
  <c r="W5322" i="32"/>
  <c r="W5323" i="32"/>
  <c r="W5324" i="32"/>
  <c r="W5325" i="32"/>
  <c r="W5326" i="32"/>
  <c r="W5327" i="32"/>
  <c r="W5328" i="32"/>
  <c r="W5329" i="32"/>
  <c r="W5330" i="32"/>
  <c r="W5331" i="32"/>
  <c r="W5332" i="32"/>
  <c r="W5333" i="32"/>
  <c r="W5334" i="32"/>
  <c r="W5335" i="32"/>
  <c r="W5336" i="32"/>
  <c r="W5337" i="32"/>
  <c r="W5338" i="32"/>
  <c r="W5339" i="32"/>
  <c r="W5340" i="32"/>
  <c r="W5341" i="32"/>
  <c r="W5342" i="32"/>
  <c r="W5343" i="32"/>
  <c r="W5344" i="32"/>
  <c r="W5345" i="32"/>
  <c r="W5346" i="32"/>
  <c r="W5347" i="32"/>
  <c r="W5348" i="32"/>
  <c r="W5349" i="32"/>
  <c r="W5350" i="32"/>
  <c r="W5351" i="32"/>
  <c r="W5352" i="32"/>
  <c r="W5353" i="32"/>
  <c r="W5354" i="32"/>
  <c r="W5355" i="32"/>
  <c r="W5356" i="32"/>
  <c r="W5357" i="32"/>
  <c r="W5358" i="32"/>
  <c r="W5359" i="32"/>
  <c r="W5360" i="32"/>
  <c r="W5361" i="32"/>
  <c r="W5362" i="32"/>
  <c r="W5363" i="32"/>
  <c r="W5364" i="32"/>
  <c r="W5365" i="32"/>
  <c r="W5366" i="32"/>
  <c r="W5367" i="32"/>
  <c r="W5368" i="32"/>
  <c r="W5369" i="32"/>
  <c r="W5370" i="32"/>
  <c r="W5371" i="32"/>
  <c r="W5372" i="32"/>
  <c r="W5373" i="32"/>
  <c r="W5374" i="32"/>
  <c r="W5375" i="32"/>
  <c r="W5376" i="32"/>
  <c r="W5377" i="32"/>
  <c r="W5378" i="32"/>
  <c r="W5379" i="32"/>
  <c r="W5380" i="32"/>
  <c r="W5381" i="32"/>
  <c r="W5382" i="32"/>
  <c r="W5383" i="32"/>
  <c r="W5384" i="32"/>
  <c r="W5385" i="32"/>
  <c r="W5386" i="32"/>
  <c r="W5387" i="32"/>
  <c r="W5388" i="32"/>
  <c r="W5389" i="32"/>
  <c r="W5390" i="32"/>
  <c r="W5391" i="32"/>
  <c r="W5392" i="32"/>
  <c r="W5393" i="32"/>
  <c r="W5394" i="32"/>
  <c r="W5395" i="32"/>
  <c r="W5396" i="32"/>
  <c r="W5397" i="32"/>
  <c r="W5398" i="32"/>
  <c r="W5399" i="32"/>
  <c r="W5400" i="32"/>
  <c r="W5401" i="32"/>
  <c r="W5402" i="32"/>
  <c r="W5403" i="32"/>
  <c r="W5404" i="32"/>
  <c r="W5405" i="32"/>
  <c r="W5406" i="32"/>
  <c r="W5407" i="32"/>
  <c r="W5408" i="32"/>
  <c r="W5409" i="32"/>
  <c r="W5410" i="32"/>
  <c r="W5411" i="32"/>
  <c r="W5412" i="32"/>
  <c r="W5413" i="32"/>
  <c r="W5414" i="32"/>
  <c r="W5415" i="32"/>
  <c r="W5416" i="32"/>
  <c r="W5417" i="32"/>
  <c r="W5418" i="32"/>
  <c r="W5419" i="32"/>
  <c r="W5420" i="32"/>
  <c r="W5421" i="32"/>
  <c r="W5422" i="32"/>
  <c r="W5423" i="32"/>
  <c r="W5424" i="32"/>
  <c r="W5425" i="32"/>
  <c r="W5426" i="32"/>
  <c r="W5427" i="32"/>
  <c r="W5428" i="32"/>
  <c r="W5429" i="32"/>
  <c r="W5430" i="32"/>
  <c r="W5431" i="32"/>
  <c r="W5432" i="32"/>
  <c r="W5433" i="32"/>
  <c r="W5434" i="32"/>
  <c r="W5435" i="32"/>
  <c r="W5436" i="32"/>
  <c r="W5437" i="32"/>
  <c r="W5438" i="32"/>
  <c r="W5439" i="32"/>
  <c r="W5440" i="32"/>
  <c r="W5441" i="32"/>
  <c r="W5442" i="32"/>
  <c r="W5443" i="32"/>
  <c r="W5444" i="32"/>
  <c r="W5445" i="32"/>
  <c r="W5446" i="32"/>
  <c r="W5447" i="32"/>
  <c r="W5448" i="32"/>
  <c r="W5449" i="32"/>
  <c r="W5450" i="32"/>
  <c r="W5451" i="32"/>
  <c r="W5452" i="32"/>
  <c r="W5453" i="32"/>
  <c r="W5454" i="32"/>
  <c r="W5455" i="32"/>
  <c r="W5456" i="32"/>
  <c r="W5457" i="32"/>
  <c r="W5458" i="32"/>
  <c r="W5459" i="32"/>
  <c r="W5460" i="32"/>
  <c r="W5461" i="32"/>
  <c r="W5462" i="32"/>
  <c r="W5463" i="32"/>
  <c r="W5464" i="32"/>
  <c r="W5465" i="32"/>
  <c r="W5466" i="32"/>
  <c r="W5467" i="32"/>
  <c r="W5468" i="32"/>
  <c r="W5469" i="32"/>
  <c r="W5470" i="32"/>
  <c r="W5471" i="32"/>
  <c r="W5472" i="32"/>
  <c r="W5473" i="32"/>
  <c r="W5474" i="32"/>
  <c r="W5475" i="32"/>
  <c r="W5476" i="32"/>
  <c r="W5477" i="32"/>
  <c r="W5478" i="32"/>
  <c r="W5479" i="32"/>
  <c r="W5480" i="32"/>
  <c r="W5481" i="32"/>
  <c r="W5482" i="32"/>
  <c r="W5483" i="32"/>
  <c r="W5484" i="32"/>
  <c r="W5485" i="32"/>
  <c r="W5486" i="32"/>
  <c r="W5487" i="32"/>
  <c r="W5488" i="32"/>
  <c r="W5489" i="32"/>
  <c r="W5490" i="32"/>
  <c r="W5491" i="32"/>
  <c r="W5492" i="32"/>
  <c r="W5493" i="32"/>
  <c r="W5494" i="32"/>
  <c r="W5495" i="32"/>
  <c r="W5496" i="32"/>
  <c r="W5497" i="32"/>
  <c r="W5498" i="32"/>
  <c r="W5499" i="32"/>
  <c r="W5500" i="32"/>
  <c r="W5501" i="32"/>
  <c r="W5502" i="32"/>
  <c r="W5503" i="32"/>
  <c r="W5504" i="32"/>
  <c r="W5505" i="32"/>
  <c r="W5506" i="32"/>
  <c r="W5507" i="32"/>
  <c r="W5508" i="32"/>
  <c r="W5509" i="32"/>
  <c r="W5510" i="32"/>
  <c r="W5511" i="32"/>
  <c r="W5512" i="32"/>
  <c r="W5513" i="32"/>
  <c r="W5514" i="32"/>
  <c r="W5515" i="32"/>
  <c r="W5516" i="32"/>
  <c r="W5517" i="32"/>
  <c r="W5518" i="32"/>
  <c r="W5519" i="32"/>
  <c r="W5520" i="32"/>
  <c r="W5521" i="32"/>
  <c r="W5522" i="32"/>
  <c r="W5523" i="32"/>
  <c r="W5524" i="32"/>
  <c r="W5525" i="32"/>
  <c r="W5526" i="32"/>
  <c r="W5527" i="32"/>
  <c r="W5528" i="32"/>
  <c r="W5529" i="32"/>
  <c r="W5530" i="32"/>
  <c r="W5531" i="32"/>
  <c r="W5532" i="32"/>
  <c r="W5533" i="32"/>
  <c r="W5534" i="32"/>
  <c r="W5535" i="32"/>
  <c r="W5536" i="32"/>
  <c r="W5537" i="32"/>
  <c r="W5538" i="32"/>
  <c r="W5539" i="32"/>
  <c r="W5540" i="32"/>
  <c r="W5541" i="32"/>
  <c r="W5542" i="32"/>
  <c r="W5543" i="32"/>
  <c r="W5544" i="32"/>
  <c r="W5545" i="32"/>
  <c r="W5546" i="32"/>
  <c r="W5547" i="32"/>
  <c r="W5548" i="32"/>
  <c r="W5549" i="32"/>
  <c r="W5550" i="32"/>
  <c r="W5551" i="32"/>
  <c r="W5552" i="32"/>
  <c r="W5553" i="32"/>
  <c r="W5554" i="32"/>
  <c r="W5555" i="32"/>
  <c r="W5556" i="32"/>
  <c r="W5557" i="32"/>
  <c r="W5558" i="32"/>
  <c r="W5559" i="32"/>
  <c r="W5560" i="32"/>
  <c r="W5561" i="32"/>
  <c r="W5562" i="32"/>
  <c r="W5563" i="32"/>
  <c r="W5564" i="32"/>
  <c r="W5565" i="32"/>
  <c r="W5566" i="32"/>
  <c r="W5567" i="32"/>
  <c r="W5568" i="32"/>
  <c r="W5569" i="32"/>
  <c r="W5570" i="32"/>
  <c r="W5571" i="32"/>
  <c r="W5572" i="32"/>
  <c r="W5573" i="32"/>
  <c r="W5574" i="32"/>
  <c r="W5575" i="32"/>
  <c r="W5576" i="32"/>
  <c r="W5577" i="32"/>
  <c r="W5578" i="32"/>
  <c r="W5579" i="32"/>
  <c r="W5580" i="32"/>
  <c r="W5581" i="32"/>
  <c r="W5582" i="32"/>
  <c r="W5583" i="32"/>
  <c r="W5584" i="32"/>
  <c r="W5585" i="32"/>
  <c r="W5586" i="32"/>
  <c r="W5587" i="32"/>
  <c r="W5588" i="32"/>
  <c r="W5589" i="32"/>
  <c r="W5590" i="32"/>
  <c r="W5591" i="32"/>
  <c r="W5592" i="32"/>
  <c r="W5593" i="32"/>
  <c r="W5594" i="32"/>
  <c r="W5595" i="32"/>
  <c r="W5596" i="32"/>
  <c r="W5597" i="32"/>
  <c r="W5598" i="32"/>
  <c r="W5599" i="32"/>
  <c r="W5600" i="32"/>
  <c r="W5601" i="32"/>
  <c r="W5602" i="32"/>
  <c r="W5603" i="32"/>
  <c r="W5604" i="32"/>
  <c r="W5605" i="32"/>
  <c r="W5606" i="32"/>
  <c r="W5607" i="32"/>
  <c r="W5608" i="32"/>
  <c r="W5609" i="32"/>
  <c r="W5610" i="32"/>
  <c r="W5611" i="32"/>
  <c r="W5612" i="32"/>
  <c r="W5613" i="32"/>
  <c r="W5614" i="32"/>
  <c r="W5615" i="32"/>
  <c r="W5616" i="32"/>
  <c r="W5617" i="32"/>
  <c r="W5618" i="32"/>
  <c r="W5619" i="32"/>
  <c r="W5620" i="32"/>
  <c r="W5621" i="32"/>
  <c r="W5622" i="32"/>
  <c r="W5623" i="32"/>
  <c r="W5624" i="32"/>
  <c r="W5625" i="32"/>
  <c r="W5626" i="32"/>
  <c r="W5627" i="32"/>
  <c r="W5628" i="32"/>
  <c r="W5629" i="32"/>
  <c r="W5630" i="32"/>
  <c r="W5631" i="32"/>
  <c r="W5632" i="32"/>
  <c r="W5633" i="32"/>
  <c r="W5634" i="32"/>
  <c r="W5635" i="32"/>
  <c r="W5636" i="32"/>
  <c r="W5637" i="32"/>
  <c r="W5638" i="32"/>
  <c r="W5639" i="32"/>
  <c r="W5640" i="32"/>
  <c r="W5641" i="32"/>
  <c r="W5642" i="32"/>
  <c r="W5643" i="32"/>
  <c r="W5644" i="32"/>
  <c r="W5645" i="32"/>
  <c r="W5646" i="32"/>
  <c r="W5647" i="32"/>
  <c r="W5648" i="32"/>
  <c r="W5649" i="32"/>
  <c r="W5650" i="32"/>
  <c r="W5651" i="32"/>
  <c r="W5652" i="32"/>
  <c r="W5653" i="32"/>
  <c r="W5654" i="32"/>
  <c r="W5655" i="32"/>
  <c r="W5656" i="32"/>
  <c r="W5657" i="32"/>
  <c r="W5658" i="32"/>
  <c r="W5659" i="32"/>
  <c r="W5660" i="32"/>
  <c r="W5661" i="32"/>
  <c r="W5662" i="32"/>
  <c r="W5663" i="32"/>
  <c r="W5664" i="32"/>
  <c r="W5665" i="32"/>
  <c r="W5666" i="32"/>
  <c r="W5667" i="32"/>
  <c r="W5668" i="32"/>
  <c r="W5669" i="32"/>
  <c r="W5670" i="32"/>
  <c r="W5671" i="32"/>
  <c r="W5672" i="32"/>
  <c r="W5673" i="32"/>
  <c r="W5674" i="32"/>
  <c r="W5675" i="32"/>
  <c r="W5676" i="32"/>
  <c r="W5677" i="32"/>
  <c r="W5678" i="32"/>
  <c r="W5679" i="32"/>
  <c r="W5680" i="32"/>
  <c r="W5681" i="32"/>
  <c r="W5682" i="32"/>
  <c r="W5683" i="32"/>
  <c r="W5684" i="32"/>
  <c r="W5685" i="32"/>
  <c r="W5686" i="32"/>
  <c r="W5687" i="32"/>
  <c r="W5688" i="32"/>
  <c r="W5689" i="32"/>
  <c r="W5690" i="32"/>
  <c r="W5691" i="32"/>
  <c r="W5692" i="32"/>
  <c r="W5693" i="32"/>
  <c r="W5694" i="32"/>
  <c r="W5695" i="32"/>
  <c r="W5696" i="32"/>
  <c r="W5697" i="32"/>
  <c r="W5698" i="32"/>
  <c r="W5699" i="32"/>
  <c r="W5700" i="32"/>
  <c r="W5701" i="32"/>
  <c r="W5702" i="32"/>
  <c r="W5703" i="32"/>
  <c r="W5704" i="32"/>
  <c r="W5705" i="32"/>
  <c r="W5706" i="32"/>
  <c r="W5707" i="32"/>
  <c r="W5708" i="32"/>
  <c r="W5709" i="32"/>
  <c r="W5710" i="32"/>
  <c r="W5711" i="32"/>
  <c r="W5712" i="32"/>
  <c r="W5713" i="32"/>
  <c r="W5714" i="32"/>
  <c r="W5715" i="32"/>
  <c r="W5716" i="32"/>
  <c r="W5717" i="32"/>
  <c r="W5718" i="32"/>
  <c r="W5719" i="32"/>
  <c r="W5720" i="32"/>
  <c r="W5721" i="32"/>
  <c r="W5722" i="32"/>
  <c r="W5723" i="32"/>
  <c r="W5724" i="32"/>
  <c r="W5725" i="32"/>
  <c r="W5726" i="32"/>
  <c r="W5727" i="32"/>
  <c r="W5728" i="32"/>
  <c r="W5729" i="32"/>
  <c r="W5730" i="32"/>
  <c r="W5731" i="32"/>
  <c r="W5732" i="32"/>
  <c r="W5733" i="32"/>
  <c r="W5734" i="32"/>
  <c r="W5735" i="32"/>
  <c r="W5736" i="32"/>
  <c r="W5737" i="32"/>
  <c r="W5738" i="32"/>
  <c r="W5739" i="32"/>
  <c r="W5740" i="32"/>
  <c r="W5741" i="32"/>
  <c r="W5742" i="32"/>
  <c r="W5743" i="32"/>
  <c r="W5744" i="32"/>
  <c r="W5745" i="32"/>
  <c r="W5746" i="32"/>
  <c r="W5747" i="32"/>
  <c r="W5748" i="32"/>
  <c r="W5749" i="32"/>
  <c r="W5750" i="32"/>
  <c r="W5751" i="32"/>
  <c r="W5752" i="32"/>
  <c r="W5753" i="32"/>
  <c r="W5754" i="32"/>
  <c r="W5755" i="32"/>
  <c r="W5756" i="32"/>
  <c r="W5757" i="32"/>
  <c r="W5758" i="32"/>
  <c r="W5759" i="32"/>
  <c r="W5760" i="32"/>
  <c r="W5761" i="32"/>
  <c r="W5762" i="32"/>
  <c r="W5763" i="32"/>
  <c r="W5764" i="32"/>
  <c r="W5765" i="32"/>
  <c r="W5766" i="32"/>
  <c r="W5767" i="32"/>
  <c r="W5768" i="32"/>
  <c r="W5769" i="32"/>
  <c r="W5770" i="32"/>
  <c r="W5771" i="32"/>
  <c r="W5772" i="32"/>
  <c r="W5773" i="32"/>
  <c r="W5774" i="32"/>
  <c r="W5775" i="32"/>
  <c r="W5776" i="32"/>
  <c r="W5777" i="32"/>
  <c r="K5" i="17" l="1"/>
  <c r="K6" i="17"/>
  <c r="J4" i="17" l="1"/>
  <c r="M4" i="17"/>
  <c r="J5" i="17"/>
  <c r="M5" i="17"/>
  <c r="J6" i="17"/>
  <c r="M6" i="17"/>
  <c r="J7" i="17"/>
  <c r="M7" i="17"/>
  <c r="J8" i="17"/>
  <c r="M8" i="17"/>
  <c r="J9" i="17"/>
  <c r="M9" i="17"/>
  <c r="J10" i="17"/>
  <c r="M10" i="17"/>
  <c r="J11" i="17"/>
  <c r="M11" i="17"/>
  <c r="J12" i="17"/>
  <c r="M12" i="17"/>
  <c r="J13" i="17"/>
  <c r="M13" i="17"/>
  <c r="J14" i="17"/>
  <c r="M14" i="17"/>
  <c r="B2" i="17" l="1"/>
  <c r="E5" i="17" l="1"/>
  <c r="E4" i="17"/>
  <c r="E6" i="17"/>
  <c r="E7" i="17"/>
  <c r="E8" i="17"/>
  <c r="E9" i="17"/>
  <c r="E10" i="17"/>
  <c r="E11" i="17"/>
  <c r="E12" i="17"/>
  <c r="E13" i="17"/>
  <c r="E14" i="17"/>
  <c r="B66" i="79" l="1"/>
  <c r="B62" i="79" l="1"/>
  <c r="B15" i="79" l="1"/>
  <c r="B16" i="79" s="1"/>
  <c r="B45" i="79" l="1"/>
  <c r="B40" i="79" l="1"/>
  <c r="B85" i="79"/>
  <c r="B83" i="79"/>
  <c r="B18" i="79" l="1"/>
  <c r="B19" i="79"/>
  <c r="B50" i="79" l="1"/>
  <c r="B54" i="79"/>
  <c r="B63" i="79"/>
  <c r="B20" i="79"/>
  <c r="B22" i="79"/>
  <c r="B21" i="79"/>
  <c r="B41" i="79" l="1"/>
  <c r="B46" i="79"/>
  <c r="B28" i="79"/>
  <c r="B32" i="79"/>
  <c r="B36" i="79"/>
  <c r="B17" i="79" l="1"/>
  <c r="B23" i="79" l="1"/>
  <c r="B12" i="79" l="1"/>
  <c r="B87" i="79" l="1"/>
  <c r="B89" i="79"/>
  <c r="B88" i="79" l="1"/>
  <c r="B90" i="79" l="1"/>
</calcChain>
</file>

<file path=xl/sharedStrings.xml><?xml version="1.0" encoding="utf-8"?>
<sst xmlns="http://schemas.openxmlformats.org/spreadsheetml/2006/main" count="4498" uniqueCount="326">
  <si>
    <t>Store Name</t>
  </si>
  <si>
    <t>ROM</t>
  </si>
  <si>
    <t>SD</t>
  </si>
  <si>
    <t>Date</t>
  </si>
  <si>
    <t>Day</t>
  </si>
  <si>
    <t>Time Slot</t>
  </si>
  <si>
    <t>Staff Present</t>
  </si>
  <si>
    <t>NOB/Hour</t>
  </si>
  <si>
    <t>NOB Tgt</t>
  </si>
  <si>
    <t>NOB Ach</t>
  </si>
  <si>
    <t>FF</t>
  </si>
  <si>
    <t>Conv</t>
  </si>
  <si>
    <t>11 to 12</t>
  </si>
  <si>
    <t>Ajay Gill</t>
  </si>
  <si>
    <t>Harsh</t>
  </si>
  <si>
    <t>12 to 1</t>
  </si>
  <si>
    <t>1 to 2</t>
  </si>
  <si>
    <t>2 to 3</t>
  </si>
  <si>
    <t>3 to 4</t>
  </si>
  <si>
    <t>4 to 5</t>
  </si>
  <si>
    <t>5 to 6</t>
  </si>
  <si>
    <t>6 to 7</t>
  </si>
  <si>
    <t>7 to 8</t>
  </si>
  <si>
    <t>8 to 9</t>
  </si>
  <si>
    <t>9 to 10</t>
  </si>
  <si>
    <t>Bills</t>
  </si>
  <si>
    <t>Hamleys Vegas</t>
  </si>
  <si>
    <t>call is busy</t>
  </si>
  <si>
    <t xml:space="preserve"> </t>
  </si>
  <si>
    <t>Row Labels</t>
  </si>
  <si>
    <t>Grand Total</t>
  </si>
  <si>
    <t xml:space="preserve">Hours </t>
  </si>
  <si>
    <t>Wed</t>
  </si>
  <si>
    <t>Hour</t>
  </si>
  <si>
    <t>Sum of Bills</t>
  </si>
  <si>
    <t>STORENO</t>
  </si>
  <si>
    <t>TRANSACTIONTYPE</t>
  </si>
  <si>
    <t>RECEIPTNO</t>
  </si>
  <si>
    <t>TRANSDATE</t>
  </si>
  <si>
    <t>ARTICLESINRECEIPT</t>
  </si>
  <si>
    <t>BARCODE</t>
  </si>
  <si>
    <t>QTY</t>
  </si>
  <si>
    <t>RECEIPTPRICE</t>
  </si>
  <si>
    <t>PROMOTION</t>
  </si>
  <si>
    <t>DISCOUNT</t>
  </si>
  <si>
    <t>TOTALDISCOUNT</t>
  </si>
  <si>
    <t>NET</t>
  </si>
  <si>
    <t>TAX</t>
  </si>
  <si>
    <t>Tax%</t>
  </si>
  <si>
    <t>ARTICLEDESC</t>
  </si>
  <si>
    <t>CASHIER</t>
  </si>
  <si>
    <t>STATUS</t>
  </si>
  <si>
    <t>SALESMANCODE</t>
  </si>
  <si>
    <t>Order_Type</t>
  </si>
  <si>
    <t>PRODUCT_TYPE</t>
  </si>
  <si>
    <t>TLX5</t>
  </si>
  <si>
    <t>SALE</t>
  </si>
  <si>
    <t>COMPLETED</t>
  </si>
  <si>
    <t>GnG</t>
  </si>
  <si>
    <t xml:space="preserve">            </t>
  </si>
  <si>
    <t>TXNID</t>
  </si>
  <si>
    <t>Store</t>
  </si>
  <si>
    <t>VEGAS</t>
  </si>
  <si>
    <t>Date-</t>
  </si>
  <si>
    <t>MONTH TRGT -</t>
  </si>
  <si>
    <t>TARGET-</t>
  </si>
  <si>
    <t>SALE-</t>
  </si>
  <si>
    <t>FF-</t>
  </si>
  <si>
    <t>BILL-</t>
  </si>
  <si>
    <t>UNIT-</t>
  </si>
  <si>
    <t>UPT-</t>
  </si>
  <si>
    <t>ATV-</t>
  </si>
  <si>
    <t>AUV-</t>
  </si>
  <si>
    <t>CONV%-</t>
  </si>
  <si>
    <t>MTD TGT-</t>
  </si>
  <si>
    <t>MTD SALE-</t>
  </si>
  <si>
    <t>MTD SALE%-</t>
  </si>
  <si>
    <t>MTD FF-</t>
  </si>
  <si>
    <t>MTD BILL-</t>
  </si>
  <si>
    <t>MTD QTY-</t>
  </si>
  <si>
    <t>MTD UPT-</t>
  </si>
  <si>
    <t>MTD ATV-</t>
  </si>
  <si>
    <t>MTD AUV-</t>
  </si>
  <si>
    <t>MTD CONV%-</t>
  </si>
  <si>
    <t>ATVD SALE-</t>
  </si>
  <si>
    <t>ATVD QTY-</t>
  </si>
  <si>
    <t>ATVD CONTRI%-</t>
  </si>
  <si>
    <t>MTD ATVD CONTRI%-</t>
  </si>
  <si>
    <t>HOT SPOT SALE-</t>
  </si>
  <si>
    <t>HOT SPOT %-</t>
  </si>
  <si>
    <t>MTD HOTSPOT %-</t>
  </si>
  <si>
    <t>SELF DEMO SALE-</t>
  </si>
  <si>
    <t>SELF DEMO %-</t>
  </si>
  <si>
    <t>MTD SELF DEMO %-</t>
  </si>
  <si>
    <t>CORE-</t>
  </si>
  <si>
    <t>CORE %-</t>
  </si>
  <si>
    <t>MTD CORE SALE-</t>
  </si>
  <si>
    <t>MTD CORE DEMO%-</t>
  </si>
  <si>
    <t>MII SALE -</t>
  </si>
  <si>
    <r>
      <t xml:space="preserve">MII SALE </t>
    </r>
    <r>
      <rPr>
        <strike/>
        <sz val="10"/>
        <color theme="1"/>
        <rFont val="Calibri"/>
        <family val="2"/>
        <scheme val="minor"/>
      </rPr>
      <t>%-</t>
    </r>
  </si>
  <si>
    <t>MTD MII SALE-</t>
  </si>
  <si>
    <t>MTD MII SALE %-</t>
  </si>
  <si>
    <t>BATTERY-</t>
  </si>
  <si>
    <t>BATTERY ATTACH%-</t>
  </si>
  <si>
    <t>MTD BATTERY ATTACH%-</t>
  </si>
  <si>
    <t>BUBBLE STKS-</t>
  </si>
  <si>
    <t>BUBBLE STKS ATTACH%-</t>
  </si>
  <si>
    <t>MTD BUBBLE STKS ATTACH%-</t>
  </si>
  <si>
    <t>MULTI BILL TRGT-</t>
  </si>
  <si>
    <t>MULTI BILL -</t>
  </si>
  <si>
    <t>MULTI BILL %-</t>
  </si>
  <si>
    <t>LOYALTY-</t>
  </si>
  <si>
    <t>LOYALTY %-</t>
  </si>
  <si>
    <t>MTD LOYALTY-</t>
  </si>
  <si>
    <t>MTD LOYALTY%-</t>
  </si>
  <si>
    <t>RED CARD-</t>
  </si>
  <si>
    <t>MTD RED CARD-</t>
  </si>
  <si>
    <t>MTD LAST YR SALE-</t>
  </si>
  <si>
    <t>LY SALE-</t>
  </si>
  <si>
    <t>LFL%-</t>
  </si>
  <si>
    <t>TOMORROW TRGT-</t>
  </si>
  <si>
    <t>NET PLAY TGT-</t>
  </si>
  <si>
    <t>TELECALLING TRGT-</t>
  </si>
  <si>
    <t>NO OF CALLS-</t>
  </si>
  <si>
    <t>TELECALLING SALE-</t>
  </si>
  <si>
    <t>TELECALLING BILLS-</t>
  </si>
  <si>
    <t>IN STORE SALE-</t>
  </si>
  <si>
    <t>IN STORE BILL-</t>
  </si>
  <si>
    <t>HOME DELIVERY SALE-</t>
  </si>
  <si>
    <t>HOME DELIVERY BILL-</t>
  </si>
  <si>
    <t>MTD CALL-</t>
  </si>
  <si>
    <t>Net Play Target-</t>
  </si>
  <si>
    <t>Net Play Sale-</t>
  </si>
  <si>
    <t>MTD Net Play Target-</t>
  </si>
  <si>
    <t>MTD Net Play Sale-</t>
  </si>
  <si>
    <t>SAT</t>
  </si>
  <si>
    <t>TUE</t>
  </si>
  <si>
    <t>NE REDCARD TOTE BAG</t>
  </si>
  <si>
    <t>NE MT MBX SKYBUSTERS</t>
  </si>
  <si>
    <t>NE HW BASIC CAR ASST</t>
  </si>
  <si>
    <t>NE HW AUTOMOTIVE ASS</t>
  </si>
  <si>
    <t>NE PUN INTENDED</t>
  </si>
  <si>
    <t>HW FIVECAR GIFT PACK</t>
  </si>
  <si>
    <t>AA 2 CB</t>
  </si>
  <si>
    <t>NE PLAYSHIFU SOLAR S</t>
  </si>
  <si>
    <t>NE MATCHBOX BASIC CA</t>
  </si>
  <si>
    <t>NE TRA GEN PROJECT S</t>
  </si>
  <si>
    <t>NE PLAYSHIFU AQUATIC</t>
  </si>
  <si>
    <t>NE SIZZLE</t>
  </si>
  <si>
    <t>NE SKM MY ARTSY STAS</t>
  </si>
  <si>
    <t>NE MVL ROLE PLAY MAS</t>
  </si>
  <si>
    <t>NE DINO RING TOSS GA</t>
  </si>
  <si>
    <t>NE MT 164 BASIC ASST</t>
  </si>
  <si>
    <t>NE ZOOZI BUBBLE TUBE</t>
  </si>
  <si>
    <t>NE MIR 24CM STANDING</t>
  </si>
  <si>
    <t>TLX5102000126092026</t>
  </si>
  <si>
    <t>TLX5104000126092026</t>
  </si>
  <si>
    <t>NE CB 35CM TENDERHEA</t>
  </si>
  <si>
    <t>TLX5102000526092026</t>
  </si>
  <si>
    <t>NE UNO SHOW EM NO ME</t>
  </si>
  <si>
    <t>NE 300PC PUZZLECASTL</t>
  </si>
  <si>
    <t>HASBRO GMNG MONOPOLY</t>
  </si>
  <si>
    <t>TLX5102000626092026</t>
  </si>
  <si>
    <t>TLX5102000726092026</t>
  </si>
  <si>
    <t>NE UNO FLIP SIDE</t>
  </si>
  <si>
    <t>NE NER ELITE 2.0 ACE</t>
  </si>
  <si>
    <t>TLX5102000826092026</t>
  </si>
  <si>
    <t>NE NER ELITE 2 0 SLY</t>
  </si>
  <si>
    <t>TLX5102000926092026</t>
  </si>
  <si>
    <t>NE BLM DIY UNICORN U</t>
  </si>
  <si>
    <t>TLX5102001026092026</t>
  </si>
  <si>
    <t>NE MJTFARM TRAILER 4</t>
  </si>
  <si>
    <t>TLX5102001126092026</t>
  </si>
  <si>
    <t>NE MJT RACING PRM CA</t>
  </si>
  <si>
    <t>TLX5102001226092026</t>
  </si>
  <si>
    <t>NE LEGO 76349 SPIDER</t>
  </si>
  <si>
    <t>TLX5102001326092026</t>
  </si>
  <si>
    <t>NE BARBIE POP STAR D</t>
  </si>
  <si>
    <t>NE BRB ENTRY PNK DRE</t>
  </si>
  <si>
    <t>NE BARBIE CHELSEA AS</t>
  </si>
  <si>
    <t>NE BRB FSHNSTA S1</t>
  </si>
  <si>
    <t>TLX5102001426092026</t>
  </si>
  <si>
    <t>NE CLASSIC MAGIC KIT</t>
  </si>
  <si>
    <t>TLX5102001526092026</t>
  </si>
  <si>
    <t>NE MIGHTY MACHINES B</t>
  </si>
  <si>
    <t>TLX5102001726092026</t>
  </si>
  <si>
    <t>NE SL 53CM LYING UNI</t>
  </si>
  <si>
    <t>NE BIG EYE GIRAFFE 2</t>
  </si>
  <si>
    <t>TLX5104000326092026</t>
  </si>
  <si>
    <t>NE YK KNOWLEDGE JACK</t>
  </si>
  <si>
    <t>NE YK EXPLORE SPACE</t>
  </si>
  <si>
    <t>TLX5102001826092026</t>
  </si>
  <si>
    <t>NE ROLEPLAYMILITARYS</t>
  </si>
  <si>
    <t>TLX5102001926092026</t>
  </si>
  <si>
    <t>TLX5102002126092026</t>
  </si>
  <si>
    <t>NE BUBBLE WAND</t>
  </si>
  <si>
    <t>TLX5102002226092026</t>
  </si>
  <si>
    <t>E WINMAGIC WOBBLY WO</t>
  </si>
  <si>
    <t>TLX5102002326092026</t>
  </si>
  <si>
    <t>E KOP 27PCS KITCHEN</t>
  </si>
  <si>
    <t>TLX5104000426092026</t>
  </si>
  <si>
    <t>E HOVER FOOTBALL GRE</t>
  </si>
  <si>
    <t>NE DABBLE ABC WITH A</t>
  </si>
  <si>
    <t>TLX5104000526092026</t>
  </si>
  <si>
    <t>TLX5102002626092026</t>
  </si>
  <si>
    <t>NE SKM SNIP SNIP DIS</t>
  </si>
  <si>
    <t>TLX5102002726092026</t>
  </si>
  <si>
    <t>NE SS ROLLING ANIMAL</t>
  </si>
  <si>
    <t>TLX5104000626092026</t>
  </si>
  <si>
    <t>NE SS ALPHA NUMBER P</t>
  </si>
  <si>
    <t>STOLN PEN 25 21288 4</t>
  </si>
  <si>
    <t>NE 4IN FIG MVL AVN T</t>
  </si>
  <si>
    <t>NE RAPID RUMBLE</t>
  </si>
  <si>
    <t>TLX5104000826092026</t>
  </si>
  <si>
    <t>NE PAW FGR ALL PAWS</t>
  </si>
  <si>
    <t>TLX5102002826092026</t>
  </si>
  <si>
    <t>NE BIG EYE PENGUIN 2</t>
  </si>
  <si>
    <t>TLX5102003026092026</t>
  </si>
  <si>
    <t>NE FB AVT HORSE 30CM</t>
  </si>
  <si>
    <t>NE CC MONTESSORI FIR</t>
  </si>
  <si>
    <t>TLX5102003426092026</t>
  </si>
  <si>
    <t>HAIR BAND 25 3884 9</t>
  </si>
  <si>
    <t>TLX5102003626092026</t>
  </si>
  <si>
    <t>NE FB V DAY BEAR WHI</t>
  </si>
  <si>
    <t>TLX5104000926092026</t>
  </si>
  <si>
    <t>E BLMG ICECREAM BUBB</t>
  </si>
  <si>
    <t>TLX5102004326092026</t>
  </si>
  <si>
    <t>TLX5104001426092026</t>
  </si>
  <si>
    <t>MATTEL GAMES UNO PLA</t>
  </si>
  <si>
    <t>TLX5102004426092026</t>
  </si>
  <si>
    <t>E RC SPD FIVE WHEEL</t>
  </si>
  <si>
    <t>E RC CA CLIMB AND GA</t>
  </si>
  <si>
    <t>TLX5102004526092026</t>
  </si>
  <si>
    <t>E RC SPD THWIP AND D</t>
  </si>
  <si>
    <t>TLX5104001726092026</t>
  </si>
  <si>
    <t>NE LEGO 42659 FRIEND</t>
  </si>
  <si>
    <t>NE LIL DIVA PRINCESS</t>
  </si>
  <si>
    <t>TLX5102004726092026</t>
  </si>
  <si>
    <t>TLX5102004926092026</t>
  </si>
  <si>
    <t>NE RALLEYZ DIECAST S</t>
  </si>
  <si>
    <t>NE MONSTER ROCKERZ C</t>
  </si>
  <si>
    <t>NE SB ASST PLAYTOY</t>
  </si>
  <si>
    <t>TLX5102005026092026</t>
  </si>
  <si>
    <t>NE GIFT SET SILICON</t>
  </si>
  <si>
    <t>TLX5104001826092026</t>
  </si>
  <si>
    <t>NE SLOH RAINBOW 30CM</t>
  </si>
  <si>
    <t>TLX5104002126092026</t>
  </si>
  <si>
    <t>TLX5102005126092026</t>
  </si>
  <si>
    <t>NE ELC BUILD IT BITS</t>
  </si>
  <si>
    <t>NE NER ALPHA STRIKE</t>
  </si>
  <si>
    <t>NE SS OP MY FIRST TR</t>
  </si>
  <si>
    <t>E NERF VOLT SD1 ELIT</t>
  </si>
  <si>
    <t>TLX5104002326092026</t>
  </si>
  <si>
    <t>NE FUN DOUGH GIFT SE</t>
  </si>
  <si>
    <t>NE YOUREKA ETCH ART</t>
  </si>
  <si>
    <t>TLX5102005426092026</t>
  </si>
  <si>
    <t>NE MAPOLOGY PHYSICAL</t>
  </si>
  <si>
    <t>TLX5104002426092026</t>
  </si>
  <si>
    <t>NE MB BASIC CAR ASST</t>
  </si>
  <si>
    <t>TLX5102005526092026</t>
  </si>
  <si>
    <t>E Hasbro Monopoly Ul</t>
  </si>
  <si>
    <t>TLX5102005626092026</t>
  </si>
  <si>
    <t>NE MVL GO DC SINGLE</t>
  </si>
  <si>
    <t>TLX5102005726092026</t>
  </si>
  <si>
    <t>TLX5102005826092026</t>
  </si>
  <si>
    <t>NE YOUREKA CRYSTAL M</t>
  </si>
  <si>
    <t>TLX5102005926092026</t>
  </si>
  <si>
    <t>NE MT DEMOLITION DOU</t>
  </si>
  <si>
    <t>TLX5102006026092026</t>
  </si>
  <si>
    <t>NE 99 QUESTIONS AND</t>
  </si>
  <si>
    <t>DSELL</t>
  </si>
  <si>
    <t>NE BRAIN BLOCKS</t>
  </si>
  <si>
    <t>TLX5104002526092026</t>
  </si>
  <si>
    <t>NE WORDLE THE PARTY</t>
  </si>
  <si>
    <t>TLX5102006226092026</t>
  </si>
  <si>
    <t>NE DOS</t>
  </si>
  <si>
    <t>TLX5102006326092026</t>
  </si>
  <si>
    <t>NE SHIFU TACTO CHESS</t>
  </si>
  <si>
    <t>NE SEA MONSTER PINBA</t>
  </si>
  <si>
    <t>E PARTY MIC GOLD NEW</t>
  </si>
  <si>
    <t>E ROBO KOMBAT RC ROB</t>
  </si>
  <si>
    <t>NE MII 2 PACK PLANE</t>
  </si>
  <si>
    <t>NE MARVEL CAPTAIN AM</t>
  </si>
  <si>
    <t>NE MARVEL SPIDER MAN</t>
  </si>
  <si>
    <t>E MIKO MINI BLUE</t>
  </si>
  <si>
    <t>TLX5102006626092026</t>
  </si>
  <si>
    <t>E 1 24 VEVA HI SPEED</t>
  </si>
  <si>
    <t>NE MAJORETTE STREET</t>
  </si>
  <si>
    <t>NE SHOOTING STAR SQU</t>
  </si>
  <si>
    <t>TLX5104002626092026</t>
  </si>
  <si>
    <t>NE HW 5 CAR PK RACE</t>
  </si>
  <si>
    <t>TLX5102006726092026</t>
  </si>
  <si>
    <t>NE MJT CITY TRNSPTR</t>
  </si>
  <si>
    <t>TLX5102007026092026</t>
  </si>
  <si>
    <t>TLX5102007126092026</t>
  </si>
  <si>
    <t>E 1 24 VEVA MINI RAC</t>
  </si>
  <si>
    <t>NE IMM WINDOW ART PR</t>
  </si>
  <si>
    <t>TLX5102007226092026</t>
  </si>
  <si>
    <t>NE SKM STICKI ROLLS</t>
  </si>
  <si>
    <t>NE HM BUBBLE BOTTLE</t>
  </si>
  <si>
    <t>NE SKM SAND TASTIC A</t>
  </si>
  <si>
    <t>TLX5102007426092026</t>
  </si>
  <si>
    <t>TLX5102007526092026</t>
  </si>
  <si>
    <t>KIDS BAG 25 3131 1</t>
  </si>
  <si>
    <t>TLX5102007626092026</t>
  </si>
  <si>
    <t>NE PD CLASSIC 4 PACK</t>
  </si>
  <si>
    <t>NE SKM DOT IT WORLD</t>
  </si>
  <si>
    <t>NE COLLECTIBLE MANTI</t>
  </si>
  <si>
    <t>TLX5102007726092026</t>
  </si>
  <si>
    <t>NE HW ACTION TURBINE</t>
  </si>
  <si>
    <t>TLX5102007826092026</t>
  </si>
  <si>
    <t>E MII HM BUBBLE BLOW</t>
  </si>
  <si>
    <t>E AVENGERS KEYBOARD</t>
  </si>
  <si>
    <t>E FOUR WAY RC CROCOD</t>
  </si>
  <si>
    <t>NE SQUARE DINO WATER</t>
  </si>
  <si>
    <t>TLX5102007926092026</t>
  </si>
  <si>
    <t>NE LEGO 77245 ASTON</t>
  </si>
  <si>
    <t>TLX5104002726092026</t>
  </si>
  <si>
    <t>NE LEGO 77260 THE FA</t>
  </si>
  <si>
    <t>TLX5102008226092026</t>
  </si>
  <si>
    <t>NE MJT VOLVO CONSTRU</t>
  </si>
  <si>
    <t>TLX5104002826092026</t>
  </si>
  <si>
    <t>KIDDY STAR LINKS</t>
  </si>
  <si>
    <t>E MUSICAL BALL</t>
  </si>
  <si>
    <t>TLX5102008326092026</t>
  </si>
  <si>
    <t>NE FP LION 25CM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</si>
</sst>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28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Tahoma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trike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9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3" fillId="0" borderId="0"/>
    <xf numFmtId="43" fontId="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9" applyNumberFormat="0" applyAlignment="0" applyProtection="0"/>
    <xf numFmtId="0" fontId="17" fillId="9" borderId="10" applyNumberFormat="0" applyAlignment="0" applyProtection="0"/>
    <xf numFmtId="0" fontId="18" fillId="9" borderId="9" applyNumberFormat="0" applyAlignment="0" applyProtection="0"/>
    <xf numFmtId="0" fontId="19" fillId="0" borderId="11" applyNumberFormat="0" applyFill="0" applyAlignment="0" applyProtection="0"/>
    <xf numFmtId="0" fontId="20" fillId="10" borderId="12" applyNumberFormat="0" applyAlignment="0" applyProtection="0"/>
    <xf numFmtId="0" fontId="21" fillId="0" borderId="0" applyNumberFormat="0" applyFill="0" applyBorder="0" applyAlignment="0" applyProtection="0"/>
    <xf numFmtId="0" fontId="3" fillId="11" borderId="13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4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  <xf numFmtId="0" fontId="24" fillId="35" borderId="0" applyNumberFormat="0" applyBorder="0" applyAlignment="0" applyProtection="0"/>
    <xf numFmtId="43" fontId="3" fillId="0" borderId="0" applyFont="0" applyFill="0" applyBorder="0" applyAlignment="0" applyProtection="0"/>
    <xf numFmtId="0" fontId="25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2" fillId="2" borderId="4" xfId="0" applyNumberFormat="1" applyFont="1" applyFill="1" applyBorder="1" applyAlignment="1">
      <alignment horizontal="center" vertical="center"/>
    </xf>
    <xf numFmtId="0" fontId="5" fillId="2" borderId="0" xfId="0" applyFont="1" applyFill="1"/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6" fontId="2" fillId="0" borderId="4" xfId="0" applyNumberFormat="1" applyFont="1" applyFill="1" applyBorder="1" applyAlignment="1">
      <alignment horizontal="center" vertical="center"/>
    </xf>
    <xf numFmtId="14" fontId="0" fillId="4" borderId="1" xfId="0" applyNumberFormat="1" applyFill="1" applyBorder="1"/>
    <xf numFmtId="1" fontId="0" fillId="0" borderId="0" xfId="0" applyNumberFormat="1"/>
    <xf numFmtId="1" fontId="1" fillId="3" borderId="2" xfId="0" applyNumberFormat="1" applyFont="1" applyFill="1" applyBorder="1" applyAlignment="1">
      <alignment horizontal="center" vertical="center"/>
    </xf>
    <xf numFmtId="1" fontId="2" fillId="2" borderId="4" xfId="0" applyNumberFormat="1" applyFont="1" applyFill="1" applyBorder="1" applyAlignment="1">
      <alignment horizontal="center" vertical="center"/>
    </xf>
    <xf numFmtId="9" fontId="0" fillId="0" borderId="0" xfId="0" applyNumberFormat="1"/>
    <xf numFmtId="10" fontId="0" fillId="0" borderId="0" xfId="0" applyNumberFormat="1"/>
    <xf numFmtId="17" fontId="0" fillId="0" borderId="0" xfId="0" applyNumberFormat="1"/>
    <xf numFmtId="0" fontId="2" fillId="2" borderId="15" xfId="0" applyFont="1" applyFill="1" applyBorder="1" applyAlignment="1">
      <alignment horizontal="center" vertical="center"/>
    </xf>
    <xf numFmtId="0" fontId="0" fillId="0" borderId="0" xfId="0"/>
    <xf numFmtId="0" fontId="4" fillId="2" borderId="5" xfId="0" applyFont="1" applyFill="1" applyBorder="1" applyAlignment="1">
      <alignment wrapText="1"/>
    </xf>
    <xf numFmtId="0" fontId="5" fillId="2" borderId="5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22" fontId="5" fillId="2" borderId="5" xfId="0" applyNumberFormat="1" applyFont="1" applyFill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2" borderId="17" xfId="0" applyFont="1" applyFill="1" applyBorder="1" applyAlignment="1">
      <alignment wrapText="1"/>
    </xf>
    <xf numFmtId="0" fontId="0" fillId="0" borderId="16" xfId="0" applyBorder="1"/>
    <xf numFmtId="0" fontId="5" fillId="0" borderId="16" xfId="0" applyFont="1" applyFill="1" applyBorder="1" applyProtection="1"/>
    <xf numFmtId="0" fontId="5" fillId="0" borderId="16" xfId="0" applyFont="1" applyFill="1" applyBorder="1" applyAlignment="1">
      <alignment horizontal="right"/>
    </xf>
    <xf numFmtId="0" fontId="5" fillId="0" borderId="16" xfId="0" applyFont="1" applyFill="1" applyBorder="1" applyProtection="1">
      <protection locked="0"/>
    </xf>
    <xf numFmtId="14" fontId="5" fillId="0" borderId="16" xfId="0" applyNumberFormat="1" applyFont="1" applyFill="1" applyBorder="1" applyAlignment="1">
      <alignment horizontal="right"/>
    </xf>
    <xf numFmtId="1" fontId="5" fillId="0" borderId="16" xfId="0" applyNumberFormat="1" applyFont="1" applyFill="1" applyBorder="1" applyAlignment="1">
      <alignment horizontal="right"/>
    </xf>
    <xf numFmtId="164" fontId="5" fillId="0" borderId="16" xfId="0" applyNumberFormat="1" applyFont="1" applyFill="1" applyBorder="1" applyAlignment="1">
      <alignment horizontal="right"/>
    </xf>
    <xf numFmtId="9" fontId="5" fillId="0" borderId="16" xfId="0" applyNumberFormat="1" applyFont="1" applyFill="1" applyBorder="1" applyAlignment="1">
      <alignment horizontal="right"/>
    </xf>
    <xf numFmtId="43" fontId="5" fillId="0" borderId="16" xfId="0" applyNumberFormat="1" applyFont="1" applyFill="1" applyBorder="1" applyAlignment="1">
      <alignment horizontal="right"/>
    </xf>
    <xf numFmtId="10" fontId="5" fillId="0" borderId="16" xfId="0" applyNumberFormat="1" applyFont="1" applyFill="1" applyBorder="1" applyAlignment="1">
      <alignment horizontal="right"/>
    </xf>
    <xf numFmtId="9" fontId="5" fillId="0" borderId="16" xfId="78" applyFont="1" applyFill="1" applyBorder="1" applyAlignment="1">
      <alignment horizontal="right"/>
    </xf>
    <xf numFmtId="1" fontId="27" fillId="0" borderId="16" xfId="77" applyNumberFormat="1" applyFont="1" applyFill="1" applyBorder="1" applyAlignment="1">
      <alignment horizontal="right"/>
    </xf>
    <xf numFmtId="0" fontId="5" fillId="0" borderId="18" xfId="0" applyFont="1" applyFill="1" applyBorder="1" applyProtection="1"/>
    <xf numFmtId="0" fontId="5" fillId="0" borderId="16" xfId="0" applyFont="1" applyFill="1" applyBorder="1"/>
  </cellXfs>
  <cellStyles count="79">
    <cellStyle name="20% - Accent1" xfId="46" builtinId="30" customBuiltin="1"/>
    <cellStyle name="20% - Accent2" xfId="50" builtinId="34" customBuiltin="1"/>
    <cellStyle name="20% - Accent3" xfId="54" builtinId="38" customBuiltin="1"/>
    <cellStyle name="20% - Accent4" xfId="58" builtinId="42" customBuiltin="1"/>
    <cellStyle name="20% - Accent5" xfId="62" builtinId="46" customBuiltin="1"/>
    <cellStyle name="20% - Accent6" xfId="66" builtinId="50" customBuiltin="1"/>
    <cellStyle name="40% - Accent1" xfId="47" builtinId="31" customBuiltin="1"/>
    <cellStyle name="40% - Accent2" xfId="51" builtinId="35" customBuiltin="1"/>
    <cellStyle name="40% - Accent3" xfId="55" builtinId="39" customBuiltin="1"/>
    <cellStyle name="40% - Accent4" xfId="59" builtinId="43" customBuiltin="1"/>
    <cellStyle name="40% - Accent5" xfId="63" builtinId="47" customBuiltin="1"/>
    <cellStyle name="40% - Accent6" xfId="67" builtinId="51" customBuiltin="1"/>
    <cellStyle name="60% - Accent1" xfId="48" builtinId="32" customBuiltin="1"/>
    <cellStyle name="60% - Accent1 2" xfId="71" xr:uid="{00000000-0005-0000-0000-00000D000000}"/>
    <cellStyle name="60% - Accent2" xfId="52" builtinId="36" customBuiltin="1"/>
    <cellStyle name="60% - Accent2 2" xfId="72" xr:uid="{00000000-0005-0000-0000-00000F000000}"/>
    <cellStyle name="60% - Accent3" xfId="56" builtinId="40" customBuiltin="1"/>
    <cellStyle name="60% - Accent3 2" xfId="73" xr:uid="{00000000-0005-0000-0000-000011000000}"/>
    <cellStyle name="60% - Accent4" xfId="60" builtinId="44" customBuiltin="1"/>
    <cellStyle name="60% - Accent4 2" xfId="74" xr:uid="{00000000-0005-0000-0000-000013000000}"/>
    <cellStyle name="60% - Accent5" xfId="64" builtinId="48" customBuiltin="1"/>
    <cellStyle name="60% - Accent5 2" xfId="75" xr:uid="{00000000-0005-0000-0000-000015000000}"/>
    <cellStyle name="60% - Accent6" xfId="68" builtinId="52" customBuiltin="1"/>
    <cellStyle name="60% - Accent6 2" xfId="76" xr:uid="{00000000-0005-0000-0000-000017000000}"/>
    <cellStyle name="Accent1" xfId="45" builtinId="29" customBuiltin="1"/>
    <cellStyle name="Accent2" xfId="49" builtinId="33" customBuiltin="1"/>
    <cellStyle name="Accent3" xfId="53" builtinId="37" customBuiltin="1"/>
    <cellStyle name="Accent4" xfId="57" builtinId="41" customBuiltin="1"/>
    <cellStyle name="Accent5" xfId="61" builtinId="45" customBuiltin="1"/>
    <cellStyle name="Accent6" xfId="65" builtinId="49" customBuiltin="1"/>
    <cellStyle name="Bad" xfId="34" builtinId="27" customBuiltin="1"/>
    <cellStyle name="Calculation" xfId="38" builtinId="22" customBuiltin="1"/>
    <cellStyle name="Check Cell" xfId="40" builtinId="23" customBuiltin="1"/>
    <cellStyle name="Comma" xfId="77" builtinId="3"/>
    <cellStyle name="Comma 2" xfId="2" xr:uid="{00000000-0005-0000-0000-000022000000}"/>
    <cellStyle name="Comma 2 11" xfId="69" xr:uid="{00000000-0005-0000-0000-000023000000}"/>
    <cellStyle name="Comma 2 2" xfId="8" xr:uid="{00000000-0005-0000-0000-000024000000}"/>
    <cellStyle name="Comma 2 2 2" xfId="17" xr:uid="{00000000-0005-0000-0000-000025000000}"/>
    <cellStyle name="Comma 2 3" xfId="23" xr:uid="{00000000-0005-0000-0000-000026000000}"/>
    <cellStyle name="Comma 2 4" xfId="27" xr:uid="{00000000-0005-0000-0000-000027000000}"/>
    <cellStyle name="Comma 2 5" xfId="16" xr:uid="{00000000-0005-0000-0000-000028000000}"/>
    <cellStyle name="Comma 3" xfId="3" xr:uid="{00000000-0005-0000-0000-000029000000}"/>
    <cellStyle name="Comma 3 2" xfId="19" xr:uid="{00000000-0005-0000-0000-00002A000000}"/>
    <cellStyle name="Comma 4" xfId="4" xr:uid="{00000000-0005-0000-0000-00002B000000}"/>
    <cellStyle name="Comma 4 2" xfId="24" xr:uid="{00000000-0005-0000-0000-00002C000000}"/>
    <cellStyle name="Comma 5" xfId="11" xr:uid="{00000000-0005-0000-0000-00002D000000}"/>
    <cellStyle name="Comma 6" xfId="7" xr:uid="{00000000-0005-0000-0000-00002E000000}"/>
    <cellStyle name="Comma 7" xfId="1" xr:uid="{00000000-0005-0000-0000-00002F000000}"/>
    <cellStyle name="Explanatory Text" xfId="43" builtinId="53" customBuiltin="1"/>
    <cellStyle name="Good" xfId="33" builtinId="26" customBuiltin="1"/>
    <cellStyle name="Heading 1" xfId="29" builtinId="16" customBuiltin="1"/>
    <cellStyle name="Heading 2" xfId="30" builtinId="17" customBuiltin="1"/>
    <cellStyle name="Heading 3" xfId="31" builtinId="18" customBuiltin="1"/>
    <cellStyle name="Heading 4" xfId="32" builtinId="19" customBuiltin="1"/>
    <cellStyle name="Input" xfId="36" builtinId="20" customBuiltin="1"/>
    <cellStyle name="Linked Cell" xfId="39" builtinId="24" customBuiltin="1"/>
    <cellStyle name="Neutral" xfId="35" builtinId="28" customBuiltin="1"/>
    <cellStyle name="Neutral 2" xfId="70" xr:uid="{00000000-0005-0000-0000-000039000000}"/>
    <cellStyle name="Normal" xfId="0" builtinId="0"/>
    <cellStyle name="Normal 2" xfId="14" xr:uid="{00000000-0005-0000-0000-00003B000000}"/>
    <cellStyle name="Normal 2 2" xfId="15" xr:uid="{00000000-0005-0000-0000-00003C000000}"/>
    <cellStyle name="Normal 2 2 3" xfId="5" xr:uid="{00000000-0005-0000-0000-00003D000000}"/>
    <cellStyle name="Normal 3" xfId="18" xr:uid="{00000000-0005-0000-0000-00003E000000}"/>
    <cellStyle name="Normal 4" xfId="21" xr:uid="{00000000-0005-0000-0000-00003F000000}"/>
    <cellStyle name="Normal 5" xfId="22" xr:uid="{00000000-0005-0000-0000-000040000000}"/>
    <cellStyle name="Normal 6" xfId="25" xr:uid="{00000000-0005-0000-0000-000041000000}"/>
    <cellStyle name="Normal 7" xfId="10" xr:uid="{00000000-0005-0000-0000-000042000000}"/>
    <cellStyle name="Note" xfId="42" builtinId="10" customBuiltin="1"/>
    <cellStyle name="Output" xfId="37" builtinId="21" customBuiltin="1"/>
    <cellStyle name="Percent" xfId="78" builtinId="5"/>
    <cellStyle name="Percent 2" xfId="6" xr:uid="{00000000-0005-0000-0000-000046000000}"/>
    <cellStyle name="Percent 2 2" xfId="9" xr:uid="{00000000-0005-0000-0000-000047000000}"/>
    <cellStyle name="Percent 2 3" xfId="13" xr:uid="{00000000-0005-0000-0000-000048000000}"/>
    <cellStyle name="Percent 3" xfId="20" xr:uid="{00000000-0005-0000-0000-000049000000}"/>
    <cellStyle name="Percent 4" xfId="26" xr:uid="{00000000-0005-0000-0000-00004A000000}"/>
    <cellStyle name="Percent 5" xfId="12" xr:uid="{00000000-0005-0000-0000-00004B000000}"/>
    <cellStyle name="Title" xfId="28" builtinId="15" customBuiltin="1"/>
    <cellStyle name="Total" xfId="44" builtinId="25" customBuiltin="1"/>
    <cellStyle name="Warning Text" xfId="41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10.187.151\Share%20folder\Farman\Closing%20Folder\SEP%202026\DSR%20FORMAT%20%20SEP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tplay"/>
      <sheetName val="DSR"/>
      <sheetName val="MSG "/>
      <sheetName val="Format"/>
      <sheetName val="Pivot"/>
      <sheetName val="Sale"/>
      <sheetName val="Loyalty"/>
      <sheetName val="CT"/>
      <sheetName val="KPIs Track"/>
      <sheetName val="Ds Data "/>
    </sheetNames>
    <sheetDataSet>
      <sheetData sheetId="0">
        <row r="4">
          <cell r="Q4">
            <v>11996.078057746645</v>
          </cell>
          <cell r="R4">
            <v>0</v>
          </cell>
        </row>
        <row r="5">
          <cell r="Q5">
            <v>181800.24313518929</v>
          </cell>
          <cell r="R5">
            <v>47200</v>
          </cell>
        </row>
      </sheetData>
      <sheetData sheetId="1">
        <row r="8"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C9">
            <v>46263</v>
          </cell>
          <cell r="D9"/>
          <cell r="E9"/>
          <cell r="F9"/>
          <cell r="G9" t="str">
            <v/>
          </cell>
          <cell r="H9"/>
          <cell r="I9" t="str">
            <v/>
          </cell>
          <cell r="J9" t="e">
            <v>#VALUE!</v>
          </cell>
          <cell r="K9">
            <v>0</v>
          </cell>
          <cell r="L9">
            <v>0</v>
          </cell>
          <cell r="M9">
            <v>0</v>
          </cell>
          <cell r="N9" t="str">
            <v/>
          </cell>
          <cell r="O9" t="e">
            <v>#VALUE!</v>
          </cell>
          <cell r="P9"/>
          <cell r="Q9"/>
          <cell r="R9"/>
          <cell r="S9"/>
          <cell r="T9"/>
          <cell r="U9"/>
          <cell r="V9"/>
          <cell r="W9"/>
          <cell r="X9"/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e">
            <v>#DIV/0!</v>
          </cell>
          <cell r="AG9" t="e">
            <v>#DIV/0!</v>
          </cell>
          <cell r="AH9"/>
          <cell r="AI9" t="e">
            <v>#DIV/0!</v>
          </cell>
          <cell r="AJ9"/>
          <cell r="AK9" t="e">
            <v>#DIV/0!</v>
          </cell>
          <cell r="AL9"/>
          <cell r="AM9"/>
          <cell r="AN9" t="e">
            <v>#DIV/0!</v>
          </cell>
          <cell r="AO9"/>
          <cell r="AP9"/>
          <cell r="AQ9" t="e">
            <v>#DIV/0!</v>
          </cell>
          <cell r="AR9"/>
          <cell r="AS9"/>
          <cell r="AT9" t="e">
            <v>#DIV/0!</v>
          </cell>
          <cell r="AU9"/>
          <cell r="AV9"/>
          <cell r="AW9" t="e">
            <v>#DIV/0!</v>
          </cell>
          <cell r="AX9"/>
          <cell r="AY9" t="e">
            <v>#DIV/0!</v>
          </cell>
          <cell r="AZ9"/>
          <cell r="BA9"/>
          <cell r="BB9"/>
          <cell r="BC9"/>
        </row>
        <row r="10">
          <cell r="C10">
            <v>46264</v>
          </cell>
          <cell r="D10"/>
          <cell r="E10"/>
          <cell r="F10"/>
          <cell r="G10" t="str">
            <v/>
          </cell>
          <cell r="H10"/>
          <cell r="I10" t="str">
            <v/>
          </cell>
          <cell r="J10" t="e">
            <v>#VALUE!</v>
          </cell>
          <cell r="K10">
            <v>0</v>
          </cell>
          <cell r="L10">
            <v>0</v>
          </cell>
          <cell r="M10">
            <v>0</v>
          </cell>
          <cell r="N10" t="str">
            <v/>
          </cell>
          <cell r="O10" t="e">
            <v>#VALUE!</v>
          </cell>
          <cell r="P10"/>
          <cell r="Q10"/>
          <cell r="R10"/>
          <cell r="S10"/>
          <cell r="T10"/>
          <cell r="U10"/>
          <cell r="V10"/>
          <cell r="W10"/>
          <cell r="X10"/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e">
            <v>#DIV/0!</v>
          </cell>
          <cell r="AG10" t="e">
            <v>#DIV/0!</v>
          </cell>
          <cell r="AH10"/>
          <cell r="AI10" t="e">
            <v>#DIV/0!</v>
          </cell>
          <cell r="AJ10"/>
          <cell r="AK10" t="e">
            <v>#DIV/0!</v>
          </cell>
          <cell r="AL10"/>
          <cell r="AM10"/>
          <cell r="AN10" t="e">
            <v>#DIV/0!</v>
          </cell>
          <cell r="AO10"/>
          <cell r="AP10"/>
          <cell r="AQ10" t="e">
            <v>#DIV/0!</v>
          </cell>
          <cell r="AR10"/>
          <cell r="AS10"/>
          <cell r="AT10" t="e">
            <v>#DIV/0!</v>
          </cell>
          <cell r="AU10"/>
          <cell r="AV10"/>
          <cell r="AW10" t="e">
            <v>#DIV/0!</v>
          </cell>
          <cell r="AX10"/>
          <cell r="AY10" t="e">
            <v>#DIV/0!</v>
          </cell>
          <cell r="AZ10"/>
          <cell r="BA10"/>
          <cell r="BB10"/>
          <cell r="BC10"/>
        </row>
        <row r="11">
          <cell r="C11"/>
          <cell r="D11">
            <v>0</v>
          </cell>
          <cell r="E11">
            <v>0</v>
          </cell>
          <cell r="F11">
            <v>0</v>
          </cell>
          <cell r="G11" t="str">
            <v/>
          </cell>
          <cell r="H11">
            <v>0</v>
          </cell>
          <cell r="I11" t="str">
            <v/>
          </cell>
          <cell r="J11" t="e">
            <v>#VALUE!</v>
          </cell>
          <cell r="K11"/>
          <cell r="L11"/>
          <cell r="M11"/>
          <cell r="N11"/>
          <cell r="O11"/>
          <cell r="P11"/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e">
            <v>#DIV/0!</v>
          </cell>
          <cell r="AG11" t="e">
            <v>#DIV/0!</v>
          </cell>
          <cell r="AH11">
            <v>0</v>
          </cell>
          <cell r="AI11" t="e">
            <v>#DIV/0!</v>
          </cell>
          <cell r="AJ11">
            <v>0</v>
          </cell>
          <cell r="AK11" t="e">
            <v>#DIV/0!</v>
          </cell>
          <cell r="AL11">
            <v>0</v>
          </cell>
          <cell r="AM11">
            <v>0</v>
          </cell>
          <cell r="AN11" t="e">
            <v>#DIV/0!</v>
          </cell>
          <cell r="AO11">
            <v>0</v>
          </cell>
          <cell r="AP11">
            <v>0</v>
          </cell>
          <cell r="AQ11" t="e">
            <v>#DIV/0!</v>
          </cell>
          <cell r="AR11">
            <v>0</v>
          </cell>
          <cell r="AS11">
            <v>0</v>
          </cell>
          <cell r="AT11" t="e">
            <v>#DIV/0!</v>
          </cell>
          <cell r="AU11">
            <v>0</v>
          </cell>
          <cell r="AV11">
            <v>0</v>
          </cell>
          <cell r="AW11" t="e">
            <v>#DIV/0!</v>
          </cell>
          <cell r="AX11">
            <v>0</v>
          </cell>
          <cell r="AY11" t="e">
            <v>#DIV/0!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</row>
        <row r="12">
          <cell r="C12">
            <v>46265</v>
          </cell>
          <cell r="D12"/>
          <cell r="E12"/>
          <cell r="F12"/>
          <cell r="G12" t="str">
            <v/>
          </cell>
          <cell r="H12"/>
          <cell r="I12" t="str">
            <v/>
          </cell>
          <cell r="J12" t="e">
            <v>#VALUE!</v>
          </cell>
          <cell r="K12">
            <v>0</v>
          </cell>
          <cell r="L12">
            <v>0</v>
          </cell>
          <cell r="M12">
            <v>0</v>
          </cell>
          <cell r="N12" t="str">
            <v/>
          </cell>
          <cell r="O12" t="e">
            <v>#VALUE!</v>
          </cell>
          <cell r="P12"/>
          <cell r="Q12"/>
          <cell r="R12"/>
          <cell r="S12"/>
          <cell r="T12"/>
          <cell r="U12"/>
          <cell r="V12"/>
          <cell r="W12"/>
          <cell r="X12"/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e">
            <v>#DIV/0!</v>
          </cell>
          <cell r="AG12" t="e">
            <v>#DIV/0!</v>
          </cell>
          <cell r="AH12"/>
          <cell r="AI12" t="e">
            <v>#DIV/0!</v>
          </cell>
          <cell r="AJ12"/>
          <cell r="AK12" t="e">
            <v>#DIV/0!</v>
          </cell>
          <cell r="AL12"/>
          <cell r="AM12"/>
          <cell r="AN12" t="e">
            <v>#DIV/0!</v>
          </cell>
          <cell r="AO12"/>
          <cell r="AP12"/>
          <cell r="AQ12" t="e">
            <v>#DIV/0!</v>
          </cell>
          <cell r="AR12"/>
          <cell r="AS12"/>
          <cell r="AT12" t="e">
            <v>#DIV/0!</v>
          </cell>
          <cell r="AU12"/>
          <cell r="AV12"/>
          <cell r="AW12" t="e">
            <v>#DIV/0!</v>
          </cell>
          <cell r="AX12"/>
          <cell r="AY12" t="e">
            <v>#DIV/0!</v>
          </cell>
          <cell r="AZ12"/>
          <cell r="BA12"/>
          <cell r="BB12"/>
          <cell r="BC12"/>
        </row>
        <row r="13">
          <cell r="C13">
            <v>46266</v>
          </cell>
          <cell r="D13">
            <v>73656.885961627981</v>
          </cell>
          <cell r="E13">
            <v>64929</v>
          </cell>
          <cell r="F13"/>
          <cell r="G13">
            <v>0</v>
          </cell>
          <cell r="H13">
            <v>65771</v>
          </cell>
          <cell r="I13">
            <v>0.88150617762778039</v>
          </cell>
          <cell r="J13">
            <v>-1.2801994800139882E-2</v>
          </cell>
          <cell r="K13">
            <v>73656.885961627981</v>
          </cell>
          <cell r="L13">
            <v>64929</v>
          </cell>
          <cell r="M13">
            <v>65771</v>
          </cell>
          <cell r="N13">
            <v>0.88150617762778039</v>
          </cell>
          <cell r="O13">
            <v>-1.2801994800139882E-2</v>
          </cell>
          <cell r="P13"/>
          <cell r="Q13">
            <v>54</v>
          </cell>
          <cell r="R13">
            <v>27</v>
          </cell>
          <cell r="S13">
            <v>186</v>
          </cell>
          <cell r="T13">
            <v>4</v>
          </cell>
          <cell r="U13">
            <v>0</v>
          </cell>
          <cell r="V13">
            <v>4</v>
          </cell>
          <cell r="W13">
            <v>0</v>
          </cell>
          <cell r="X13">
            <v>0</v>
          </cell>
          <cell r="Y13">
            <v>1202.3888888888889</v>
          </cell>
          <cell r="Z13">
            <v>2404.7777777777778</v>
          </cell>
          <cell r="AA13">
            <v>2</v>
          </cell>
          <cell r="AB13">
            <v>0.14516129032258066</v>
          </cell>
          <cell r="AC13">
            <v>0.14814814814814814</v>
          </cell>
          <cell r="AD13">
            <v>0</v>
          </cell>
          <cell r="AE13">
            <v>0</v>
          </cell>
          <cell r="AF13">
            <v>0.14814814814814814</v>
          </cell>
          <cell r="AG13">
            <v>0</v>
          </cell>
          <cell r="AH13">
            <v>0</v>
          </cell>
          <cell r="AI13">
            <v>0</v>
          </cell>
          <cell r="AJ13">
            <v>440</v>
          </cell>
          <cell r="AK13">
            <v>6.7766329375163643E-3</v>
          </cell>
          <cell r="AL13">
            <v>0</v>
          </cell>
          <cell r="AM13">
            <v>0</v>
          </cell>
          <cell r="AN13">
            <v>0</v>
          </cell>
          <cell r="AO13">
            <v>3</v>
          </cell>
          <cell r="AP13">
            <v>3573</v>
          </cell>
          <cell r="AQ13">
            <v>5.5029339740331744E-2</v>
          </cell>
          <cell r="AR13">
            <v>1</v>
          </cell>
          <cell r="AS13">
            <v>1699</v>
          </cell>
          <cell r="AT13">
            <v>2.6167044001909778E-2</v>
          </cell>
          <cell r="AU13">
            <v>4</v>
          </cell>
          <cell r="AV13">
            <v>7172</v>
          </cell>
          <cell r="AW13">
            <v>0.11045911688151673</v>
          </cell>
          <cell r="AX13">
            <v>13</v>
          </cell>
          <cell r="AY13">
            <v>0.48148148148148145</v>
          </cell>
          <cell r="AZ13">
            <v>100</v>
          </cell>
          <cell r="BA13">
            <v>80</v>
          </cell>
          <cell r="BB13">
            <v>0</v>
          </cell>
          <cell r="BC13">
            <v>0</v>
          </cell>
        </row>
        <row r="14">
          <cell r="C14">
            <v>46267</v>
          </cell>
          <cell r="D14">
            <v>76859.359264307466</v>
          </cell>
          <cell r="E14">
            <v>119760</v>
          </cell>
          <cell r="F14"/>
          <cell r="G14">
            <v>0</v>
          </cell>
          <cell r="H14">
            <v>66849</v>
          </cell>
          <cell r="I14">
            <v>1.5581706788390448</v>
          </cell>
          <cell r="J14">
            <v>0.7915002468249337</v>
          </cell>
          <cell r="K14">
            <v>150516.24522593545</v>
          </cell>
          <cell r="L14">
            <v>184689</v>
          </cell>
          <cell r="M14">
            <v>132620</v>
          </cell>
          <cell r="N14">
            <v>1.2270369867569368</v>
          </cell>
          <cell r="O14">
            <v>0.39261800633388622</v>
          </cell>
          <cell r="P14"/>
          <cell r="Q14">
            <v>58</v>
          </cell>
          <cell r="R14">
            <v>29</v>
          </cell>
          <cell r="S14">
            <v>206</v>
          </cell>
          <cell r="T14">
            <v>7</v>
          </cell>
          <cell r="U14">
            <v>0</v>
          </cell>
          <cell r="V14">
            <v>1</v>
          </cell>
          <cell r="W14">
            <v>0</v>
          </cell>
          <cell r="X14">
            <v>0</v>
          </cell>
          <cell r="Y14">
            <v>2064.8275862068967</v>
          </cell>
          <cell r="Z14">
            <v>4129.6551724137935</v>
          </cell>
          <cell r="AA14">
            <v>2</v>
          </cell>
          <cell r="AB14">
            <v>0.14077669902912621</v>
          </cell>
          <cell r="AC14">
            <v>0.2413793103448276</v>
          </cell>
          <cell r="AD14">
            <v>0</v>
          </cell>
          <cell r="AE14">
            <v>0</v>
          </cell>
          <cell r="AF14">
            <v>3.4482758620689655E-2</v>
          </cell>
          <cell r="AG14">
            <v>0</v>
          </cell>
          <cell r="AH14">
            <v>2499</v>
          </cell>
          <cell r="AI14">
            <v>2.0866733466933868E-2</v>
          </cell>
          <cell r="AJ14">
            <v>760</v>
          </cell>
          <cell r="AK14">
            <v>6.3460253841015361E-3</v>
          </cell>
          <cell r="AL14">
            <v>1</v>
          </cell>
          <cell r="AM14">
            <v>32997</v>
          </cell>
          <cell r="AN14">
            <v>0.27552605210420844</v>
          </cell>
          <cell r="AO14">
            <v>0</v>
          </cell>
          <cell r="AP14">
            <v>0</v>
          </cell>
          <cell r="AQ14">
            <v>0</v>
          </cell>
          <cell r="AR14">
            <v>1</v>
          </cell>
          <cell r="AS14">
            <v>32997</v>
          </cell>
          <cell r="AT14">
            <v>0.27552605210420844</v>
          </cell>
          <cell r="AU14">
            <v>4</v>
          </cell>
          <cell r="AV14">
            <v>7071</v>
          </cell>
          <cell r="AW14">
            <v>5.9043086172344689E-2</v>
          </cell>
          <cell r="AX14">
            <v>15</v>
          </cell>
          <cell r="AY14">
            <v>0.51724137931034486</v>
          </cell>
          <cell r="AZ14">
            <v>100</v>
          </cell>
          <cell r="BA14">
            <v>100</v>
          </cell>
          <cell r="BB14">
            <v>0</v>
          </cell>
          <cell r="BC14">
            <v>0</v>
          </cell>
        </row>
        <row r="15">
          <cell r="C15">
            <v>46268</v>
          </cell>
          <cell r="D15">
            <v>89669.25247502538</v>
          </cell>
          <cell r="E15">
            <v>70583</v>
          </cell>
          <cell r="F15"/>
          <cell r="G15">
            <v>0</v>
          </cell>
          <cell r="H15">
            <v>69939</v>
          </cell>
          <cell r="I15">
            <v>0.78714830392568214</v>
          </cell>
          <cell r="J15">
            <v>9.2080241353178494E-3</v>
          </cell>
          <cell r="K15">
            <v>240185.49770096084</v>
          </cell>
          <cell r="L15">
            <v>255272</v>
          </cell>
          <cell r="M15">
            <v>202559</v>
          </cell>
          <cell r="N15">
            <v>1.062811878499935</v>
          </cell>
          <cell r="O15">
            <v>0.26023528947121588</v>
          </cell>
          <cell r="P15"/>
          <cell r="Q15">
            <v>75</v>
          </cell>
          <cell r="R15">
            <v>37</v>
          </cell>
          <cell r="S15">
            <v>231</v>
          </cell>
          <cell r="T15">
            <v>6</v>
          </cell>
          <cell r="U15">
            <v>0</v>
          </cell>
          <cell r="V15">
            <v>4</v>
          </cell>
          <cell r="W15">
            <v>0</v>
          </cell>
          <cell r="X15">
            <v>0</v>
          </cell>
          <cell r="Y15">
            <v>941.10666666666668</v>
          </cell>
          <cell r="Z15">
            <v>1907.6486486486488</v>
          </cell>
          <cell r="AA15">
            <v>2.0270270270270272</v>
          </cell>
          <cell r="AB15">
            <v>0.16017316017316016</v>
          </cell>
          <cell r="AC15">
            <v>0.16216216216216217</v>
          </cell>
          <cell r="AD15">
            <v>0</v>
          </cell>
          <cell r="AE15">
            <v>0</v>
          </cell>
          <cell r="AF15">
            <v>0.10810810810810811</v>
          </cell>
          <cell r="AG15">
            <v>0</v>
          </cell>
          <cell r="AH15">
            <v>0</v>
          </cell>
          <cell r="AI15">
            <v>0</v>
          </cell>
          <cell r="AJ15">
            <v>630</v>
          </cell>
          <cell r="AK15">
            <v>8.9256619865973399E-3</v>
          </cell>
          <cell r="AL15">
            <v>0</v>
          </cell>
          <cell r="AM15">
            <v>0</v>
          </cell>
          <cell r="AN15">
            <v>0</v>
          </cell>
          <cell r="AO15">
            <v>1</v>
          </cell>
          <cell r="AP15">
            <v>1299</v>
          </cell>
          <cell r="AQ15">
            <v>1.8403864953317372E-2</v>
          </cell>
          <cell r="AR15">
            <v>0</v>
          </cell>
          <cell r="AS15">
            <v>0</v>
          </cell>
          <cell r="AT15">
            <v>0</v>
          </cell>
          <cell r="AU15">
            <v>2</v>
          </cell>
          <cell r="AV15">
            <v>648</v>
          </cell>
          <cell r="AW15">
            <v>9.1806809005001207E-3</v>
          </cell>
          <cell r="AX15">
            <v>20</v>
          </cell>
          <cell r="AY15">
            <v>0.54054054054054057</v>
          </cell>
          <cell r="AZ15">
            <v>100</v>
          </cell>
          <cell r="BA15">
            <v>110</v>
          </cell>
          <cell r="BB15">
            <v>1</v>
          </cell>
          <cell r="BC15">
            <v>7794</v>
          </cell>
        </row>
        <row r="16">
          <cell r="C16">
            <v>46269</v>
          </cell>
          <cell r="D16">
            <v>128098.93210717911</v>
          </cell>
          <cell r="E16">
            <v>51966</v>
          </cell>
          <cell r="F16"/>
          <cell r="G16">
            <v>0</v>
          </cell>
          <cell r="H16">
            <v>81017</v>
          </cell>
          <cell r="I16">
            <v>0.40567082914103114</v>
          </cell>
          <cell r="J16">
            <v>-0.35857906365330738</v>
          </cell>
          <cell r="K16">
            <v>368284.42980813992</v>
          </cell>
          <cell r="L16">
            <v>307238</v>
          </cell>
          <cell r="M16">
            <v>283576</v>
          </cell>
          <cell r="N16">
            <v>0.83424107872292497</v>
          </cell>
          <cell r="O16">
            <v>8.3441476006432147E-2</v>
          </cell>
          <cell r="P16"/>
          <cell r="Q16">
            <v>75</v>
          </cell>
          <cell r="R16">
            <v>34</v>
          </cell>
          <cell r="S16">
            <v>233</v>
          </cell>
          <cell r="T16">
            <v>3</v>
          </cell>
          <cell r="U16">
            <v>1</v>
          </cell>
          <cell r="V16">
            <v>3</v>
          </cell>
          <cell r="W16">
            <v>0</v>
          </cell>
          <cell r="X16">
            <v>1</v>
          </cell>
          <cell r="Y16">
            <v>692.88</v>
          </cell>
          <cell r="Z16">
            <v>1528.4117647058824</v>
          </cell>
          <cell r="AA16">
            <v>2.2058823529411766</v>
          </cell>
          <cell r="AB16">
            <v>0.14592274678111589</v>
          </cell>
          <cell r="AC16">
            <v>8.8235294117647065E-2</v>
          </cell>
          <cell r="AD16">
            <v>2.9411764705882353E-2</v>
          </cell>
          <cell r="AE16">
            <v>0</v>
          </cell>
          <cell r="AF16">
            <v>8.8235294117647065E-2</v>
          </cell>
          <cell r="AG16">
            <v>2.9411764705882353E-2</v>
          </cell>
          <cell r="AH16">
            <v>1499</v>
          </cell>
          <cell r="AI16">
            <v>2.8845783781703421E-2</v>
          </cell>
          <cell r="AJ16">
            <v>320</v>
          </cell>
          <cell r="AK16">
            <v>6.1578724550667742E-3</v>
          </cell>
          <cell r="AL16">
            <v>1</v>
          </cell>
          <cell r="AM16">
            <v>954</v>
          </cell>
          <cell r="AN16">
            <v>1.8358157256667822E-2</v>
          </cell>
          <cell r="AO16">
            <v>4</v>
          </cell>
          <cell r="AP16">
            <v>5546</v>
          </cell>
          <cell r="AQ16">
            <v>0.10672362698687604</v>
          </cell>
          <cell r="AR16">
            <v>2</v>
          </cell>
          <cell r="AS16">
            <v>2748</v>
          </cell>
          <cell r="AT16">
            <v>5.2880729707885925E-2</v>
          </cell>
          <cell r="AU16">
            <v>9</v>
          </cell>
          <cell r="AV16">
            <v>12702</v>
          </cell>
          <cell r="AW16">
            <v>0.24442904976330679</v>
          </cell>
          <cell r="AX16">
            <v>17</v>
          </cell>
          <cell r="AY16">
            <v>0.5</v>
          </cell>
          <cell r="AZ16">
            <v>100</v>
          </cell>
          <cell r="BA16">
            <v>50</v>
          </cell>
          <cell r="BB16">
            <v>0</v>
          </cell>
          <cell r="BC16">
            <v>0</v>
          </cell>
        </row>
        <row r="17">
          <cell r="C17">
            <v>46270</v>
          </cell>
          <cell r="D17">
            <v>166528.61173933282</v>
          </cell>
          <cell r="E17">
            <v>153776</v>
          </cell>
          <cell r="F17"/>
          <cell r="G17">
            <v>0</v>
          </cell>
          <cell r="H17">
            <v>190445</v>
          </cell>
          <cell r="I17">
            <v>0.92342089682886164</v>
          </cell>
          <cell r="J17">
            <v>-0.19254377904381847</v>
          </cell>
          <cell r="K17">
            <v>534813.04154747271</v>
          </cell>
          <cell r="L17">
            <v>461014</v>
          </cell>
          <cell r="M17">
            <v>474021</v>
          </cell>
          <cell r="N17">
            <v>0.86200964483974363</v>
          </cell>
          <cell r="O17">
            <v>-2.7439712586573184E-2</v>
          </cell>
          <cell r="P17"/>
          <cell r="Q17">
            <v>178</v>
          </cell>
          <cell r="R17">
            <v>66</v>
          </cell>
          <cell r="S17">
            <v>437</v>
          </cell>
          <cell r="T17">
            <v>3</v>
          </cell>
          <cell r="U17">
            <v>1</v>
          </cell>
          <cell r="V17">
            <v>9</v>
          </cell>
          <cell r="W17">
            <v>0</v>
          </cell>
          <cell r="X17">
            <v>0</v>
          </cell>
          <cell r="Y17">
            <v>863.91011235955057</v>
          </cell>
          <cell r="Z17">
            <v>2329.939393939394</v>
          </cell>
          <cell r="AA17">
            <v>2.6969696969696968</v>
          </cell>
          <cell r="AB17">
            <v>0.15102974828375287</v>
          </cell>
          <cell r="AC17">
            <v>4.5454545454545456E-2</v>
          </cell>
          <cell r="AD17">
            <v>1.5151515151515152E-2</v>
          </cell>
          <cell r="AE17">
            <v>0</v>
          </cell>
          <cell r="AF17">
            <v>0.13636363636363635</v>
          </cell>
          <cell r="AG17">
            <v>0</v>
          </cell>
          <cell r="AH17">
            <v>1199</v>
          </cell>
          <cell r="AI17">
            <v>7.7970554572885237E-3</v>
          </cell>
          <cell r="AJ17">
            <v>288</v>
          </cell>
          <cell r="AK17">
            <v>1.8728540214337738E-3</v>
          </cell>
          <cell r="AL17">
            <v>1</v>
          </cell>
          <cell r="AM17">
            <v>799</v>
          </cell>
          <cell r="AN17">
            <v>5.195869316408282E-3</v>
          </cell>
          <cell r="AO17">
            <v>2</v>
          </cell>
          <cell r="AP17">
            <v>949</v>
          </cell>
          <cell r="AQ17">
            <v>6.1713141192383724E-3</v>
          </cell>
          <cell r="AR17">
            <v>0</v>
          </cell>
          <cell r="AS17">
            <v>0</v>
          </cell>
          <cell r="AT17">
            <v>0</v>
          </cell>
          <cell r="AU17">
            <v>9</v>
          </cell>
          <cell r="AV17">
            <v>6043</v>
          </cell>
          <cell r="AW17">
            <v>3.9297419623348248E-2</v>
          </cell>
          <cell r="AX17">
            <v>31</v>
          </cell>
          <cell r="AY17">
            <v>0.46969696969696972</v>
          </cell>
          <cell r="AZ17">
            <v>100</v>
          </cell>
          <cell r="BA17">
            <v>100</v>
          </cell>
          <cell r="BB17">
            <v>0</v>
          </cell>
          <cell r="BC17">
            <v>0</v>
          </cell>
        </row>
        <row r="18">
          <cell r="C18">
            <v>46271</v>
          </cell>
          <cell r="D18"/>
          <cell r="E18"/>
          <cell r="F18"/>
          <cell r="G18" t="str">
            <v/>
          </cell>
          <cell r="H18">
            <v>130963</v>
          </cell>
          <cell r="I18" t="str">
            <v/>
          </cell>
          <cell r="J18">
            <v>-1</v>
          </cell>
          <cell r="K18">
            <v>534813.04154747271</v>
          </cell>
          <cell r="L18">
            <v>461014</v>
          </cell>
          <cell r="M18">
            <v>604984</v>
          </cell>
          <cell r="N18">
            <v>0.86200964483974363</v>
          </cell>
          <cell r="O18">
            <v>-0.23797323565581896</v>
          </cell>
          <cell r="P18"/>
          <cell r="Q18"/>
          <cell r="R18"/>
          <cell r="S18"/>
          <cell r="T18"/>
          <cell r="U18"/>
          <cell r="V18"/>
          <cell r="W18"/>
          <cell r="X18"/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e">
            <v>#DIV/0!</v>
          </cell>
          <cell r="AG18" t="e">
            <v>#DIV/0!</v>
          </cell>
          <cell r="AH18"/>
          <cell r="AI18" t="e">
            <v>#DIV/0!</v>
          </cell>
          <cell r="AJ18"/>
          <cell r="AK18" t="e">
            <v>#DIV/0!</v>
          </cell>
          <cell r="AL18"/>
          <cell r="AM18"/>
          <cell r="AN18" t="e">
            <v>#DIV/0!</v>
          </cell>
          <cell r="AO18"/>
          <cell r="AP18"/>
          <cell r="AQ18" t="e">
            <v>#DIV/0!</v>
          </cell>
          <cell r="AR18"/>
          <cell r="AS18"/>
          <cell r="AT18" t="e">
            <v>#DIV/0!</v>
          </cell>
          <cell r="AU18"/>
          <cell r="AV18"/>
          <cell r="AW18" t="e">
            <v>#DIV/0!</v>
          </cell>
          <cell r="AX18"/>
          <cell r="AY18" t="e">
            <v>#DIV/0!</v>
          </cell>
          <cell r="AZ18"/>
          <cell r="BA18"/>
          <cell r="BB18"/>
          <cell r="BC18"/>
        </row>
        <row r="19">
          <cell r="C19"/>
          <cell r="D19">
            <v>534813.04154747271</v>
          </cell>
          <cell r="E19">
            <v>461014</v>
          </cell>
          <cell r="F19">
            <v>0</v>
          </cell>
          <cell r="G19">
            <v>0</v>
          </cell>
          <cell r="H19">
            <v>604984</v>
          </cell>
          <cell r="I19">
            <v>0.86200964483974363</v>
          </cell>
          <cell r="J19">
            <v>-0.23797323565581896</v>
          </cell>
          <cell r="K19"/>
          <cell r="L19"/>
          <cell r="M19"/>
          <cell r="N19"/>
          <cell r="O19"/>
          <cell r="P19"/>
          <cell r="Q19">
            <v>440</v>
          </cell>
          <cell r="R19">
            <v>193</v>
          </cell>
          <cell r="S19">
            <v>1293</v>
          </cell>
          <cell r="T19">
            <v>23</v>
          </cell>
          <cell r="U19">
            <v>2</v>
          </cell>
          <cell r="V19">
            <v>21</v>
          </cell>
          <cell r="W19">
            <v>0</v>
          </cell>
          <cell r="X19">
            <v>1</v>
          </cell>
          <cell r="Y19">
            <v>1047.7590909090909</v>
          </cell>
          <cell r="Z19">
            <v>2388.6735751295337</v>
          </cell>
          <cell r="AA19">
            <v>2.2797927461139897</v>
          </cell>
          <cell r="AB19">
            <v>0.14926527455529776</v>
          </cell>
          <cell r="AC19">
            <v>0.11917098445595854</v>
          </cell>
          <cell r="AD19">
            <v>1.0362694300518135E-2</v>
          </cell>
          <cell r="AE19">
            <v>0</v>
          </cell>
          <cell r="AF19">
            <v>0.10880829015544041</v>
          </cell>
          <cell r="AG19">
            <v>5.1813471502590676E-3</v>
          </cell>
          <cell r="AH19">
            <v>5197</v>
          </cell>
          <cell r="AI19">
            <v>1.1272976525658656E-2</v>
          </cell>
          <cell r="AJ19">
            <v>2438</v>
          </cell>
          <cell r="AK19">
            <v>5.2883426533684441E-3</v>
          </cell>
          <cell r="AL19">
            <v>3</v>
          </cell>
          <cell r="AM19">
            <v>34750</v>
          </cell>
          <cell r="AN19">
            <v>7.5377320428446859E-2</v>
          </cell>
          <cell r="AO19">
            <v>10</v>
          </cell>
          <cell r="AP19">
            <v>11367</v>
          </cell>
          <cell r="AQ19">
            <v>2.4656518023313825E-2</v>
          </cell>
          <cell r="AR19">
            <v>4</v>
          </cell>
          <cell r="AS19">
            <v>37444</v>
          </cell>
          <cell r="AT19">
            <v>8.1220960751734225E-2</v>
          </cell>
          <cell r="AU19">
            <v>28</v>
          </cell>
          <cell r="AV19">
            <v>33636</v>
          </cell>
          <cell r="AW19">
            <v>7.2960907911690312E-2</v>
          </cell>
          <cell r="AX19">
            <v>96</v>
          </cell>
          <cell r="AY19">
            <v>0.49740932642487046</v>
          </cell>
          <cell r="AZ19">
            <v>500</v>
          </cell>
          <cell r="BA19">
            <v>440</v>
          </cell>
          <cell r="BB19">
            <v>1</v>
          </cell>
          <cell r="BC19">
            <v>7794</v>
          </cell>
        </row>
        <row r="20">
          <cell r="C20">
            <v>46272</v>
          </cell>
          <cell r="D20">
            <v>73656.885961627981</v>
          </cell>
          <cell r="E20">
            <v>38921</v>
          </cell>
          <cell r="F20"/>
          <cell r="G20">
            <v>0</v>
          </cell>
          <cell r="H20">
            <v>166519</v>
          </cell>
          <cell r="I20">
            <v>0.52840952331702074</v>
          </cell>
          <cell r="J20">
            <v>-0.76626691248446122</v>
          </cell>
          <cell r="K20">
            <v>608469.92750910064</v>
          </cell>
          <cell r="L20">
            <v>499935</v>
          </cell>
          <cell r="M20">
            <v>771503</v>
          </cell>
          <cell r="N20">
            <v>0.82162647223436147</v>
          </cell>
          <cell r="O20">
            <v>-0.35199863124317077</v>
          </cell>
          <cell r="P20"/>
          <cell r="Q20">
            <v>35</v>
          </cell>
          <cell r="R20">
            <v>24</v>
          </cell>
          <cell r="S20">
            <v>140</v>
          </cell>
          <cell r="T20">
            <v>2</v>
          </cell>
          <cell r="U20">
            <v>0</v>
          </cell>
          <cell r="V20">
            <v>3</v>
          </cell>
          <cell r="W20">
            <v>0</v>
          </cell>
          <cell r="X20">
            <v>0</v>
          </cell>
          <cell r="Y20">
            <v>1112.0285714285715</v>
          </cell>
          <cell r="Z20">
            <v>1621.7083333333333</v>
          </cell>
          <cell r="AA20">
            <v>1.4583333333333333</v>
          </cell>
          <cell r="AB20">
            <v>0.17142857142857143</v>
          </cell>
          <cell r="AC20">
            <v>8.3333333333333329E-2</v>
          </cell>
          <cell r="AD20">
            <v>0</v>
          </cell>
          <cell r="AE20">
            <v>2.1428571428571429E-2</v>
          </cell>
          <cell r="AF20">
            <v>0.125</v>
          </cell>
          <cell r="AG20">
            <v>0</v>
          </cell>
          <cell r="AH20">
            <v>0</v>
          </cell>
          <cell r="AI20">
            <v>0</v>
          </cell>
          <cell r="AJ20">
            <v>300</v>
          </cell>
          <cell r="AK20">
            <v>7.7079211736594639E-3</v>
          </cell>
          <cell r="AL20">
            <v>0</v>
          </cell>
          <cell r="AM20">
            <v>0</v>
          </cell>
          <cell r="AN20">
            <v>0</v>
          </cell>
          <cell r="AO20">
            <v>1</v>
          </cell>
          <cell r="AP20">
            <v>479</v>
          </cell>
          <cell r="AQ20">
            <v>1.2306980807276277E-2</v>
          </cell>
          <cell r="AR20">
            <v>0</v>
          </cell>
          <cell r="AS20">
            <v>0</v>
          </cell>
          <cell r="AT20">
            <v>0</v>
          </cell>
          <cell r="AU20">
            <v>3</v>
          </cell>
          <cell r="AV20">
            <v>1318</v>
          </cell>
          <cell r="AW20">
            <v>3.3863467022943912E-2</v>
          </cell>
          <cell r="AX20">
            <v>9</v>
          </cell>
          <cell r="AY20">
            <v>0.375</v>
          </cell>
          <cell r="AZ20">
            <v>100</v>
          </cell>
          <cell r="BA20">
            <v>50</v>
          </cell>
          <cell r="BB20">
            <v>0</v>
          </cell>
          <cell r="BC20">
            <v>0</v>
          </cell>
        </row>
        <row r="21">
          <cell r="C21">
            <v>46273</v>
          </cell>
          <cell r="D21">
            <v>76859.359264307466</v>
          </cell>
          <cell r="E21">
            <v>46337</v>
          </cell>
          <cell r="F21"/>
          <cell r="G21">
            <v>0</v>
          </cell>
          <cell r="H21">
            <v>47302</v>
          </cell>
          <cell r="I21">
            <v>0.60288038364533081</v>
          </cell>
          <cell r="J21">
            <v>-2.0400828717601738E-2</v>
          </cell>
          <cell r="K21">
            <v>685329.28677340806</v>
          </cell>
          <cell r="L21">
            <v>546272</v>
          </cell>
          <cell r="M21">
            <v>818805</v>
          </cell>
          <cell r="N21">
            <v>0.79709420061690017</v>
          </cell>
          <cell r="O21">
            <v>-0.33284237394739891</v>
          </cell>
          <cell r="P21"/>
          <cell r="Q21">
            <v>36</v>
          </cell>
          <cell r="R21">
            <v>22</v>
          </cell>
          <cell r="S21">
            <v>142</v>
          </cell>
          <cell r="T21">
            <v>0</v>
          </cell>
          <cell r="U21">
            <v>1</v>
          </cell>
          <cell r="V21">
            <v>1</v>
          </cell>
          <cell r="W21">
            <v>0</v>
          </cell>
          <cell r="X21">
            <v>0</v>
          </cell>
          <cell r="Y21">
            <v>1287.1388888888889</v>
          </cell>
          <cell r="Z21">
            <v>2106.2272727272725</v>
          </cell>
          <cell r="AA21">
            <v>1.6363636363636365</v>
          </cell>
          <cell r="AB21">
            <v>0.15492957746478872</v>
          </cell>
          <cell r="AC21">
            <v>0</v>
          </cell>
          <cell r="AD21">
            <v>4.5454545454545456E-2</v>
          </cell>
          <cell r="AE21">
            <v>7.0422535211267607E-3</v>
          </cell>
          <cell r="AF21">
            <v>4.5454545454545456E-2</v>
          </cell>
          <cell r="AG21">
            <v>0</v>
          </cell>
          <cell r="AH21">
            <v>2563</v>
          </cell>
          <cell r="AI21">
            <v>5.5312169540539954E-2</v>
          </cell>
          <cell r="AJ21">
            <v>0</v>
          </cell>
          <cell r="AK21">
            <v>0</v>
          </cell>
          <cell r="AL21">
            <v>3</v>
          </cell>
          <cell r="AM21">
            <v>13361</v>
          </cell>
          <cell r="AN21">
            <v>0.28834408787793769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3</v>
          </cell>
          <cell r="AV21">
            <v>2361</v>
          </cell>
          <cell r="AW21">
            <v>5.0952802296221164E-2</v>
          </cell>
          <cell r="AX21">
            <v>12</v>
          </cell>
          <cell r="AY21">
            <v>0.54545454545454541</v>
          </cell>
          <cell r="AZ21">
            <v>100</v>
          </cell>
          <cell r="BA21">
            <v>100</v>
          </cell>
          <cell r="BB21">
            <v>0</v>
          </cell>
          <cell r="BC21">
            <v>0</v>
          </cell>
        </row>
        <row r="22">
          <cell r="C22">
            <v>46274</v>
          </cell>
          <cell r="D22">
            <v>76859.359264307466</v>
          </cell>
          <cell r="E22">
            <v>86046</v>
          </cell>
          <cell r="F22"/>
          <cell r="G22">
            <v>0</v>
          </cell>
          <cell r="H22">
            <v>47469</v>
          </cell>
          <cell r="I22">
            <v>1.1195253359334039</v>
          </cell>
          <cell r="J22">
            <v>0.81267774758263278</v>
          </cell>
          <cell r="K22">
            <v>762188.64603771549</v>
          </cell>
          <cell r="L22">
            <v>632318</v>
          </cell>
          <cell r="M22">
            <v>866274</v>
          </cell>
          <cell r="N22">
            <v>0.82960826468242999</v>
          </cell>
          <cell r="O22">
            <v>-0.27007159397603986</v>
          </cell>
          <cell r="P22"/>
          <cell r="Q22">
            <v>57</v>
          </cell>
          <cell r="R22">
            <v>29</v>
          </cell>
          <cell r="S22">
            <v>192</v>
          </cell>
          <cell r="T22">
            <v>1</v>
          </cell>
          <cell r="U22">
            <v>1</v>
          </cell>
          <cell r="V22">
            <v>3</v>
          </cell>
          <cell r="W22">
            <v>0</v>
          </cell>
          <cell r="X22">
            <v>0</v>
          </cell>
          <cell r="Y22">
            <v>1509.578947368421</v>
          </cell>
          <cell r="Z22">
            <v>2967.1034482758619</v>
          </cell>
          <cell r="AA22">
            <v>1.9655172413793103</v>
          </cell>
          <cell r="AB22">
            <v>0.15104166666666666</v>
          </cell>
          <cell r="AC22">
            <v>3.4482758620689655E-2</v>
          </cell>
          <cell r="AD22">
            <v>3.4482758620689655E-2</v>
          </cell>
          <cell r="AE22">
            <v>1.5625E-2</v>
          </cell>
          <cell r="AF22">
            <v>0.10344827586206896</v>
          </cell>
          <cell r="AG22">
            <v>0</v>
          </cell>
          <cell r="AH22">
            <v>1499</v>
          </cell>
          <cell r="AI22">
            <v>1.742091439462613E-2</v>
          </cell>
          <cell r="AJ22">
            <v>100</v>
          </cell>
          <cell r="AK22">
            <v>1.1621690723566465E-3</v>
          </cell>
          <cell r="AL22">
            <v>2</v>
          </cell>
          <cell r="AM22">
            <v>21198</v>
          </cell>
          <cell r="AN22">
            <v>0.24635659995816192</v>
          </cell>
          <cell r="AO22">
            <v>1</v>
          </cell>
          <cell r="AP22">
            <v>1799</v>
          </cell>
          <cell r="AQ22">
            <v>2.0907421611696071E-2</v>
          </cell>
          <cell r="AR22">
            <v>1</v>
          </cell>
          <cell r="AS22">
            <v>1799</v>
          </cell>
          <cell r="AT22">
            <v>2.0907421611696071E-2</v>
          </cell>
          <cell r="AU22">
            <v>13</v>
          </cell>
          <cell r="AV22">
            <v>15779</v>
          </cell>
          <cell r="AW22">
            <v>0.18337865792715524</v>
          </cell>
          <cell r="AX22">
            <v>12</v>
          </cell>
          <cell r="AY22">
            <v>0.41379310344827586</v>
          </cell>
          <cell r="AZ22">
            <v>100</v>
          </cell>
          <cell r="BA22">
            <v>100</v>
          </cell>
          <cell r="BB22">
            <v>1</v>
          </cell>
          <cell r="BC22">
            <v>32360</v>
          </cell>
        </row>
        <row r="23">
          <cell r="C23">
            <v>46275</v>
          </cell>
          <cell r="D23">
            <v>86466.779172345894</v>
          </cell>
          <cell r="E23">
            <v>47076</v>
          </cell>
          <cell r="F23"/>
          <cell r="G23">
            <v>0</v>
          </cell>
          <cell r="H23">
            <v>55947</v>
          </cell>
          <cell r="I23">
            <v>0.5444403093373924</v>
          </cell>
          <cell r="J23">
            <v>-0.15856078073891366</v>
          </cell>
          <cell r="K23">
            <v>848655.42521006137</v>
          </cell>
          <cell r="L23">
            <v>679394</v>
          </cell>
          <cell r="M23">
            <v>922221</v>
          </cell>
          <cell r="N23">
            <v>0.80055341640199218</v>
          </cell>
          <cell r="O23">
            <v>-0.2633067345029011</v>
          </cell>
          <cell r="P23"/>
          <cell r="Q23">
            <v>56</v>
          </cell>
          <cell r="R23">
            <v>37</v>
          </cell>
          <cell r="S23">
            <v>210</v>
          </cell>
          <cell r="T23">
            <v>0</v>
          </cell>
          <cell r="U23">
            <v>0</v>
          </cell>
          <cell r="V23">
            <v>2</v>
          </cell>
          <cell r="W23">
            <v>0</v>
          </cell>
          <cell r="X23">
            <v>0</v>
          </cell>
          <cell r="Y23">
            <v>840.64285714285711</v>
          </cell>
          <cell r="Z23">
            <v>1272.3243243243244</v>
          </cell>
          <cell r="AA23">
            <v>1.5135135135135136</v>
          </cell>
          <cell r="AB23">
            <v>0.1761904761904762</v>
          </cell>
          <cell r="AC23">
            <v>0</v>
          </cell>
          <cell r="AD23">
            <v>0</v>
          </cell>
          <cell r="AE23">
            <v>9.5238095238095247E-3</v>
          </cell>
          <cell r="AF23">
            <v>5.4054054054054057E-2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1</v>
          </cell>
          <cell r="AP23">
            <v>1799</v>
          </cell>
          <cell r="AQ23">
            <v>3.8214801597416942E-2</v>
          </cell>
          <cell r="AR23">
            <v>1</v>
          </cell>
          <cell r="AS23">
            <v>1799</v>
          </cell>
          <cell r="AT23">
            <v>3.8214801597416942E-2</v>
          </cell>
          <cell r="AU23">
            <v>3</v>
          </cell>
          <cell r="AV23">
            <v>458</v>
          </cell>
          <cell r="AW23">
            <v>9.7289489336392209E-3</v>
          </cell>
          <cell r="AX23">
            <v>20</v>
          </cell>
          <cell r="AY23">
            <v>0.54054054054054057</v>
          </cell>
          <cell r="AZ23">
            <v>100</v>
          </cell>
          <cell r="BA23">
            <v>50</v>
          </cell>
          <cell r="BB23">
            <v>0</v>
          </cell>
          <cell r="BC23">
            <v>0</v>
          </cell>
        </row>
        <row r="24">
          <cell r="C24">
            <v>46276</v>
          </cell>
          <cell r="D24">
            <v>96074.199080384322</v>
          </cell>
          <cell r="E24">
            <v>109677</v>
          </cell>
          <cell r="F24"/>
          <cell r="G24">
            <v>0</v>
          </cell>
          <cell r="H24">
            <v>74095</v>
          </cell>
          <cell r="I24">
            <v>1.1415864097730792</v>
          </cell>
          <cell r="J24">
            <v>0.48022133747216422</v>
          </cell>
          <cell r="K24">
            <v>944729.6242904457</v>
          </cell>
          <cell r="L24">
            <v>789071</v>
          </cell>
          <cell r="M24">
            <v>996316</v>
          </cell>
          <cell r="N24">
            <v>0.83523473776176371</v>
          </cell>
          <cell r="O24">
            <v>-0.20801131367959558</v>
          </cell>
          <cell r="P24"/>
          <cell r="Q24">
            <v>105</v>
          </cell>
          <cell r="R24">
            <v>47</v>
          </cell>
          <cell r="S24">
            <v>253</v>
          </cell>
          <cell r="T24">
            <v>6</v>
          </cell>
          <cell r="U24">
            <v>0</v>
          </cell>
          <cell r="V24">
            <v>7</v>
          </cell>
          <cell r="W24">
            <v>0</v>
          </cell>
          <cell r="X24">
            <v>0</v>
          </cell>
          <cell r="Y24">
            <v>1044.5428571428572</v>
          </cell>
          <cell r="Z24">
            <v>2333.5531914893618</v>
          </cell>
          <cell r="AA24">
            <v>2.2340425531914891</v>
          </cell>
          <cell r="AB24">
            <v>0.1857707509881423</v>
          </cell>
          <cell r="AC24">
            <v>0.1276595744680851</v>
          </cell>
          <cell r="AD24">
            <v>0</v>
          </cell>
          <cell r="AE24">
            <v>2.766798418972332E-2</v>
          </cell>
          <cell r="AF24">
            <v>0.14893617021276595</v>
          </cell>
          <cell r="AG24">
            <v>0</v>
          </cell>
          <cell r="AH24">
            <v>0</v>
          </cell>
          <cell r="AI24">
            <v>0</v>
          </cell>
          <cell r="AJ24">
            <v>780</v>
          </cell>
          <cell r="AK24">
            <v>7.1117918980278458E-3</v>
          </cell>
          <cell r="AL24">
            <v>0</v>
          </cell>
          <cell r="AM24">
            <v>0</v>
          </cell>
          <cell r="AN24">
            <v>0</v>
          </cell>
          <cell r="AO24">
            <v>1</v>
          </cell>
          <cell r="AP24">
            <v>1799</v>
          </cell>
          <cell r="AQ24">
            <v>1.6402709775066786E-2</v>
          </cell>
          <cell r="AR24">
            <v>2</v>
          </cell>
          <cell r="AS24">
            <v>2798</v>
          </cell>
          <cell r="AT24">
            <v>2.5511274013694758E-2</v>
          </cell>
          <cell r="AU24">
            <v>7</v>
          </cell>
          <cell r="AV24">
            <v>6354</v>
          </cell>
          <cell r="AW24">
            <v>5.7933750923165293E-2</v>
          </cell>
          <cell r="AX24">
            <v>24</v>
          </cell>
          <cell r="AY24">
            <v>0.51063829787234039</v>
          </cell>
          <cell r="AZ24">
            <v>100</v>
          </cell>
          <cell r="BA24">
            <v>100</v>
          </cell>
          <cell r="BB24">
            <v>1</v>
          </cell>
          <cell r="BC24">
            <v>2341</v>
          </cell>
        </row>
        <row r="25">
          <cell r="C25">
            <v>46277</v>
          </cell>
          <cell r="D25">
            <v>169731.0850420123</v>
          </cell>
          <cell r="E25">
            <v>229487</v>
          </cell>
          <cell r="F25"/>
          <cell r="G25">
            <v>0</v>
          </cell>
          <cell r="H25">
            <v>89983</v>
          </cell>
          <cell r="I25">
            <v>1.3520622927921351</v>
          </cell>
          <cell r="J25">
            <v>1.550337285931787</v>
          </cell>
          <cell r="K25">
            <v>1114460.709332458</v>
          </cell>
          <cell r="L25">
            <v>1018558</v>
          </cell>
          <cell r="M25">
            <v>1086299</v>
          </cell>
          <cell r="N25">
            <v>0.91394698033822841</v>
          </cell>
          <cell r="O25">
            <v>-6.2359442473941318E-2</v>
          </cell>
          <cell r="P25"/>
          <cell r="Q25">
            <v>220</v>
          </cell>
          <cell r="R25">
            <v>82</v>
          </cell>
          <cell r="S25">
            <v>512</v>
          </cell>
          <cell r="T25">
            <v>4</v>
          </cell>
          <cell r="U25">
            <v>1</v>
          </cell>
          <cell r="V25">
            <v>10</v>
          </cell>
          <cell r="W25">
            <v>0</v>
          </cell>
          <cell r="X25">
            <v>0</v>
          </cell>
          <cell r="Y25">
            <v>1043.1227272727272</v>
          </cell>
          <cell r="Z25">
            <v>2798.6219512195121</v>
          </cell>
          <cell r="AA25">
            <v>2.6829268292682928</v>
          </cell>
          <cell r="AB25">
            <v>0.16015625</v>
          </cell>
          <cell r="AC25">
            <v>4.878048780487805E-2</v>
          </cell>
          <cell r="AD25">
            <v>1.2195121951219513E-2</v>
          </cell>
          <cell r="AE25">
            <v>1.953125E-2</v>
          </cell>
          <cell r="AF25">
            <v>0.12195121951219512</v>
          </cell>
          <cell r="AG25">
            <v>0</v>
          </cell>
          <cell r="AH25">
            <v>2466</v>
          </cell>
          <cell r="AI25">
            <v>1.074570672848571E-2</v>
          </cell>
          <cell r="AJ25">
            <v>510</v>
          </cell>
          <cell r="AK25">
            <v>2.2223481068644412E-3</v>
          </cell>
          <cell r="AL25">
            <v>3</v>
          </cell>
          <cell r="AM25">
            <v>4989</v>
          </cell>
          <cell r="AN25">
            <v>2.1739793539503328E-2</v>
          </cell>
          <cell r="AO25">
            <v>3</v>
          </cell>
          <cell r="AP25">
            <v>2337</v>
          </cell>
          <cell r="AQ25">
            <v>1.0183583383808233E-2</v>
          </cell>
          <cell r="AR25">
            <v>1</v>
          </cell>
          <cell r="AS25">
            <v>325</v>
          </cell>
          <cell r="AT25">
            <v>1.4162022249626341E-3</v>
          </cell>
          <cell r="AU25">
            <v>11</v>
          </cell>
          <cell r="AV25">
            <v>12617</v>
          </cell>
          <cell r="AW25">
            <v>5.4979149145703239E-2</v>
          </cell>
          <cell r="AX25">
            <v>41</v>
          </cell>
          <cell r="AY25">
            <v>0.5</v>
          </cell>
          <cell r="AZ25">
            <v>100</v>
          </cell>
          <cell r="BA25">
            <v>100</v>
          </cell>
          <cell r="BB25">
            <v>1</v>
          </cell>
          <cell r="BC25">
            <v>2143</v>
          </cell>
        </row>
        <row r="26">
          <cell r="C26">
            <v>46278</v>
          </cell>
          <cell r="D26">
            <v>169731.0850420123</v>
          </cell>
          <cell r="E26">
            <v>183475</v>
          </cell>
          <cell r="F26"/>
          <cell r="G26">
            <v>0</v>
          </cell>
          <cell r="H26">
            <v>139375</v>
          </cell>
          <cell r="I26">
            <v>1.0809746485423444</v>
          </cell>
          <cell r="J26">
            <v>0.31641255605381158</v>
          </cell>
          <cell r="K26">
            <v>1284191.7943744704</v>
          </cell>
          <cell r="L26">
            <v>1202033</v>
          </cell>
          <cell r="M26">
            <v>1225674</v>
          </cell>
          <cell r="N26">
            <v>0.93602295643503164</v>
          </cell>
          <cell r="O26">
            <v>-1.9288163084147936E-2</v>
          </cell>
          <cell r="P26"/>
          <cell r="Q26">
            <v>187</v>
          </cell>
          <cell r="R26">
            <v>75</v>
          </cell>
          <cell r="S26">
            <v>500</v>
          </cell>
          <cell r="T26">
            <v>17</v>
          </cell>
          <cell r="U26">
            <v>0</v>
          </cell>
          <cell r="V26">
            <v>7</v>
          </cell>
          <cell r="W26">
            <v>0</v>
          </cell>
          <cell r="X26">
            <v>0</v>
          </cell>
          <cell r="Y26">
            <v>981.14973262032083</v>
          </cell>
          <cell r="Z26">
            <v>2446.3333333333335</v>
          </cell>
          <cell r="AA26">
            <v>2.4933333333333332</v>
          </cell>
          <cell r="AB26">
            <v>0.15</v>
          </cell>
          <cell r="AC26">
            <v>0.22666666666666666</v>
          </cell>
          <cell r="AD26">
            <v>0</v>
          </cell>
          <cell r="AE26">
            <v>1.4E-2</v>
          </cell>
          <cell r="AF26">
            <v>9.3333333333333338E-2</v>
          </cell>
          <cell r="AG26">
            <v>0</v>
          </cell>
          <cell r="AH26">
            <v>0</v>
          </cell>
          <cell r="AI26">
            <v>0</v>
          </cell>
          <cell r="AJ26">
            <v>1924</v>
          </cell>
          <cell r="AK26">
            <v>1.0486442294590543E-2</v>
          </cell>
          <cell r="AL26">
            <v>1</v>
          </cell>
          <cell r="AM26">
            <v>2124</v>
          </cell>
          <cell r="AN26">
            <v>1.1576509061179997E-2</v>
          </cell>
          <cell r="AO26">
            <v>2</v>
          </cell>
          <cell r="AP26">
            <v>2814</v>
          </cell>
          <cell r="AQ26">
            <v>1.5337239405913613E-2</v>
          </cell>
          <cell r="AR26">
            <v>1</v>
          </cell>
          <cell r="AS26">
            <v>2124</v>
          </cell>
          <cell r="AT26">
            <v>1.1576509061179997E-2</v>
          </cell>
          <cell r="AU26">
            <v>7</v>
          </cell>
          <cell r="AV26">
            <v>7924</v>
          </cell>
          <cell r="AW26">
            <v>4.3188445292274155E-2</v>
          </cell>
          <cell r="AX26">
            <v>35</v>
          </cell>
          <cell r="AY26">
            <v>0.46666666666666667</v>
          </cell>
          <cell r="AZ26">
            <v>100</v>
          </cell>
          <cell r="BA26">
            <v>50</v>
          </cell>
          <cell r="BB26">
            <v>0</v>
          </cell>
          <cell r="BC26">
            <v>0</v>
          </cell>
        </row>
        <row r="27">
          <cell r="C27"/>
          <cell r="D27">
            <v>749378.75282699766</v>
          </cell>
          <cell r="E27">
            <v>741019</v>
          </cell>
          <cell r="F27">
            <v>0</v>
          </cell>
          <cell r="G27">
            <v>0</v>
          </cell>
          <cell r="H27">
            <v>620690</v>
          </cell>
          <cell r="I27">
            <v>0.98884442240260895</v>
          </cell>
          <cell r="J27">
            <v>0.19386328118706597</v>
          </cell>
          <cell r="K27"/>
          <cell r="L27"/>
          <cell r="M27"/>
          <cell r="N27"/>
          <cell r="O27"/>
          <cell r="P27"/>
          <cell r="Q27">
            <v>696</v>
          </cell>
          <cell r="R27">
            <v>316</v>
          </cell>
          <cell r="S27">
            <v>1949</v>
          </cell>
          <cell r="T27">
            <v>30</v>
          </cell>
          <cell r="U27">
            <v>3</v>
          </cell>
          <cell r="V27">
            <v>33</v>
          </cell>
          <cell r="W27">
            <v>0</v>
          </cell>
          <cell r="X27">
            <v>0</v>
          </cell>
          <cell r="Y27">
            <v>1064.6824712643679</v>
          </cell>
          <cell r="Z27">
            <v>2344.996835443038</v>
          </cell>
          <cell r="AA27">
            <v>2.2025316455696204</v>
          </cell>
          <cell r="AB27">
            <v>0.16213442791174962</v>
          </cell>
          <cell r="AC27">
            <v>9.49367088607595E-2</v>
          </cell>
          <cell r="AD27">
            <v>9.4936708860759497E-3</v>
          </cell>
          <cell r="AE27">
            <v>1.693175987685993E-2</v>
          </cell>
          <cell r="AF27">
            <v>0.10443037974683544</v>
          </cell>
          <cell r="AG27">
            <v>0</v>
          </cell>
          <cell r="AH27">
            <v>6528</v>
          </cell>
          <cell r="AI27">
            <v>8.8094907148129811E-3</v>
          </cell>
          <cell r="AJ27">
            <v>3614</v>
          </cell>
          <cell r="AK27">
            <v>4.8770679294323086E-3</v>
          </cell>
          <cell r="AL27">
            <v>9</v>
          </cell>
          <cell r="AM27">
            <v>41672</v>
          </cell>
          <cell r="AN27">
            <v>5.6236074918456884E-2</v>
          </cell>
          <cell r="AO27">
            <v>9</v>
          </cell>
          <cell r="AP27">
            <v>11027</v>
          </cell>
          <cell r="AQ27">
            <v>1.4880860004939144E-2</v>
          </cell>
          <cell r="AR27">
            <v>6</v>
          </cell>
          <cell r="AS27">
            <v>8845</v>
          </cell>
          <cell r="AT27">
            <v>1.1936266141623899E-2</v>
          </cell>
          <cell r="AU27">
            <v>47</v>
          </cell>
          <cell r="AV27">
            <v>46811</v>
          </cell>
          <cell r="AW27">
            <v>6.3171119768858822E-2</v>
          </cell>
          <cell r="AX27">
            <v>153</v>
          </cell>
          <cell r="AY27">
            <v>0.48417721518987344</v>
          </cell>
          <cell r="AZ27">
            <v>700</v>
          </cell>
          <cell r="BA27">
            <v>550</v>
          </cell>
          <cell r="BB27">
            <v>3</v>
          </cell>
          <cell r="BC27">
            <v>36844</v>
          </cell>
        </row>
        <row r="28">
          <cell r="C28">
            <v>46279</v>
          </cell>
          <cell r="D28">
            <v>73656.885961627981</v>
          </cell>
          <cell r="E28">
            <v>63336</v>
          </cell>
          <cell r="F28"/>
          <cell r="G28">
            <v>0</v>
          </cell>
          <cell r="H28">
            <v>153549</v>
          </cell>
          <cell r="I28">
            <v>0.8598788717866146</v>
          </cell>
          <cell r="J28">
            <v>-0.58751929351542498</v>
          </cell>
          <cell r="K28">
            <v>1357848.6803360984</v>
          </cell>
          <cell r="L28">
            <v>1265369</v>
          </cell>
          <cell r="M28">
            <v>1379223</v>
          </cell>
          <cell r="N28">
            <v>0.93189249901306559</v>
          </cell>
          <cell r="O28">
            <v>-8.2549377439326332E-2</v>
          </cell>
          <cell r="P28"/>
          <cell r="Q28">
            <v>63</v>
          </cell>
          <cell r="R28">
            <v>21</v>
          </cell>
          <cell r="S28">
            <v>149</v>
          </cell>
          <cell r="T28">
            <v>2</v>
          </cell>
          <cell r="U28">
            <v>0</v>
          </cell>
          <cell r="V28">
            <v>2</v>
          </cell>
          <cell r="W28">
            <v>0</v>
          </cell>
          <cell r="X28">
            <v>0</v>
          </cell>
          <cell r="Y28">
            <v>1005.3333333333334</v>
          </cell>
          <cell r="Z28">
            <v>3016</v>
          </cell>
          <cell r="AA28">
            <v>3</v>
          </cell>
          <cell r="AB28">
            <v>0.14093959731543623</v>
          </cell>
          <cell r="AC28">
            <v>9.5238095238095233E-2</v>
          </cell>
          <cell r="AD28">
            <v>0</v>
          </cell>
          <cell r="AE28">
            <v>0</v>
          </cell>
          <cell r="AF28">
            <v>9.5238095238095233E-2</v>
          </cell>
          <cell r="AG28">
            <v>0</v>
          </cell>
          <cell r="AH28">
            <v>0</v>
          </cell>
          <cell r="AI28">
            <v>0</v>
          </cell>
          <cell r="AJ28">
            <v>220</v>
          </cell>
          <cell r="AK28">
            <v>3.4735379562965771E-3</v>
          </cell>
          <cell r="AL28">
            <v>0</v>
          </cell>
          <cell r="AM28">
            <v>0</v>
          </cell>
          <cell r="AN28">
            <v>0</v>
          </cell>
          <cell r="AO28">
            <v>3</v>
          </cell>
          <cell r="AP28">
            <v>4080</v>
          </cell>
          <cell r="AQ28">
            <v>6.4418340280409242E-2</v>
          </cell>
          <cell r="AR28">
            <v>2</v>
          </cell>
          <cell r="AS28">
            <v>4687</v>
          </cell>
          <cell r="AT28">
            <v>7.4002147278009342E-2</v>
          </cell>
          <cell r="AU28">
            <v>7</v>
          </cell>
          <cell r="AV28">
            <v>9843</v>
          </cell>
          <cell r="AW28">
            <v>0.1554092459264873</v>
          </cell>
          <cell r="AX28">
            <v>12</v>
          </cell>
          <cell r="AY28">
            <v>0.5714285714285714</v>
          </cell>
          <cell r="AZ28">
            <v>100</v>
          </cell>
          <cell r="BA28">
            <v>50</v>
          </cell>
          <cell r="BB28">
            <v>0</v>
          </cell>
          <cell r="BC28">
            <v>0</v>
          </cell>
        </row>
        <row r="29">
          <cell r="C29">
            <v>46280</v>
          </cell>
          <cell r="D29">
            <v>76859.359264307466</v>
          </cell>
          <cell r="E29">
            <v>60616</v>
          </cell>
          <cell r="F29"/>
          <cell r="G29">
            <v>0</v>
          </cell>
          <cell r="H29">
            <v>55073</v>
          </cell>
          <cell r="I29">
            <v>0.78866127144712384</v>
          </cell>
          <cell r="J29">
            <v>0.10064823053038685</v>
          </cell>
          <cell r="K29">
            <v>1434708.0396004058</v>
          </cell>
          <cell r="L29">
            <v>1325985</v>
          </cell>
          <cell r="M29">
            <v>1434296</v>
          </cell>
          <cell r="N29">
            <v>0.92421939753631877</v>
          </cell>
          <cell r="O29">
            <v>-7.5515095907678798E-2</v>
          </cell>
          <cell r="P29"/>
          <cell r="Q29">
            <v>47</v>
          </cell>
          <cell r="R29">
            <v>20</v>
          </cell>
          <cell r="S29">
            <v>159</v>
          </cell>
          <cell r="T29">
            <v>5</v>
          </cell>
          <cell r="U29">
            <v>0</v>
          </cell>
          <cell r="V29">
            <v>3</v>
          </cell>
          <cell r="W29">
            <v>0</v>
          </cell>
          <cell r="X29">
            <v>0</v>
          </cell>
          <cell r="Y29">
            <v>1289.7021276595744</v>
          </cell>
          <cell r="Z29">
            <v>3030.8</v>
          </cell>
          <cell r="AA29">
            <v>2.35</v>
          </cell>
          <cell r="AB29">
            <v>0.12578616352201258</v>
          </cell>
          <cell r="AC29">
            <v>0.25</v>
          </cell>
          <cell r="AD29">
            <v>0</v>
          </cell>
          <cell r="AE29">
            <v>0</v>
          </cell>
          <cell r="AF29">
            <v>0.15</v>
          </cell>
          <cell r="AG29">
            <v>0</v>
          </cell>
          <cell r="AH29">
            <v>0</v>
          </cell>
          <cell r="AI29">
            <v>0</v>
          </cell>
          <cell r="AJ29">
            <v>552</v>
          </cell>
          <cell r="AK29">
            <v>9.1065065329285991E-3</v>
          </cell>
          <cell r="AL29">
            <v>0</v>
          </cell>
          <cell r="AM29">
            <v>0</v>
          </cell>
          <cell r="AN29">
            <v>0</v>
          </cell>
          <cell r="AO29">
            <v>2</v>
          </cell>
          <cell r="AP29">
            <v>6898</v>
          </cell>
          <cell r="AQ29">
            <v>0.11379833707272008</v>
          </cell>
          <cell r="AR29">
            <v>1</v>
          </cell>
          <cell r="AS29">
            <v>3059</v>
          </cell>
          <cell r="AT29">
            <v>5.0465223703312655E-2</v>
          </cell>
          <cell r="AU29">
            <v>4</v>
          </cell>
          <cell r="AV29">
            <v>10437</v>
          </cell>
          <cell r="AW29">
            <v>0.17218226210901413</v>
          </cell>
          <cell r="AX29">
            <v>15</v>
          </cell>
          <cell r="AY29">
            <v>0.75</v>
          </cell>
          <cell r="AZ29">
            <v>100</v>
          </cell>
          <cell r="BA29">
            <v>50</v>
          </cell>
          <cell r="BB29">
            <v>0</v>
          </cell>
          <cell r="BC29">
            <v>0</v>
          </cell>
        </row>
        <row r="30">
          <cell r="C30">
            <v>46281</v>
          </cell>
          <cell r="D30">
            <v>76859.359264307466</v>
          </cell>
          <cell r="E30">
            <v>45330</v>
          </cell>
          <cell r="F30"/>
          <cell r="G30">
            <v>0</v>
          </cell>
          <cell r="H30">
            <v>55540</v>
          </cell>
          <cell r="I30">
            <v>0.58977853099343613</v>
          </cell>
          <cell r="J30">
            <v>-0.18383147281238743</v>
          </cell>
          <cell r="K30">
            <v>1511567.3988647133</v>
          </cell>
          <cell r="L30">
            <v>1371315</v>
          </cell>
          <cell r="M30">
            <v>1489836</v>
          </cell>
          <cell r="N30">
            <v>0.90721392974600268</v>
          </cell>
          <cell r="O30">
            <v>-7.9553051476806802E-2</v>
          </cell>
          <cell r="P30"/>
          <cell r="Q30">
            <v>47</v>
          </cell>
          <cell r="R30">
            <v>20</v>
          </cell>
          <cell r="S30">
            <v>151</v>
          </cell>
          <cell r="T30">
            <v>2</v>
          </cell>
          <cell r="U30">
            <v>0</v>
          </cell>
          <cell r="V30">
            <v>5</v>
          </cell>
          <cell r="W30">
            <v>0</v>
          </cell>
          <cell r="X30">
            <v>3</v>
          </cell>
          <cell r="Y30">
            <v>964.468085106383</v>
          </cell>
          <cell r="Z30">
            <v>2266.5</v>
          </cell>
          <cell r="AA30">
            <v>2.35</v>
          </cell>
          <cell r="AB30">
            <v>0.13245033112582782</v>
          </cell>
          <cell r="AC30">
            <v>0.1</v>
          </cell>
          <cell r="AD30">
            <v>0</v>
          </cell>
          <cell r="AE30">
            <v>0</v>
          </cell>
          <cell r="AF30">
            <v>0.25</v>
          </cell>
          <cell r="AG30">
            <v>0.15</v>
          </cell>
          <cell r="AH30">
            <v>0</v>
          </cell>
          <cell r="AI30">
            <v>0</v>
          </cell>
          <cell r="AJ30">
            <v>220</v>
          </cell>
          <cell r="AK30">
            <v>4.8532980366203394E-3</v>
          </cell>
          <cell r="AL30">
            <v>0</v>
          </cell>
          <cell r="AM30">
            <v>0</v>
          </cell>
          <cell r="AN30">
            <v>0</v>
          </cell>
          <cell r="AO30">
            <v>1</v>
          </cell>
          <cell r="AP30">
            <v>2804</v>
          </cell>
          <cell r="AQ30">
            <v>6.1857489521288327E-2</v>
          </cell>
          <cell r="AR30">
            <v>0</v>
          </cell>
          <cell r="AS30">
            <v>0</v>
          </cell>
          <cell r="AT30">
            <v>0</v>
          </cell>
          <cell r="AU30">
            <v>1</v>
          </cell>
          <cell r="AV30">
            <v>2804</v>
          </cell>
          <cell r="AW30">
            <v>6.1857489521288327E-2</v>
          </cell>
          <cell r="AX30">
            <v>10</v>
          </cell>
          <cell r="AY30">
            <v>0.5</v>
          </cell>
          <cell r="AZ30">
            <v>100</v>
          </cell>
          <cell r="BA30">
            <v>50</v>
          </cell>
          <cell r="BB30">
            <v>0</v>
          </cell>
          <cell r="BC30">
            <v>0</v>
          </cell>
        </row>
        <row r="31">
          <cell r="C31">
            <v>46282</v>
          </cell>
          <cell r="D31">
            <v>89669.25247502538</v>
          </cell>
          <cell r="E31">
            <v>43767</v>
          </cell>
          <cell r="F31"/>
          <cell r="G31">
            <v>0</v>
          </cell>
          <cell r="H31">
            <v>46315</v>
          </cell>
          <cell r="I31">
            <v>0.48809373103885256</v>
          </cell>
          <cell r="J31">
            <v>-5.5014574112058678E-2</v>
          </cell>
          <cell r="K31">
            <v>1601236.6513397386</v>
          </cell>
          <cell r="L31">
            <v>1415082</v>
          </cell>
          <cell r="M31">
            <v>1536151</v>
          </cell>
          <cell r="N31">
            <v>0.88374319861840234</v>
          </cell>
          <cell r="O31">
            <v>-7.8813215627890787E-2</v>
          </cell>
          <cell r="P31"/>
          <cell r="Q31">
            <v>52</v>
          </cell>
          <cell r="R31">
            <v>25</v>
          </cell>
          <cell r="S31">
            <v>169</v>
          </cell>
          <cell r="T31">
            <v>7</v>
          </cell>
          <cell r="U31">
            <v>0</v>
          </cell>
          <cell r="V31">
            <v>2</v>
          </cell>
          <cell r="W31">
            <v>1</v>
          </cell>
          <cell r="X31">
            <v>3</v>
          </cell>
          <cell r="Y31">
            <v>841.67307692307691</v>
          </cell>
          <cell r="Z31">
            <v>1750.68</v>
          </cell>
          <cell r="AA31">
            <v>2.08</v>
          </cell>
          <cell r="AB31">
            <v>0.14792899408284024</v>
          </cell>
          <cell r="AC31">
            <v>0.28000000000000003</v>
          </cell>
          <cell r="AD31">
            <v>0</v>
          </cell>
          <cell r="AE31">
            <v>0.04</v>
          </cell>
          <cell r="AF31">
            <v>0.08</v>
          </cell>
          <cell r="AG31">
            <v>0.12</v>
          </cell>
          <cell r="AH31">
            <v>0</v>
          </cell>
          <cell r="AI31">
            <v>0</v>
          </cell>
          <cell r="AJ31">
            <v>848</v>
          </cell>
          <cell r="AK31">
            <v>1.9375328443804692E-2</v>
          </cell>
          <cell r="AL31">
            <v>0</v>
          </cell>
          <cell r="AM31">
            <v>0</v>
          </cell>
          <cell r="AN31">
            <v>0</v>
          </cell>
          <cell r="AO31">
            <v>1</v>
          </cell>
          <cell r="AP31">
            <v>1359</v>
          </cell>
          <cell r="AQ31">
            <v>3.1050791692370964E-2</v>
          </cell>
          <cell r="AR31">
            <v>1</v>
          </cell>
          <cell r="AS31">
            <v>1359</v>
          </cell>
          <cell r="AT31">
            <v>3.1050791692370964E-2</v>
          </cell>
          <cell r="AU31">
            <v>6</v>
          </cell>
          <cell r="AV31">
            <v>6645</v>
          </cell>
          <cell r="AW31">
            <v>0.15182671876071013</v>
          </cell>
          <cell r="AX31">
            <v>15</v>
          </cell>
          <cell r="AY31">
            <v>0.6</v>
          </cell>
          <cell r="AZ31">
            <v>100</v>
          </cell>
          <cell r="BA31">
            <v>50</v>
          </cell>
          <cell r="BB31">
            <v>0</v>
          </cell>
          <cell r="BC31">
            <v>0</v>
          </cell>
        </row>
        <row r="32">
          <cell r="C32">
            <v>46283</v>
          </cell>
          <cell r="D32">
            <v>96074.199080384322</v>
          </cell>
          <cell r="E32">
            <v>103358</v>
          </cell>
          <cell r="F32"/>
          <cell r="G32">
            <v>0</v>
          </cell>
          <cell r="H32">
            <v>76551</v>
          </cell>
          <cell r="I32">
            <v>1.0758143288139346</v>
          </cell>
          <cell r="J32">
            <v>0.35018484409086748</v>
          </cell>
          <cell r="K32">
            <v>1697310.850420123</v>
          </cell>
          <cell r="L32">
            <v>1518440</v>
          </cell>
          <cell r="M32">
            <v>1612702</v>
          </cell>
          <cell r="N32">
            <v>0.89461514938418718</v>
          </cell>
          <cell r="O32">
            <v>-5.8449732188587844E-2</v>
          </cell>
          <cell r="P32"/>
          <cell r="Q32">
            <v>94</v>
          </cell>
          <cell r="R32">
            <v>42</v>
          </cell>
          <cell r="S32">
            <v>247</v>
          </cell>
          <cell r="T32">
            <v>1</v>
          </cell>
          <cell r="U32">
            <v>0</v>
          </cell>
          <cell r="V32">
            <v>5</v>
          </cell>
          <cell r="W32">
            <v>0</v>
          </cell>
          <cell r="X32">
            <v>1</v>
          </cell>
          <cell r="Y32">
            <v>1099.5531914893618</v>
          </cell>
          <cell r="Z32">
            <v>2460.9047619047619</v>
          </cell>
          <cell r="AA32">
            <v>2.2380952380952381</v>
          </cell>
          <cell r="AB32">
            <v>0.17004048582995951</v>
          </cell>
          <cell r="AC32">
            <v>2.3809523809523808E-2</v>
          </cell>
          <cell r="AD32">
            <v>0</v>
          </cell>
          <cell r="AE32">
            <v>0</v>
          </cell>
          <cell r="AF32">
            <v>0.11904761904761904</v>
          </cell>
          <cell r="AG32">
            <v>2.3809523809523808E-2</v>
          </cell>
          <cell r="AH32">
            <v>0</v>
          </cell>
          <cell r="AI32">
            <v>0</v>
          </cell>
          <cell r="AJ32">
            <v>110</v>
          </cell>
          <cell r="AK32">
            <v>1.0642620793746009E-3</v>
          </cell>
          <cell r="AL32">
            <v>1</v>
          </cell>
          <cell r="AM32">
            <v>1199</v>
          </cell>
          <cell r="AN32">
            <v>1.160045666518315E-2</v>
          </cell>
          <cell r="AO32">
            <v>3</v>
          </cell>
          <cell r="AP32">
            <v>8797</v>
          </cell>
          <cell r="AQ32">
            <v>8.5111941020530588E-2</v>
          </cell>
          <cell r="AR32">
            <v>0</v>
          </cell>
          <cell r="AS32">
            <v>0</v>
          </cell>
          <cell r="AT32">
            <v>0</v>
          </cell>
          <cell r="AU32">
            <v>7</v>
          </cell>
          <cell r="AV32">
            <v>12343</v>
          </cell>
          <cell r="AW32">
            <v>0.11941988041564272</v>
          </cell>
          <cell r="AX32">
            <v>27</v>
          </cell>
          <cell r="AY32">
            <v>0.6428571428571429</v>
          </cell>
          <cell r="AZ32">
            <v>100</v>
          </cell>
          <cell r="BA32">
            <v>60</v>
          </cell>
          <cell r="BB32">
            <v>2</v>
          </cell>
          <cell r="BC32">
            <v>2196</v>
          </cell>
        </row>
        <row r="33">
          <cell r="C33">
            <v>46284</v>
          </cell>
          <cell r="D33">
            <v>169731.0850420123</v>
          </cell>
          <cell r="E33">
            <v>192912</v>
          </cell>
          <cell r="F33"/>
          <cell r="G33">
            <v>0</v>
          </cell>
          <cell r="H33">
            <v>89503</v>
          </cell>
          <cell r="I33">
            <v>1.1365743638076071</v>
          </cell>
          <cell r="J33">
            <v>1.1553690937733929</v>
          </cell>
          <cell r="K33">
            <v>1867041.9354621354</v>
          </cell>
          <cell r="L33">
            <v>1711352</v>
          </cell>
          <cell r="M33">
            <v>1702205</v>
          </cell>
          <cell r="N33">
            <v>0.91661144160449803</v>
          </cell>
          <cell r="O33">
            <v>5.3736183362167456E-3</v>
          </cell>
          <cell r="P33"/>
          <cell r="Q33">
            <v>180</v>
          </cell>
          <cell r="R33">
            <v>81</v>
          </cell>
          <cell r="S33">
            <v>500</v>
          </cell>
          <cell r="T33">
            <v>6</v>
          </cell>
          <cell r="U33">
            <v>1</v>
          </cell>
          <cell r="V33">
            <v>15</v>
          </cell>
          <cell r="W33">
            <v>0</v>
          </cell>
          <cell r="X33">
            <v>0</v>
          </cell>
          <cell r="Y33">
            <v>1071.7333333333333</v>
          </cell>
          <cell r="Z33">
            <v>2381.6296296296296</v>
          </cell>
          <cell r="AA33">
            <v>2.2222222222222223</v>
          </cell>
          <cell r="AB33">
            <v>0.16200000000000001</v>
          </cell>
          <cell r="AC33">
            <v>7.407407407407407E-2</v>
          </cell>
          <cell r="AD33">
            <v>1.2345679012345678E-2</v>
          </cell>
          <cell r="AE33">
            <v>0</v>
          </cell>
          <cell r="AF33">
            <v>0.18518518518518517</v>
          </cell>
          <cell r="AG33">
            <v>0</v>
          </cell>
          <cell r="AH33">
            <v>1099</v>
          </cell>
          <cell r="AI33">
            <v>5.696898067512648E-3</v>
          </cell>
          <cell r="AJ33">
            <v>680</v>
          </cell>
          <cell r="AK33">
            <v>3.5249232810815293E-3</v>
          </cell>
          <cell r="AL33">
            <v>4</v>
          </cell>
          <cell r="AM33">
            <v>9721</v>
          </cell>
          <cell r="AN33">
            <v>5.0390851787343455E-2</v>
          </cell>
          <cell r="AO33">
            <v>5</v>
          </cell>
          <cell r="AP33">
            <v>5495</v>
          </cell>
          <cell r="AQ33">
            <v>2.8484490337563242E-2</v>
          </cell>
          <cell r="AR33">
            <v>3</v>
          </cell>
          <cell r="AS33">
            <v>11082</v>
          </cell>
          <cell r="AT33">
            <v>5.7445882060213983E-2</v>
          </cell>
          <cell r="AU33">
            <v>14</v>
          </cell>
          <cell r="AV33">
            <v>18722</v>
          </cell>
          <cell r="AW33">
            <v>9.7049431865306457E-2</v>
          </cell>
          <cell r="AX33">
            <v>45</v>
          </cell>
          <cell r="AY33">
            <v>0.55555555555555558</v>
          </cell>
          <cell r="AZ33">
            <v>100</v>
          </cell>
          <cell r="BA33">
            <v>50</v>
          </cell>
          <cell r="BB33">
            <v>0</v>
          </cell>
          <cell r="BC33">
            <v>0</v>
          </cell>
        </row>
        <row r="34">
          <cell r="C34">
            <v>46285</v>
          </cell>
          <cell r="D34">
            <v>169731.0850420123</v>
          </cell>
          <cell r="E34">
            <v>239136</v>
          </cell>
          <cell r="F34"/>
          <cell r="G34">
            <v>0</v>
          </cell>
          <cell r="H34">
            <v>122958</v>
          </cell>
          <cell r="I34">
            <v>1.4089110426696936</v>
          </cell>
          <cell r="J34">
            <v>0.94485922022153912</v>
          </cell>
          <cell r="K34">
            <v>2036773.0205041477</v>
          </cell>
          <cell r="L34">
            <v>1950488</v>
          </cell>
          <cell r="M34">
            <v>1825163</v>
          </cell>
          <cell r="N34">
            <v>0.95763640835993091</v>
          </cell>
          <cell r="O34">
            <v>6.8665100048598493E-2</v>
          </cell>
          <cell r="P34"/>
          <cell r="Q34">
            <v>221</v>
          </cell>
          <cell r="R34">
            <v>84</v>
          </cell>
          <cell r="S34">
            <v>538</v>
          </cell>
          <cell r="T34">
            <v>11</v>
          </cell>
          <cell r="U34">
            <v>1</v>
          </cell>
          <cell r="V34">
            <v>17</v>
          </cell>
          <cell r="W34">
            <v>0</v>
          </cell>
          <cell r="X34">
            <v>6</v>
          </cell>
          <cell r="Y34">
            <v>1082.0633484162895</v>
          </cell>
          <cell r="Z34">
            <v>2846.8571428571427</v>
          </cell>
          <cell r="AA34">
            <v>2.6309523809523809</v>
          </cell>
          <cell r="AB34">
            <v>0.15613382899628253</v>
          </cell>
          <cell r="AC34">
            <v>0.13095238095238096</v>
          </cell>
          <cell r="AD34">
            <v>1.1904761904761904E-2</v>
          </cell>
          <cell r="AE34">
            <v>0</v>
          </cell>
          <cell r="AF34">
            <v>0.20238095238095238</v>
          </cell>
          <cell r="AG34">
            <v>7.1428571428571425E-2</v>
          </cell>
          <cell r="AH34">
            <v>1440</v>
          </cell>
          <cell r="AI34">
            <v>6.0216780409474103E-3</v>
          </cell>
          <cell r="AJ34">
            <v>1266</v>
          </cell>
          <cell r="AK34">
            <v>5.2940586109995989E-3</v>
          </cell>
          <cell r="AL34">
            <v>5</v>
          </cell>
          <cell r="AM34">
            <v>5195</v>
          </cell>
          <cell r="AN34">
            <v>2.1724039876890137E-2</v>
          </cell>
          <cell r="AO34">
            <v>5</v>
          </cell>
          <cell r="AP34">
            <v>8357</v>
          </cell>
          <cell r="AQ34">
            <v>3.4946641241803827E-2</v>
          </cell>
          <cell r="AR34">
            <v>6</v>
          </cell>
          <cell r="AS34">
            <v>13464</v>
          </cell>
          <cell r="AT34">
            <v>5.6302689682858287E-2</v>
          </cell>
          <cell r="AU34">
            <v>20</v>
          </cell>
          <cell r="AV34">
            <v>26548</v>
          </cell>
          <cell r="AW34">
            <v>0.11101632543824434</v>
          </cell>
          <cell r="AX34">
            <v>48</v>
          </cell>
          <cell r="AY34">
            <v>0.5714285714285714</v>
          </cell>
          <cell r="AZ34">
            <v>100</v>
          </cell>
          <cell r="BA34">
            <v>50</v>
          </cell>
          <cell r="BB34">
            <v>0</v>
          </cell>
          <cell r="BC34">
            <v>0</v>
          </cell>
        </row>
        <row r="35">
          <cell r="C35"/>
          <cell r="D35">
            <v>752581.22612967715</v>
          </cell>
          <cell r="E35">
            <v>748455</v>
          </cell>
          <cell r="F35">
            <v>0</v>
          </cell>
          <cell r="G35">
            <v>0</v>
          </cell>
          <cell r="H35">
            <v>599489</v>
          </cell>
          <cell r="I35">
            <v>0.99451723483603593</v>
          </cell>
          <cell r="J35">
            <v>0.24848829586531185</v>
          </cell>
          <cell r="K35"/>
          <cell r="L35"/>
          <cell r="M35"/>
          <cell r="N35"/>
          <cell r="O35"/>
          <cell r="P35"/>
          <cell r="Q35">
            <v>704</v>
          </cell>
          <cell r="R35">
            <v>293</v>
          </cell>
          <cell r="S35">
            <v>1913</v>
          </cell>
          <cell r="T35">
            <v>34</v>
          </cell>
          <cell r="U35">
            <v>2</v>
          </cell>
          <cell r="V35">
            <v>49</v>
          </cell>
          <cell r="W35">
            <v>1</v>
          </cell>
          <cell r="X35">
            <v>13</v>
          </cell>
          <cell r="Y35">
            <v>1063.1463068181818</v>
          </cell>
          <cell r="Z35">
            <v>2554.4539249146756</v>
          </cell>
          <cell r="AA35">
            <v>2.4027303754266214</v>
          </cell>
          <cell r="AB35">
            <v>0.15316257187663357</v>
          </cell>
          <cell r="AC35">
            <v>0.11604095563139932</v>
          </cell>
          <cell r="AD35">
            <v>6.8259385665529011E-3</v>
          </cell>
          <cell r="AE35">
            <v>3.4129692832764505E-3</v>
          </cell>
          <cell r="AF35">
            <v>0.16723549488054607</v>
          </cell>
          <cell r="AG35">
            <v>4.4368600682593858E-2</v>
          </cell>
          <cell r="AH35">
            <v>2539</v>
          </cell>
          <cell r="AI35">
            <v>3.392321515655584E-3</v>
          </cell>
          <cell r="AJ35">
            <v>3896</v>
          </cell>
          <cell r="AK35">
            <v>4.6691914941105944E-2</v>
          </cell>
          <cell r="AL35">
            <v>10</v>
          </cell>
          <cell r="AM35">
            <v>16115</v>
          </cell>
          <cell r="AN35">
            <v>2.1531020569038887E-2</v>
          </cell>
          <cell r="AO35">
            <v>20</v>
          </cell>
          <cell r="AP35">
            <v>37790</v>
          </cell>
          <cell r="AQ35">
            <v>5.0490677462238877E-2</v>
          </cell>
          <cell r="AR35">
            <v>13</v>
          </cell>
          <cell r="AS35">
            <v>33651</v>
          </cell>
          <cell r="AT35">
            <v>4.4960618874882258E-2</v>
          </cell>
          <cell r="AU35">
            <v>59</v>
          </cell>
          <cell r="AV35">
            <v>87342</v>
          </cell>
          <cell r="AW35">
            <v>0.11669639457282001</v>
          </cell>
          <cell r="AX35">
            <v>172</v>
          </cell>
          <cell r="AY35">
            <v>4.1912698412698406</v>
          </cell>
          <cell r="AZ35">
            <v>700</v>
          </cell>
          <cell r="BA35">
            <v>360</v>
          </cell>
          <cell r="BB35">
            <v>2</v>
          </cell>
          <cell r="BC35">
            <v>2196</v>
          </cell>
        </row>
        <row r="36">
          <cell r="C36">
            <v>46286</v>
          </cell>
          <cell r="D36">
            <v>73656.885961627981</v>
          </cell>
          <cell r="E36">
            <v>61212</v>
          </cell>
          <cell r="F36"/>
          <cell r="G36">
            <v>0</v>
          </cell>
          <cell r="H36">
            <v>151580</v>
          </cell>
          <cell r="I36">
            <v>0.83104246399839354</v>
          </cell>
          <cell r="J36">
            <v>-0.59617363768307163</v>
          </cell>
          <cell r="K36">
            <v>2110429.9064657758</v>
          </cell>
          <cell r="L36">
            <v>2011700</v>
          </cell>
          <cell r="M36">
            <v>1976743</v>
          </cell>
          <cell r="N36">
            <v>0.95321810681165264</v>
          </cell>
          <cell r="O36">
            <v>1.7684140022248718E-2</v>
          </cell>
          <cell r="P36"/>
          <cell r="Q36">
            <v>54</v>
          </cell>
          <cell r="R36">
            <v>30</v>
          </cell>
          <cell r="S36">
            <v>216</v>
          </cell>
          <cell r="T36">
            <v>4</v>
          </cell>
          <cell r="U36">
            <v>0</v>
          </cell>
          <cell r="V36">
            <v>1</v>
          </cell>
          <cell r="W36">
            <v>0</v>
          </cell>
          <cell r="X36">
            <v>0</v>
          </cell>
          <cell r="Y36">
            <v>1133.5555555555557</v>
          </cell>
          <cell r="Z36">
            <v>2040.4</v>
          </cell>
          <cell r="AA36">
            <v>1.8</v>
          </cell>
          <cell r="AB36">
            <v>0.1388888888888889</v>
          </cell>
          <cell r="AC36">
            <v>0.13333333333333333</v>
          </cell>
          <cell r="AD36">
            <v>0</v>
          </cell>
          <cell r="AE36">
            <v>0</v>
          </cell>
          <cell r="AF36">
            <v>3.3333333333333333E-2</v>
          </cell>
          <cell r="AG36">
            <v>0</v>
          </cell>
          <cell r="AH36">
            <v>0</v>
          </cell>
          <cell r="AI36">
            <v>0</v>
          </cell>
          <cell r="AJ36">
            <v>440</v>
          </cell>
          <cell r="AK36">
            <v>7.1881330458080112E-3</v>
          </cell>
          <cell r="AL36">
            <v>1</v>
          </cell>
          <cell r="AM36">
            <v>1099</v>
          </cell>
          <cell r="AN36">
            <v>1.7953995948506829E-2</v>
          </cell>
          <cell r="AO36">
            <v>1</v>
          </cell>
          <cell r="AP36">
            <v>999</v>
          </cell>
          <cell r="AQ36">
            <v>1.6320329347186826E-2</v>
          </cell>
          <cell r="AR36">
            <v>0</v>
          </cell>
          <cell r="AS36">
            <v>0</v>
          </cell>
          <cell r="AT36">
            <v>0</v>
          </cell>
          <cell r="AU36">
            <v>3</v>
          </cell>
          <cell r="AV36">
            <v>1947</v>
          </cell>
          <cell r="AW36">
            <v>3.180748872770045E-2</v>
          </cell>
          <cell r="AX36">
            <v>14</v>
          </cell>
          <cell r="AY36">
            <v>0.46666666666666667</v>
          </cell>
          <cell r="AZ36">
            <v>100</v>
          </cell>
          <cell r="BA36">
            <v>50</v>
          </cell>
          <cell r="BB36">
            <v>0</v>
          </cell>
          <cell r="BC36">
            <v>0</v>
          </cell>
        </row>
        <row r="37">
          <cell r="C37">
            <v>46287</v>
          </cell>
          <cell r="D37">
            <v>76859.359264307466</v>
          </cell>
          <cell r="E37">
            <v>110446</v>
          </cell>
          <cell r="F37"/>
          <cell r="G37">
            <v>0</v>
          </cell>
          <cell r="H37">
            <v>64149</v>
          </cell>
          <cell r="I37">
            <v>1.4369882998919268</v>
          </cell>
          <cell r="J37">
            <v>0.72171039299131712</v>
          </cell>
          <cell r="K37">
            <v>2187289.2657300835</v>
          </cell>
          <cell r="L37">
            <v>2122146</v>
          </cell>
          <cell r="M37">
            <v>2040892</v>
          </cell>
          <cell r="N37">
            <v>0.9702173522493196</v>
          </cell>
          <cell r="O37">
            <v>3.9812983734563101E-2</v>
          </cell>
          <cell r="P37"/>
          <cell r="Q37">
            <v>102</v>
          </cell>
          <cell r="R37">
            <v>42</v>
          </cell>
          <cell r="S37">
            <v>281</v>
          </cell>
          <cell r="T37">
            <v>16</v>
          </cell>
          <cell r="U37">
            <v>1</v>
          </cell>
          <cell r="V37">
            <v>2</v>
          </cell>
          <cell r="W37">
            <v>0</v>
          </cell>
          <cell r="X37">
            <v>0</v>
          </cell>
          <cell r="Y37">
            <v>1082.8039215686274</v>
          </cell>
          <cell r="Z37">
            <v>2629.6666666666665</v>
          </cell>
          <cell r="AA37">
            <v>2.4285714285714284</v>
          </cell>
          <cell r="AB37">
            <v>0.1494661921708185</v>
          </cell>
          <cell r="AC37">
            <v>0.38095238095238093</v>
          </cell>
          <cell r="AD37">
            <v>2.3809523809523808E-2</v>
          </cell>
          <cell r="AE37">
            <v>0</v>
          </cell>
          <cell r="AF37">
            <v>4.7619047619047616E-2</v>
          </cell>
          <cell r="AG37">
            <v>0</v>
          </cell>
          <cell r="AH37">
            <v>1499</v>
          </cell>
          <cell r="AI37">
            <v>1.3572243449287435E-2</v>
          </cell>
          <cell r="AJ37">
            <v>1880</v>
          </cell>
          <cell r="AK37">
            <v>1.7021893051808124E-2</v>
          </cell>
          <cell r="AL37">
            <v>2</v>
          </cell>
          <cell r="AM37">
            <v>2398</v>
          </cell>
          <cell r="AN37">
            <v>2.1711967839487169E-2</v>
          </cell>
          <cell r="AO37">
            <v>2</v>
          </cell>
          <cell r="AP37">
            <v>5208</v>
          </cell>
          <cell r="AQ37">
            <v>4.7154265432881225E-2</v>
          </cell>
          <cell r="AR37">
            <v>0</v>
          </cell>
          <cell r="AS37">
            <v>0</v>
          </cell>
          <cell r="AT37">
            <v>0</v>
          </cell>
          <cell r="AU37">
            <v>7</v>
          </cell>
          <cell r="AV37">
            <v>11789</v>
          </cell>
          <cell r="AW37">
            <v>0.10673994531264147</v>
          </cell>
          <cell r="AX37">
            <v>26</v>
          </cell>
          <cell r="AY37">
            <v>0.61904761904761907</v>
          </cell>
          <cell r="AZ37">
            <v>100</v>
          </cell>
          <cell r="BA37">
            <v>0</v>
          </cell>
          <cell r="BB37">
            <v>0</v>
          </cell>
          <cell r="BC37">
            <v>0</v>
          </cell>
        </row>
        <row r="38">
          <cell r="C38">
            <v>46288</v>
          </cell>
          <cell r="D38">
            <v>76859.359264307466</v>
          </cell>
          <cell r="E38">
            <v>74250</v>
          </cell>
          <cell r="F38"/>
          <cell r="G38">
            <v>0</v>
          </cell>
          <cell r="H38">
            <v>155133</v>
          </cell>
          <cell r="I38">
            <v>0.96605020794755414</v>
          </cell>
          <cell r="J38">
            <v>-0.52137843012125074</v>
          </cell>
          <cell r="K38">
            <v>2264148.6249943911</v>
          </cell>
          <cell r="L38">
            <v>2196396</v>
          </cell>
          <cell r="M38">
            <v>2196025</v>
          </cell>
          <cell r="N38">
            <v>0.97007589331969801</v>
          </cell>
          <cell r="O38">
            <v>1.6894161040981182E-4</v>
          </cell>
          <cell r="P38"/>
          <cell r="Q38">
            <v>69</v>
          </cell>
          <cell r="R38">
            <v>39</v>
          </cell>
          <cell r="S38">
            <v>214</v>
          </cell>
          <cell r="T38">
            <v>1</v>
          </cell>
          <cell r="U38">
            <v>0</v>
          </cell>
          <cell r="V38">
            <v>5</v>
          </cell>
          <cell r="W38">
            <v>0</v>
          </cell>
          <cell r="X38">
            <v>2</v>
          </cell>
          <cell r="Y38">
            <v>1076.0869565217392</v>
          </cell>
          <cell r="Z38">
            <v>1903.8461538461538</v>
          </cell>
          <cell r="AA38">
            <v>1.7692307692307692</v>
          </cell>
          <cell r="AB38">
            <v>0.1822429906542056</v>
          </cell>
          <cell r="AC38">
            <v>2.564102564102564E-2</v>
          </cell>
          <cell r="AD38">
            <v>0</v>
          </cell>
          <cell r="AE38">
            <v>0</v>
          </cell>
          <cell r="AF38">
            <v>0.12820512820512819</v>
          </cell>
          <cell r="AG38">
            <v>5.128205128205128E-2</v>
          </cell>
          <cell r="AH38">
            <v>0</v>
          </cell>
          <cell r="AI38">
            <v>0</v>
          </cell>
          <cell r="AJ38">
            <v>120</v>
          </cell>
          <cell r="AK38">
            <v>1.6161616161616162E-3</v>
          </cell>
          <cell r="AL38">
            <v>0</v>
          </cell>
          <cell r="AM38">
            <v>0</v>
          </cell>
          <cell r="AN38">
            <v>0</v>
          </cell>
          <cell r="AO38">
            <v>4</v>
          </cell>
          <cell r="AP38">
            <v>11468</v>
          </cell>
          <cell r="AQ38">
            <v>0.15445117845117845</v>
          </cell>
          <cell r="AR38">
            <v>1</v>
          </cell>
          <cell r="AS38">
            <v>5099</v>
          </cell>
          <cell r="AT38">
            <v>6.8673400673400678E-2</v>
          </cell>
          <cell r="AU38">
            <v>9</v>
          </cell>
          <cell r="AV38">
            <v>15178</v>
          </cell>
          <cell r="AW38">
            <v>0.20441750841750841</v>
          </cell>
          <cell r="AX38">
            <v>20</v>
          </cell>
          <cell r="AY38">
            <v>0.51282051282051277</v>
          </cell>
          <cell r="AZ38">
            <v>100</v>
          </cell>
          <cell r="BA38">
            <v>0</v>
          </cell>
          <cell r="BB38">
            <v>0</v>
          </cell>
          <cell r="BC38">
            <v>0</v>
          </cell>
        </row>
        <row r="39">
          <cell r="C39">
            <v>46289</v>
          </cell>
          <cell r="D39">
            <v>89669.25247502538</v>
          </cell>
          <cell r="E39">
            <v>111052</v>
          </cell>
          <cell r="F39"/>
          <cell r="G39">
            <v>0</v>
          </cell>
          <cell r="H39">
            <v>68405</v>
          </cell>
          <cell r="I39">
            <v>1.2384624264703237</v>
          </cell>
          <cell r="J39">
            <v>0.62344857832029832</v>
          </cell>
          <cell r="K39">
            <v>2353817.8774694167</v>
          </cell>
          <cell r="L39">
            <v>2307448</v>
          </cell>
          <cell r="M39">
            <v>2264430</v>
          </cell>
          <cell r="N39">
            <v>0.98030014220162653</v>
          </cell>
          <cell r="O39">
            <v>1.8997275252491841E-2</v>
          </cell>
          <cell r="P39"/>
          <cell r="Q39">
            <v>127</v>
          </cell>
          <cell r="R39">
            <v>60</v>
          </cell>
          <cell r="S39">
            <v>287</v>
          </cell>
          <cell r="T39">
            <v>7</v>
          </cell>
          <cell r="U39">
            <v>0</v>
          </cell>
          <cell r="V39">
            <v>5</v>
          </cell>
          <cell r="W39">
            <v>0</v>
          </cell>
          <cell r="X39">
            <v>5</v>
          </cell>
          <cell r="Y39">
            <v>874.42519685039372</v>
          </cell>
          <cell r="Z39">
            <v>1850.8666666666666</v>
          </cell>
          <cell r="AA39">
            <v>2.1166666666666667</v>
          </cell>
          <cell r="AB39">
            <v>0.20905923344947736</v>
          </cell>
          <cell r="AC39">
            <v>0.11666666666666667</v>
          </cell>
          <cell r="AD39">
            <v>0</v>
          </cell>
          <cell r="AE39">
            <v>0</v>
          </cell>
          <cell r="AF39">
            <v>8.3333333333333329E-2</v>
          </cell>
          <cell r="AG39">
            <v>8.3333333333333329E-2</v>
          </cell>
          <cell r="AH39">
            <v>0</v>
          </cell>
          <cell r="AI39">
            <v>0</v>
          </cell>
          <cell r="AJ39">
            <v>698</v>
          </cell>
          <cell r="AK39">
            <v>6.2853438029031447E-3</v>
          </cell>
          <cell r="AL39">
            <v>3</v>
          </cell>
          <cell r="AM39">
            <v>4623</v>
          </cell>
          <cell r="AN39">
            <v>4.1629146706047615E-2</v>
          </cell>
          <cell r="AO39">
            <v>2</v>
          </cell>
          <cell r="AP39">
            <v>4139</v>
          </cell>
          <cell r="AQ39">
            <v>3.7270828080538845E-2</v>
          </cell>
          <cell r="AR39">
            <v>5</v>
          </cell>
          <cell r="AS39">
            <v>10936</v>
          </cell>
          <cell r="AT39">
            <v>9.8476389439181647E-2</v>
          </cell>
          <cell r="AU39">
            <v>8</v>
          </cell>
          <cell r="AV39">
            <v>13930</v>
          </cell>
          <cell r="AW39">
            <v>0.12543673234160574</v>
          </cell>
          <cell r="AX39">
            <v>30</v>
          </cell>
          <cell r="AY39">
            <v>0.5</v>
          </cell>
          <cell r="AZ39">
            <v>100</v>
          </cell>
          <cell r="BA39">
            <v>50</v>
          </cell>
          <cell r="BB39">
            <v>0</v>
          </cell>
          <cell r="BC39">
            <v>0</v>
          </cell>
        </row>
        <row r="40">
          <cell r="C40">
            <v>46290</v>
          </cell>
          <cell r="D40">
            <v>96074.199080384322</v>
          </cell>
          <cell r="E40">
            <v>96738</v>
          </cell>
          <cell r="F40"/>
          <cell r="G40">
            <v>0</v>
          </cell>
          <cell r="H40">
            <v>89900</v>
          </cell>
          <cell r="I40">
            <v>1.0069092527022816</v>
          </cell>
          <cell r="J40">
            <v>7.6062291434927598E-2</v>
          </cell>
          <cell r="K40">
            <v>2449892.076549801</v>
          </cell>
          <cell r="L40">
            <v>2404186</v>
          </cell>
          <cell r="M40">
            <v>2354330</v>
          </cell>
          <cell r="N40">
            <v>0.98134363673106395</v>
          </cell>
          <cell r="O40">
            <v>2.1176300688518612E-2</v>
          </cell>
          <cell r="P40"/>
          <cell r="Q40">
            <v>100</v>
          </cell>
          <cell r="R40">
            <v>48</v>
          </cell>
          <cell r="S40">
            <v>265</v>
          </cell>
          <cell r="T40">
            <v>11</v>
          </cell>
          <cell r="U40">
            <v>0</v>
          </cell>
          <cell r="V40">
            <v>5</v>
          </cell>
          <cell r="W40">
            <v>0</v>
          </cell>
          <cell r="X40">
            <v>0</v>
          </cell>
          <cell r="Y40">
            <v>967.38</v>
          </cell>
          <cell r="Z40">
            <v>2015.375</v>
          </cell>
          <cell r="AA40">
            <v>2.0833333333333335</v>
          </cell>
          <cell r="AB40">
            <v>0.1811320754716981</v>
          </cell>
          <cell r="AC40">
            <v>0.22916666666666666</v>
          </cell>
          <cell r="AD40">
            <v>0</v>
          </cell>
          <cell r="AE40">
            <v>0</v>
          </cell>
          <cell r="AF40">
            <v>0.10416666666666667</v>
          </cell>
          <cell r="AG40">
            <v>0</v>
          </cell>
          <cell r="AH40">
            <v>0</v>
          </cell>
          <cell r="AI40">
            <v>0</v>
          </cell>
          <cell r="AJ40">
            <v>1142</v>
          </cell>
          <cell r="AK40">
            <v>1.1805081767247618E-2</v>
          </cell>
          <cell r="AL40">
            <v>2</v>
          </cell>
          <cell r="AM40">
            <v>1860</v>
          </cell>
          <cell r="AN40">
            <v>1.9227190969422565E-2</v>
          </cell>
          <cell r="AO40">
            <v>4</v>
          </cell>
          <cell r="AP40">
            <v>5309</v>
          </cell>
          <cell r="AQ40">
            <v>5.4880191858421717E-2</v>
          </cell>
          <cell r="AR40">
            <v>1</v>
          </cell>
          <cell r="AS40">
            <v>1799</v>
          </cell>
          <cell r="AT40">
            <v>1.859662180322107E-2</v>
          </cell>
          <cell r="AU40">
            <v>7</v>
          </cell>
          <cell r="AV40">
            <v>8581</v>
          </cell>
          <cell r="AW40">
            <v>8.8703508445491949E-2</v>
          </cell>
          <cell r="AX40">
            <v>31</v>
          </cell>
          <cell r="AY40">
            <v>0.64583333333333337</v>
          </cell>
          <cell r="AZ40">
            <v>100</v>
          </cell>
          <cell r="BA40">
            <v>50</v>
          </cell>
          <cell r="BB40">
            <v>0</v>
          </cell>
          <cell r="BC40">
            <v>0</v>
          </cell>
        </row>
        <row r="41">
          <cell r="C41">
            <v>46291</v>
          </cell>
          <cell r="D41">
            <v>176136.03164737127</v>
          </cell>
          <cell r="E41"/>
          <cell r="F41"/>
          <cell r="G41" t="str">
            <v/>
          </cell>
          <cell r="H41">
            <v>71229</v>
          </cell>
          <cell r="I41">
            <v>0</v>
          </cell>
          <cell r="J41">
            <v>-1</v>
          </cell>
          <cell r="K41">
            <v>2626028.1081971722</v>
          </cell>
          <cell r="L41">
            <v>2404186</v>
          </cell>
          <cell r="M41">
            <v>2425559</v>
          </cell>
          <cell r="N41">
            <v>0.91552180743812683</v>
          </cell>
          <cell r="O41">
            <v>-8.8115770426528961E-3</v>
          </cell>
          <cell r="P41"/>
          <cell r="Q41"/>
          <cell r="R41"/>
          <cell r="S41"/>
          <cell r="T41"/>
          <cell r="U41"/>
          <cell r="V41"/>
          <cell r="W41"/>
          <cell r="X41"/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e">
            <v>#DIV/0!</v>
          </cell>
          <cell r="AG41" t="e">
            <v>#DIV/0!</v>
          </cell>
          <cell r="AH41"/>
          <cell r="AI41" t="e">
            <v>#DIV/0!</v>
          </cell>
          <cell r="AJ41"/>
          <cell r="AK41">
            <v>0.03</v>
          </cell>
          <cell r="AL41"/>
          <cell r="AM41"/>
          <cell r="AN41" t="e">
            <v>#DIV/0!</v>
          </cell>
          <cell r="AO41"/>
          <cell r="AP41"/>
          <cell r="AQ41" t="e">
            <v>#DIV/0!</v>
          </cell>
          <cell r="AR41"/>
          <cell r="AS41"/>
          <cell r="AT41" t="e">
            <v>#DIV/0!</v>
          </cell>
          <cell r="AU41"/>
          <cell r="AV41"/>
          <cell r="AW41" t="e">
            <v>#DIV/0!</v>
          </cell>
          <cell r="AX41"/>
          <cell r="AY41" t="e">
            <v>#DIV/0!</v>
          </cell>
          <cell r="AZ41"/>
          <cell r="BA41"/>
          <cell r="BB41"/>
          <cell r="BC41"/>
        </row>
        <row r="42">
          <cell r="C42">
            <v>46292</v>
          </cell>
          <cell r="D42">
            <v>176136.03164737127</v>
          </cell>
          <cell r="E42"/>
          <cell r="F42"/>
          <cell r="G42" t="str">
            <v/>
          </cell>
          <cell r="H42">
            <v>162085</v>
          </cell>
          <cell r="I42">
            <v>0</v>
          </cell>
          <cell r="J42">
            <v>-1</v>
          </cell>
          <cell r="K42">
            <v>2802164.1398445433</v>
          </cell>
          <cell r="L42">
            <v>2404186</v>
          </cell>
          <cell r="M42">
            <v>2587644</v>
          </cell>
          <cell r="N42">
            <v>0.85797472239915895</v>
          </cell>
          <cell r="O42">
            <v>-7.0897696901119356E-2</v>
          </cell>
          <cell r="P42"/>
          <cell r="Q42"/>
          <cell r="R42"/>
          <cell r="S42"/>
          <cell r="T42"/>
          <cell r="U42"/>
          <cell r="V42"/>
          <cell r="W42"/>
          <cell r="X42"/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e">
            <v>#DIV/0!</v>
          </cell>
          <cell r="AG42" t="e">
            <v>#DIV/0!</v>
          </cell>
          <cell r="AH42"/>
          <cell r="AI42" t="e">
            <v>#DIV/0!</v>
          </cell>
          <cell r="AJ42"/>
          <cell r="AK42" t="e">
            <v>#DIV/0!</v>
          </cell>
          <cell r="AL42"/>
          <cell r="AM42"/>
          <cell r="AN42" t="e">
            <v>#DIV/0!</v>
          </cell>
          <cell r="AO42"/>
          <cell r="AP42"/>
          <cell r="AQ42" t="e">
            <v>#DIV/0!</v>
          </cell>
          <cell r="AR42"/>
          <cell r="AS42"/>
          <cell r="AT42" t="e">
            <v>#DIV/0!</v>
          </cell>
          <cell r="AU42"/>
          <cell r="AV42"/>
          <cell r="AW42" t="e">
            <v>#DIV/0!</v>
          </cell>
          <cell r="AX42"/>
          <cell r="AY42" t="e">
            <v>#DIV/0!</v>
          </cell>
          <cell r="AZ42"/>
          <cell r="BA42"/>
          <cell r="BB42"/>
          <cell r="BC42"/>
        </row>
        <row r="43">
          <cell r="C43"/>
          <cell r="D43">
            <v>765391.11934039509</v>
          </cell>
          <cell r="E43">
            <v>453698</v>
          </cell>
          <cell r="F43">
            <v>0</v>
          </cell>
          <cell r="G43">
            <v>0</v>
          </cell>
          <cell r="H43">
            <v>762481</v>
          </cell>
          <cell r="I43">
            <v>0.59276621917300465</v>
          </cell>
          <cell r="J43">
            <v>-0.40497140256609676</v>
          </cell>
          <cell r="K43"/>
          <cell r="L43"/>
          <cell r="M43"/>
          <cell r="N43" t="str">
            <v/>
          </cell>
          <cell r="O43"/>
          <cell r="P43"/>
          <cell r="Q43">
            <v>452</v>
          </cell>
          <cell r="R43">
            <v>219</v>
          </cell>
          <cell r="S43">
            <v>1263</v>
          </cell>
          <cell r="T43">
            <v>39</v>
          </cell>
          <cell r="U43">
            <v>1</v>
          </cell>
          <cell r="V43">
            <v>18</v>
          </cell>
          <cell r="W43">
            <v>0</v>
          </cell>
          <cell r="X43">
            <v>7</v>
          </cell>
          <cell r="Y43">
            <v>1003.7566371681415</v>
          </cell>
          <cell r="Z43">
            <v>2071.6803652968038</v>
          </cell>
          <cell r="AA43">
            <v>2.0639269406392695</v>
          </cell>
          <cell r="AB43">
            <v>0.17339667458432304</v>
          </cell>
          <cell r="AC43">
            <v>0.17808219178082191</v>
          </cell>
          <cell r="AD43">
            <v>4.5662100456621002E-3</v>
          </cell>
          <cell r="AE43">
            <v>0</v>
          </cell>
          <cell r="AF43">
            <v>8.2191780821917804E-2</v>
          </cell>
          <cell r="AG43">
            <v>3.1963470319634701E-2</v>
          </cell>
          <cell r="AH43">
            <v>1499</v>
          </cell>
          <cell r="AI43">
            <v>3.3039599028428603E-3</v>
          </cell>
          <cell r="AJ43">
            <v>4280</v>
          </cell>
          <cell r="AK43" t="e">
            <v>#DIV/0!</v>
          </cell>
          <cell r="AL43">
            <v>8</v>
          </cell>
          <cell r="AM43">
            <v>9980</v>
          </cell>
          <cell r="AN43">
            <v>2.1997011227732986E-2</v>
          </cell>
          <cell r="AO43">
            <v>13</v>
          </cell>
          <cell r="AP43">
            <v>27123</v>
          </cell>
          <cell r="AQ43">
            <v>5.9782057668316811E-2</v>
          </cell>
          <cell r="AR43">
            <v>7</v>
          </cell>
          <cell r="AS43">
            <v>17834</v>
          </cell>
          <cell r="AT43">
            <v>3.9308085995530068E-2</v>
          </cell>
          <cell r="AU43">
            <v>34</v>
          </cell>
          <cell r="AV43">
            <v>51425</v>
          </cell>
          <cell r="AW43">
            <v>0.11334632288438565</v>
          </cell>
          <cell r="AX43">
            <v>121</v>
          </cell>
          <cell r="AY43" t="e">
            <v>#DIV/0!</v>
          </cell>
          <cell r="AZ43">
            <v>500</v>
          </cell>
          <cell r="BA43">
            <v>150</v>
          </cell>
          <cell r="BB43">
            <v>0</v>
          </cell>
          <cell r="BC43">
            <v>0</v>
          </cell>
        </row>
        <row r="44">
          <cell r="C44">
            <v>46293</v>
          </cell>
          <cell r="D44">
            <v>73656.885961627981</v>
          </cell>
          <cell r="E44"/>
          <cell r="F44"/>
          <cell r="G44" t="str">
            <v/>
          </cell>
          <cell r="H44">
            <v>136774</v>
          </cell>
          <cell r="I44">
            <v>0</v>
          </cell>
          <cell r="J44">
            <v>-1</v>
          </cell>
          <cell r="K44">
            <v>2875821.0258061714</v>
          </cell>
          <cell r="L44">
            <v>2404186</v>
          </cell>
          <cell r="M44">
            <v>2724418</v>
          </cell>
          <cell r="N44">
            <v>0.83599986870742093</v>
          </cell>
          <cell r="O44">
            <v>-0.11754143453757826</v>
          </cell>
          <cell r="P44"/>
          <cell r="Q44"/>
          <cell r="R44"/>
          <cell r="S44"/>
          <cell r="T44"/>
          <cell r="U44"/>
          <cell r="V44"/>
          <cell r="W44"/>
          <cell r="X44"/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e">
            <v>#DIV/0!</v>
          </cell>
          <cell r="AG44" t="e">
            <v>#DIV/0!</v>
          </cell>
          <cell r="AH44"/>
          <cell r="AI44" t="e">
            <v>#DIV/0!</v>
          </cell>
          <cell r="AJ44"/>
          <cell r="AK44" t="e">
            <v>#DIV/0!</v>
          </cell>
          <cell r="AL44"/>
          <cell r="AM44"/>
          <cell r="AN44" t="e">
            <v>#DIV/0!</v>
          </cell>
          <cell r="AO44"/>
          <cell r="AP44"/>
          <cell r="AQ44" t="e">
            <v>#DIV/0!</v>
          </cell>
          <cell r="AR44"/>
          <cell r="AS44"/>
          <cell r="AT44" t="e">
            <v>#DIV/0!</v>
          </cell>
          <cell r="AU44"/>
          <cell r="AV44"/>
          <cell r="AW44" t="e">
            <v>#DIV/0!</v>
          </cell>
          <cell r="AX44"/>
          <cell r="AY44" t="e">
            <v>#DIV/0!</v>
          </cell>
          <cell r="AZ44"/>
          <cell r="BA44"/>
          <cell r="BB44"/>
          <cell r="BC44"/>
        </row>
        <row r="45">
          <cell r="C45">
            <v>46294</v>
          </cell>
          <cell r="D45">
            <v>76859.359264307466</v>
          </cell>
          <cell r="E45"/>
          <cell r="F45"/>
          <cell r="G45" t="str">
            <v/>
          </cell>
          <cell r="H45">
            <v>40077</v>
          </cell>
          <cell r="I45">
            <v>0</v>
          </cell>
          <cell r="J45">
            <v>-1</v>
          </cell>
          <cell r="K45">
            <v>2952680.385070479</v>
          </cell>
          <cell r="L45">
            <v>2404186</v>
          </cell>
          <cell r="M45">
            <v>2764495</v>
          </cell>
          <cell r="N45">
            <v>0.81423848383868114</v>
          </cell>
          <cell r="O45">
            <v>-0.13033447338483162</v>
          </cell>
          <cell r="P45"/>
          <cell r="Q45"/>
          <cell r="R45"/>
          <cell r="S45"/>
          <cell r="T45"/>
          <cell r="U45"/>
          <cell r="V45"/>
          <cell r="W45"/>
          <cell r="X45"/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e">
            <v>#DIV/0!</v>
          </cell>
          <cell r="AG45" t="e">
            <v>#DIV/0!</v>
          </cell>
          <cell r="AH45"/>
          <cell r="AI45" t="e">
            <v>#DIV/0!</v>
          </cell>
          <cell r="AJ45"/>
          <cell r="AK45" t="e">
            <v>#DIV/0!</v>
          </cell>
          <cell r="AL45"/>
          <cell r="AM45"/>
          <cell r="AN45" t="e">
            <v>#DIV/0!</v>
          </cell>
          <cell r="AO45"/>
          <cell r="AP45"/>
          <cell r="AQ45" t="e">
            <v>#DIV/0!</v>
          </cell>
          <cell r="AR45"/>
          <cell r="AS45"/>
          <cell r="AT45" t="e">
            <v>#DIV/0!</v>
          </cell>
          <cell r="AU45"/>
          <cell r="AV45"/>
          <cell r="AW45" t="e">
            <v>#DIV/0!</v>
          </cell>
          <cell r="AX45"/>
          <cell r="AY45" t="e">
            <v>#DIV/0!</v>
          </cell>
          <cell r="AZ45"/>
          <cell r="BA45"/>
          <cell r="BB45"/>
          <cell r="BC45"/>
        </row>
        <row r="46">
          <cell r="C46">
            <v>46295</v>
          </cell>
          <cell r="D46">
            <v>76859.359264307466</v>
          </cell>
          <cell r="E46"/>
          <cell r="F46"/>
          <cell r="G46" t="str">
            <v/>
          </cell>
          <cell r="H46">
            <v>95890</v>
          </cell>
          <cell r="I46">
            <v>0</v>
          </cell>
          <cell r="J46">
            <v>-1</v>
          </cell>
          <cell r="K46">
            <v>3029539.7443347867</v>
          </cell>
          <cell r="L46">
            <v>2404186</v>
          </cell>
          <cell r="M46">
            <v>2860385</v>
          </cell>
          <cell r="N46">
            <v>0.79358127071803797</v>
          </cell>
          <cell r="O46">
            <v>-0.15948867023145485</v>
          </cell>
          <cell r="P46"/>
          <cell r="Q46"/>
          <cell r="R46"/>
          <cell r="S46"/>
          <cell r="T46"/>
          <cell r="U46"/>
          <cell r="V46"/>
          <cell r="W46"/>
          <cell r="X46"/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e">
            <v>#DIV/0!</v>
          </cell>
          <cell r="AG46" t="e">
            <v>#DIV/0!</v>
          </cell>
          <cell r="AH46"/>
          <cell r="AI46" t="e">
            <v>#DIV/0!</v>
          </cell>
          <cell r="AJ46"/>
          <cell r="AK46" t="e">
            <v>#DIV/0!</v>
          </cell>
          <cell r="AL46"/>
          <cell r="AM46"/>
          <cell r="AN46" t="e">
            <v>#DIV/0!</v>
          </cell>
          <cell r="AO46"/>
          <cell r="AP46"/>
          <cell r="AQ46" t="e">
            <v>#DIV/0!</v>
          </cell>
          <cell r="AR46"/>
          <cell r="AS46"/>
          <cell r="AT46" t="e">
            <v>#DIV/0!</v>
          </cell>
          <cell r="AU46"/>
          <cell r="AV46"/>
          <cell r="AW46" t="e">
            <v>#DIV/0!</v>
          </cell>
          <cell r="AX46"/>
          <cell r="AY46" t="e">
            <v>#DIV/0!</v>
          </cell>
          <cell r="AZ46"/>
          <cell r="BA46"/>
          <cell r="BB46"/>
          <cell r="BC46"/>
        </row>
        <row r="47">
          <cell r="C47">
            <v>46296</v>
          </cell>
          <cell r="D47"/>
          <cell r="E47"/>
          <cell r="F47"/>
          <cell r="G47" t="str">
            <v/>
          </cell>
          <cell r="H47"/>
          <cell r="I47" t="str">
            <v/>
          </cell>
          <cell r="J47" t="e">
            <v>#VALUE!</v>
          </cell>
          <cell r="K47">
            <v>3029539.7443347867</v>
          </cell>
          <cell r="L47">
            <v>2404186</v>
          </cell>
          <cell r="M47">
            <v>2860385</v>
          </cell>
          <cell r="N47">
            <v>0.79358127071803797</v>
          </cell>
          <cell r="O47">
            <v>-0.15948867023145485</v>
          </cell>
          <cell r="P47"/>
          <cell r="Q47"/>
          <cell r="R47"/>
          <cell r="S47"/>
          <cell r="T47"/>
          <cell r="U47"/>
          <cell r="V47"/>
          <cell r="W47"/>
          <cell r="X47"/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e">
            <v>#DIV/0!</v>
          </cell>
          <cell r="AG47">
            <v>0</v>
          </cell>
          <cell r="AH47"/>
          <cell r="AI47" t="e">
            <v>#DIV/0!</v>
          </cell>
          <cell r="AJ47"/>
          <cell r="AK47" t="e">
            <v>#DIV/0!</v>
          </cell>
          <cell r="AL47"/>
          <cell r="AM47"/>
          <cell r="AN47" t="e">
            <v>#DIV/0!</v>
          </cell>
          <cell r="AO47"/>
          <cell r="AP47"/>
          <cell r="AQ47" t="e">
            <v>#DIV/0!</v>
          </cell>
          <cell r="AR47"/>
          <cell r="AS47"/>
          <cell r="AT47" t="e">
            <v>#DIV/0!</v>
          </cell>
          <cell r="AU47"/>
          <cell r="AV47"/>
          <cell r="AW47" t="e">
            <v>#DIV/0!</v>
          </cell>
          <cell r="AX47"/>
          <cell r="AY47" t="e">
            <v>#DIV/0!</v>
          </cell>
          <cell r="AZ47"/>
          <cell r="BA47"/>
          <cell r="BB47"/>
          <cell r="BC47"/>
        </row>
        <row r="48">
          <cell r="C48">
            <v>46297</v>
          </cell>
          <cell r="D48"/>
          <cell r="E48"/>
          <cell r="F48"/>
          <cell r="G48" t="str">
            <v/>
          </cell>
          <cell r="H48"/>
          <cell r="I48" t="str">
            <v/>
          </cell>
          <cell r="J48" t="e">
            <v>#VALUE!</v>
          </cell>
          <cell r="K48">
            <v>3029539.7443347867</v>
          </cell>
          <cell r="L48">
            <v>2404186</v>
          </cell>
          <cell r="M48">
            <v>2860385</v>
          </cell>
          <cell r="N48">
            <v>0.79358127071803797</v>
          </cell>
          <cell r="O48">
            <v>-0.15948867023145485</v>
          </cell>
          <cell r="P48"/>
          <cell r="Q48"/>
          <cell r="R48"/>
          <cell r="S48"/>
          <cell r="T48"/>
          <cell r="U48"/>
          <cell r="V48"/>
          <cell r="W48"/>
          <cell r="X48"/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e">
            <v>#DIV/0!</v>
          </cell>
          <cell r="AG48" t="e">
            <v>#DIV/0!</v>
          </cell>
          <cell r="AH48"/>
          <cell r="AI48" t="e">
            <v>#DIV/0!</v>
          </cell>
          <cell r="AJ48"/>
          <cell r="AK48" t="e">
            <v>#DIV/0!</v>
          </cell>
          <cell r="AL48"/>
          <cell r="AM48"/>
          <cell r="AN48" t="e">
            <v>#DIV/0!</v>
          </cell>
          <cell r="AO48"/>
          <cell r="AP48"/>
          <cell r="AQ48" t="e">
            <v>#DIV/0!</v>
          </cell>
          <cell r="AR48"/>
          <cell r="AS48"/>
          <cell r="AT48" t="e">
            <v>#DIV/0!</v>
          </cell>
          <cell r="AU48"/>
          <cell r="AV48"/>
          <cell r="AW48" t="e">
            <v>#DIV/0!</v>
          </cell>
          <cell r="AX48"/>
          <cell r="AY48" t="e">
            <v>#DIV/0!</v>
          </cell>
          <cell r="AZ48"/>
          <cell r="BA48"/>
          <cell r="BB48"/>
          <cell r="BC48"/>
        </row>
        <row r="49">
          <cell r="C49">
            <v>46298</v>
          </cell>
          <cell r="D49"/>
          <cell r="E49"/>
          <cell r="F49"/>
          <cell r="G49" t="str">
            <v/>
          </cell>
          <cell r="H49"/>
          <cell r="I49" t="str">
            <v/>
          </cell>
          <cell r="J49" t="e">
            <v>#VALUE!</v>
          </cell>
          <cell r="K49">
            <v>3029539.7443347867</v>
          </cell>
          <cell r="L49">
            <v>2404186</v>
          </cell>
          <cell r="M49">
            <v>2860385</v>
          </cell>
          <cell r="N49">
            <v>0.79358127071803797</v>
          </cell>
          <cell r="O49">
            <v>0.84051132976854515</v>
          </cell>
          <cell r="P49"/>
          <cell r="Q49"/>
          <cell r="R49"/>
          <cell r="S49"/>
          <cell r="T49"/>
          <cell r="U49"/>
          <cell r="V49"/>
          <cell r="W49"/>
          <cell r="X49"/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e">
            <v>#DIV/0!</v>
          </cell>
          <cell r="AG49" t="e">
            <v>#DIV/0!</v>
          </cell>
          <cell r="AH49"/>
          <cell r="AI49" t="e">
            <v>#DIV/0!</v>
          </cell>
          <cell r="AJ49"/>
          <cell r="AK49" t="e">
            <v>#DIV/0!</v>
          </cell>
          <cell r="AL49"/>
          <cell r="AM49"/>
          <cell r="AN49" t="e">
            <v>#DIV/0!</v>
          </cell>
          <cell r="AO49"/>
          <cell r="AP49"/>
          <cell r="AQ49" t="e">
            <v>#DIV/0!</v>
          </cell>
          <cell r="AR49"/>
          <cell r="AS49"/>
          <cell r="AT49" t="e">
            <v>#DIV/0!</v>
          </cell>
          <cell r="AU49"/>
          <cell r="AV49"/>
          <cell r="AW49" t="e">
            <v>#DIV/0!</v>
          </cell>
          <cell r="AX49"/>
          <cell r="AY49" t="e">
            <v>#DIV/0!</v>
          </cell>
          <cell r="AZ49"/>
          <cell r="BA49"/>
          <cell r="BB49"/>
          <cell r="BC49"/>
        </row>
        <row r="50">
          <cell r="C50">
            <v>46299</v>
          </cell>
          <cell r="D50"/>
          <cell r="E50"/>
          <cell r="F50"/>
          <cell r="G50" t="str">
            <v/>
          </cell>
          <cell r="H50"/>
          <cell r="I50" t="str">
            <v/>
          </cell>
          <cell r="J50" t="e">
            <v>#VALUE!</v>
          </cell>
          <cell r="K50">
            <v>3029539.7443347867</v>
          </cell>
          <cell r="L50">
            <v>2404186</v>
          </cell>
          <cell r="M50">
            <v>2860385</v>
          </cell>
          <cell r="N50">
            <v>0.79358127071803797</v>
          </cell>
          <cell r="O50">
            <v>0.84051132976854515</v>
          </cell>
          <cell r="P50"/>
          <cell r="Q50"/>
          <cell r="R50"/>
          <cell r="S50"/>
          <cell r="T50"/>
          <cell r="U50"/>
          <cell r="V50"/>
          <cell r="W50"/>
          <cell r="X50"/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e">
            <v>#DIV/0!</v>
          </cell>
          <cell r="AG50" t="e">
            <v>#DIV/0!</v>
          </cell>
          <cell r="AH50"/>
          <cell r="AI50" t="e">
            <v>#DIV/0!</v>
          </cell>
          <cell r="AJ50"/>
          <cell r="AK50" t="e">
            <v>#DIV/0!</v>
          </cell>
          <cell r="AL50"/>
          <cell r="AM50"/>
          <cell r="AN50" t="e">
            <v>#DIV/0!</v>
          </cell>
          <cell r="AO50"/>
          <cell r="AP50"/>
          <cell r="AQ50" t="e">
            <v>#DIV/0!</v>
          </cell>
          <cell r="AR50"/>
          <cell r="AS50"/>
          <cell r="AT50" t="e">
            <v>#DIV/0!</v>
          </cell>
          <cell r="AU50"/>
          <cell r="AV50"/>
          <cell r="AW50" t="e">
            <v>#DIV/0!</v>
          </cell>
          <cell r="AX50"/>
          <cell r="AY50" t="e">
            <v>#DIV/0!</v>
          </cell>
          <cell r="AZ50"/>
          <cell r="BA50"/>
          <cell r="BB50"/>
          <cell r="BC50"/>
        </row>
        <row r="51">
          <cell r="C51"/>
          <cell r="D51">
            <v>227375.6044902429</v>
          </cell>
          <cell r="E51">
            <v>0</v>
          </cell>
          <cell r="F51">
            <v>0</v>
          </cell>
          <cell r="G51" t="str">
            <v/>
          </cell>
          <cell r="H51">
            <v>272741</v>
          </cell>
          <cell r="I51">
            <v>0</v>
          </cell>
          <cell r="J51">
            <v>-1</v>
          </cell>
          <cell r="K51"/>
          <cell r="L51"/>
          <cell r="M51"/>
          <cell r="N51" t="str">
            <v/>
          </cell>
          <cell r="O51" t="str">
            <v/>
          </cell>
          <cell r="P51"/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e">
            <v>#DIV/0!</v>
          </cell>
          <cell r="AG51" t="e">
            <v>#DIV/0!</v>
          </cell>
          <cell r="AH51">
            <v>0</v>
          </cell>
          <cell r="AI51" t="e">
            <v>#DIV/0!</v>
          </cell>
          <cell r="AJ51">
            <v>0</v>
          </cell>
          <cell r="AK51" t="e">
            <v>#DIV/0!</v>
          </cell>
          <cell r="AL51"/>
          <cell r="AM51">
            <v>0</v>
          </cell>
          <cell r="AN51" t="e">
            <v>#DIV/0!</v>
          </cell>
          <cell r="AO51"/>
          <cell r="AP51">
            <v>0</v>
          </cell>
          <cell r="AQ51"/>
          <cell r="AR51"/>
          <cell r="AS51">
            <v>0</v>
          </cell>
          <cell r="AT51" t="e">
            <v>#DIV/0!</v>
          </cell>
          <cell r="AU51"/>
          <cell r="AV51">
            <v>0</v>
          </cell>
          <cell r="AW51" t="e">
            <v>#DIV/0!</v>
          </cell>
          <cell r="AX51">
            <v>0</v>
          </cell>
          <cell r="AY51" t="e">
            <v>#DIV/0!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</row>
        <row r="52">
          <cell r="C52"/>
          <cell r="D52"/>
          <cell r="E52"/>
          <cell r="F52"/>
          <cell r="G52"/>
          <cell r="H52"/>
          <cell r="I52" t="str">
            <v/>
          </cell>
          <cell r="J52" t="e">
            <v>#VALUE!</v>
          </cell>
          <cell r="K52">
            <v>2802164.1398445433</v>
          </cell>
          <cell r="L52">
            <v>2404186</v>
          </cell>
          <cell r="M52">
            <v>2587644</v>
          </cell>
          <cell r="N52">
            <v>0.85797472239915895</v>
          </cell>
          <cell r="O52">
            <v>-7.0897696901119356E-2</v>
          </cell>
          <cell r="P52"/>
          <cell r="Q52"/>
          <cell r="R52"/>
          <cell r="S52"/>
          <cell r="T52"/>
          <cell r="U52"/>
          <cell r="V52"/>
          <cell r="W52"/>
          <cell r="X52"/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e">
            <v>#DIV/0!</v>
          </cell>
          <cell r="AG52" t="e">
            <v>#DIV/0!</v>
          </cell>
          <cell r="AH52"/>
          <cell r="AI52" t="e">
            <v>#DIV/0!</v>
          </cell>
          <cell r="AJ52"/>
          <cell r="AK52" t="e">
            <v>#DIV/0!</v>
          </cell>
          <cell r="AL52"/>
          <cell r="AM52"/>
          <cell r="AN52" t="e">
            <v>#DIV/0!</v>
          </cell>
          <cell r="AO52"/>
          <cell r="AP52"/>
          <cell r="AQ52" t="e">
            <v>#DIV/0!</v>
          </cell>
          <cell r="AR52"/>
          <cell r="AS52"/>
          <cell r="AT52" t="e">
            <v>#DIV/0!</v>
          </cell>
          <cell r="AU52"/>
          <cell r="AV52"/>
          <cell r="AW52" t="e">
            <v>#DIV/0!</v>
          </cell>
          <cell r="AX52"/>
          <cell r="AY52" t="e">
            <v>#DIV/0!</v>
          </cell>
          <cell r="AZ52"/>
          <cell r="BA52"/>
          <cell r="BB52"/>
          <cell r="BC52"/>
        </row>
        <row r="53">
          <cell r="C53"/>
          <cell r="D53">
            <v>0</v>
          </cell>
          <cell r="E53">
            <v>0</v>
          </cell>
          <cell r="F53">
            <v>0</v>
          </cell>
          <cell r="G53"/>
          <cell r="H53">
            <v>0</v>
          </cell>
          <cell r="I53"/>
          <cell r="J53"/>
          <cell r="K53"/>
          <cell r="L53"/>
          <cell r="M53"/>
          <cell r="N53"/>
          <cell r="O53"/>
          <cell r="P53"/>
          <cell r="Q53">
            <v>0</v>
          </cell>
        </row>
        <row r="54">
          <cell r="C54"/>
          <cell r="D54">
            <v>3029539.7443347853</v>
          </cell>
          <cell r="E54">
            <v>2404186</v>
          </cell>
          <cell r="F54">
            <v>0</v>
          </cell>
          <cell r="G54">
            <v>0</v>
          </cell>
          <cell r="H54">
            <v>2860385</v>
          </cell>
          <cell r="I54">
            <v>0.79358127071803841</v>
          </cell>
          <cell r="J54">
            <v>0.84051132976854515</v>
          </cell>
          <cell r="K54">
            <v>0</v>
          </cell>
          <cell r="L54"/>
          <cell r="M54"/>
          <cell r="N54"/>
          <cell r="O54"/>
          <cell r="P54"/>
          <cell r="Q54">
            <v>2292</v>
          </cell>
          <cell r="R54">
            <v>1021</v>
          </cell>
          <cell r="S54">
            <v>6418</v>
          </cell>
          <cell r="V54">
            <v>121</v>
          </cell>
          <cell r="W54">
            <v>1</v>
          </cell>
          <cell r="Y54">
            <v>1048.9467713787085</v>
          </cell>
          <cell r="Z54">
            <v>2354.7365328109695</v>
          </cell>
          <cell r="AA54">
            <v>2.2448579823702253</v>
          </cell>
          <cell r="AB54">
            <v>0.15908382673730134</v>
          </cell>
          <cell r="AC54">
            <v>0.12340842311459353</v>
          </cell>
          <cell r="AF54">
            <v>0.11851126346718903</v>
          </cell>
          <cell r="AG54">
            <v>2.0568070519098921E-2</v>
          </cell>
          <cell r="AI54">
            <v>6.5564810709321155E-3</v>
          </cell>
          <cell r="AM54">
            <v>102517</v>
          </cell>
          <cell r="AN54">
            <v>4.264104357982286E-2</v>
          </cell>
          <cell r="AQ54">
            <v>3.6314577990222058E-2</v>
          </cell>
          <cell r="AT54">
            <v>4.0668234487681067E-2</v>
          </cell>
          <cell r="AV54">
            <v>219214</v>
          </cell>
          <cell r="AW54">
            <v>9.1180133317472115E-2</v>
          </cell>
          <cell r="BA54">
            <v>1500</v>
          </cell>
          <cell r="BC54">
            <v>46834</v>
          </cell>
        </row>
      </sheetData>
      <sheetData sheetId="2">
        <row r="2">
          <cell r="B2">
            <v>46291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91.80165671296" createdVersion="6" refreshedVersion="6" minRefreshableVersion="3" recordCount="5776" xr:uid="{00000000-000A-0000-FFFF-FFFFAE000000}">
  <cacheSource type="worksheet">
    <worksheetSource ref="A1:X5777" sheet="sale."/>
  </cacheSource>
  <cacheFields count="24">
    <cacheField name="TXNID" numFmtId="0">
      <sharedItems containsString="0" containsBlank="1" containsNumber="1" containsInteger="1" minValue="1" maxValue="83"/>
    </cacheField>
    <cacheField name="STORENO" numFmtId="0">
      <sharedItems containsBlank="1"/>
    </cacheField>
    <cacheField name="TRANSACTIONTYPE" numFmtId="0">
      <sharedItems containsBlank="1"/>
    </cacheField>
    <cacheField name="RECEIPTNO" numFmtId="0">
      <sharedItems containsBlank="1"/>
    </cacheField>
    <cacheField name="TRANSDATE" numFmtId="0">
      <sharedItems containsNonDate="0" containsDate="1" containsString="0" containsBlank="1" minDate="2026-09-26T11:12:28" maxDate="2026-09-26T18:49:10"/>
    </cacheField>
    <cacheField name="ARTICLESINRECEIPT" numFmtId="0">
      <sharedItems containsString="0" containsBlank="1" containsNumber="1" containsInteger="1" minValue="2" maxValue="3"/>
    </cacheField>
    <cacheField name="BARCODE" numFmtId="0">
      <sharedItems containsString="0" containsBlank="1" containsNumber="1" containsInteger="1" minValue="494500285" maxValue="9789352769117"/>
    </cacheField>
    <cacheField name="QTY" numFmtId="0">
      <sharedItems containsString="0" containsBlank="1" containsNumber="1" containsInteger="1" minValue="1" maxValue="1"/>
    </cacheField>
    <cacheField name="RECEIPTPRICE" numFmtId="0">
      <sharedItems containsString="0" containsBlank="1" containsNumber="1" containsInteger="1" minValue="79" maxValue="9999"/>
    </cacheField>
    <cacheField name="PROMOTION" numFmtId="0">
      <sharedItems containsString="0" containsBlank="1" containsNumber="1" minValue="-1349.25" maxValue="0"/>
    </cacheField>
    <cacheField name="DISCOUNT" numFmtId="0">
      <sharedItems containsString="0" containsBlank="1" containsNumber="1" containsInteger="1" minValue="0" maxValue="0"/>
    </cacheField>
    <cacheField name="TOTALDISCOUNT" numFmtId="0">
      <sharedItems containsString="0" containsBlank="1" containsNumber="1" minValue="-1349.25" maxValue="0"/>
    </cacheField>
    <cacheField name="NET" numFmtId="0">
      <sharedItems containsString="0" containsBlank="1" containsNumber="1" minValue="53.94" maxValue="8928.17"/>
    </cacheField>
    <cacheField name="TAX" numFmtId="0">
      <sharedItems containsString="0" containsBlank="1" containsNumber="1" minValue="0" maxValue="1361.92"/>
    </cacheField>
    <cacheField name="Tax%" numFmtId="0">
      <sharedItems containsString="0" containsBlank="1" containsNumber="1" containsInteger="1" minValue="0" maxValue="18"/>
    </cacheField>
    <cacheField name="ARTICLEDESC" numFmtId="0">
      <sharedItems containsBlank="1"/>
    </cacheField>
    <cacheField name="CASHIER" numFmtId="0">
      <sharedItems containsString="0" containsBlank="1" containsNumber="1" containsInteger="1" minValue="50157523" maxValue="50170981"/>
    </cacheField>
    <cacheField name="STATUS" numFmtId="0">
      <sharedItems containsBlank="1"/>
    </cacheField>
    <cacheField name="SALESMANCODE" numFmtId="0">
      <sharedItems containsString="0" containsBlank="1" containsNumber="1" containsInteger="1" minValue="50000000" maxValue="3467452077542"/>
    </cacheField>
    <cacheField name="Order_Type" numFmtId="0">
      <sharedItems containsBlank="1"/>
    </cacheField>
    <cacheField name="PRODUCT_TYPE" numFmtId="0">
      <sharedItems containsBlank="1"/>
    </cacheField>
    <cacheField name="0" numFmtId="0">
      <sharedItems containsSemiMixedTypes="0" containsString="0" containsNumber="1" containsInteger="1" minValue="0" maxValue="0"/>
    </cacheField>
    <cacheField name="Hour" numFmtId="0">
      <sharedItems containsSemiMixedTypes="0" containsString="0" containsNumber="1" containsInteger="1" minValue="0" maxValue="22" count="14">
        <n v="11"/>
        <n v="12"/>
        <n v="13"/>
        <n v="14"/>
        <n v="15"/>
        <n v="16"/>
        <n v="17"/>
        <n v="18"/>
        <n v="0"/>
        <n v="19" u="1"/>
        <n v="20" u="1"/>
        <n v="21" u="1"/>
        <n v="22" u="1"/>
        <n v="10" u="1"/>
      </sharedItems>
    </cacheField>
    <cacheField name="Bills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76">
  <r>
    <n v="1"/>
    <s v="TLX5"/>
    <s v="SALE"/>
    <s v="TLX5102000126092026"/>
    <d v="2026-09-26T11:12:28"/>
    <n v="3"/>
    <n v="8904391805119"/>
    <n v="1"/>
    <n v="699"/>
    <n v="0"/>
    <n v="0"/>
    <n v="0"/>
    <n v="699"/>
    <n v="33.28"/>
    <n v="5"/>
    <s v="NE MIR 24CM STANDING"/>
    <n v="50170981"/>
    <s v="COMPLETED"/>
    <n v="50188930"/>
    <m/>
    <s v="GnG"/>
    <n v="0"/>
    <x v="0"/>
    <n v="1"/>
  </r>
  <r>
    <n v="1"/>
    <s v="TLX5"/>
    <s v="SALE"/>
    <s v="TLX5104000126092026"/>
    <d v="2026-09-26T11:32:39"/>
    <n v="3"/>
    <n v="8904391805201"/>
    <n v="1"/>
    <n v="999"/>
    <n v="0"/>
    <n v="0"/>
    <n v="0"/>
    <n v="999"/>
    <n v="47.58"/>
    <n v="5"/>
    <s v="NE CB 35CM TENDERHEA"/>
    <n v="50157523"/>
    <s v="COMPLETED"/>
    <n v="50188930"/>
    <m/>
    <s v="GnG"/>
    <n v="0"/>
    <x v="0"/>
    <n v="1"/>
  </r>
  <r>
    <n v="5"/>
    <s v="TLX5"/>
    <s v="SALE"/>
    <s v="TLX5102000526092026"/>
    <d v="2026-09-26T12:16:42"/>
    <n v="3"/>
    <n v="194735220809"/>
    <n v="1"/>
    <n v="279"/>
    <n v="-69.849999999999994"/>
    <n v="0"/>
    <n v="-69.849999999999994"/>
    <n v="209.15"/>
    <n v="9.9600000000000009"/>
    <n v="5"/>
    <s v="NE UNO SHOW EM NO ME"/>
    <n v="50170981"/>
    <s v="COMPLETED"/>
    <n v="50188930"/>
    <m/>
    <s v="GnG"/>
    <n v="0"/>
    <x v="1"/>
    <n v="1"/>
  </r>
  <r>
    <n v="5"/>
    <s v="TLX5"/>
    <s v="SALE"/>
    <s v="TLX5102000526092026"/>
    <d v="2026-09-26T12:16:42"/>
    <n v="3"/>
    <n v="8909409261154"/>
    <n v="1"/>
    <n v="799"/>
    <n v="-200.05"/>
    <n v="0"/>
    <n v="-200.05"/>
    <n v="598.95000000000005"/>
    <n v="28.52"/>
    <n v="5"/>
    <s v="NE 300PC PUZZLECASTL"/>
    <n v="50170981"/>
    <s v="COMPLETED"/>
    <n v="50188930"/>
    <m/>
    <s v="GnG"/>
    <n v="0"/>
    <x v="1"/>
    <n v="0"/>
  </r>
  <r>
    <n v="5"/>
    <s v="TLX5"/>
    <s v="SALE"/>
    <s v="TLX5102000526092026"/>
    <d v="2026-09-26T12:16:42"/>
    <n v="3"/>
    <n v="630509888900"/>
    <n v="1"/>
    <n v="899"/>
    <n v="-225.09"/>
    <n v="0"/>
    <n v="-225.09"/>
    <n v="673.91"/>
    <n v="32.1"/>
    <n v="5"/>
    <s v="HASBRO GMNG MONOPOLY"/>
    <n v="50170981"/>
    <s v="COMPLETED"/>
    <n v="50188930"/>
    <m/>
    <s v="GnG"/>
    <n v="0"/>
    <x v="1"/>
    <n v="0"/>
  </r>
  <r>
    <n v="6"/>
    <s v="TLX5"/>
    <s v="SALE"/>
    <s v="TLX5102000626092026"/>
    <d v="2026-09-26T12:21:11"/>
    <n v="3"/>
    <n v="5010996295545"/>
    <n v="1"/>
    <n v="999"/>
    <n v="0"/>
    <n v="0"/>
    <n v="0"/>
    <n v="999"/>
    <n v="47.58"/>
    <n v="5"/>
    <s v="NE TRA GEN PROJECT S"/>
    <n v="50170981"/>
    <s v="COMPLETED"/>
    <n v="50188930"/>
    <m/>
    <s v="GnG"/>
    <n v="0"/>
    <x v="1"/>
    <n v="1"/>
  </r>
  <r>
    <n v="7"/>
    <s v="TLX5"/>
    <s v="SALE"/>
    <s v="TLX5102000726092026"/>
    <d v="2026-09-26T12:38:24"/>
    <n v="3"/>
    <n v="887961751062"/>
    <n v="1"/>
    <n v="185"/>
    <n v="0"/>
    <n v="0"/>
    <n v="0"/>
    <n v="185"/>
    <n v="8.8000000000000007"/>
    <n v="5"/>
    <s v="NE UNO FLIP SIDE"/>
    <n v="50170981"/>
    <s v="COMPLETED"/>
    <n v="50188930"/>
    <m/>
    <s v="GnG"/>
    <n v="0"/>
    <x v="1"/>
    <n v="1"/>
  </r>
  <r>
    <n v="7"/>
    <s v="TLX5"/>
    <s v="SALE"/>
    <s v="TLX5102000726092026"/>
    <d v="2026-09-26T12:38:24"/>
    <n v="3"/>
    <n v="5010994106966"/>
    <n v="1"/>
    <n v="399"/>
    <n v="0"/>
    <n v="0"/>
    <n v="0"/>
    <n v="399"/>
    <n v="19"/>
    <n v="5"/>
    <s v="NE NER ELITE 2.0 ACE"/>
    <n v="50170981"/>
    <s v="COMPLETED"/>
    <n v="50188930"/>
    <m/>
    <s v="GnG"/>
    <n v="0"/>
    <x v="1"/>
    <n v="0"/>
  </r>
  <r>
    <n v="8"/>
    <s v="TLX5"/>
    <s v="SALE"/>
    <s v="TLX5102000826092026"/>
    <d v="2026-09-26T12:48:33"/>
    <n v="3"/>
    <n v="195166219387"/>
    <n v="1"/>
    <n v="460"/>
    <n v="0"/>
    <n v="0"/>
    <n v="0"/>
    <n v="460"/>
    <n v="21.9"/>
    <n v="5"/>
    <s v="NE NER ELITE 2 0 SLY"/>
    <n v="50170981"/>
    <s v="COMPLETED"/>
    <n v="50188930"/>
    <m/>
    <s v="GnG"/>
    <n v="0"/>
    <x v="1"/>
    <n v="1"/>
  </r>
  <r>
    <n v="9"/>
    <s v="TLX5"/>
    <s v="SALE"/>
    <s v="TLX5102000926092026"/>
    <d v="2026-09-26T13:04:15"/>
    <n v="3"/>
    <n v="8906169660944"/>
    <n v="1"/>
    <n v="1499"/>
    <n v="0"/>
    <n v="0"/>
    <n v="0"/>
    <n v="1499"/>
    <n v="71.38"/>
    <n v="5"/>
    <s v="NE BLM DIY UNICORN U"/>
    <n v="50170981"/>
    <s v="COMPLETED"/>
    <n v="50188930"/>
    <m/>
    <s v="GnG"/>
    <n v="0"/>
    <x v="2"/>
    <n v="1"/>
  </r>
  <r>
    <n v="10"/>
    <s v="TLX5"/>
    <s v="SALE"/>
    <s v="TLX5102001026092026"/>
    <d v="2026-09-26T13:11:43"/>
    <n v="3"/>
    <n v="3467452077290"/>
    <n v="1"/>
    <n v="699"/>
    <n v="-139.80000000000001"/>
    <n v="0"/>
    <n v="-139.80000000000001"/>
    <n v="559.20000000000005"/>
    <n v="26.62"/>
    <n v="5"/>
    <s v="NE MJTFARM TRAILER 4"/>
    <n v="50170981"/>
    <s v="COMPLETED"/>
    <n v="50000001"/>
    <m/>
    <s v="GnG"/>
    <n v="0"/>
    <x v="2"/>
    <n v="1"/>
  </r>
  <r>
    <n v="10"/>
    <s v="TLX5"/>
    <s v="SALE"/>
    <s v="TLX5102001026092026"/>
    <d v="2026-09-26T13:11:43"/>
    <n v="3"/>
    <n v="74299018060"/>
    <n v="1"/>
    <n v="899"/>
    <n v="-179.8"/>
    <n v="0"/>
    <n v="-179.8"/>
    <n v="719.2"/>
    <n v="34.24"/>
    <n v="5"/>
    <s v="HW FIVECAR GIFT PACK"/>
    <n v="50170981"/>
    <s v="COMPLETED"/>
    <n v="50000001"/>
    <m/>
    <s v="GnG"/>
    <n v="0"/>
    <x v="2"/>
    <n v="0"/>
  </r>
  <r>
    <n v="11"/>
    <s v="TLX5"/>
    <s v="SALE"/>
    <s v="TLX5102001126092026"/>
    <d v="2026-09-26T13:18:08"/>
    <n v="3"/>
    <n v="27084120134"/>
    <n v="1"/>
    <n v="179"/>
    <n v="0"/>
    <n v="0"/>
    <n v="0"/>
    <n v="179"/>
    <n v="8.52"/>
    <n v="5"/>
    <s v="NE HW BASIC CAR ASST"/>
    <n v="50170981"/>
    <s v="COMPLETED"/>
    <m/>
    <m/>
    <s v="GnG"/>
    <n v="0"/>
    <x v="2"/>
    <n v="1"/>
  </r>
  <r>
    <n v="11"/>
    <s v="TLX5"/>
    <s v="SALE"/>
    <s v="TLX5102001126092026"/>
    <d v="2026-09-26T13:18:08"/>
    <n v="3"/>
    <n v="3467452077368"/>
    <n v="1"/>
    <n v="399"/>
    <n v="0"/>
    <n v="0"/>
    <n v="0"/>
    <n v="399"/>
    <n v="19"/>
    <n v="5"/>
    <s v="NE MJT RACING PRM CA"/>
    <n v="50170981"/>
    <s v="COMPLETED"/>
    <n v="50170981"/>
    <m/>
    <s v="GnG"/>
    <n v="0"/>
    <x v="2"/>
    <n v="0"/>
  </r>
  <r>
    <n v="12"/>
    <s v="TLX5"/>
    <s v="SALE"/>
    <s v="TLX5102001226092026"/>
    <d v="2026-09-26T13:21:19"/>
    <n v="3"/>
    <n v="5702018063323"/>
    <n v="1"/>
    <n v="5499"/>
    <n v="0"/>
    <n v="0"/>
    <n v="0"/>
    <n v="5499"/>
    <n v="261.86"/>
    <n v="5"/>
    <s v="NE LEGO 76349 SPIDER"/>
    <n v="50170981"/>
    <s v="COMPLETED"/>
    <n v="50188930"/>
    <m/>
    <s v="GnG"/>
    <n v="0"/>
    <x v="2"/>
    <n v="1"/>
  </r>
  <r>
    <n v="13"/>
    <s v="TLX5"/>
    <s v="SALE"/>
    <s v="TLX5102001326092026"/>
    <d v="2026-09-26T13:31:17"/>
    <n v="3"/>
    <n v="194735277582"/>
    <n v="1"/>
    <n v="1099"/>
    <n v="0"/>
    <n v="0"/>
    <n v="0"/>
    <n v="1099"/>
    <n v="52.34"/>
    <n v="5"/>
    <s v="NE BARBIE POP STAR D"/>
    <n v="50170981"/>
    <s v="COMPLETED"/>
    <n v="50195439"/>
    <m/>
    <s v="GnG"/>
    <n v="0"/>
    <x v="2"/>
    <n v="1"/>
  </r>
  <r>
    <n v="13"/>
    <s v="TLX5"/>
    <s v="SALE"/>
    <s v="TLX5102001326092026"/>
    <d v="2026-09-26T13:31:17"/>
    <n v="3"/>
    <n v="194735363353"/>
    <n v="1"/>
    <n v="399"/>
    <n v="-88.59"/>
    <n v="0"/>
    <n v="-88.59"/>
    <n v="310.41000000000003"/>
    <n v="14.78"/>
    <n v="5"/>
    <s v="NE BRB ENTRY PNK DRE"/>
    <n v="50170981"/>
    <s v="COMPLETED"/>
    <n v="50195439"/>
    <m/>
    <s v="GnG"/>
    <n v="0"/>
    <x v="2"/>
    <n v="0"/>
  </r>
  <r>
    <n v="13"/>
    <s v="TLX5"/>
    <s v="SALE"/>
    <s v="TLX5102001326092026"/>
    <d v="2026-09-26T13:31:17"/>
    <n v="3"/>
    <n v="194735234561"/>
    <n v="1"/>
    <n v="599"/>
    <n v="-133"/>
    <n v="0"/>
    <n v="-133"/>
    <n v="466"/>
    <n v="22.2"/>
    <n v="5"/>
    <s v="NE BARBIE CHELSEA AS"/>
    <n v="50170981"/>
    <s v="COMPLETED"/>
    <m/>
    <m/>
    <s v="GnG"/>
    <n v="0"/>
    <x v="2"/>
    <n v="0"/>
  </r>
  <r>
    <n v="13"/>
    <s v="TLX5"/>
    <s v="SALE"/>
    <s v="TLX5102001326092026"/>
    <d v="2026-09-26T13:31:17"/>
    <n v="3"/>
    <n v="194735339754"/>
    <n v="1"/>
    <n v="799"/>
    <n v="-177.41"/>
    <n v="0"/>
    <n v="-177.41"/>
    <n v="621.59"/>
    <n v="29.6"/>
    <n v="5"/>
    <s v="NE BRB FSHNSTA S1"/>
    <n v="50170981"/>
    <s v="COMPLETED"/>
    <n v="50195439"/>
    <m/>
    <s v="GnG"/>
    <n v="0"/>
    <x v="2"/>
    <n v="0"/>
  </r>
  <r>
    <n v="14"/>
    <s v="TLX5"/>
    <s v="SALE"/>
    <s v="TLX5102001426092026"/>
    <d v="2026-09-26T13:58:06"/>
    <n v="3"/>
    <n v="8904279514409"/>
    <n v="1"/>
    <n v="1499"/>
    <n v="0"/>
    <n v="0"/>
    <n v="0"/>
    <n v="1499"/>
    <n v="71.38"/>
    <n v="5"/>
    <s v="NE CLASSIC MAGIC KIT"/>
    <n v="50170981"/>
    <s v="COMPLETED"/>
    <n v="50195439"/>
    <m/>
    <s v="GnG"/>
    <n v="0"/>
    <x v="2"/>
    <n v="1"/>
  </r>
  <r>
    <n v="15"/>
    <s v="TLX5"/>
    <s v="SALE"/>
    <s v="TLX5102001526092026"/>
    <d v="2026-09-26T13:59:48"/>
    <n v="3"/>
    <n v="194735284931"/>
    <n v="1"/>
    <n v="449"/>
    <n v="0"/>
    <n v="0"/>
    <n v="0"/>
    <n v="449"/>
    <n v="21.38"/>
    <n v="5"/>
    <s v="NE MT MBX SKYBUSTERS"/>
    <n v="50170981"/>
    <s v="COMPLETED"/>
    <n v="50170981"/>
    <m/>
    <s v="GnG"/>
    <n v="0"/>
    <x v="2"/>
    <n v="1"/>
  </r>
  <r>
    <n v="15"/>
    <s v="TLX5"/>
    <s v="SALE"/>
    <s v="TLX5102001526092026"/>
    <d v="2026-09-26T13:59:48"/>
    <n v="3"/>
    <n v="8906134711299"/>
    <n v="1"/>
    <n v="499"/>
    <n v="-299.39999999999998"/>
    <n v="0"/>
    <n v="-299.39999999999998"/>
    <n v="199.6"/>
    <n v="9.5"/>
    <n v="5"/>
    <s v="NE MIGHTY MACHINES B"/>
    <n v="50170981"/>
    <s v="COMPLETED"/>
    <n v="50170981"/>
    <m/>
    <s v="GnG"/>
    <n v="0"/>
    <x v="2"/>
    <n v="0"/>
  </r>
  <r>
    <n v="17"/>
    <s v="TLX5"/>
    <s v="SALE"/>
    <s v="TLX5102001726092026"/>
    <d v="2026-09-26T14:03:50"/>
    <n v="3"/>
    <n v="8905672078727"/>
    <n v="1"/>
    <n v="1099"/>
    <n v="0"/>
    <n v="0"/>
    <n v="0"/>
    <n v="1099"/>
    <n v="52.34"/>
    <n v="5"/>
    <s v="NE SL 53CM LYING UNI"/>
    <n v="50170981"/>
    <s v="COMPLETED"/>
    <m/>
    <m/>
    <s v="GnG"/>
    <n v="0"/>
    <x v="3"/>
    <n v="1"/>
  </r>
  <r>
    <n v="17"/>
    <s v="TLX5"/>
    <s v="SALE"/>
    <s v="TLX5102001726092026"/>
    <d v="2026-09-26T14:03:50"/>
    <n v="3"/>
    <n v="8904432220918"/>
    <n v="1"/>
    <n v="599"/>
    <n v="0"/>
    <n v="0"/>
    <n v="0"/>
    <n v="599"/>
    <n v="28.52"/>
    <n v="5"/>
    <s v="NE BIG EYE GIRAFFE 2"/>
    <n v="50170981"/>
    <s v="COMPLETED"/>
    <n v="50188930"/>
    <m/>
    <s v="GnG"/>
    <n v="0"/>
    <x v="3"/>
    <n v="0"/>
  </r>
  <r>
    <n v="3"/>
    <s v="TLX5"/>
    <s v="SALE"/>
    <s v="TLX5104000326092026"/>
    <d v="2026-09-26T14:09:34"/>
    <n v="3"/>
    <n v="8905450027411"/>
    <n v="1"/>
    <n v="1599"/>
    <n v="-799.5"/>
    <n v="0"/>
    <n v="-799.5"/>
    <n v="799.5"/>
    <n v="38.08"/>
    <n v="5"/>
    <s v="NE YK KNOWLEDGE JACK"/>
    <n v="50157523"/>
    <s v="COMPLETED"/>
    <n v="50195907"/>
    <m/>
    <s v="GnG"/>
    <n v="0"/>
    <x v="3"/>
    <n v="1"/>
  </r>
  <r>
    <n v="3"/>
    <s v="TLX5"/>
    <s v="SALE"/>
    <s v="TLX5104000326092026"/>
    <d v="2026-09-26T14:09:34"/>
    <n v="3"/>
    <n v="8905450027398"/>
    <n v="1"/>
    <n v="1799"/>
    <n v="-899.5"/>
    <n v="0"/>
    <n v="-899.5"/>
    <n v="899.5"/>
    <n v="42.84"/>
    <n v="5"/>
    <s v="NE YK EXPLORE SPACE"/>
    <n v="50157523"/>
    <s v="COMPLETED"/>
    <m/>
    <m/>
    <s v="GnG"/>
    <n v="0"/>
    <x v="3"/>
    <n v="0"/>
  </r>
  <r>
    <n v="18"/>
    <s v="TLX5"/>
    <s v="SALE"/>
    <s v="TLX5102001826092026"/>
    <d v="2026-09-26T14:16:01"/>
    <n v="3"/>
    <n v="8905672075528"/>
    <n v="1"/>
    <n v="2499"/>
    <n v="0"/>
    <n v="0"/>
    <n v="0"/>
    <n v="2499"/>
    <n v="119"/>
    <n v="5"/>
    <s v="NE ROLEPLAYMILITARYS"/>
    <n v="50170981"/>
    <s v="COMPLETED"/>
    <m/>
    <m/>
    <s v="GnG"/>
    <n v="0"/>
    <x v="3"/>
    <n v="1"/>
  </r>
  <r>
    <n v="19"/>
    <s v="TLX5"/>
    <s v="SALE"/>
    <s v="TLX5102001926092026"/>
    <d v="2026-09-26T14:23:09"/>
    <n v="3"/>
    <n v="194735284931"/>
    <n v="1"/>
    <n v="449"/>
    <n v="0"/>
    <n v="0"/>
    <n v="0"/>
    <n v="449"/>
    <n v="21.38"/>
    <n v="5"/>
    <s v="NE MT MBX SKYBUSTERS"/>
    <n v="50170981"/>
    <s v="COMPLETED"/>
    <n v="50151682"/>
    <m/>
    <s v="GnG"/>
    <n v="0"/>
    <x v="3"/>
    <n v="1"/>
  </r>
  <r>
    <n v="21"/>
    <s v="TLX5"/>
    <s v="SALE"/>
    <s v="TLX5102002126092026"/>
    <d v="2026-09-26T14:26:59"/>
    <n v="3"/>
    <n v="8905450074064"/>
    <n v="1"/>
    <n v="79"/>
    <n v="0"/>
    <n v="0"/>
    <n v="0"/>
    <n v="79"/>
    <n v="3.76"/>
    <n v="5"/>
    <s v="NE BUBBLE WAND"/>
    <n v="50170981"/>
    <s v="COMPLETED"/>
    <m/>
    <m/>
    <s v="GnG"/>
    <n v="0"/>
    <x v="3"/>
    <n v="1"/>
  </r>
  <r>
    <n v="22"/>
    <s v="TLX5"/>
    <s v="SALE"/>
    <s v="TLX5102002226092026"/>
    <d v="2026-09-26T14:30:01"/>
    <n v="3"/>
    <n v="778988661222"/>
    <n v="1"/>
    <n v="1499"/>
    <n v="-299.8"/>
    <n v="0"/>
    <n v="-299.8"/>
    <n v="1199.2"/>
    <n v="182.92"/>
    <n v="18"/>
    <s v="E WINMAGIC WOBBLY WO"/>
    <n v="50170981"/>
    <s v="COMPLETED"/>
    <m/>
    <m/>
    <s v="GnG"/>
    <n v="0"/>
    <x v="3"/>
    <n v="1"/>
  </r>
  <r>
    <n v="23"/>
    <s v="TLX5"/>
    <s v="SALE"/>
    <s v="TLX5102002326092026"/>
    <d v="2026-09-26T14:37:35"/>
    <n v="3"/>
    <n v="8904027127288"/>
    <n v="1"/>
    <n v="1499"/>
    <n v="0"/>
    <n v="0"/>
    <n v="0"/>
    <n v="1499"/>
    <n v="228.66"/>
    <n v="18"/>
    <s v="E KOP 27PCS KITCHEN"/>
    <n v="50170981"/>
    <s v="COMPLETED"/>
    <n v="50188930"/>
    <m/>
    <s v="GnG"/>
    <n v="0"/>
    <x v="3"/>
    <n v="1"/>
  </r>
  <r>
    <n v="4"/>
    <s v="TLX5"/>
    <s v="SALE"/>
    <s v="TLX5104000426092026"/>
    <d v="2026-09-26T14:40:17"/>
    <n v="3"/>
    <n v="4501517003455"/>
    <n v="1"/>
    <n v="499"/>
    <n v="0"/>
    <n v="0"/>
    <n v="0"/>
    <n v="499"/>
    <n v="23.76"/>
    <n v="5"/>
    <s v="NE PLAYSHIFU AQUATIC"/>
    <n v="50157523"/>
    <s v="COMPLETED"/>
    <n v="50000003"/>
    <m/>
    <s v="GnG"/>
    <n v="0"/>
    <x v="3"/>
    <n v="1"/>
  </r>
  <r>
    <n v="4"/>
    <s v="TLX5"/>
    <s v="SALE"/>
    <s v="TLX5104000426092026"/>
    <d v="2026-09-26T14:40:17"/>
    <n v="3"/>
    <n v="8908013692385"/>
    <n v="1"/>
    <n v="499"/>
    <n v="0"/>
    <n v="0"/>
    <n v="0"/>
    <n v="499"/>
    <n v="23.76"/>
    <n v="5"/>
    <s v="NE PLAYSHIFU SOLAR S"/>
    <n v="50157523"/>
    <s v="COMPLETED"/>
    <n v="50000003"/>
    <m/>
    <s v="GnG"/>
    <n v="0"/>
    <x v="3"/>
    <n v="0"/>
  </r>
  <r>
    <n v="4"/>
    <s v="TLX5"/>
    <s v="SALE"/>
    <s v="TLX5104000426092026"/>
    <d v="2026-09-26T14:40:17"/>
    <n v="3"/>
    <n v="8909409286041"/>
    <n v="1"/>
    <n v="799"/>
    <n v="0"/>
    <n v="0"/>
    <n v="0"/>
    <n v="799"/>
    <n v="121.88"/>
    <n v="18"/>
    <s v="E HOVER FOOTBALL GRE"/>
    <n v="50157523"/>
    <s v="COMPLETED"/>
    <n v="50000003"/>
    <m/>
    <s v="GnG"/>
    <n v="0"/>
    <x v="3"/>
    <n v="0"/>
  </r>
  <r>
    <n v="4"/>
    <s v="TLX5"/>
    <s v="SALE"/>
    <s v="TLX5104000426092026"/>
    <d v="2026-09-26T14:40:17"/>
    <n v="3"/>
    <n v="8906169660821"/>
    <n v="1"/>
    <n v="799"/>
    <n v="0"/>
    <n v="0"/>
    <n v="0"/>
    <n v="799"/>
    <n v="38.04"/>
    <n v="5"/>
    <s v="NE DABBLE ABC WITH A"/>
    <n v="50157523"/>
    <s v="COMPLETED"/>
    <n v="50000003"/>
    <m/>
    <s v="GnG"/>
    <n v="0"/>
    <x v="3"/>
    <n v="0"/>
  </r>
  <r>
    <n v="5"/>
    <s v="TLX5"/>
    <s v="SALE"/>
    <s v="TLX5104000526092026"/>
    <d v="2026-09-26T15:01:21"/>
    <n v="3"/>
    <n v="194735358878"/>
    <n v="1"/>
    <n v="299"/>
    <n v="0"/>
    <n v="0"/>
    <n v="0"/>
    <n v="299"/>
    <n v="14.24"/>
    <n v="5"/>
    <s v="NE HW AUTOMOTIVE ASS"/>
    <n v="50157523"/>
    <s v="COMPLETED"/>
    <n v="50157523"/>
    <m/>
    <s v="GnG"/>
    <n v="0"/>
    <x v="4"/>
    <n v="1"/>
  </r>
  <r>
    <n v="5"/>
    <s v="TLX5"/>
    <s v="SALE"/>
    <s v="TLX5104000526092026"/>
    <d v="2026-09-26T15:01:21"/>
    <n v="3"/>
    <n v="887961672039"/>
    <n v="1"/>
    <n v="399"/>
    <n v="0"/>
    <n v="0"/>
    <n v="0"/>
    <n v="399"/>
    <n v="19"/>
    <n v="5"/>
    <s v="NE MATCHBOX BASIC CA"/>
    <n v="50157523"/>
    <s v="COMPLETED"/>
    <n v="50157523"/>
    <m/>
    <s v="GnG"/>
    <n v="0"/>
    <x v="4"/>
    <n v="0"/>
  </r>
  <r>
    <n v="26"/>
    <s v="TLX5"/>
    <s v="SALE"/>
    <s v="TLX5102002626092026"/>
    <d v="2026-09-26T15:10:28"/>
    <n v="3"/>
    <n v="8907653097178"/>
    <n v="1"/>
    <n v="295"/>
    <n v="0"/>
    <n v="0"/>
    <n v="0"/>
    <n v="295"/>
    <n v="14.04"/>
    <n v="5"/>
    <m/>
    <n v="50170981"/>
    <s v="COMPLETED"/>
    <m/>
    <m/>
    <s v="GnG"/>
    <n v="0"/>
    <x v="4"/>
    <n v="1"/>
  </r>
  <r>
    <n v="26"/>
    <s v="TLX5"/>
    <s v="SALE"/>
    <s v="TLX5102002626092026"/>
    <d v="2026-09-26T15:10:28"/>
    <n v="3"/>
    <n v="8904279514874"/>
    <n v="1"/>
    <n v="599"/>
    <n v="0"/>
    <n v="0"/>
    <n v="0"/>
    <n v="599"/>
    <n v="28.52"/>
    <n v="5"/>
    <s v="NE SKM SNIP SNIP DIS"/>
    <n v="50170981"/>
    <s v="COMPLETED"/>
    <n v="50000002"/>
    <m/>
    <s v="GnG"/>
    <n v="0"/>
    <x v="4"/>
    <n v="0"/>
  </r>
  <r>
    <n v="26"/>
    <s v="TLX5"/>
    <s v="SALE"/>
    <s v="TLX5102002626092026"/>
    <d v="2026-09-26T15:10:28"/>
    <n v="3"/>
    <n v="8904384300539"/>
    <n v="1"/>
    <n v="899"/>
    <n v="-539.4"/>
    <n v="0"/>
    <n v="-539.4"/>
    <n v="359.6"/>
    <n v="17.12"/>
    <n v="5"/>
    <m/>
    <n v="50170981"/>
    <s v="COMPLETED"/>
    <n v="50000002"/>
    <m/>
    <s v="GnG"/>
    <n v="0"/>
    <x v="4"/>
    <n v="0"/>
  </r>
  <r>
    <n v="27"/>
    <s v="TLX5"/>
    <s v="SALE"/>
    <s v="TLX5102002726092026"/>
    <d v="2026-09-26T15:12:50"/>
    <n v="3"/>
    <n v="8904027123310"/>
    <n v="1"/>
    <n v="899"/>
    <n v="0"/>
    <n v="0"/>
    <n v="0"/>
    <n v="899"/>
    <n v="42.8"/>
    <n v="5"/>
    <s v="NE SS ROLLING ANIMAL"/>
    <n v="50170981"/>
    <s v="COMPLETED"/>
    <n v="50000003"/>
    <m/>
    <s v="GnG"/>
    <n v="0"/>
    <x v="4"/>
    <n v="1"/>
  </r>
  <r>
    <n v="27"/>
    <s v="TLX5"/>
    <s v="SALE"/>
    <s v="TLX5102002726092026"/>
    <d v="2026-09-26T15:12:50"/>
    <n v="3"/>
    <n v="8904279522329"/>
    <n v="1"/>
    <n v="999"/>
    <n v="0"/>
    <n v="0"/>
    <n v="0"/>
    <n v="999"/>
    <n v="47.58"/>
    <n v="5"/>
    <s v="NE SKM MY ARTSY STAS"/>
    <n v="50170981"/>
    <s v="COMPLETED"/>
    <n v="50000003"/>
    <m/>
    <s v="GnG"/>
    <n v="0"/>
    <x v="4"/>
    <n v="0"/>
  </r>
  <r>
    <n v="6"/>
    <s v="TLX5"/>
    <s v="SALE"/>
    <s v="TLX5104000626092026"/>
    <d v="2026-09-26T15:13:25"/>
    <n v="3"/>
    <n v="8905450036819"/>
    <n v="1"/>
    <n v="1499"/>
    <n v="0"/>
    <n v="0"/>
    <n v="0"/>
    <n v="1499"/>
    <n v="71.38"/>
    <n v="5"/>
    <s v="NE SS ALPHA NUMBER P"/>
    <n v="50157523"/>
    <s v="COMPLETED"/>
    <n v="50195907"/>
    <m/>
    <s v="GnG"/>
    <n v="0"/>
    <x v="4"/>
    <n v="1"/>
  </r>
  <r>
    <n v="6"/>
    <s v="TLX5"/>
    <s v="SALE"/>
    <s v="TLX5104000626092026"/>
    <d v="2026-09-26T15:13:25"/>
    <n v="3"/>
    <n v="8907653082358"/>
    <n v="1"/>
    <n v="295"/>
    <n v="0"/>
    <n v="0"/>
    <n v="0"/>
    <n v="295"/>
    <n v="45"/>
    <n v="18"/>
    <s v="STOLN PEN 25 21288 4"/>
    <n v="50157523"/>
    <s v="COMPLETED"/>
    <m/>
    <m/>
    <s v="GnG"/>
    <n v="0"/>
    <x v="4"/>
    <n v="0"/>
  </r>
  <r>
    <n v="6"/>
    <s v="TLX5"/>
    <s v="SALE"/>
    <s v="TLX5104000626092026"/>
    <d v="2026-09-26T15:13:25"/>
    <n v="3"/>
    <n v="8907653106153"/>
    <n v="1"/>
    <n v="325"/>
    <n v="0"/>
    <n v="0"/>
    <n v="0"/>
    <n v="325"/>
    <n v="49.58"/>
    <n v="18"/>
    <m/>
    <n v="50157523"/>
    <s v="COMPLETED"/>
    <m/>
    <m/>
    <s v="GnG"/>
    <n v="0"/>
    <x v="4"/>
    <n v="0"/>
  </r>
  <r>
    <n v="6"/>
    <s v="TLX5"/>
    <s v="SALE"/>
    <s v="TLX5104000626092026"/>
    <d v="2026-09-26T15:13:25"/>
    <n v="3"/>
    <n v="8904520801401"/>
    <n v="1"/>
    <n v="699"/>
    <n v="0"/>
    <n v="0"/>
    <n v="0"/>
    <n v="699"/>
    <n v="33.28"/>
    <n v="5"/>
    <s v="NE 4IN FIG MVL AVN T"/>
    <n v="50157523"/>
    <s v="COMPLETED"/>
    <n v="50195907"/>
    <m/>
    <s v="GnG"/>
    <n v="0"/>
    <x v="4"/>
    <n v="0"/>
  </r>
  <r>
    <n v="6"/>
    <s v="TLX5"/>
    <s v="SALE"/>
    <s v="TLX5104000626092026"/>
    <d v="2026-09-26T15:13:25"/>
    <n v="3"/>
    <n v="8904279501683"/>
    <n v="1"/>
    <n v="699"/>
    <n v="0"/>
    <n v="0"/>
    <n v="0"/>
    <n v="699"/>
    <n v="33.28"/>
    <n v="5"/>
    <s v="NE RAPID RUMBLE"/>
    <n v="50157523"/>
    <s v="COMPLETED"/>
    <n v="50195907"/>
    <m/>
    <s v="GnG"/>
    <n v="0"/>
    <x v="4"/>
    <n v="0"/>
  </r>
  <r>
    <n v="6"/>
    <s v="TLX5"/>
    <s v="SALE"/>
    <s v="TLX5104000626092026"/>
    <d v="2026-09-26T15:13:25"/>
    <n v="3"/>
    <n v="8904027127257"/>
    <n v="1"/>
    <n v="99"/>
    <n v="-6.19"/>
    <n v="0"/>
    <n v="-6.19"/>
    <n v="92.81"/>
    <n v="4.42"/>
    <n v="5"/>
    <s v="NE ZOOZI BUBBLE TUBE"/>
    <n v="50157523"/>
    <s v="COMPLETED"/>
    <n v="50195907"/>
    <m/>
    <s v="GnG"/>
    <n v="0"/>
    <x v="4"/>
    <n v="0"/>
  </r>
  <r>
    <n v="8"/>
    <s v="TLX5"/>
    <s v="SALE"/>
    <s v="TLX5104000826092026"/>
    <d v="2026-09-26T15:24:22"/>
    <n v="3"/>
    <n v="778988435922"/>
    <n v="1"/>
    <n v="2799"/>
    <n v="0"/>
    <n v="0"/>
    <n v="0"/>
    <n v="2799"/>
    <n v="133.28"/>
    <n v="5"/>
    <s v="NE PAW FGR ALL PAWS"/>
    <n v="50157523"/>
    <s v="COMPLETED"/>
    <n v="50000002"/>
    <m/>
    <s v="GnG"/>
    <n v="0"/>
    <x v="4"/>
    <n v="1"/>
  </r>
  <r>
    <n v="28"/>
    <s v="TLX5"/>
    <s v="SALE"/>
    <s v="TLX5102002826092026"/>
    <d v="2026-09-26T15:30:44"/>
    <n v="3"/>
    <n v="8904432220956"/>
    <n v="1"/>
    <n v="599"/>
    <n v="0"/>
    <n v="0"/>
    <n v="0"/>
    <n v="599"/>
    <n v="28.52"/>
    <n v="5"/>
    <s v="NE BIG EYE PENGUIN 2"/>
    <n v="50170981"/>
    <s v="COMPLETED"/>
    <n v="50188930"/>
    <m/>
    <s v="GnG"/>
    <n v="0"/>
    <x v="4"/>
    <n v="1"/>
  </r>
  <r>
    <n v="30"/>
    <s v="TLX5"/>
    <s v="SALE"/>
    <s v="TLX5102003026092026"/>
    <d v="2026-09-26T15:34:35"/>
    <n v="3"/>
    <n v="8909409263608"/>
    <n v="1"/>
    <n v="1299"/>
    <n v="0"/>
    <n v="0"/>
    <n v="0"/>
    <n v="1299"/>
    <n v="61.86"/>
    <n v="5"/>
    <s v="NE FB AVT HORSE 30CM"/>
    <n v="50170981"/>
    <s v="COMPLETED"/>
    <n v="50000002"/>
    <m/>
    <s v="GnG"/>
    <n v="0"/>
    <x v="4"/>
    <n v="1"/>
  </r>
  <r>
    <n v="30"/>
    <s v="TLX5"/>
    <s v="SALE"/>
    <s v="TLX5102003026092026"/>
    <d v="2026-09-26T15:34:35"/>
    <n v="3"/>
    <n v="8908022297861"/>
    <n v="1"/>
    <n v="999"/>
    <n v="0"/>
    <n v="0"/>
    <n v="0"/>
    <n v="999"/>
    <n v="0"/>
    <n v="0"/>
    <s v="NE CC MONTESSORI FIR"/>
    <n v="50170981"/>
    <s v="COMPLETED"/>
    <n v="50000002"/>
    <m/>
    <s v="GnG"/>
    <n v="0"/>
    <x v="4"/>
    <n v="0"/>
  </r>
  <r>
    <n v="34"/>
    <s v="TLX5"/>
    <s v="SALE"/>
    <s v="TLX5102003426092026"/>
    <d v="2026-09-26T15:47:17"/>
    <n v="3"/>
    <n v="8907653091381"/>
    <n v="1"/>
    <n v="395"/>
    <n v="0"/>
    <n v="0"/>
    <n v="0"/>
    <n v="395"/>
    <n v="18.8"/>
    <n v="5"/>
    <s v="HAIR BAND 25 3884 9"/>
    <n v="50170981"/>
    <s v="COMPLETED"/>
    <m/>
    <m/>
    <s v="GnG"/>
    <n v="0"/>
    <x v="4"/>
    <n v="1"/>
  </r>
  <r>
    <n v="36"/>
    <s v="TLX5"/>
    <s v="SALE"/>
    <s v="TLX5102003626092026"/>
    <d v="2026-09-26T15:49:09"/>
    <n v="3"/>
    <n v="8909409261604"/>
    <n v="1"/>
    <n v="799"/>
    <n v="-181.76"/>
    <n v="0"/>
    <n v="-181.76"/>
    <n v="617.24"/>
    <n v="29.4"/>
    <n v="5"/>
    <s v="NE FB V DAY BEAR WHI"/>
    <n v="50170981"/>
    <s v="COMPLETED"/>
    <n v="50000003"/>
    <m/>
    <s v="GnG"/>
    <n v="0"/>
    <x v="4"/>
    <n v="1"/>
  </r>
  <r>
    <n v="36"/>
    <s v="TLX5"/>
    <s v="SALE"/>
    <s v="TLX5102003626092026"/>
    <d v="2026-09-26T15:49:09"/>
    <n v="3"/>
    <n v="74299018060"/>
    <n v="1"/>
    <n v="899"/>
    <n v="-204.5"/>
    <n v="0"/>
    <n v="-204.5"/>
    <n v="694.5"/>
    <n v="33.08"/>
    <n v="5"/>
    <s v="HW FIVECAR GIFT PACK"/>
    <n v="50170981"/>
    <s v="COMPLETED"/>
    <n v="50195907"/>
    <m/>
    <s v="GnG"/>
    <n v="0"/>
    <x v="4"/>
    <n v="0"/>
  </r>
  <r>
    <n v="9"/>
    <s v="TLX5"/>
    <s v="SALE"/>
    <s v="TLX5104000926092026"/>
    <d v="2026-09-26T15:53:26"/>
    <n v="3"/>
    <n v="74299018060"/>
    <n v="1"/>
    <n v="899"/>
    <n v="0"/>
    <n v="0"/>
    <n v="0"/>
    <n v="899"/>
    <n v="42.8"/>
    <n v="5"/>
    <s v="HW FIVECAR GIFT PACK"/>
    <n v="50157523"/>
    <s v="COMPLETED"/>
    <n v="50188930"/>
    <m/>
    <s v="GnG"/>
    <n v="0"/>
    <x v="4"/>
    <n v="1"/>
  </r>
  <r>
    <n v="9"/>
    <s v="TLX5"/>
    <s v="SALE"/>
    <s v="TLX5104000926092026"/>
    <d v="2026-09-26T15:53:26"/>
    <n v="3"/>
    <n v="8906169662467"/>
    <n v="1"/>
    <n v="999"/>
    <n v="0"/>
    <n v="0"/>
    <n v="0"/>
    <n v="999"/>
    <n v="152.38"/>
    <n v="18"/>
    <s v="E BLMG ICECREAM BUBB"/>
    <n v="50157523"/>
    <s v="COMPLETED"/>
    <n v="50000003"/>
    <m/>
    <s v="GnG"/>
    <n v="0"/>
    <x v="4"/>
    <n v="0"/>
  </r>
  <r>
    <n v="43"/>
    <s v="TLX5"/>
    <s v="SALE"/>
    <s v="TLX5102004326092026"/>
    <d v="2026-09-26T16:26:01"/>
    <n v="3"/>
    <n v="8904520800701"/>
    <n v="1"/>
    <n v="1199"/>
    <n v="-444.18"/>
    <n v="0"/>
    <n v="-444.18"/>
    <n v="754.82"/>
    <n v="35.94"/>
    <n v="5"/>
    <s v="NE MVL ROLE PLAY MAS"/>
    <n v="50170981"/>
    <s v="COMPLETED"/>
    <n v="50195907"/>
    <m/>
    <s v="GnG"/>
    <n v="0"/>
    <x v="5"/>
    <n v="1"/>
  </r>
  <r>
    <n v="43"/>
    <s v="TLX5"/>
    <s v="SALE"/>
    <s v="TLX5102004326092026"/>
    <d v="2026-09-26T16:26:01"/>
    <n v="3"/>
    <n v="8904520800701"/>
    <n v="1"/>
    <n v="1199"/>
    <n v="-444.18"/>
    <n v="0"/>
    <n v="-444.18"/>
    <n v="754.82"/>
    <n v="35.94"/>
    <n v="5"/>
    <s v="NE MVL ROLE PLAY MAS"/>
    <n v="50170981"/>
    <s v="COMPLETED"/>
    <n v="50195907"/>
    <m/>
    <s v="GnG"/>
    <n v="0"/>
    <x v="5"/>
    <n v="0"/>
  </r>
  <r>
    <n v="43"/>
    <s v="TLX5"/>
    <s v="SALE"/>
    <s v="TLX5102004326092026"/>
    <d v="2026-09-26T16:26:01"/>
    <n v="3"/>
    <n v="494500285"/>
    <n v="1"/>
    <n v="1999"/>
    <n v="-740.55"/>
    <n v="0"/>
    <n v="-740.55"/>
    <n v="1258.45"/>
    <n v="191.96"/>
    <n v="18"/>
    <s v="NE REDCARD TOTE BAG"/>
    <n v="50170981"/>
    <s v="COMPLETED"/>
    <m/>
    <m/>
    <s v="GnG"/>
    <n v="0"/>
    <x v="5"/>
    <n v="0"/>
  </r>
  <r>
    <n v="43"/>
    <s v="TLX5"/>
    <s v="SALE"/>
    <s v="TLX5102004326092026"/>
    <d v="2026-09-26T16:26:01"/>
    <n v="3"/>
    <n v="8904520800657"/>
    <n v="1"/>
    <n v="999"/>
    <n v="-370.09"/>
    <n v="0"/>
    <n v="-370.09"/>
    <n v="628.91"/>
    <n v="29.94"/>
    <n v="5"/>
    <s v="NE MVL ROLE PLAY MAS"/>
    <n v="50170981"/>
    <s v="COMPLETED"/>
    <n v="50195907"/>
    <m/>
    <s v="GnG"/>
    <n v="0"/>
    <x v="5"/>
    <n v="0"/>
  </r>
  <r>
    <n v="14"/>
    <s v="TLX5"/>
    <s v="SALE"/>
    <s v="TLX5104001426092026"/>
    <d v="2026-09-26T16:26:09"/>
    <n v="3"/>
    <n v="78206020016"/>
    <n v="1"/>
    <n v="149"/>
    <n v="0"/>
    <n v="0"/>
    <n v="0"/>
    <n v="149"/>
    <n v="7.1"/>
    <n v="5"/>
    <s v="MATTEL GAMES UNO PLA"/>
    <n v="50157523"/>
    <s v="COMPLETED"/>
    <n v="50201915"/>
    <m/>
    <s v="GnG"/>
    <n v="0"/>
    <x v="5"/>
    <n v="1"/>
  </r>
  <r>
    <n v="44"/>
    <s v="TLX5"/>
    <s v="SALE"/>
    <s v="TLX5102004426092026"/>
    <d v="2026-09-26T16:28:37"/>
    <n v="3"/>
    <n v="8904384330079"/>
    <n v="1"/>
    <n v="1999"/>
    <n v="-571.1"/>
    <n v="0"/>
    <n v="-571.1"/>
    <n v="1427.9"/>
    <n v="217.82"/>
    <n v="18"/>
    <s v="E RC SPD FIVE WHEEL"/>
    <n v="50170981"/>
    <s v="COMPLETED"/>
    <n v="50195907"/>
    <m/>
    <s v="GnG"/>
    <n v="0"/>
    <x v="5"/>
    <n v="1"/>
  </r>
  <r>
    <n v="44"/>
    <s v="TLX5"/>
    <s v="SALE"/>
    <s v="TLX5102004426092026"/>
    <d v="2026-09-26T16:28:37"/>
    <n v="3"/>
    <n v="494500285"/>
    <n v="1"/>
    <n v="1999"/>
    <n v="-571.1"/>
    <n v="0"/>
    <n v="-571.1"/>
    <n v="1427.9"/>
    <n v="217.82"/>
    <n v="18"/>
    <s v="NE REDCARD TOTE BAG"/>
    <n v="50170981"/>
    <s v="COMPLETED"/>
    <m/>
    <m/>
    <s v="GnG"/>
    <n v="0"/>
    <x v="5"/>
    <n v="0"/>
  </r>
  <r>
    <n v="44"/>
    <s v="TLX5"/>
    <s v="SALE"/>
    <s v="TLX5102004426092026"/>
    <d v="2026-09-26T16:28:37"/>
    <n v="3"/>
    <n v="8904384330062"/>
    <n v="1"/>
    <n v="2499"/>
    <n v="-713.95"/>
    <n v="0"/>
    <n v="-713.95"/>
    <n v="1785.05"/>
    <n v="272.3"/>
    <n v="18"/>
    <s v="E RC CA CLIMB AND GA"/>
    <n v="50170981"/>
    <s v="COMPLETED"/>
    <n v="50195907"/>
    <m/>
    <s v="GnG"/>
    <n v="0"/>
    <x v="5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m/>
    <m/>
    <s v="GnG"/>
    <n v="0"/>
    <x v="5"/>
    <n v="1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m/>
    <m/>
    <s v="GnG"/>
    <n v="0"/>
    <x v="5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m/>
    <m/>
    <s v="GnG"/>
    <n v="0"/>
    <x v="5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m/>
    <m/>
    <s v="GnG"/>
    <n v="0"/>
    <x v="5"/>
    <n v="0"/>
  </r>
  <r>
    <n v="45"/>
    <s v="TLX5"/>
    <s v="SALE"/>
    <s v="TLX5102004526092026"/>
    <d v="2026-09-26T16:31:14"/>
    <n v="3"/>
    <n v="5000394121171"/>
    <n v="1"/>
    <n v="120"/>
    <n v="-34.78"/>
    <n v="0"/>
    <n v="-34.78"/>
    <n v="85.22"/>
    <n v="13"/>
    <n v="18"/>
    <s v="AA 2 CB"/>
    <n v="50170981"/>
    <s v="COMPLETED"/>
    <m/>
    <m/>
    <s v="GnG"/>
    <n v="0"/>
    <x v="5"/>
    <n v="0"/>
  </r>
  <r>
    <n v="45"/>
    <s v="TLX5"/>
    <s v="SALE"/>
    <s v="TLX5102004526092026"/>
    <d v="2026-09-26T16:31:14"/>
    <n v="3"/>
    <n v="494500285"/>
    <n v="1"/>
    <n v="1999"/>
    <n v="-579.27"/>
    <n v="0"/>
    <n v="-579.27"/>
    <n v="1419.73"/>
    <n v="216.56"/>
    <n v="18"/>
    <s v="NE REDCARD TOTE BAG"/>
    <n v="50170981"/>
    <s v="COMPLETED"/>
    <m/>
    <m/>
    <s v="GnG"/>
    <n v="0"/>
    <x v="5"/>
    <n v="0"/>
  </r>
  <r>
    <n v="45"/>
    <s v="TLX5"/>
    <s v="SALE"/>
    <s v="TLX5102004526092026"/>
    <d v="2026-09-26T16:31:14"/>
    <n v="3"/>
    <n v="8904384330093"/>
    <n v="1"/>
    <n v="4299"/>
    <n v="-1245.83"/>
    <n v="0"/>
    <n v="-1245.83"/>
    <n v="3053.17"/>
    <n v="465.74"/>
    <n v="18"/>
    <s v="E RC SPD THWIP AND D"/>
    <n v="50170981"/>
    <s v="COMPLETED"/>
    <n v="50195907"/>
    <m/>
    <s v="GnG"/>
    <n v="0"/>
    <x v="5"/>
    <n v="0"/>
  </r>
  <r>
    <n v="17"/>
    <s v="TLX5"/>
    <s v="SALE"/>
    <s v="TLX5104001726092026"/>
    <d v="2026-09-26T16:31:27"/>
    <n v="3"/>
    <n v="5702017815268"/>
    <n v="1"/>
    <n v="2290"/>
    <n v="-348.13"/>
    <n v="0"/>
    <n v="-348.13"/>
    <n v="1941.87"/>
    <n v="92.48"/>
    <n v="5"/>
    <s v="NE LEGO 42659 FRIEND"/>
    <n v="50157523"/>
    <s v="COMPLETED"/>
    <n v="50195439"/>
    <m/>
    <s v="GnG"/>
    <n v="0"/>
    <x v="5"/>
    <n v="1"/>
  </r>
  <r>
    <n v="17"/>
    <s v="TLX5"/>
    <s v="SALE"/>
    <s v="TLX5104001726092026"/>
    <d v="2026-09-26T16:31:27"/>
    <n v="3"/>
    <n v="8906134713286"/>
    <n v="1"/>
    <n v="999"/>
    <n v="-151.87"/>
    <n v="0"/>
    <n v="-151.87"/>
    <n v="847.13"/>
    <n v="40.340000000000003"/>
    <n v="5"/>
    <s v="NE LIL DIVA PRINCESS"/>
    <n v="50157523"/>
    <s v="COMPLETED"/>
    <n v="50195439"/>
    <m/>
    <s v="GnG"/>
    <n v="0"/>
    <x v="5"/>
    <n v="0"/>
  </r>
  <r>
    <n v="47"/>
    <s v="TLX5"/>
    <s v="SALE"/>
    <s v="TLX5102004726092026"/>
    <d v="2026-09-26T16:35:59"/>
    <n v="3"/>
    <n v="27084120134"/>
    <n v="1"/>
    <n v="179"/>
    <n v="0"/>
    <n v="0"/>
    <n v="0"/>
    <n v="179"/>
    <n v="8.52"/>
    <n v="5"/>
    <s v="NE HW BASIC CAR ASST"/>
    <n v="50170981"/>
    <s v="COMPLETED"/>
    <m/>
    <m/>
    <s v="GnG"/>
    <n v="0"/>
    <x v="5"/>
    <n v="1"/>
  </r>
  <r>
    <n v="49"/>
    <s v="TLX5"/>
    <s v="SALE"/>
    <s v="TLX5102004926092026"/>
    <d v="2026-09-26T16:41:19"/>
    <n v="3"/>
    <n v="8905672361010"/>
    <n v="1"/>
    <n v="179"/>
    <n v="-80"/>
    <n v="0"/>
    <n v="-80"/>
    <n v="99"/>
    <n v="4.72"/>
    <n v="5"/>
    <s v="NE RALLEYZ DIECAST S"/>
    <n v="50170981"/>
    <s v="COMPLETED"/>
    <n v="50105787"/>
    <m/>
    <s v="GnG"/>
    <n v="0"/>
    <x v="5"/>
    <n v="1"/>
  </r>
  <r>
    <n v="49"/>
    <s v="TLX5"/>
    <s v="SALE"/>
    <s v="TLX5102004926092026"/>
    <d v="2026-09-26T16:41:19"/>
    <n v="3"/>
    <n v="3467452062647"/>
    <n v="1"/>
    <n v="549"/>
    <n v="0"/>
    <n v="0"/>
    <n v="0"/>
    <n v="549"/>
    <n v="26.14"/>
    <n v="5"/>
    <s v="NE MONSTER ROCKERZ C"/>
    <n v="50170981"/>
    <s v="COMPLETED"/>
    <n v="50105787"/>
    <m/>
    <s v="GnG"/>
    <n v="0"/>
    <x v="5"/>
    <n v="0"/>
  </r>
  <r>
    <n v="49"/>
    <s v="TLX5"/>
    <s v="SALE"/>
    <s v="TLX5102004926092026"/>
    <d v="2026-09-26T16:41:19"/>
    <n v="3"/>
    <n v="8906067981226"/>
    <n v="1"/>
    <n v="799"/>
    <n v="0"/>
    <n v="0"/>
    <n v="0"/>
    <n v="799"/>
    <n v="38.04"/>
    <n v="5"/>
    <s v="NE SB ASST PLAYTOY"/>
    <n v="50170981"/>
    <s v="COMPLETED"/>
    <n v="50105787"/>
    <m/>
    <s v="GnG"/>
    <n v="0"/>
    <x v="5"/>
    <n v="0"/>
  </r>
  <r>
    <n v="50"/>
    <s v="TLX5"/>
    <s v="SALE"/>
    <s v="TLX5102005026092026"/>
    <d v="2026-09-26T16:44:55"/>
    <n v="3"/>
    <n v="8909409261505"/>
    <n v="1"/>
    <n v="2499"/>
    <n v="-374.85"/>
    <n v="0"/>
    <n v="-374.85"/>
    <n v="2124.15"/>
    <n v="101.16"/>
    <n v="5"/>
    <s v="NE GIFT SET SILICON"/>
    <n v="50170981"/>
    <s v="COMPLETED"/>
    <n v="50105787"/>
    <m/>
    <s v="GnG"/>
    <n v="0"/>
    <x v="5"/>
    <n v="1"/>
  </r>
  <r>
    <n v="18"/>
    <s v="TLX5"/>
    <s v="SALE"/>
    <s v="TLX5104001826092026"/>
    <d v="2026-09-26T16:45:23"/>
    <n v="3"/>
    <n v="8904432220864"/>
    <n v="1"/>
    <n v="799"/>
    <n v="0"/>
    <n v="0"/>
    <n v="0"/>
    <n v="799"/>
    <n v="38.04"/>
    <n v="5"/>
    <s v="NE SLOH RAINBOW 30CM"/>
    <n v="50157523"/>
    <s v="COMPLETED"/>
    <n v="50201915"/>
    <m/>
    <s v="GnG"/>
    <n v="0"/>
    <x v="5"/>
    <n v="1"/>
  </r>
  <r>
    <n v="21"/>
    <s v="TLX5"/>
    <s v="SALE"/>
    <s v="TLX5104002126092026"/>
    <d v="2026-09-26T16:49:46"/>
    <n v="3"/>
    <n v="8905672336254"/>
    <n v="1"/>
    <n v="249"/>
    <n v="0"/>
    <n v="0"/>
    <n v="0"/>
    <n v="249"/>
    <n v="11.86"/>
    <n v="5"/>
    <s v="NE DINO RING TOSS GA"/>
    <n v="50157523"/>
    <s v="COMPLETED"/>
    <n v="50105787"/>
    <m/>
    <s v="GnG"/>
    <n v="0"/>
    <x v="5"/>
    <n v="1"/>
  </r>
  <r>
    <n v="21"/>
    <s v="TLX5"/>
    <s v="SALE"/>
    <s v="TLX5104002126092026"/>
    <d v="2026-09-26T16:49:46"/>
    <n v="3"/>
    <n v="8905672336254"/>
    <n v="1"/>
    <n v="249"/>
    <n v="0"/>
    <n v="0"/>
    <n v="0"/>
    <n v="249"/>
    <n v="11.86"/>
    <n v="5"/>
    <s v="NE DINO RING TOSS GA"/>
    <n v="50157523"/>
    <s v="COMPLETED"/>
    <n v="50105787"/>
    <m/>
    <s v="GnG"/>
    <n v="0"/>
    <x v="5"/>
    <n v="0"/>
  </r>
  <r>
    <n v="21"/>
    <s v="TLX5"/>
    <s v="SALE"/>
    <s v="TLX5104002126092026"/>
    <d v="2026-09-26T16:49:46"/>
    <n v="3"/>
    <n v="887961705393"/>
    <n v="1"/>
    <n v="549"/>
    <n v="0"/>
    <n v="0"/>
    <n v="0"/>
    <n v="549"/>
    <n v="26.14"/>
    <n v="5"/>
    <s v="NE MT 164 BASIC ASST"/>
    <n v="50157523"/>
    <s v="COMPLETED"/>
    <n v="50105787"/>
    <m/>
    <s v="GnG"/>
    <n v="0"/>
    <x v="5"/>
    <n v="0"/>
  </r>
  <r>
    <n v="51"/>
    <s v="TLX5"/>
    <s v="SALE"/>
    <s v="TLX5102005126092026"/>
    <d v="2026-09-26T16:51:46"/>
    <n v="3"/>
    <n v="5050048168892"/>
    <n v="1"/>
    <n v="1799"/>
    <n v="-1349.25"/>
    <n v="0"/>
    <n v="-1349.25"/>
    <n v="449.75"/>
    <n v="21.42"/>
    <n v="5"/>
    <s v="NE ELC BUILD IT BITS"/>
    <n v="50170981"/>
    <s v="COMPLETED"/>
    <n v="50105787"/>
    <m/>
    <s v="GnG"/>
    <n v="0"/>
    <x v="5"/>
    <n v="1"/>
  </r>
  <r>
    <n v="51"/>
    <s v="TLX5"/>
    <s v="SALE"/>
    <s v="TLX5102005126092026"/>
    <d v="2026-09-26T16:51:46"/>
    <n v="3"/>
    <n v="630509877379"/>
    <n v="1"/>
    <n v="699"/>
    <n v="-524.25"/>
    <n v="0"/>
    <n v="-524.25"/>
    <n v="174.75"/>
    <n v="8.32"/>
    <n v="5"/>
    <s v="NE NER ALPHA STRIKE"/>
    <n v="50170981"/>
    <s v="COMPLETED"/>
    <n v="50105787"/>
    <m/>
    <s v="GnG"/>
    <n v="0"/>
    <x v="5"/>
    <n v="0"/>
  </r>
  <r>
    <n v="51"/>
    <s v="TLX5"/>
    <s v="SALE"/>
    <s v="TLX5102005126092026"/>
    <d v="2026-09-26T16:51:46"/>
    <n v="3"/>
    <n v="8904153507305"/>
    <n v="1"/>
    <n v="699"/>
    <n v="-524.25"/>
    <n v="0"/>
    <n v="-524.25"/>
    <n v="174.75"/>
    <n v="8.32"/>
    <n v="5"/>
    <s v="NE SS OP MY FIRST TR"/>
    <n v="50170981"/>
    <s v="COMPLETED"/>
    <n v="50105787"/>
    <m/>
    <s v="GnG"/>
    <n v="0"/>
    <x v="5"/>
    <n v="0"/>
  </r>
  <r>
    <n v="51"/>
    <s v="TLX5"/>
    <s v="SALE"/>
    <s v="TLX5102005126092026"/>
    <d v="2026-09-26T16:51:46"/>
    <n v="3"/>
    <n v="630509948079"/>
    <n v="1"/>
    <n v="999"/>
    <n v="-749.25"/>
    <n v="0"/>
    <n v="-749.25"/>
    <n v="249.75"/>
    <n v="38.1"/>
    <n v="18"/>
    <s v="E NERF VOLT SD1 ELIT"/>
    <n v="50170981"/>
    <s v="COMPLETED"/>
    <n v="50105787"/>
    <m/>
    <s v="GnG"/>
    <n v="0"/>
    <x v="5"/>
    <n v="0"/>
  </r>
  <r>
    <n v="23"/>
    <s v="TLX5"/>
    <s v="SALE"/>
    <s v="TLX5104002326092026"/>
    <d v="2026-09-26T16:59:04"/>
    <n v="3"/>
    <n v="8901383959331"/>
    <n v="1"/>
    <n v="349"/>
    <n v="-174.5"/>
    <n v="0"/>
    <n v="-174.5"/>
    <n v="174.5"/>
    <n v="8.3000000000000007"/>
    <n v="5"/>
    <s v="NE FUN DOUGH GIFT SE"/>
    <n v="50157523"/>
    <s v="COMPLETED"/>
    <n v="50000003"/>
    <m/>
    <s v="GnG"/>
    <n v="0"/>
    <x v="5"/>
    <n v="1"/>
  </r>
  <r>
    <n v="23"/>
    <s v="TLX5"/>
    <s v="SALE"/>
    <s v="TLX5104002326092026"/>
    <d v="2026-09-26T16:59:04"/>
    <n v="3"/>
    <n v="8905450220591"/>
    <n v="1"/>
    <n v="699"/>
    <n v="-349.5"/>
    <n v="0"/>
    <n v="-349.5"/>
    <n v="349.5"/>
    <n v="0"/>
    <n v="0"/>
    <s v="NE YOUREKA ETCH ART"/>
    <n v="50157523"/>
    <s v="COMPLETED"/>
    <n v="50000003"/>
    <m/>
    <s v="GnG"/>
    <n v="0"/>
    <x v="5"/>
    <n v="0"/>
  </r>
  <r>
    <n v="54"/>
    <s v="TLX5"/>
    <s v="SALE"/>
    <s v="TLX5102005426092026"/>
    <d v="2026-09-26T17:11:29"/>
    <n v="3"/>
    <n v="8906057366262"/>
    <n v="1"/>
    <n v="1099"/>
    <n v="0"/>
    <n v="0"/>
    <n v="0"/>
    <n v="1099"/>
    <n v="52.34"/>
    <n v="5"/>
    <s v="NE MAPOLOGY PHYSICAL"/>
    <n v="50170981"/>
    <s v="COMPLETED"/>
    <m/>
    <m/>
    <s v="GnG"/>
    <n v="0"/>
    <x v="6"/>
    <n v="1"/>
  </r>
  <r>
    <n v="24"/>
    <s v="TLX5"/>
    <s v="SALE"/>
    <s v="TLX5104002426092026"/>
    <d v="2026-09-26T17:12:38"/>
    <n v="3"/>
    <n v="35995307827"/>
    <n v="1"/>
    <n v="179"/>
    <n v="0"/>
    <n v="0"/>
    <n v="0"/>
    <n v="179"/>
    <n v="8.52"/>
    <n v="5"/>
    <s v="NE MB BASIC CAR ASST"/>
    <n v="50157523"/>
    <s v="COMPLETED"/>
    <n v="50151682"/>
    <m/>
    <s v="GnG"/>
    <n v="0"/>
    <x v="6"/>
    <n v="1"/>
  </r>
  <r>
    <n v="24"/>
    <s v="TLX5"/>
    <s v="SALE"/>
    <s v="TLX5104002426092026"/>
    <d v="2026-09-26T17:12:38"/>
    <n v="3"/>
    <n v="194735358755"/>
    <n v="1"/>
    <n v="299"/>
    <n v="0"/>
    <n v="0"/>
    <n v="0"/>
    <n v="299"/>
    <n v="14.24"/>
    <n v="5"/>
    <s v="NE HW AUTOMOTIVE ASS"/>
    <n v="50157523"/>
    <s v="COMPLETED"/>
    <n v="50151682"/>
    <m/>
    <s v="GnG"/>
    <n v="0"/>
    <x v="6"/>
    <n v="0"/>
  </r>
  <r>
    <n v="55"/>
    <s v="TLX5"/>
    <s v="SALE"/>
    <s v="TLX5102005526092026"/>
    <d v="2026-09-26T17:13:20"/>
    <n v="3"/>
    <n v="5010993306787"/>
    <n v="1"/>
    <n v="3440"/>
    <n v="0"/>
    <n v="0"/>
    <n v="0"/>
    <n v="3440"/>
    <n v="163.80000000000001"/>
    <n v="5"/>
    <s v="E Hasbro Monopoly Ul"/>
    <n v="50170981"/>
    <s v="COMPLETED"/>
    <n v="50201915"/>
    <m/>
    <s v="GnG"/>
    <n v="0"/>
    <x v="6"/>
    <n v="1"/>
  </r>
  <r>
    <n v="56"/>
    <s v="TLX5"/>
    <s v="SALE"/>
    <s v="TLX5102005626092026"/>
    <d v="2026-09-26T17:15:13"/>
    <n v="3"/>
    <n v="8906133255688"/>
    <n v="1"/>
    <n v="199"/>
    <n v="0"/>
    <n v="0"/>
    <n v="0"/>
    <n v="199"/>
    <n v="9.48"/>
    <n v="5"/>
    <s v="NE MVL GO DC SINGLE"/>
    <n v="50170981"/>
    <s v="COMPLETED"/>
    <n v="50000000"/>
    <m/>
    <s v="GnG"/>
    <n v="0"/>
    <x v="6"/>
    <n v="1"/>
  </r>
  <r>
    <n v="57"/>
    <s v="TLX5"/>
    <s v="SALE"/>
    <s v="TLX5102005726092026"/>
    <d v="2026-09-26T17:16:06"/>
    <n v="3"/>
    <n v="8906133255657"/>
    <n v="1"/>
    <n v="199"/>
    <n v="0"/>
    <n v="0"/>
    <n v="0"/>
    <n v="199"/>
    <n v="9.48"/>
    <n v="5"/>
    <s v="NE MVL GO DC SINGLE"/>
    <n v="50170981"/>
    <s v="COMPLETED"/>
    <n v="50195907"/>
    <m/>
    <s v="GnG"/>
    <n v="0"/>
    <x v="6"/>
    <n v="1"/>
  </r>
  <r>
    <n v="57"/>
    <s v="TLX5"/>
    <s v="SALE"/>
    <s v="TLX5102005726092026"/>
    <d v="2026-09-26T17:16:06"/>
    <n v="3"/>
    <n v="74299018060"/>
    <n v="1"/>
    <n v="899"/>
    <n v="0"/>
    <n v="0"/>
    <n v="0"/>
    <n v="899"/>
    <n v="42.8"/>
    <n v="5"/>
    <s v="HW FIVECAR GIFT PACK"/>
    <n v="50170981"/>
    <s v="COMPLETED"/>
    <n v="50157523"/>
    <m/>
    <s v="GnG"/>
    <n v="0"/>
    <x v="6"/>
    <n v="0"/>
  </r>
  <r>
    <n v="58"/>
    <s v="TLX5"/>
    <s v="SALE"/>
    <s v="TLX5102005826092026"/>
    <d v="2026-09-26T17:19:03"/>
    <n v="3"/>
    <n v="8906006063709"/>
    <n v="1"/>
    <n v="999"/>
    <n v="0"/>
    <n v="0"/>
    <n v="0"/>
    <n v="999"/>
    <n v="47.58"/>
    <n v="5"/>
    <s v="NE YOUREKA CRYSTAL M"/>
    <n v="50170981"/>
    <s v="COMPLETED"/>
    <m/>
    <m/>
    <s v="GnG"/>
    <n v="0"/>
    <x v="6"/>
    <n v="1"/>
  </r>
  <r>
    <n v="59"/>
    <s v="TLX5"/>
    <s v="SALE"/>
    <s v="TLX5102005926092026"/>
    <d v="2026-09-26T17:20:51"/>
    <n v="3"/>
    <n v="887961705430"/>
    <n v="1"/>
    <n v="1099"/>
    <n v="0"/>
    <n v="0"/>
    <n v="0"/>
    <n v="1099"/>
    <n v="52.34"/>
    <n v="5"/>
    <s v="NE MT DEMOLITION DOU"/>
    <n v="50170981"/>
    <s v="COMPLETED"/>
    <n v="50195439"/>
    <m/>
    <s v="GnG"/>
    <n v="0"/>
    <x v="6"/>
    <n v="1"/>
  </r>
  <r>
    <n v="60"/>
    <s v="TLX5"/>
    <s v="SALE"/>
    <s v="TLX5102006026092026"/>
    <d v="2026-09-26T17:22:04"/>
    <n v="3"/>
    <n v="9789352769117"/>
    <n v="1"/>
    <n v="295"/>
    <n v="-236"/>
    <n v="0"/>
    <n v="-236"/>
    <n v="59"/>
    <n v="0"/>
    <n v="0"/>
    <s v="NE 99 QUESTIONS AND"/>
    <n v="50170981"/>
    <s v="COMPLETED"/>
    <n v="50000002"/>
    <s v="DSELL"/>
    <s v="GnG"/>
    <n v="0"/>
    <x v="6"/>
    <n v="1"/>
  </r>
  <r>
    <n v="60"/>
    <s v="TLX5"/>
    <s v="SALE"/>
    <s v="TLX5102006026092026"/>
    <d v="2026-09-26T17:22:04"/>
    <n v="3"/>
    <n v="8904279509726"/>
    <n v="1"/>
    <n v="749"/>
    <n v="0"/>
    <n v="0"/>
    <n v="0"/>
    <n v="749"/>
    <n v="35.659999999999997"/>
    <n v="5"/>
    <s v="NE SIZZLE"/>
    <n v="50170981"/>
    <s v="COMPLETED"/>
    <n v="50000002"/>
    <s v="DSELL"/>
    <s v="GnG"/>
    <n v="0"/>
    <x v="6"/>
    <n v="0"/>
  </r>
  <r>
    <n v="60"/>
    <s v="TLX5"/>
    <s v="SALE"/>
    <s v="TLX5102006026092026"/>
    <d v="2026-09-26T17:22:04"/>
    <n v="3"/>
    <n v="74299018060"/>
    <n v="1"/>
    <n v="899"/>
    <n v="0"/>
    <n v="0"/>
    <n v="0"/>
    <n v="899"/>
    <n v="42.8"/>
    <n v="5"/>
    <s v="HW FIVECAR GIFT PACK"/>
    <n v="50170981"/>
    <s v="COMPLETED"/>
    <n v="50000002"/>
    <s v="DSELL"/>
    <s v="GnG"/>
    <n v="0"/>
    <x v="6"/>
    <n v="0"/>
  </r>
  <r>
    <n v="60"/>
    <s v="TLX5"/>
    <s v="SALE"/>
    <s v="TLX5102006026092026"/>
    <d v="2026-09-26T17:22:04"/>
    <n v="3"/>
    <n v="8904279518285"/>
    <n v="1"/>
    <n v="999"/>
    <n v="0"/>
    <n v="0"/>
    <n v="0"/>
    <n v="999"/>
    <n v="47.58"/>
    <n v="5"/>
    <s v="NE BRAIN BLOCKS"/>
    <n v="50170981"/>
    <s v="COMPLETED"/>
    <n v="50000002"/>
    <s v="DSELL"/>
    <s v="GnG"/>
    <n v="0"/>
    <x v="6"/>
    <n v="0"/>
  </r>
  <r>
    <n v="60"/>
    <s v="TLX5"/>
    <s v="SALE"/>
    <s v="TLX5102006026092026"/>
    <d v="2026-09-26T17:22:04"/>
    <n v="3"/>
    <n v="8904279510449"/>
    <n v="1"/>
    <n v="999"/>
    <n v="0"/>
    <n v="0"/>
    <n v="0"/>
    <n v="999"/>
    <n v="47.58"/>
    <n v="5"/>
    <s v="NE PUN INTENDED"/>
    <n v="50170981"/>
    <s v="COMPLETED"/>
    <n v="50000002"/>
    <s v="DSELL"/>
    <s v="GnG"/>
    <n v="0"/>
    <x v="6"/>
    <n v="0"/>
  </r>
  <r>
    <n v="25"/>
    <s v="TLX5"/>
    <s v="SALE"/>
    <s v="TLX5104002526092026"/>
    <d v="2026-09-26T17:24:36"/>
    <n v="3"/>
    <n v="195166223391"/>
    <n v="1"/>
    <n v="2499"/>
    <n v="0"/>
    <n v="0"/>
    <n v="0"/>
    <n v="2499"/>
    <n v="119"/>
    <n v="5"/>
    <s v="NE WORDLE THE PARTY"/>
    <n v="50157523"/>
    <s v="COMPLETED"/>
    <n v="50195907"/>
    <m/>
    <s v="GnG"/>
    <n v="0"/>
    <x v="6"/>
    <n v="1"/>
  </r>
  <r>
    <n v="25"/>
    <s v="TLX5"/>
    <s v="SALE"/>
    <s v="TLX5104002526092026"/>
    <d v="2026-09-26T17:24:36"/>
    <n v="3"/>
    <n v="74299018060"/>
    <n v="1"/>
    <n v="899"/>
    <n v="0"/>
    <n v="0"/>
    <n v="0"/>
    <n v="899"/>
    <n v="42.8"/>
    <n v="5"/>
    <s v="HW FIVECAR GIFT PACK"/>
    <n v="50157523"/>
    <s v="COMPLETED"/>
    <n v="50000002"/>
    <m/>
    <s v="GnG"/>
    <n v="0"/>
    <x v="6"/>
    <n v="0"/>
  </r>
  <r>
    <n v="25"/>
    <s v="TLX5"/>
    <s v="SALE"/>
    <s v="TLX5104002526092026"/>
    <d v="2026-09-26T17:24:36"/>
    <n v="3"/>
    <n v="74299018060"/>
    <n v="1"/>
    <n v="899"/>
    <n v="0"/>
    <n v="0"/>
    <n v="0"/>
    <n v="899"/>
    <n v="42.8"/>
    <n v="5"/>
    <s v="HW FIVECAR GIFT PACK"/>
    <n v="50157523"/>
    <s v="COMPLETED"/>
    <n v="50195907"/>
    <m/>
    <s v="GnG"/>
    <n v="0"/>
    <x v="6"/>
    <n v="0"/>
  </r>
  <r>
    <n v="62"/>
    <s v="TLX5"/>
    <s v="SALE"/>
    <s v="TLX5102006226092026"/>
    <d v="2026-09-26T17:30:20"/>
    <n v="3"/>
    <n v="887961629385"/>
    <n v="1"/>
    <n v="199"/>
    <n v="0"/>
    <n v="0"/>
    <n v="0"/>
    <n v="199"/>
    <n v="9.48"/>
    <n v="5"/>
    <s v="NE DOS"/>
    <n v="50170981"/>
    <s v="COMPLETED"/>
    <n v="50170981"/>
    <m/>
    <s v="GnG"/>
    <n v="0"/>
    <x v="6"/>
    <n v="1"/>
  </r>
  <r>
    <n v="62"/>
    <s v="TLX5"/>
    <s v="SALE"/>
    <s v="TLX5102006226092026"/>
    <d v="2026-09-26T17:30:20"/>
    <n v="3"/>
    <n v="74299018060"/>
    <n v="1"/>
    <n v="899"/>
    <n v="0"/>
    <n v="0"/>
    <n v="0"/>
    <n v="899"/>
    <n v="42.8"/>
    <n v="5"/>
    <s v="HW FIVECAR GIFT PACK"/>
    <n v="50170981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1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000002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57523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70981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8893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439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90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90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195907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50201915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7429901806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7429901806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7429901806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74299018060"/>
    <m/>
    <s v="GnG"/>
    <n v="0"/>
    <x v="6"/>
    <n v="0"/>
  </r>
  <r>
    <n v="26"/>
    <s v="TLX5"/>
    <s v="SALE"/>
    <s v="TLX5104002626092026"/>
    <d v="2026-09-26T17:30:42"/>
    <n v="2"/>
    <n v="74299018060"/>
    <n v="1"/>
    <n v="899"/>
    <n v="-179.8"/>
    <n v="0"/>
    <n v="-179.8"/>
    <n v="719.2"/>
    <n v="34.25"/>
    <n v="5"/>
    <s v="HW FIVECAR GIFT PACK"/>
    <n v="50157523"/>
    <s v="COMPLETED"/>
    <n v="74299018060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000003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05787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26"/>
    <s v="TLX5"/>
    <s v="SALE"/>
    <s v="TLX5104002626092026"/>
    <d v="2026-09-26T17:30:42"/>
    <n v="2"/>
    <n v="194735367870"/>
    <n v="1"/>
    <n v="899"/>
    <n v="-179.8"/>
    <n v="0"/>
    <n v="-179.8"/>
    <n v="719.2"/>
    <n v="34.25"/>
    <n v="5"/>
    <s v="NE HW 5 CAR PK RACE"/>
    <n v="50157523"/>
    <s v="COMPLETED"/>
    <n v="50151682"/>
    <m/>
    <s v="GnG"/>
    <n v="0"/>
    <x v="6"/>
    <n v="0"/>
  </r>
  <r>
    <n v="63"/>
    <s v="TLX5"/>
    <s v="SALE"/>
    <s v="TLX5102006326092026"/>
    <d v="2026-09-26T17:32:41"/>
    <n v="3"/>
    <n v="494500285"/>
    <n v="1"/>
    <n v="1999"/>
    <n v="-214.08"/>
    <n v="0"/>
    <n v="-214.08"/>
    <n v="1784.92"/>
    <n v="272.27999999999997"/>
    <n v="18"/>
    <s v="NE REDCARD TOTE BAG"/>
    <n v="50170981"/>
    <s v="COMPLETED"/>
    <m/>
    <m/>
    <s v="GnG"/>
    <n v="0"/>
    <x v="6"/>
    <n v="1"/>
  </r>
  <r>
    <n v="63"/>
    <s v="TLX5"/>
    <s v="SALE"/>
    <s v="TLX5102006326092026"/>
    <d v="2026-09-26T17:32:41"/>
    <n v="3"/>
    <n v="8905672336254"/>
    <n v="1"/>
    <n v="249"/>
    <n v="-26.66"/>
    <n v="0"/>
    <n v="-26.66"/>
    <n v="222.34"/>
    <n v="10.58"/>
    <n v="5"/>
    <s v="NE DINO RING TOSS GA"/>
    <n v="50170981"/>
    <s v="COMPLETED"/>
    <n v="50000003"/>
    <m/>
    <s v="GnG"/>
    <n v="0"/>
    <x v="6"/>
    <n v="0"/>
  </r>
  <r>
    <n v="63"/>
    <s v="TLX5"/>
    <s v="SALE"/>
    <s v="TLX5102006326092026"/>
    <d v="2026-09-26T17:32:41"/>
    <n v="3"/>
    <n v="8908013692194"/>
    <n v="1"/>
    <n v="2499"/>
    <n v="-267.62"/>
    <n v="0"/>
    <n v="-267.62"/>
    <n v="2231.38"/>
    <n v="106.26"/>
    <n v="5"/>
    <s v="NE SHIFU TACTO CHESS"/>
    <n v="50170981"/>
    <s v="COMPLETED"/>
    <n v="50000003"/>
    <m/>
    <s v="GnG"/>
    <n v="0"/>
    <x v="6"/>
    <n v="0"/>
  </r>
  <r>
    <n v="63"/>
    <s v="TLX5"/>
    <s v="SALE"/>
    <s v="TLX5102006326092026"/>
    <d v="2026-09-26T17:32:41"/>
    <n v="3"/>
    <n v="8905672336230"/>
    <n v="1"/>
    <n v="299"/>
    <n v="-32.020000000000003"/>
    <n v="0"/>
    <n v="-32.020000000000003"/>
    <n v="266.98"/>
    <n v="12.72"/>
    <n v="5"/>
    <s v="NE SEA MONSTER PINBA"/>
    <n v="50170981"/>
    <s v="COMPLETED"/>
    <n v="50000003"/>
    <m/>
    <s v="GnG"/>
    <n v="0"/>
    <x v="6"/>
    <n v="0"/>
  </r>
  <r>
    <n v="63"/>
    <s v="TLX5"/>
    <s v="SALE"/>
    <s v="TLX5102006326092026"/>
    <d v="2026-09-26T17:32:41"/>
    <n v="3"/>
    <n v="8904027124218"/>
    <n v="1"/>
    <n v="2999"/>
    <n v="-321.18"/>
    <n v="0"/>
    <n v="-321.18"/>
    <n v="2677.82"/>
    <n v="408.48"/>
    <n v="18"/>
    <s v="E PARTY MIC GOLD NEW"/>
    <n v="50170981"/>
    <s v="COMPLETED"/>
    <n v="50000001"/>
    <m/>
    <s v="GnG"/>
    <n v="0"/>
    <x v="6"/>
    <n v="0"/>
  </r>
  <r>
    <n v="63"/>
    <s v="TLX5"/>
    <s v="SALE"/>
    <s v="TLX5102006326092026"/>
    <d v="2026-09-26T17:32:41"/>
    <n v="3"/>
    <n v="4891813880523"/>
    <n v="1"/>
    <n v="5495"/>
    <n v="-588.48"/>
    <n v="0"/>
    <n v="-588.48"/>
    <n v="4906.5200000000004"/>
    <n v="748.46"/>
    <n v="18"/>
    <s v="E ROBO KOMBAT RC ROB"/>
    <n v="50170981"/>
    <s v="COMPLETED"/>
    <n v="50000001"/>
    <m/>
    <s v="GnG"/>
    <n v="0"/>
    <x v="6"/>
    <n v="0"/>
  </r>
  <r>
    <n v="63"/>
    <s v="TLX5"/>
    <s v="SALE"/>
    <s v="TLX5102006326092026"/>
    <d v="2026-09-26T17:32:41"/>
    <n v="3"/>
    <n v="8905450756212"/>
    <n v="1"/>
    <n v="599"/>
    <n v="-64.14"/>
    <n v="0"/>
    <n v="-64.14"/>
    <n v="534.86"/>
    <n v="25.46"/>
    <n v="5"/>
    <s v="NE MII 2 PACK PLANE"/>
    <n v="50170981"/>
    <s v="COMPLETED"/>
    <n v="50000003"/>
    <m/>
    <s v="GnG"/>
    <n v="0"/>
    <x v="6"/>
    <n v="0"/>
  </r>
  <r>
    <n v="63"/>
    <s v="TLX5"/>
    <s v="SALE"/>
    <s v="TLX5102006326092026"/>
    <d v="2026-09-26T17:32:41"/>
    <n v="3"/>
    <n v="6923744065309"/>
    <n v="1"/>
    <n v="749"/>
    <n v="-80.22"/>
    <n v="0"/>
    <n v="-80.22"/>
    <n v="668.78"/>
    <n v="102.02"/>
    <n v="18"/>
    <s v="NE MARVEL CAPTAIN AM"/>
    <n v="50170981"/>
    <s v="COMPLETED"/>
    <n v="50000001"/>
    <m/>
    <s v="GnG"/>
    <n v="0"/>
    <x v="6"/>
    <n v="0"/>
  </r>
  <r>
    <n v="63"/>
    <s v="TLX5"/>
    <s v="SALE"/>
    <s v="TLX5102006326092026"/>
    <d v="2026-09-26T17:32:41"/>
    <n v="3"/>
    <n v="6923744063558"/>
    <n v="1"/>
    <n v="749"/>
    <n v="-80.22"/>
    <n v="0"/>
    <n v="-80.22"/>
    <n v="668.78"/>
    <n v="102.02"/>
    <n v="18"/>
    <s v="NE MARVEL SPIDER MAN"/>
    <n v="50170981"/>
    <s v="COMPLETED"/>
    <n v="50000003"/>
    <m/>
    <s v="GnG"/>
    <n v="0"/>
    <x v="6"/>
    <n v="0"/>
  </r>
  <r>
    <n v="63"/>
    <s v="TLX5"/>
    <s v="SALE"/>
    <s v="TLX5102006326092026"/>
    <d v="2026-09-26T17:32:41"/>
    <n v="3"/>
    <n v="8908014554637"/>
    <n v="1"/>
    <n v="9999"/>
    <n v="-1070.83"/>
    <n v="0"/>
    <n v="-1070.83"/>
    <n v="8928.17"/>
    <n v="1361.92"/>
    <n v="18"/>
    <s v="E MIKO MINI BLUE"/>
    <n v="50170981"/>
    <s v="COMPLETED"/>
    <n v="50000003"/>
    <m/>
    <s v="GnG"/>
    <n v="0"/>
    <x v="6"/>
    <n v="0"/>
  </r>
  <r>
    <n v="66"/>
    <s v="TLX5"/>
    <s v="SALE"/>
    <s v="TLX5102006626092026"/>
    <d v="2026-09-26T17:40:51"/>
    <n v="3"/>
    <n v="8906184290041"/>
    <n v="1"/>
    <n v="1299"/>
    <n v="-144.57"/>
    <n v="0"/>
    <n v="-144.57"/>
    <n v="1154.43"/>
    <n v="176.1"/>
    <n v="18"/>
    <s v="E 1 24 VEVA HI SPEED"/>
    <n v="50170981"/>
    <s v="COMPLETED"/>
    <m/>
    <m/>
    <s v="GnG"/>
    <n v="0"/>
    <x v="6"/>
    <n v="1"/>
  </r>
  <r>
    <n v="66"/>
    <s v="TLX5"/>
    <s v="SALE"/>
    <s v="TLX5102006626092026"/>
    <d v="2026-09-26T17:40:51"/>
    <n v="3"/>
    <n v="3467452037713"/>
    <n v="1"/>
    <n v="199"/>
    <n v="-22.15"/>
    <n v="0"/>
    <n v="-22.15"/>
    <n v="176.85"/>
    <n v="8.42"/>
    <n v="5"/>
    <s v="NE MAJORETTE STREET"/>
    <n v="50170981"/>
    <s v="COMPLETED"/>
    <m/>
    <m/>
    <s v="GnG"/>
    <n v="0"/>
    <x v="6"/>
    <n v="0"/>
  </r>
  <r>
    <n v="66"/>
    <s v="TLX5"/>
    <s v="SALE"/>
    <s v="TLX5102006626092026"/>
    <d v="2026-09-26T17:40:51"/>
    <n v="3"/>
    <n v="8904027128131"/>
    <n v="1"/>
    <n v="299"/>
    <n v="-33.28"/>
    <n v="0"/>
    <n v="-33.28"/>
    <n v="265.72000000000003"/>
    <n v="12.66"/>
    <n v="5"/>
    <s v="NE SHOOTING STAR SQU"/>
    <n v="50170981"/>
    <s v="COMPLETED"/>
    <n v="50195439"/>
    <m/>
    <s v="GnG"/>
    <n v="0"/>
    <x v="6"/>
    <n v="0"/>
  </r>
  <r>
    <n v="67"/>
    <s v="TLX5"/>
    <s v="SALE"/>
    <s v="TLX5102006726092026"/>
    <d v="2026-09-26T17:42:32"/>
    <n v="3"/>
    <n v="3467452077542"/>
    <n v="1"/>
    <n v="899"/>
    <n v="0"/>
    <n v="0"/>
    <n v="0"/>
    <n v="899"/>
    <n v="42.8"/>
    <n v="5"/>
    <s v="NE MJT CITY TRNSPTR"/>
    <n v="50170981"/>
    <s v="COMPLETED"/>
    <n v="3467452077542"/>
    <m/>
    <s v="GnG"/>
    <n v="0"/>
    <x v="6"/>
    <n v="1"/>
  </r>
  <r>
    <n v="70"/>
    <s v="TLX5"/>
    <s v="SALE"/>
    <s v="TLX5102007026092026"/>
    <d v="2026-09-26T17:51:41"/>
    <n v="3"/>
    <n v="194735358755"/>
    <n v="1"/>
    <n v="299"/>
    <n v="-94.86"/>
    <n v="0"/>
    <n v="-94.86"/>
    <n v="204.14"/>
    <n v="9.7200000000000006"/>
    <n v="5"/>
    <s v="NE HW AUTOMOTIVE ASS"/>
    <n v="50170981"/>
    <s v="COMPLETED"/>
    <n v="50170981"/>
    <m/>
    <s v="GnG"/>
    <n v="0"/>
    <x v="6"/>
    <n v="1"/>
  </r>
  <r>
    <n v="70"/>
    <s v="TLX5"/>
    <s v="SALE"/>
    <s v="TLX5102007026092026"/>
    <d v="2026-09-26T17:51:41"/>
    <n v="3"/>
    <n v="194735358762"/>
    <n v="1"/>
    <n v="299"/>
    <n v="-94.86"/>
    <n v="0"/>
    <n v="-94.86"/>
    <n v="204.14"/>
    <n v="9.7200000000000006"/>
    <n v="5"/>
    <s v="NE HW AUTOMOTIVE ASS"/>
    <n v="50170981"/>
    <s v="COMPLETED"/>
    <n v="50170981"/>
    <m/>
    <s v="GnG"/>
    <n v="0"/>
    <x v="6"/>
    <n v="0"/>
  </r>
  <r>
    <n v="70"/>
    <s v="TLX5"/>
    <s v="SALE"/>
    <s v="TLX5102007026092026"/>
    <d v="2026-09-26T17:51:41"/>
    <n v="3"/>
    <n v="8905450074064"/>
    <n v="1"/>
    <n v="79"/>
    <n v="-25.06"/>
    <n v="0"/>
    <n v="-25.06"/>
    <n v="53.94"/>
    <n v="2.56"/>
    <n v="5"/>
    <s v="NE BUBBLE WAND"/>
    <n v="50170981"/>
    <s v="COMPLETED"/>
    <m/>
    <m/>
    <s v="GnG"/>
    <n v="0"/>
    <x v="6"/>
    <n v="0"/>
  </r>
  <r>
    <n v="70"/>
    <s v="TLX5"/>
    <s v="SALE"/>
    <s v="TLX5102007026092026"/>
    <d v="2026-09-26T17:51:41"/>
    <n v="3"/>
    <n v="74299018060"/>
    <n v="1"/>
    <n v="899"/>
    <n v="-285.22000000000003"/>
    <n v="0"/>
    <n v="-285.22000000000003"/>
    <n v="613.78"/>
    <n v="29.22"/>
    <n v="5"/>
    <s v="HW FIVECAR GIFT PACK"/>
    <n v="50170981"/>
    <s v="COMPLETED"/>
    <n v="50170981"/>
    <m/>
    <s v="GnG"/>
    <n v="0"/>
    <x v="6"/>
    <n v="0"/>
  </r>
  <r>
    <n v="71"/>
    <s v="TLX5"/>
    <s v="SALE"/>
    <s v="TLX5102007126092026"/>
    <d v="2026-09-26T17:57:11"/>
    <n v="3"/>
    <n v="796554109268"/>
    <n v="1"/>
    <n v="1499"/>
    <n v="0"/>
    <n v="0"/>
    <n v="0"/>
    <n v="1499"/>
    <n v="228.66"/>
    <n v="18"/>
    <s v="E 1 24 VEVA MINI RAC"/>
    <n v="50170981"/>
    <s v="COMPLETED"/>
    <n v="50000002"/>
    <m/>
    <s v="GnG"/>
    <n v="0"/>
    <x v="6"/>
    <n v="1"/>
  </r>
  <r>
    <n v="71"/>
    <s v="TLX5"/>
    <s v="SALE"/>
    <s v="TLX5102007126092026"/>
    <d v="2026-09-26T17:57:11"/>
    <n v="3"/>
    <n v="8906057366101"/>
    <n v="1"/>
    <n v="699"/>
    <n v="0"/>
    <n v="0"/>
    <n v="0"/>
    <n v="699"/>
    <n v="33.28"/>
    <n v="5"/>
    <s v="NE IMM WINDOW ART PR"/>
    <n v="50170981"/>
    <s v="COMPLETED"/>
    <m/>
    <m/>
    <s v="GnG"/>
    <n v="0"/>
    <x v="6"/>
    <n v="0"/>
  </r>
  <r>
    <n v="72"/>
    <s v="TLX5"/>
    <s v="SALE"/>
    <s v="TLX5102007226092026"/>
    <d v="2026-09-26T18:00:41"/>
    <n v="3"/>
    <n v="850068290659"/>
    <n v="1"/>
    <n v="1499"/>
    <n v="0"/>
    <n v="0"/>
    <n v="0"/>
    <n v="1499"/>
    <n v="71.38"/>
    <n v="5"/>
    <s v="NE SKM STICKI ROLLS"/>
    <n v="50170981"/>
    <s v="COMPLETED"/>
    <n v="50195439"/>
    <m/>
    <s v="GnG"/>
    <n v="0"/>
    <x v="7"/>
    <n v="1"/>
  </r>
  <r>
    <n v="72"/>
    <s v="TLX5"/>
    <s v="SALE"/>
    <s v="TLX5102007226092026"/>
    <d v="2026-09-26T18:00:41"/>
    <n v="3"/>
    <n v="8905450997417"/>
    <n v="1"/>
    <n v="199"/>
    <n v="0"/>
    <n v="0"/>
    <n v="0"/>
    <n v="199"/>
    <n v="9.48"/>
    <n v="5"/>
    <s v="NE HM BUBBLE BOTTLE"/>
    <n v="50170981"/>
    <s v="COMPLETED"/>
    <m/>
    <m/>
    <s v="GnG"/>
    <n v="0"/>
    <x v="7"/>
    <n v="0"/>
  </r>
  <r>
    <n v="72"/>
    <s v="TLX5"/>
    <s v="SALE"/>
    <s v="TLX5102007226092026"/>
    <d v="2026-09-26T18:00:41"/>
    <n v="3"/>
    <n v="8905450997417"/>
    <n v="1"/>
    <n v="199"/>
    <n v="0"/>
    <n v="0"/>
    <n v="0"/>
    <n v="199"/>
    <n v="9.48"/>
    <n v="5"/>
    <s v="NE HM BUBBLE BOTTLE"/>
    <n v="50170981"/>
    <s v="COMPLETED"/>
    <m/>
    <m/>
    <s v="GnG"/>
    <n v="0"/>
    <x v="7"/>
    <n v="0"/>
  </r>
  <r>
    <n v="72"/>
    <s v="TLX5"/>
    <s v="SALE"/>
    <s v="TLX5102007226092026"/>
    <d v="2026-09-26T18:00:41"/>
    <n v="3"/>
    <n v="8904279507517"/>
    <n v="1"/>
    <n v="936"/>
    <n v="0"/>
    <n v="0"/>
    <n v="0"/>
    <n v="936"/>
    <n v="44.58"/>
    <n v="5"/>
    <s v="NE SKM SAND TASTIC A"/>
    <n v="50170981"/>
    <s v="COMPLETED"/>
    <n v="50195439"/>
    <m/>
    <s v="GnG"/>
    <n v="0"/>
    <x v="7"/>
    <n v="0"/>
  </r>
  <r>
    <n v="72"/>
    <s v="TLX5"/>
    <s v="SALE"/>
    <s v="TLX5102007226092026"/>
    <d v="2026-09-26T18:00:41"/>
    <n v="3"/>
    <n v="850068290680"/>
    <n v="1"/>
    <n v="999"/>
    <n v="0"/>
    <n v="0"/>
    <n v="0"/>
    <n v="999"/>
    <n v="47.58"/>
    <n v="5"/>
    <s v="NE SKM STICKI ROLLS"/>
    <n v="50170981"/>
    <s v="COMPLETED"/>
    <n v="50195439"/>
    <m/>
    <s v="GnG"/>
    <n v="0"/>
    <x v="7"/>
    <n v="0"/>
  </r>
  <r>
    <n v="74"/>
    <s v="TLX5"/>
    <s v="SALE"/>
    <s v="TLX5102007426092026"/>
    <d v="2026-09-26T18:04:12"/>
    <n v="3"/>
    <n v="194735284931"/>
    <n v="1"/>
    <n v="449"/>
    <n v="0"/>
    <n v="0"/>
    <n v="0"/>
    <n v="449"/>
    <n v="21.38"/>
    <n v="5"/>
    <s v="NE MT MBX SKYBUSTERS"/>
    <n v="50170981"/>
    <s v="COMPLETED"/>
    <n v="50195439"/>
    <m/>
    <s v="GnG"/>
    <n v="0"/>
    <x v="7"/>
    <n v="1"/>
  </r>
  <r>
    <n v="74"/>
    <s v="TLX5"/>
    <s v="SALE"/>
    <s v="TLX5102007426092026"/>
    <d v="2026-09-26T18:04:12"/>
    <n v="3"/>
    <n v="194735284931"/>
    <n v="1"/>
    <n v="449"/>
    <n v="0"/>
    <n v="0"/>
    <n v="0"/>
    <n v="449"/>
    <n v="21.38"/>
    <n v="5"/>
    <s v="NE MT MBX SKYBUSTERS"/>
    <n v="50170981"/>
    <s v="COMPLETED"/>
    <n v="50195439"/>
    <m/>
    <s v="GnG"/>
    <n v="0"/>
    <x v="7"/>
    <n v="0"/>
  </r>
  <r>
    <n v="75"/>
    <s v="TLX5"/>
    <s v="SALE"/>
    <s v="TLX5102007526092026"/>
    <d v="2026-09-26T18:04:53"/>
    <n v="3"/>
    <n v="8907653110532"/>
    <n v="1"/>
    <n v="295"/>
    <n v="0"/>
    <n v="0"/>
    <n v="0"/>
    <n v="295"/>
    <n v="14.04"/>
    <n v="5"/>
    <m/>
    <n v="50170981"/>
    <s v="COMPLETED"/>
    <m/>
    <m/>
    <s v="GnG"/>
    <n v="0"/>
    <x v="7"/>
    <n v="1"/>
  </r>
  <r>
    <n v="75"/>
    <s v="TLX5"/>
    <s v="SALE"/>
    <s v="TLX5102007526092026"/>
    <d v="2026-09-26T18:04:53"/>
    <n v="3"/>
    <n v="8907653091404"/>
    <n v="1"/>
    <n v="395"/>
    <n v="0"/>
    <n v="0"/>
    <n v="0"/>
    <n v="395"/>
    <n v="60.26"/>
    <n v="18"/>
    <s v="KIDS BAG 25 3131 1"/>
    <n v="50170981"/>
    <s v="COMPLETED"/>
    <m/>
    <m/>
    <s v="GnG"/>
    <n v="0"/>
    <x v="7"/>
    <n v="0"/>
  </r>
  <r>
    <n v="75"/>
    <s v="TLX5"/>
    <s v="SALE"/>
    <s v="TLX5102007526092026"/>
    <d v="2026-09-26T18:04:53"/>
    <n v="3"/>
    <n v="74299018060"/>
    <n v="1"/>
    <n v="899"/>
    <n v="0"/>
    <n v="0"/>
    <n v="0"/>
    <n v="899"/>
    <n v="42.8"/>
    <n v="5"/>
    <s v="HW FIVECAR GIFT PACK"/>
    <n v="50170981"/>
    <s v="COMPLETED"/>
    <n v="50195907"/>
    <m/>
    <s v="GnG"/>
    <n v="0"/>
    <x v="7"/>
    <n v="0"/>
  </r>
  <r>
    <n v="76"/>
    <s v="TLX5"/>
    <s v="SALE"/>
    <s v="TLX5102007626092026"/>
    <d v="2026-09-26T18:06:30"/>
    <n v="3"/>
    <n v="195166311715"/>
    <n v="1"/>
    <n v="299"/>
    <n v="0"/>
    <n v="0"/>
    <n v="0"/>
    <n v="299"/>
    <n v="45.62"/>
    <n v="18"/>
    <s v="NE PD CLASSIC 4 PACK"/>
    <n v="50170981"/>
    <s v="COMPLETED"/>
    <n v="50195439"/>
    <m/>
    <s v="GnG"/>
    <n v="0"/>
    <x v="7"/>
    <n v="1"/>
  </r>
  <r>
    <n v="76"/>
    <s v="TLX5"/>
    <s v="SALE"/>
    <s v="TLX5102007626092026"/>
    <d v="2026-09-26T18:06:30"/>
    <n v="3"/>
    <n v="8904279519534"/>
    <n v="1"/>
    <n v="499"/>
    <n v="0"/>
    <n v="0"/>
    <n v="0"/>
    <n v="499"/>
    <n v="23.76"/>
    <n v="5"/>
    <s v="NE SKM DOT IT WORLD"/>
    <n v="50170981"/>
    <s v="COMPLETED"/>
    <n v="50195439"/>
    <m/>
    <s v="GnG"/>
    <n v="0"/>
    <x v="7"/>
    <n v="0"/>
  </r>
  <r>
    <n v="76"/>
    <s v="TLX5"/>
    <s v="SALE"/>
    <s v="TLX5102007626092026"/>
    <d v="2026-09-26T18:06:30"/>
    <n v="3"/>
    <n v="8909409033904"/>
    <n v="1"/>
    <n v="699"/>
    <n v="0"/>
    <n v="0"/>
    <n v="0"/>
    <n v="699"/>
    <n v="33.28"/>
    <n v="5"/>
    <s v="NE COLLECTIBLE MANTI"/>
    <n v="50170981"/>
    <s v="COMPLETED"/>
    <n v="50188930"/>
    <m/>
    <s v="GnG"/>
    <n v="0"/>
    <x v="7"/>
    <n v="0"/>
  </r>
  <r>
    <n v="77"/>
    <s v="TLX5"/>
    <s v="SALE"/>
    <s v="TLX5102007726092026"/>
    <d v="2026-09-26T18:09:57"/>
    <n v="3"/>
    <n v="194735266357"/>
    <n v="1"/>
    <n v="2799"/>
    <n v="0"/>
    <n v="0"/>
    <n v="0"/>
    <n v="2799"/>
    <n v="133.28"/>
    <n v="5"/>
    <s v="NE HW ACTION TURBINE"/>
    <n v="50170981"/>
    <s v="COMPLETED"/>
    <n v="50000001"/>
    <m/>
    <s v="GnG"/>
    <n v="0"/>
    <x v="7"/>
    <n v="1"/>
  </r>
  <r>
    <n v="77"/>
    <s v="TLX5"/>
    <s v="SALE"/>
    <s v="TLX5102007726092026"/>
    <d v="2026-09-26T18:09:57"/>
    <n v="3"/>
    <n v="74299018060"/>
    <n v="1"/>
    <n v="899"/>
    <n v="0"/>
    <n v="0"/>
    <n v="0"/>
    <n v="899"/>
    <n v="42.8"/>
    <n v="5"/>
    <s v="HW FIVECAR GIFT PACK"/>
    <n v="50170981"/>
    <s v="COMPLETED"/>
    <n v="50000001"/>
    <m/>
    <s v="GnG"/>
    <n v="0"/>
    <x v="7"/>
    <n v="0"/>
  </r>
  <r>
    <n v="78"/>
    <s v="TLX5"/>
    <s v="SALE"/>
    <s v="TLX5102007826092026"/>
    <d v="2026-09-26T18:19:24"/>
    <n v="3"/>
    <n v="8905450138667"/>
    <n v="1"/>
    <n v="1199"/>
    <n v="-220.01"/>
    <n v="0"/>
    <n v="-220.01"/>
    <n v="978.99"/>
    <n v="149.34"/>
    <n v="18"/>
    <s v="E MII HM BUBBLE BLOW"/>
    <n v="50170981"/>
    <s v="COMPLETED"/>
    <m/>
    <m/>
    <s v="GnG"/>
    <n v="0"/>
    <x v="7"/>
    <n v="1"/>
  </r>
  <r>
    <n v="78"/>
    <s v="TLX5"/>
    <s v="SALE"/>
    <s v="TLX5102007826092026"/>
    <d v="2026-09-26T18:19:24"/>
    <n v="3"/>
    <n v="8906185910214"/>
    <n v="1"/>
    <n v="1699"/>
    <n v="-311.76"/>
    <n v="0"/>
    <n v="-311.76"/>
    <n v="1387.24"/>
    <n v="211.62"/>
    <n v="18"/>
    <s v="E AVENGERS KEYBOARD"/>
    <n v="50170981"/>
    <s v="COMPLETED"/>
    <n v="50195439"/>
    <m/>
    <s v="GnG"/>
    <n v="0"/>
    <x v="7"/>
    <n v="0"/>
  </r>
  <r>
    <n v="78"/>
    <s v="TLX5"/>
    <s v="SALE"/>
    <s v="TLX5102007826092026"/>
    <d v="2026-09-26T18:19:24"/>
    <n v="3"/>
    <n v="8904384330079"/>
    <n v="1"/>
    <n v="1999"/>
    <n v="-366.81"/>
    <n v="0"/>
    <n v="-366.81"/>
    <n v="1632.19"/>
    <n v="248.98"/>
    <n v="18"/>
    <s v="E RC SPD FIVE WHEEL"/>
    <n v="50170981"/>
    <s v="COMPLETED"/>
    <n v="50195439"/>
    <m/>
    <s v="GnG"/>
    <n v="0"/>
    <x v="7"/>
    <n v="0"/>
  </r>
  <r>
    <n v="78"/>
    <s v="TLX5"/>
    <s v="SALE"/>
    <s v="TLX5102007826092026"/>
    <d v="2026-09-26T18:19:24"/>
    <n v="3"/>
    <n v="494500285"/>
    <n v="1"/>
    <n v="1999"/>
    <n v="-366.81"/>
    <n v="0"/>
    <n v="-366.81"/>
    <n v="1632.19"/>
    <n v="248.98"/>
    <n v="18"/>
    <s v="NE REDCARD TOTE BAG"/>
    <n v="50170981"/>
    <s v="COMPLETED"/>
    <m/>
    <m/>
    <s v="GnG"/>
    <n v="0"/>
    <x v="7"/>
    <n v="0"/>
  </r>
  <r>
    <n v="78"/>
    <s v="TLX5"/>
    <s v="SALE"/>
    <s v="TLX5102007826092026"/>
    <d v="2026-09-26T18:19:24"/>
    <n v="3"/>
    <n v="8904384346476"/>
    <n v="1"/>
    <n v="2999"/>
    <n v="-550.29999999999995"/>
    <n v="0"/>
    <n v="-550.29999999999995"/>
    <n v="2448.6999999999998"/>
    <n v="373.54"/>
    <n v="18"/>
    <s v="E FOUR WAY RC CROCOD"/>
    <n v="50170981"/>
    <s v="COMPLETED"/>
    <n v="50195439"/>
    <m/>
    <s v="GnG"/>
    <n v="0"/>
    <x v="7"/>
    <n v="0"/>
  </r>
  <r>
    <n v="78"/>
    <s v="TLX5"/>
    <s v="SALE"/>
    <s v="TLX5102007826092026"/>
    <d v="2026-09-26T18:19:24"/>
    <n v="3"/>
    <n v="8909409033829"/>
    <n v="1"/>
    <n v="499"/>
    <n v="-91.56"/>
    <n v="0"/>
    <n v="-91.56"/>
    <n v="407.44"/>
    <n v="19.399999999999999"/>
    <n v="5"/>
    <s v="NE SQUARE DINO WATER"/>
    <n v="50170981"/>
    <s v="COMPLETED"/>
    <n v="50195439"/>
    <m/>
    <s v="GnG"/>
    <n v="0"/>
    <x v="7"/>
    <n v="0"/>
  </r>
  <r>
    <n v="79"/>
    <s v="TLX5"/>
    <s v="SALE"/>
    <s v="TLX5102007926092026"/>
    <d v="2026-09-26T18:25:28"/>
    <n v="3"/>
    <n v="494500285"/>
    <n v="1"/>
    <n v="1999"/>
    <n v="-796.33"/>
    <n v="0"/>
    <n v="-796.33"/>
    <n v="1202.67"/>
    <n v="183.46"/>
    <n v="18"/>
    <s v="NE REDCARD TOTE BAG"/>
    <n v="50170981"/>
    <s v="COMPLETED"/>
    <m/>
    <m/>
    <s v="GnG"/>
    <n v="0"/>
    <x v="7"/>
    <n v="1"/>
  </r>
  <r>
    <n v="79"/>
    <s v="TLX5"/>
    <s v="SALE"/>
    <s v="TLX5102007926092026"/>
    <d v="2026-09-26T18:25:28"/>
    <n v="3"/>
    <n v="5702017816128"/>
    <n v="1"/>
    <n v="2749"/>
    <n v="-1095.1099999999999"/>
    <n v="0"/>
    <n v="-1095.1099999999999"/>
    <n v="1653.89"/>
    <n v="78.760000000000005"/>
    <n v="5"/>
    <s v="NE LEGO 77245 ASTON"/>
    <n v="50170981"/>
    <s v="COMPLETED"/>
    <n v="50000001"/>
    <m/>
    <s v="GnG"/>
    <n v="0"/>
    <x v="7"/>
    <n v="0"/>
  </r>
  <r>
    <n v="27"/>
    <s v="TLX5"/>
    <s v="SALE"/>
    <s v="TLX5104002726092026"/>
    <d v="2026-09-26T18:28:55"/>
    <n v="3"/>
    <n v="494500285"/>
    <n v="1"/>
    <n v="1999"/>
    <n v="-796.33"/>
    <n v="0"/>
    <n v="-796.33"/>
    <n v="1202.67"/>
    <n v="183.46"/>
    <n v="18"/>
    <s v="NE REDCARD TOTE BAG"/>
    <n v="50157523"/>
    <s v="COMPLETED"/>
    <m/>
    <m/>
    <s v="GnG"/>
    <n v="0"/>
    <x v="7"/>
    <n v="1"/>
  </r>
  <r>
    <n v="27"/>
    <s v="TLX5"/>
    <s v="SALE"/>
    <s v="TLX5104002726092026"/>
    <d v="2026-09-26T18:28:55"/>
    <n v="3"/>
    <n v="5702018068397"/>
    <n v="1"/>
    <n v="2999"/>
    <n v="-1194.7"/>
    <n v="0"/>
    <n v="-1194.7"/>
    <n v="1804.3"/>
    <n v="85.92"/>
    <n v="5"/>
    <s v="NE LEGO 77260 THE FA"/>
    <n v="50157523"/>
    <s v="COMPLETED"/>
    <n v="50188930"/>
    <m/>
    <s v="GnG"/>
    <n v="0"/>
    <x v="7"/>
    <n v="0"/>
  </r>
  <r>
    <n v="82"/>
    <s v="TLX5"/>
    <s v="SALE"/>
    <s v="TLX5102008226092026"/>
    <d v="2026-09-26T18:34:26"/>
    <n v="3"/>
    <n v="3467452077306"/>
    <n v="1"/>
    <n v="399"/>
    <n v="0"/>
    <n v="0"/>
    <n v="0"/>
    <n v="399"/>
    <n v="19"/>
    <n v="5"/>
    <s v="NE MJT VOLVO CONSTRU"/>
    <n v="50170981"/>
    <s v="COMPLETED"/>
    <n v="50000000"/>
    <m/>
    <s v="GnG"/>
    <n v="0"/>
    <x v="7"/>
    <n v="1"/>
  </r>
  <r>
    <n v="28"/>
    <s v="TLX5"/>
    <s v="SALE"/>
    <s v="TLX5104002826092026"/>
    <d v="2026-09-26T18:36:41"/>
    <n v="3"/>
    <n v="8901383140012"/>
    <n v="1"/>
    <n v="199"/>
    <n v="0"/>
    <n v="0"/>
    <n v="0"/>
    <n v="199"/>
    <n v="9.48"/>
    <n v="5"/>
    <s v="KIDDY STAR LINKS"/>
    <n v="50157523"/>
    <s v="COMPLETED"/>
    <n v="50195439"/>
    <m/>
    <s v="GnG"/>
    <n v="0"/>
    <x v="7"/>
    <n v="1"/>
  </r>
  <r>
    <n v="28"/>
    <s v="TLX5"/>
    <s v="SALE"/>
    <s v="TLX5104002826092026"/>
    <d v="2026-09-26T18:36:41"/>
    <n v="3"/>
    <n v="8904027128599"/>
    <n v="1"/>
    <n v="799"/>
    <n v="0"/>
    <n v="0"/>
    <n v="0"/>
    <n v="799"/>
    <n v="121.88"/>
    <n v="18"/>
    <s v="E MUSICAL BALL"/>
    <n v="50157523"/>
    <s v="COMPLETED"/>
    <n v="50000002"/>
    <m/>
    <s v="GnG"/>
    <n v="0"/>
    <x v="7"/>
    <n v="0"/>
  </r>
  <r>
    <n v="83"/>
    <s v="TLX5"/>
    <s v="SALE"/>
    <s v="TLX5102008326092026"/>
    <d v="2026-09-26T18:49:10"/>
    <n v="3"/>
    <n v="5000394121171"/>
    <n v="1"/>
    <n v="120"/>
    <n v="-44.28"/>
    <n v="0"/>
    <n v="-44.28"/>
    <n v="75.72"/>
    <n v="11.56"/>
    <n v="18"/>
    <s v="AA 2 CB"/>
    <n v="50170981"/>
    <s v="COMPLETED"/>
    <m/>
    <m/>
    <s v="GnG"/>
    <n v="0"/>
    <x v="7"/>
    <n v="1"/>
  </r>
  <r>
    <n v="83"/>
    <s v="TLX5"/>
    <s v="SALE"/>
    <s v="TLX5102008326092026"/>
    <d v="2026-09-26T18:49:10"/>
    <n v="3"/>
    <n v="8904384330079"/>
    <n v="1"/>
    <n v="1999"/>
    <n v="-737.68"/>
    <n v="0"/>
    <n v="-737.68"/>
    <n v="1261.32"/>
    <n v="192.4"/>
    <n v="18"/>
    <s v="E RC SPD FIVE WHEEL"/>
    <n v="50170981"/>
    <s v="COMPLETED"/>
    <n v="50195907"/>
    <m/>
    <s v="GnG"/>
    <n v="0"/>
    <x v="7"/>
    <n v="0"/>
  </r>
  <r>
    <n v="83"/>
    <s v="TLX5"/>
    <s v="SALE"/>
    <s v="TLX5102008326092026"/>
    <d v="2026-09-26T18:49:10"/>
    <n v="3"/>
    <n v="494500285"/>
    <n v="1"/>
    <n v="1999"/>
    <n v="-737.68"/>
    <n v="0"/>
    <n v="-737.68"/>
    <n v="1261.32"/>
    <n v="192.4"/>
    <n v="18"/>
    <s v="NE REDCARD TOTE BAG"/>
    <n v="50170981"/>
    <s v="COMPLETED"/>
    <m/>
    <m/>
    <s v="GnG"/>
    <n v="0"/>
    <x v="7"/>
    <n v="0"/>
  </r>
  <r>
    <n v="83"/>
    <s v="TLX5"/>
    <s v="SALE"/>
    <s v="TLX5102008326092026"/>
    <d v="2026-09-26T18:49:10"/>
    <n v="3"/>
    <n v="8904432223735"/>
    <n v="1"/>
    <n v="799"/>
    <n v="-294.85000000000002"/>
    <n v="0"/>
    <n v="-294.85000000000002"/>
    <n v="504.15"/>
    <n v="24"/>
    <n v="5"/>
    <s v="NE FP LION 25CM"/>
    <n v="50170981"/>
    <s v="COMPLETED"/>
    <n v="50195907"/>
    <m/>
    <s v="GnG"/>
    <n v="0"/>
    <x v="7"/>
    <n v="0"/>
  </r>
  <r>
    <m/>
    <m/>
    <m/>
    <m/>
    <m/>
    <m/>
    <m/>
    <m/>
    <m/>
    <m/>
    <m/>
    <m/>
    <m/>
    <m/>
    <m/>
    <m/>
    <m/>
    <m/>
    <m/>
    <m/>
    <m/>
    <n v="0"/>
    <x v="8"/>
    <n v="1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n v="0"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  <r>
    <m/>
    <m/>
    <m/>
    <m/>
    <m/>
    <m/>
    <m/>
    <m/>
    <m/>
    <m/>
    <m/>
    <m/>
    <m/>
    <m/>
    <m/>
    <m/>
    <m/>
    <m/>
    <m/>
    <m/>
    <m/>
    <n v="0"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5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8"/>
        <item x="0"/>
        <item x="1"/>
        <item x="2"/>
        <item x="5"/>
        <item x="6"/>
        <item x="7"/>
        <item m="1" x="9"/>
        <item x="3"/>
        <item m="1" x="10"/>
        <item m="1" x="11"/>
        <item x="4"/>
        <item m="1" x="12"/>
        <item m="1" x="13"/>
        <item t="default"/>
      </items>
    </pivotField>
    <pivotField dataField="1" showAll="0"/>
  </pivotFields>
  <rowFields count="1">
    <field x="2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11"/>
    </i>
    <i t="grand">
      <x/>
    </i>
  </rowItems>
  <colItems count="1">
    <i/>
  </colItems>
  <dataFields count="1">
    <dataField name="Sum of Bills" fld="2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0"/>
  <sheetViews>
    <sheetView topLeftCell="A289" workbookViewId="0">
      <selection activeCell="W296" sqref="W296"/>
    </sheetView>
  </sheetViews>
  <sheetFormatPr defaultRowHeight="15" x14ac:dyDescent="0.25"/>
  <cols>
    <col min="2" max="2" width="11.7109375" customWidth="1"/>
  </cols>
  <sheetData>
    <row r="1" spans="1:13" ht="15.75" thickBot="1" x14ac:dyDescent="0.3">
      <c r="A1" s="1"/>
      <c r="B1" s="9">
        <v>46266</v>
      </c>
      <c r="C1" s="10"/>
      <c r="D1" s="10"/>
      <c r="E1" s="17"/>
      <c r="F1" s="17"/>
      <c r="G1" s="17"/>
      <c r="H1" s="17"/>
      <c r="I1" s="17"/>
      <c r="J1" s="10"/>
      <c r="K1" s="17"/>
      <c r="L1" s="17"/>
      <c r="M1" s="17"/>
    </row>
    <row r="2" spans="1:13" ht="15.75" thickBot="1" x14ac:dyDescent="0.3">
      <c r="A2" s="1" t="s">
        <v>31</v>
      </c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1" t="s">
        <v>8</v>
      </c>
      <c r="K2" s="2" t="s">
        <v>9</v>
      </c>
      <c r="L2" s="2" t="s">
        <v>10</v>
      </c>
      <c r="M2" s="2" t="s">
        <v>11</v>
      </c>
    </row>
    <row r="3" spans="1:13" ht="15.75" thickBot="1" x14ac:dyDescent="0.3">
      <c r="A3" s="6">
        <v>11</v>
      </c>
      <c r="B3" s="6" t="s">
        <v>26</v>
      </c>
      <c r="C3" s="7" t="s">
        <v>13</v>
      </c>
      <c r="D3" s="7" t="s">
        <v>14</v>
      </c>
      <c r="E3" s="8">
        <v>46266</v>
      </c>
      <c r="F3" s="7" t="s">
        <v>32</v>
      </c>
      <c r="G3" s="7" t="s">
        <v>12</v>
      </c>
      <c r="H3" s="7">
        <v>3</v>
      </c>
      <c r="I3" s="3">
        <v>1.5</v>
      </c>
      <c r="J3" s="12">
        <v>4.5</v>
      </c>
      <c r="K3" s="3">
        <v>0</v>
      </c>
      <c r="L3" s="3">
        <v>4</v>
      </c>
      <c r="M3" s="4">
        <v>0</v>
      </c>
    </row>
    <row r="4" spans="1:13" ht="15.75" thickBot="1" x14ac:dyDescent="0.3">
      <c r="A4" s="6">
        <v>12</v>
      </c>
      <c r="B4" s="6" t="s">
        <v>26</v>
      </c>
      <c r="C4" s="7" t="s">
        <v>13</v>
      </c>
      <c r="D4" s="7" t="s">
        <v>14</v>
      </c>
      <c r="E4" s="8">
        <v>46266</v>
      </c>
      <c r="F4" s="7" t="s">
        <v>32</v>
      </c>
      <c r="G4" s="7" t="s">
        <v>15</v>
      </c>
      <c r="H4" s="7">
        <v>3</v>
      </c>
      <c r="I4" s="3">
        <v>1.5</v>
      </c>
      <c r="J4" s="12">
        <v>4.5</v>
      </c>
      <c r="K4" s="3">
        <v>1</v>
      </c>
      <c r="L4" s="3">
        <v>8</v>
      </c>
      <c r="M4" s="4">
        <v>0.125</v>
      </c>
    </row>
    <row r="5" spans="1:13" ht="15.75" thickBot="1" x14ac:dyDescent="0.3">
      <c r="A5" s="6">
        <v>13</v>
      </c>
      <c r="B5" s="6" t="s">
        <v>26</v>
      </c>
      <c r="C5" s="7" t="s">
        <v>13</v>
      </c>
      <c r="D5" s="7" t="s">
        <v>14</v>
      </c>
      <c r="E5" s="8">
        <v>46266</v>
      </c>
      <c r="F5" s="7" t="s">
        <v>32</v>
      </c>
      <c r="G5" s="7" t="s">
        <v>16</v>
      </c>
      <c r="H5" s="7">
        <v>7</v>
      </c>
      <c r="I5" s="3">
        <v>1.5</v>
      </c>
      <c r="J5" s="12">
        <v>10.5</v>
      </c>
      <c r="K5" s="3">
        <v>3</v>
      </c>
      <c r="L5" s="3">
        <v>17</v>
      </c>
      <c r="M5" s="4">
        <v>0.17647058823529413</v>
      </c>
    </row>
    <row r="6" spans="1:13" ht="15.75" thickBot="1" x14ac:dyDescent="0.3">
      <c r="A6" s="6">
        <v>14</v>
      </c>
      <c r="B6" s="6" t="s">
        <v>26</v>
      </c>
      <c r="C6" s="7" t="s">
        <v>13</v>
      </c>
      <c r="D6" s="7" t="s">
        <v>14</v>
      </c>
      <c r="E6" s="8">
        <v>46266</v>
      </c>
      <c r="F6" s="7" t="s">
        <v>32</v>
      </c>
      <c r="G6" s="7" t="s">
        <v>17</v>
      </c>
      <c r="H6" s="7">
        <v>7</v>
      </c>
      <c r="I6" s="3">
        <v>1.5</v>
      </c>
      <c r="J6" s="12">
        <v>10.5</v>
      </c>
      <c r="K6" s="3">
        <v>1</v>
      </c>
      <c r="L6" s="3">
        <v>14</v>
      </c>
      <c r="M6" s="4">
        <v>7.1428571428571425E-2</v>
      </c>
    </row>
    <row r="7" spans="1:13" ht="15.75" thickBot="1" x14ac:dyDescent="0.3">
      <c r="A7" s="6">
        <v>15</v>
      </c>
      <c r="B7" s="6" t="s">
        <v>26</v>
      </c>
      <c r="C7" s="7" t="s">
        <v>13</v>
      </c>
      <c r="D7" s="7" t="s">
        <v>14</v>
      </c>
      <c r="E7" s="8">
        <v>46266</v>
      </c>
      <c r="F7" s="7" t="s">
        <v>32</v>
      </c>
      <c r="G7" s="7" t="s">
        <v>18</v>
      </c>
      <c r="H7" s="7">
        <v>7</v>
      </c>
      <c r="I7" s="3">
        <v>1.5</v>
      </c>
      <c r="J7" s="12">
        <v>10.5</v>
      </c>
      <c r="K7" s="3">
        <v>1</v>
      </c>
      <c r="L7" s="3">
        <v>12</v>
      </c>
      <c r="M7" s="4">
        <v>8.3333333333333329E-2</v>
      </c>
    </row>
    <row r="8" spans="1:13" ht="15.75" thickBot="1" x14ac:dyDescent="0.3">
      <c r="A8" s="6">
        <v>16</v>
      </c>
      <c r="B8" s="6" t="s">
        <v>26</v>
      </c>
      <c r="C8" s="7" t="s">
        <v>13</v>
      </c>
      <c r="D8" s="7" t="s">
        <v>14</v>
      </c>
      <c r="E8" s="8">
        <v>46266</v>
      </c>
      <c r="F8" s="7" t="s">
        <v>32</v>
      </c>
      <c r="G8" s="7" t="s">
        <v>19</v>
      </c>
      <c r="H8" s="7">
        <v>7</v>
      </c>
      <c r="I8" s="3">
        <v>1.5</v>
      </c>
      <c r="J8" s="12">
        <v>10.5</v>
      </c>
      <c r="K8" s="3">
        <v>4</v>
      </c>
      <c r="L8" s="3">
        <v>24</v>
      </c>
      <c r="M8" s="4">
        <v>0.16666666666666666</v>
      </c>
    </row>
    <row r="9" spans="1:13" ht="15.75" thickBot="1" x14ac:dyDescent="0.3">
      <c r="A9" s="6">
        <v>17</v>
      </c>
      <c r="B9" s="6" t="s">
        <v>26</v>
      </c>
      <c r="C9" s="7" t="s">
        <v>13</v>
      </c>
      <c r="D9" s="7" t="s">
        <v>14</v>
      </c>
      <c r="E9" s="8">
        <v>46266</v>
      </c>
      <c r="F9" s="7" t="s">
        <v>32</v>
      </c>
      <c r="G9" s="7" t="s">
        <v>20</v>
      </c>
      <c r="H9" s="7">
        <v>7</v>
      </c>
      <c r="I9" s="3">
        <v>1.5</v>
      </c>
      <c r="J9" s="12">
        <v>10.5</v>
      </c>
      <c r="K9" s="3">
        <v>6</v>
      </c>
      <c r="L9" s="3">
        <v>33</v>
      </c>
      <c r="M9" s="4">
        <v>0.18181818181818182</v>
      </c>
    </row>
    <row r="10" spans="1:13" ht="15.75" thickBot="1" x14ac:dyDescent="0.3">
      <c r="A10" s="6">
        <v>18</v>
      </c>
      <c r="B10" s="6" t="s">
        <v>26</v>
      </c>
      <c r="C10" s="7" t="s">
        <v>13</v>
      </c>
      <c r="D10" s="7" t="s">
        <v>14</v>
      </c>
      <c r="E10" s="8">
        <v>46266</v>
      </c>
      <c r="F10" s="7" t="s">
        <v>32</v>
      </c>
      <c r="G10" s="7" t="s">
        <v>21</v>
      </c>
      <c r="H10" s="7">
        <v>7</v>
      </c>
      <c r="I10" s="3">
        <v>1.5</v>
      </c>
      <c r="J10" s="12">
        <v>10.5</v>
      </c>
      <c r="K10" s="3">
        <v>4</v>
      </c>
      <c r="L10" s="3">
        <v>19</v>
      </c>
      <c r="M10" s="4">
        <v>0.21052631578947367</v>
      </c>
    </row>
    <row r="11" spans="1:13" ht="15.75" thickBot="1" x14ac:dyDescent="0.3">
      <c r="A11" s="6">
        <v>19</v>
      </c>
      <c r="B11" s="6" t="s">
        <v>26</v>
      </c>
      <c r="C11" s="7" t="s">
        <v>13</v>
      </c>
      <c r="D11" s="7" t="s">
        <v>14</v>
      </c>
      <c r="E11" s="8">
        <v>46266</v>
      </c>
      <c r="F11" s="7" t="s">
        <v>32</v>
      </c>
      <c r="G11" s="7" t="s">
        <v>22</v>
      </c>
      <c r="H11" s="7">
        <v>4</v>
      </c>
      <c r="I11" s="3">
        <v>1.5</v>
      </c>
      <c r="J11" s="12">
        <v>6</v>
      </c>
      <c r="K11" s="3">
        <v>4</v>
      </c>
      <c r="L11" s="3">
        <v>28</v>
      </c>
      <c r="M11" s="4">
        <v>0.14285714285714285</v>
      </c>
    </row>
    <row r="12" spans="1:13" ht="15.75" thickBot="1" x14ac:dyDescent="0.3">
      <c r="A12" s="6">
        <v>20</v>
      </c>
      <c r="B12" s="6" t="s">
        <v>26</v>
      </c>
      <c r="C12" s="7" t="s">
        <v>13</v>
      </c>
      <c r="D12" s="7" t="s">
        <v>14</v>
      </c>
      <c r="E12" s="8">
        <v>46266</v>
      </c>
      <c r="F12" s="7" t="s">
        <v>32</v>
      </c>
      <c r="G12" s="7" t="s">
        <v>23</v>
      </c>
      <c r="H12" s="7">
        <v>4</v>
      </c>
      <c r="I12" s="3">
        <v>1.5</v>
      </c>
      <c r="J12" s="12">
        <v>6</v>
      </c>
      <c r="K12" s="3">
        <v>2</v>
      </c>
      <c r="L12" s="3">
        <v>17</v>
      </c>
      <c r="M12" s="4">
        <v>0.11764705882352941</v>
      </c>
    </row>
    <row r="13" spans="1:13" ht="15.75" thickBot="1" x14ac:dyDescent="0.3">
      <c r="A13" s="6">
        <v>21</v>
      </c>
      <c r="B13" s="6" t="s">
        <v>26</v>
      </c>
      <c r="C13" s="7" t="s">
        <v>13</v>
      </c>
      <c r="D13" s="7" t="s">
        <v>14</v>
      </c>
      <c r="E13" s="8">
        <v>46266</v>
      </c>
      <c r="F13" s="7" t="s">
        <v>32</v>
      </c>
      <c r="G13" s="7" t="s">
        <v>24</v>
      </c>
      <c r="H13" s="7">
        <v>4</v>
      </c>
      <c r="I13" s="3">
        <v>1.5</v>
      </c>
      <c r="J13" s="12">
        <v>6</v>
      </c>
      <c r="K13" s="3">
        <v>1</v>
      </c>
      <c r="L13" s="3">
        <v>10</v>
      </c>
      <c r="M13" s="4">
        <v>0.1</v>
      </c>
    </row>
    <row r="15" spans="1:13" ht="15.75" thickBot="1" x14ac:dyDescent="0.3"/>
    <row r="16" spans="1:13" ht="15.75" thickBot="1" x14ac:dyDescent="0.3">
      <c r="A16" s="1"/>
      <c r="B16" s="9">
        <v>46267</v>
      </c>
      <c r="C16" s="10"/>
      <c r="D16" s="10"/>
      <c r="E16" s="17"/>
      <c r="F16" s="17"/>
      <c r="G16" s="17"/>
      <c r="H16" s="17"/>
      <c r="I16" s="17"/>
      <c r="J16" s="10"/>
      <c r="K16" s="17"/>
      <c r="L16" s="17"/>
      <c r="M16" s="17"/>
    </row>
    <row r="17" spans="1:13" ht="15.75" thickBot="1" x14ac:dyDescent="0.3">
      <c r="A17" s="1" t="s">
        <v>31</v>
      </c>
      <c r="B17" s="1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G17" s="2" t="s">
        <v>5</v>
      </c>
      <c r="H17" s="2" t="s">
        <v>6</v>
      </c>
      <c r="I17" s="2" t="s">
        <v>7</v>
      </c>
      <c r="J17" s="11" t="s">
        <v>8</v>
      </c>
      <c r="K17" s="2" t="s">
        <v>9</v>
      </c>
      <c r="L17" s="2" t="s">
        <v>10</v>
      </c>
      <c r="M17" s="2" t="s">
        <v>11</v>
      </c>
    </row>
    <row r="18" spans="1:13" ht="15.75" thickBot="1" x14ac:dyDescent="0.3">
      <c r="A18" s="6">
        <v>11</v>
      </c>
      <c r="B18" s="6" t="s">
        <v>26</v>
      </c>
      <c r="C18" s="7" t="s">
        <v>13</v>
      </c>
      <c r="D18" s="7" t="s">
        <v>14</v>
      </c>
      <c r="E18" s="8">
        <v>46267</v>
      </c>
      <c r="F18" s="7" t="s">
        <v>32</v>
      </c>
      <c r="G18" s="7" t="s">
        <v>12</v>
      </c>
      <c r="H18" s="7">
        <v>3</v>
      </c>
      <c r="I18" s="3">
        <v>1.5</v>
      </c>
      <c r="J18" s="12">
        <v>4.5</v>
      </c>
      <c r="K18" s="3">
        <v>1</v>
      </c>
      <c r="L18" s="3">
        <v>7</v>
      </c>
      <c r="M18" s="4">
        <v>0.14285714285714285</v>
      </c>
    </row>
    <row r="19" spans="1:13" ht="15.75" thickBot="1" x14ac:dyDescent="0.3">
      <c r="A19" s="6">
        <v>12</v>
      </c>
      <c r="B19" s="6" t="s">
        <v>26</v>
      </c>
      <c r="C19" s="7" t="s">
        <v>13</v>
      </c>
      <c r="D19" s="7" t="s">
        <v>14</v>
      </c>
      <c r="E19" s="8">
        <v>46267</v>
      </c>
      <c r="F19" s="7" t="s">
        <v>32</v>
      </c>
      <c r="G19" s="7" t="s">
        <v>15</v>
      </c>
      <c r="H19" s="7">
        <v>3</v>
      </c>
      <c r="I19" s="3">
        <v>1.5</v>
      </c>
      <c r="J19" s="12">
        <v>4.5</v>
      </c>
      <c r="K19" s="3">
        <v>1</v>
      </c>
      <c r="L19" s="3">
        <v>6</v>
      </c>
      <c r="M19" s="4">
        <v>0.16666666666666666</v>
      </c>
    </row>
    <row r="20" spans="1:13" ht="15.75" thickBot="1" x14ac:dyDescent="0.3">
      <c r="A20" s="6">
        <v>13</v>
      </c>
      <c r="B20" s="6" t="s">
        <v>26</v>
      </c>
      <c r="C20" s="7" t="s">
        <v>13</v>
      </c>
      <c r="D20" s="7" t="s">
        <v>14</v>
      </c>
      <c r="E20" s="8">
        <v>46267</v>
      </c>
      <c r="F20" s="7" t="s">
        <v>32</v>
      </c>
      <c r="G20" s="7" t="s">
        <v>16</v>
      </c>
      <c r="H20" s="7">
        <v>7</v>
      </c>
      <c r="I20" s="3">
        <v>1.5</v>
      </c>
      <c r="J20" s="12">
        <v>10.5</v>
      </c>
      <c r="K20" s="3">
        <v>2</v>
      </c>
      <c r="L20" s="3">
        <v>11</v>
      </c>
      <c r="M20" s="4">
        <v>0.18181818181818182</v>
      </c>
    </row>
    <row r="21" spans="1:13" ht="15.75" thickBot="1" x14ac:dyDescent="0.3">
      <c r="A21" s="6">
        <v>14</v>
      </c>
      <c r="B21" s="6" t="s">
        <v>26</v>
      </c>
      <c r="C21" s="7" t="s">
        <v>13</v>
      </c>
      <c r="D21" s="7" t="s">
        <v>14</v>
      </c>
      <c r="E21" s="8">
        <v>46267</v>
      </c>
      <c r="F21" s="7" t="s">
        <v>32</v>
      </c>
      <c r="G21" s="7" t="s">
        <v>17</v>
      </c>
      <c r="H21" s="7">
        <v>7</v>
      </c>
      <c r="I21" s="3">
        <v>1.5</v>
      </c>
      <c r="J21" s="12">
        <v>10.5</v>
      </c>
      <c r="K21" s="3">
        <v>4</v>
      </c>
      <c r="L21" s="3">
        <v>19</v>
      </c>
      <c r="M21" s="4">
        <v>0.21052631578947367</v>
      </c>
    </row>
    <row r="22" spans="1:13" ht="15.75" thickBot="1" x14ac:dyDescent="0.3">
      <c r="A22" s="6">
        <v>15</v>
      </c>
      <c r="B22" s="6" t="s">
        <v>26</v>
      </c>
      <c r="C22" s="7" t="s">
        <v>13</v>
      </c>
      <c r="D22" s="7" t="s">
        <v>14</v>
      </c>
      <c r="E22" s="8">
        <v>46267</v>
      </c>
      <c r="F22" s="7" t="s">
        <v>32</v>
      </c>
      <c r="G22" s="7" t="s">
        <v>18</v>
      </c>
      <c r="H22" s="7">
        <v>7</v>
      </c>
      <c r="I22" s="3">
        <v>1.5</v>
      </c>
      <c r="J22" s="12">
        <v>10.5</v>
      </c>
      <c r="K22" s="3">
        <v>3</v>
      </c>
      <c r="L22" s="3">
        <v>24</v>
      </c>
      <c r="M22" s="4">
        <v>0.125</v>
      </c>
    </row>
    <row r="23" spans="1:13" ht="15.75" thickBot="1" x14ac:dyDescent="0.3">
      <c r="A23" s="6">
        <v>16</v>
      </c>
      <c r="B23" s="6" t="s">
        <v>26</v>
      </c>
      <c r="C23" s="7" t="s">
        <v>13</v>
      </c>
      <c r="D23" s="7" t="s">
        <v>14</v>
      </c>
      <c r="E23" s="8">
        <v>46267</v>
      </c>
      <c r="F23" s="7" t="s">
        <v>32</v>
      </c>
      <c r="G23" s="7" t="s">
        <v>19</v>
      </c>
      <c r="H23" s="7">
        <v>7</v>
      </c>
      <c r="I23" s="3">
        <v>1.5</v>
      </c>
      <c r="J23" s="12">
        <v>10.5</v>
      </c>
      <c r="K23" s="3">
        <v>2</v>
      </c>
      <c r="L23" s="3">
        <v>21</v>
      </c>
      <c r="M23" s="4">
        <v>9.5238095238095233E-2</v>
      </c>
    </row>
    <row r="24" spans="1:13" ht="15.75" thickBot="1" x14ac:dyDescent="0.3">
      <c r="A24" s="6">
        <v>17</v>
      </c>
      <c r="B24" s="6" t="s">
        <v>26</v>
      </c>
      <c r="C24" s="7" t="s">
        <v>13</v>
      </c>
      <c r="D24" s="7" t="s">
        <v>14</v>
      </c>
      <c r="E24" s="8">
        <v>46267</v>
      </c>
      <c r="F24" s="7" t="s">
        <v>32</v>
      </c>
      <c r="G24" s="7" t="s">
        <v>20</v>
      </c>
      <c r="H24" s="7">
        <v>7</v>
      </c>
      <c r="I24" s="3">
        <v>1.5</v>
      </c>
      <c r="J24" s="12">
        <v>10.5</v>
      </c>
      <c r="K24" s="3">
        <v>2</v>
      </c>
      <c r="L24" s="3">
        <v>16</v>
      </c>
      <c r="M24" s="4">
        <v>0.125</v>
      </c>
    </row>
    <row r="25" spans="1:13" ht="15.75" thickBot="1" x14ac:dyDescent="0.3">
      <c r="A25" s="6">
        <v>18</v>
      </c>
      <c r="B25" s="6" t="s">
        <v>26</v>
      </c>
      <c r="C25" s="7" t="s">
        <v>13</v>
      </c>
      <c r="D25" s="7" t="s">
        <v>14</v>
      </c>
      <c r="E25" s="8">
        <v>46267</v>
      </c>
      <c r="F25" s="7" t="s">
        <v>32</v>
      </c>
      <c r="G25" s="7" t="s">
        <v>21</v>
      </c>
      <c r="H25" s="7">
        <v>7</v>
      </c>
      <c r="I25" s="3">
        <v>1.5</v>
      </c>
      <c r="J25" s="12">
        <v>10.5</v>
      </c>
      <c r="K25" s="3">
        <v>3</v>
      </c>
      <c r="L25" s="3">
        <v>27</v>
      </c>
      <c r="M25" s="4">
        <v>0.1111111111111111</v>
      </c>
    </row>
    <row r="26" spans="1:13" ht="15.75" thickBot="1" x14ac:dyDescent="0.3">
      <c r="A26" s="6">
        <v>19</v>
      </c>
      <c r="B26" s="6" t="s">
        <v>26</v>
      </c>
      <c r="C26" s="7" t="s">
        <v>13</v>
      </c>
      <c r="D26" s="7" t="s">
        <v>14</v>
      </c>
      <c r="E26" s="8">
        <v>46267</v>
      </c>
      <c r="F26" s="7" t="s">
        <v>32</v>
      </c>
      <c r="G26" s="7" t="s">
        <v>22</v>
      </c>
      <c r="H26" s="7">
        <v>4</v>
      </c>
      <c r="I26" s="3">
        <v>1.5</v>
      </c>
      <c r="J26" s="12">
        <v>6</v>
      </c>
      <c r="K26" s="3">
        <v>3</v>
      </c>
      <c r="L26" s="3">
        <v>17</v>
      </c>
      <c r="M26" s="4">
        <v>0.17647058823529413</v>
      </c>
    </row>
    <row r="27" spans="1:13" ht="15.75" thickBot="1" x14ac:dyDescent="0.3">
      <c r="A27" s="6">
        <v>20</v>
      </c>
      <c r="B27" s="6" t="s">
        <v>26</v>
      </c>
      <c r="C27" s="7" t="s">
        <v>13</v>
      </c>
      <c r="D27" s="7" t="s">
        <v>14</v>
      </c>
      <c r="E27" s="8">
        <v>46267</v>
      </c>
      <c r="F27" s="7" t="s">
        <v>32</v>
      </c>
      <c r="G27" s="7" t="s">
        <v>23</v>
      </c>
      <c r="H27" s="7">
        <v>4</v>
      </c>
      <c r="I27" s="3">
        <v>1.5</v>
      </c>
      <c r="J27" s="12">
        <v>6</v>
      </c>
      <c r="K27" s="3">
        <v>4</v>
      </c>
      <c r="L27" s="3">
        <v>25</v>
      </c>
      <c r="M27" s="4">
        <v>0.16</v>
      </c>
    </row>
    <row r="28" spans="1:13" ht="15.75" thickBot="1" x14ac:dyDescent="0.3">
      <c r="A28" s="6">
        <v>21</v>
      </c>
      <c r="B28" s="6" t="s">
        <v>26</v>
      </c>
      <c r="C28" s="7" t="s">
        <v>13</v>
      </c>
      <c r="D28" s="7" t="s">
        <v>14</v>
      </c>
      <c r="E28" s="8">
        <v>46267</v>
      </c>
      <c r="F28" s="7" t="s">
        <v>32</v>
      </c>
      <c r="G28" s="7" t="s">
        <v>24</v>
      </c>
      <c r="H28" s="7">
        <v>4</v>
      </c>
      <c r="I28" s="3">
        <v>1.5</v>
      </c>
      <c r="J28" s="12">
        <v>6</v>
      </c>
      <c r="K28" s="3">
        <v>4</v>
      </c>
      <c r="L28" s="3">
        <v>33</v>
      </c>
      <c r="M28" s="4">
        <v>0.12121212121212122</v>
      </c>
    </row>
    <row r="30" spans="1:13" ht="15.75" thickBot="1" x14ac:dyDescent="0.3"/>
    <row r="31" spans="1:13" ht="15.75" thickBot="1" x14ac:dyDescent="0.3">
      <c r="A31" s="1"/>
      <c r="B31" s="9">
        <v>46268</v>
      </c>
      <c r="C31" s="10"/>
      <c r="D31" s="10"/>
      <c r="E31" s="17"/>
      <c r="F31" s="17"/>
      <c r="G31" s="17"/>
      <c r="H31" s="17"/>
      <c r="I31" s="17"/>
      <c r="J31" s="10"/>
      <c r="K31" s="17"/>
      <c r="L31" s="17"/>
      <c r="M31" s="17"/>
    </row>
    <row r="32" spans="1:13" ht="15.75" thickBot="1" x14ac:dyDescent="0.3">
      <c r="A32" s="1" t="s">
        <v>31</v>
      </c>
      <c r="B32" s="1" t="s">
        <v>0</v>
      </c>
      <c r="C32" s="2" t="s">
        <v>1</v>
      </c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  <c r="I32" s="2" t="s">
        <v>7</v>
      </c>
      <c r="J32" s="11" t="s">
        <v>8</v>
      </c>
      <c r="K32" s="2" t="s">
        <v>9</v>
      </c>
      <c r="L32" s="2" t="s">
        <v>10</v>
      </c>
      <c r="M32" s="2" t="s">
        <v>11</v>
      </c>
    </row>
    <row r="33" spans="1:13" ht="15.75" thickBot="1" x14ac:dyDescent="0.3">
      <c r="A33" s="6">
        <v>11</v>
      </c>
      <c r="B33" s="6" t="s">
        <v>26</v>
      </c>
      <c r="C33" s="7" t="s">
        <v>13</v>
      </c>
      <c r="D33" s="7" t="s">
        <v>14</v>
      </c>
      <c r="E33" s="8">
        <v>46268</v>
      </c>
      <c r="F33" s="7" t="s">
        <v>32</v>
      </c>
      <c r="G33" s="7" t="s">
        <v>12</v>
      </c>
      <c r="H33" s="7">
        <v>3</v>
      </c>
      <c r="I33" s="3">
        <v>1.5</v>
      </c>
      <c r="J33" s="12">
        <v>4.5</v>
      </c>
      <c r="K33" s="3">
        <v>0</v>
      </c>
      <c r="L33" s="3">
        <v>2</v>
      </c>
      <c r="M33" s="4">
        <v>0</v>
      </c>
    </row>
    <row r="34" spans="1:13" ht="15.75" thickBot="1" x14ac:dyDescent="0.3">
      <c r="A34" s="6">
        <v>12</v>
      </c>
      <c r="B34" s="6" t="s">
        <v>26</v>
      </c>
      <c r="C34" s="7" t="s">
        <v>13</v>
      </c>
      <c r="D34" s="7" t="s">
        <v>14</v>
      </c>
      <c r="E34" s="8">
        <v>46268</v>
      </c>
      <c r="F34" s="7" t="s">
        <v>32</v>
      </c>
      <c r="G34" s="7" t="s">
        <v>15</v>
      </c>
      <c r="H34" s="7">
        <v>3</v>
      </c>
      <c r="I34" s="3">
        <v>1.5</v>
      </c>
      <c r="J34" s="12">
        <v>4.5</v>
      </c>
      <c r="K34" s="3">
        <v>2</v>
      </c>
      <c r="L34" s="3">
        <v>12</v>
      </c>
      <c r="M34" s="4">
        <v>0.16666666666666666</v>
      </c>
    </row>
    <row r="35" spans="1:13" ht="15.75" thickBot="1" x14ac:dyDescent="0.3">
      <c r="A35" s="6">
        <v>13</v>
      </c>
      <c r="B35" s="6" t="s">
        <v>26</v>
      </c>
      <c r="C35" s="7" t="s">
        <v>13</v>
      </c>
      <c r="D35" s="7" t="s">
        <v>14</v>
      </c>
      <c r="E35" s="8">
        <v>46268</v>
      </c>
      <c r="F35" s="7" t="s">
        <v>32</v>
      </c>
      <c r="G35" s="7" t="s">
        <v>16</v>
      </c>
      <c r="H35" s="7">
        <v>7</v>
      </c>
      <c r="I35" s="3">
        <v>1.5</v>
      </c>
      <c r="J35" s="12">
        <v>10.5</v>
      </c>
      <c r="K35" s="3">
        <v>1</v>
      </c>
      <c r="L35" s="3">
        <v>10</v>
      </c>
      <c r="M35" s="4">
        <v>0.1</v>
      </c>
    </row>
    <row r="36" spans="1:13" ht="15.75" thickBot="1" x14ac:dyDescent="0.3">
      <c r="A36" s="6">
        <v>14</v>
      </c>
      <c r="B36" s="6" t="s">
        <v>26</v>
      </c>
      <c r="C36" s="7" t="s">
        <v>13</v>
      </c>
      <c r="D36" s="7" t="s">
        <v>14</v>
      </c>
      <c r="E36" s="8">
        <v>46268</v>
      </c>
      <c r="F36" s="7" t="s">
        <v>32</v>
      </c>
      <c r="G36" s="7" t="s">
        <v>17</v>
      </c>
      <c r="H36" s="7">
        <v>7</v>
      </c>
      <c r="I36" s="3">
        <v>1.5</v>
      </c>
      <c r="J36" s="12">
        <v>10.5</v>
      </c>
      <c r="K36" s="3">
        <v>3</v>
      </c>
      <c r="L36" s="3">
        <v>25</v>
      </c>
      <c r="M36" s="4">
        <v>0.12</v>
      </c>
    </row>
    <row r="37" spans="1:13" ht="15.75" thickBot="1" x14ac:dyDescent="0.3">
      <c r="A37" s="6">
        <v>15</v>
      </c>
      <c r="B37" s="6" t="s">
        <v>26</v>
      </c>
      <c r="C37" s="7" t="s">
        <v>13</v>
      </c>
      <c r="D37" s="7" t="s">
        <v>14</v>
      </c>
      <c r="E37" s="8">
        <v>46268</v>
      </c>
      <c r="F37" s="7" t="s">
        <v>32</v>
      </c>
      <c r="G37" s="7" t="s">
        <v>18</v>
      </c>
      <c r="H37" s="7">
        <v>7</v>
      </c>
      <c r="I37" s="3">
        <v>1.5</v>
      </c>
      <c r="J37" s="12">
        <v>10.5</v>
      </c>
      <c r="K37" s="3">
        <v>3</v>
      </c>
      <c r="L37" s="3">
        <v>31</v>
      </c>
      <c r="M37" s="4">
        <v>9.6774193548387094E-2</v>
      </c>
    </row>
    <row r="38" spans="1:13" ht="15.75" thickBot="1" x14ac:dyDescent="0.3">
      <c r="A38" s="6">
        <v>16</v>
      </c>
      <c r="B38" s="6" t="s">
        <v>26</v>
      </c>
      <c r="C38" s="7" t="s">
        <v>13</v>
      </c>
      <c r="D38" s="7" t="s">
        <v>14</v>
      </c>
      <c r="E38" s="8">
        <v>46268</v>
      </c>
      <c r="F38" s="7" t="s">
        <v>32</v>
      </c>
      <c r="G38" s="7" t="s">
        <v>19</v>
      </c>
      <c r="H38" s="7">
        <v>7</v>
      </c>
      <c r="I38" s="3">
        <v>1.5</v>
      </c>
      <c r="J38" s="12">
        <v>10.5</v>
      </c>
      <c r="K38" s="3">
        <v>1</v>
      </c>
      <c r="L38" s="3">
        <v>16</v>
      </c>
      <c r="M38" s="4">
        <v>6.25E-2</v>
      </c>
    </row>
    <row r="39" spans="1:13" ht="15.75" thickBot="1" x14ac:dyDescent="0.3">
      <c r="A39" s="6">
        <v>17</v>
      </c>
      <c r="B39" s="6" t="s">
        <v>26</v>
      </c>
      <c r="C39" s="7" t="s">
        <v>13</v>
      </c>
      <c r="D39" s="7" t="s">
        <v>14</v>
      </c>
      <c r="E39" s="8">
        <v>46268</v>
      </c>
      <c r="F39" s="7" t="s">
        <v>32</v>
      </c>
      <c r="G39" s="7" t="s">
        <v>20</v>
      </c>
      <c r="H39" s="7">
        <v>7</v>
      </c>
      <c r="I39" s="3">
        <v>1.5</v>
      </c>
      <c r="J39" s="12">
        <v>10.5</v>
      </c>
      <c r="K39" s="3">
        <v>5</v>
      </c>
      <c r="L39" s="3">
        <v>22</v>
      </c>
      <c r="M39" s="4">
        <v>0.22727272727272727</v>
      </c>
    </row>
    <row r="40" spans="1:13" ht="15.75" thickBot="1" x14ac:dyDescent="0.3">
      <c r="A40" s="6">
        <v>18</v>
      </c>
      <c r="B40" s="6" t="s">
        <v>26</v>
      </c>
      <c r="C40" s="7" t="s">
        <v>13</v>
      </c>
      <c r="D40" s="7" t="s">
        <v>14</v>
      </c>
      <c r="E40" s="8">
        <v>46268</v>
      </c>
      <c r="F40" s="7" t="s">
        <v>32</v>
      </c>
      <c r="G40" s="7" t="s">
        <v>21</v>
      </c>
      <c r="H40" s="7">
        <v>7</v>
      </c>
      <c r="I40" s="3">
        <v>1.5</v>
      </c>
      <c r="J40" s="12">
        <v>10.5</v>
      </c>
      <c r="K40" s="3">
        <v>7</v>
      </c>
      <c r="L40" s="3">
        <v>30</v>
      </c>
      <c r="M40" s="4">
        <v>0.23333333333333334</v>
      </c>
    </row>
    <row r="41" spans="1:13" ht="15.75" thickBot="1" x14ac:dyDescent="0.3">
      <c r="A41" s="6">
        <v>19</v>
      </c>
      <c r="B41" s="6" t="s">
        <v>26</v>
      </c>
      <c r="C41" s="7" t="s">
        <v>13</v>
      </c>
      <c r="D41" s="7" t="s">
        <v>14</v>
      </c>
      <c r="E41" s="8">
        <v>46268</v>
      </c>
      <c r="F41" s="7" t="s">
        <v>32</v>
      </c>
      <c r="G41" s="7" t="s">
        <v>22</v>
      </c>
      <c r="H41" s="7">
        <v>4</v>
      </c>
      <c r="I41" s="3">
        <v>1.5</v>
      </c>
      <c r="J41" s="12">
        <v>6</v>
      </c>
      <c r="K41" s="3">
        <v>6</v>
      </c>
      <c r="L41" s="3">
        <v>33</v>
      </c>
      <c r="M41" s="4">
        <v>0.18181818181818182</v>
      </c>
    </row>
    <row r="42" spans="1:13" ht="15.75" thickBot="1" x14ac:dyDescent="0.3">
      <c r="A42" s="6">
        <v>20</v>
      </c>
      <c r="B42" s="6" t="s">
        <v>26</v>
      </c>
      <c r="C42" s="7" t="s">
        <v>13</v>
      </c>
      <c r="D42" s="7" t="s">
        <v>14</v>
      </c>
      <c r="E42" s="8">
        <v>46268</v>
      </c>
      <c r="F42" s="7" t="s">
        <v>32</v>
      </c>
      <c r="G42" s="7" t="s">
        <v>23</v>
      </c>
      <c r="H42" s="7">
        <v>4</v>
      </c>
      <c r="I42" s="3">
        <v>1.5</v>
      </c>
      <c r="J42" s="12">
        <v>6</v>
      </c>
      <c r="K42" s="3">
        <v>8</v>
      </c>
      <c r="L42" s="3">
        <v>41</v>
      </c>
      <c r="M42" s="4">
        <v>0.1951219512195122</v>
      </c>
    </row>
    <row r="43" spans="1:13" ht="15.75" thickBot="1" x14ac:dyDescent="0.3">
      <c r="A43" s="6">
        <v>21</v>
      </c>
      <c r="B43" s="6" t="s">
        <v>26</v>
      </c>
      <c r="C43" s="7" t="s">
        <v>13</v>
      </c>
      <c r="D43" s="7" t="s">
        <v>14</v>
      </c>
      <c r="E43" s="8">
        <v>46268</v>
      </c>
      <c r="F43" s="7" t="s">
        <v>32</v>
      </c>
      <c r="G43" s="7" t="s">
        <v>24</v>
      </c>
      <c r="H43" s="7">
        <v>4</v>
      </c>
      <c r="I43" s="3">
        <v>1.5</v>
      </c>
      <c r="J43" s="12">
        <v>6</v>
      </c>
      <c r="K43" s="3">
        <v>1</v>
      </c>
      <c r="L43" s="3">
        <v>9</v>
      </c>
      <c r="M43" s="4">
        <v>0.1111111111111111</v>
      </c>
    </row>
    <row r="45" spans="1:13" ht="15.75" thickBot="1" x14ac:dyDescent="0.3">
      <c r="A45" s="17" t="s">
        <v>28</v>
      </c>
      <c r="B45" s="17"/>
      <c r="C45" s="17"/>
      <c r="D45" s="17"/>
      <c r="E45" s="17"/>
      <c r="F45" s="17"/>
      <c r="G45" s="17"/>
      <c r="H45" s="17"/>
      <c r="I45" s="17"/>
      <c r="J45" s="10"/>
      <c r="K45" s="17"/>
      <c r="L45" s="17"/>
      <c r="M45" s="17"/>
    </row>
    <row r="46" spans="1:13" ht="15.75" thickBot="1" x14ac:dyDescent="0.3">
      <c r="A46" s="1"/>
      <c r="B46" s="9">
        <v>46269</v>
      </c>
      <c r="C46" s="10"/>
      <c r="D46" s="10"/>
      <c r="E46" s="17"/>
      <c r="F46" s="17"/>
      <c r="G46" s="17"/>
      <c r="H46" s="17"/>
      <c r="I46" s="17"/>
      <c r="J46" s="10"/>
      <c r="K46" s="17"/>
      <c r="L46" s="17"/>
      <c r="M46" s="17"/>
    </row>
    <row r="47" spans="1:13" ht="15.75" thickBot="1" x14ac:dyDescent="0.3">
      <c r="A47" s="1" t="s">
        <v>31</v>
      </c>
      <c r="B47" s="1" t="s">
        <v>0</v>
      </c>
      <c r="C47" s="2" t="s">
        <v>1</v>
      </c>
      <c r="D47" s="2" t="s">
        <v>2</v>
      </c>
      <c r="E47" s="2" t="s">
        <v>3</v>
      </c>
      <c r="F47" s="2" t="s">
        <v>4</v>
      </c>
      <c r="G47" s="2" t="s">
        <v>5</v>
      </c>
      <c r="H47" s="2" t="s">
        <v>6</v>
      </c>
      <c r="I47" s="2" t="s">
        <v>7</v>
      </c>
      <c r="J47" s="11" t="s">
        <v>8</v>
      </c>
      <c r="K47" s="2" t="s">
        <v>9</v>
      </c>
      <c r="L47" s="2" t="s">
        <v>10</v>
      </c>
      <c r="M47" s="2" t="s">
        <v>11</v>
      </c>
    </row>
    <row r="48" spans="1:13" ht="15.75" thickBot="1" x14ac:dyDescent="0.3">
      <c r="A48" s="6">
        <v>11</v>
      </c>
      <c r="B48" s="6" t="s">
        <v>26</v>
      </c>
      <c r="C48" s="7" t="s">
        <v>13</v>
      </c>
      <c r="D48" s="7" t="s">
        <v>14</v>
      </c>
      <c r="E48" s="8">
        <v>46269</v>
      </c>
      <c r="F48" s="7" t="s">
        <v>32</v>
      </c>
      <c r="G48" s="7" t="s">
        <v>12</v>
      </c>
      <c r="H48" s="7">
        <v>3</v>
      </c>
      <c r="I48" s="3">
        <v>1.5</v>
      </c>
      <c r="J48" s="12">
        <v>4.5</v>
      </c>
      <c r="K48" s="3">
        <v>0</v>
      </c>
      <c r="L48" s="3">
        <v>4</v>
      </c>
      <c r="M48" s="4">
        <v>0</v>
      </c>
    </row>
    <row r="49" spans="1:13" ht="15.75" thickBot="1" x14ac:dyDescent="0.3">
      <c r="A49" s="6">
        <v>12</v>
      </c>
      <c r="B49" s="6" t="s">
        <v>26</v>
      </c>
      <c r="C49" s="7" t="s">
        <v>13</v>
      </c>
      <c r="D49" s="7" t="s">
        <v>14</v>
      </c>
      <c r="E49" s="8">
        <v>46269</v>
      </c>
      <c r="F49" s="7" t="s">
        <v>32</v>
      </c>
      <c r="G49" s="7" t="s">
        <v>15</v>
      </c>
      <c r="H49" s="7">
        <v>3</v>
      </c>
      <c r="I49" s="3">
        <v>1.5</v>
      </c>
      <c r="J49" s="12">
        <v>4.5</v>
      </c>
      <c r="K49" s="3">
        <v>0</v>
      </c>
      <c r="L49" s="3">
        <v>6</v>
      </c>
      <c r="M49" s="4">
        <v>0</v>
      </c>
    </row>
    <row r="50" spans="1:13" ht="15.75" thickBot="1" x14ac:dyDescent="0.3">
      <c r="A50" s="6">
        <v>13</v>
      </c>
      <c r="B50" s="6" t="s">
        <v>26</v>
      </c>
      <c r="C50" s="7" t="s">
        <v>13</v>
      </c>
      <c r="D50" s="7" t="s">
        <v>14</v>
      </c>
      <c r="E50" s="8">
        <v>46269</v>
      </c>
      <c r="F50" s="7" t="s">
        <v>32</v>
      </c>
      <c r="G50" s="7" t="s">
        <v>16</v>
      </c>
      <c r="H50" s="7">
        <v>7</v>
      </c>
      <c r="I50" s="3">
        <v>1.5</v>
      </c>
      <c r="J50" s="12">
        <v>10.5</v>
      </c>
      <c r="K50" s="3">
        <v>1</v>
      </c>
      <c r="L50" s="3">
        <v>13</v>
      </c>
      <c r="M50" s="4">
        <v>7.6923076923076927E-2</v>
      </c>
    </row>
    <row r="51" spans="1:13" ht="15.75" thickBot="1" x14ac:dyDescent="0.3">
      <c r="A51" s="6">
        <v>14</v>
      </c>
      <c r="B51" s="6" t="s">
        <v>26</v>
      </c>
      <c r="C51" s="7" t="s">
        <v>13</v>
      </c>
      <c r="D51" s="7" t="s">
        <v>14</v>
      </c>
      <c r="E51" s="8">
        <v>46269</v>
      </c>
      <c r="F51" s="7" t="s">
        <v>32</v>
      </c>
      <c r="G51" s="7" t="s">
        <v>17</v>
      </c>
      <c r="H51" s="7">
        <v>7</v>
      </c>
      <c r="I51" s="3">
        <v>1.5</v>
      </c>
      <c r="J51" s="12">
        <v>10.5</v>
      </c>
      <c r="K51" s="3">
        <v>2</v>
      </c>
      <c r="L51" s="3">
        <v>11</v>
      </c>
      <c r="M51" s="4">
        <v>0.18181818181818182</v>
      </c>
    </row>
    <row r="52" spans="1:13" ht="15.75" thickBot="1" x14ac:dyDescent="0.3">
      <c r="A52" s="6">
        <v>15</v>
      </c>
      <c r="B52" s="6" t="s">
        <v>26</v>
      </c>
      <c r="C52" s="7" t="s">
        <v>13</v>
      </c>
      <c r="D52" s="7" t="s">
        <v>14</v>
      </c>
      <c r="E52" s="8">
        <v>46269</v>
      </c>
      <c r="F52" s="7" t="s">
        <v>32</v>
      </c>
      <c r="G52" s="7" t="s">
        <v>18</v>
      </c>
      <c r="H52" s="7">
        <v>7</v>
      </c>
      <c r="I52" s="3">
        <v>1.5</v>
      </c>
      <c r="J52" s="12">
        <v>10.5</v>
      </c>
      <c r="K52" s="3">
        <v>1</v>
      </c>
      <c r="L52" s="3">
        <v>5</v>
      </c>
      <c r="M52" s="4">
        <v>0.2</v>
      </c>
    </row>
    <row r="53" spans="1:13" ht="15.75" thickBot="1" x14ac:dyDescent="0.3">
      <c r="A53" s="6">
        <v>16</v>
      </c>
      <c r="B53" s="6" t="s">
        <v>26</v>
      </c>
      <c r="C53" s="7" t="s">
        <v>13</v>
      </c>
      <c r="D53" s="7" t="s">
        <v>14</v>
      </c>
      <c r="E53" s="8">
        <v>46269</v>
      </c>
      <c r="F53" s="7" t="s">
        <v>32</v>
      </c>
      <c r="G53" s="7" t="s">
        <v>19</v>
      </c>
      <c r="H53" s="7">
        <v>7</v>
      </c>
      <c r="I53" s="3">
        <v>1.5</v>
      </c>
      <c r="J53" s="12">
        <v>10.5</v>
      </c>
      <c r="K53" s="3">
        <v>4</v>
      </c>
      <c r="L53" s="3">
        <v>25</v>
      </c>
      <c r="M53" s="4">
        <v>0.16</v>
      </c>
    </row>
    <row r="54" spans="1:13" ht="15.75" thickBot="1" x14ac:dyDescent="0.3">
      <c r="A54" s="6">
        <v>17</v>
      </c>
      <c r="B54" s="6" t="s">
        <v>26</v>
      </c>
      <c r="C54" s="7" t="s">
        <v>13</v>
      </c>
      <c r="D54" s="7" t="s">
        <v>14</v>
      </c>
      <c r="E54" s="8">
        <v>46269</v>
      </c>
      <c r="F54" s="7" t="s">
        <v>32</v>
      </c>
      <c r="G54" s="7" t="s">
        <v>20</v>
      </c>
      <c r="H54" s="7">
        <v>7</v>
      </c>
      <c r="I54" s="3">
        <v>1.5</v>
      </c>
      <c r="J54" s="12">
        <v>10.5</v>
      </c>
      <c r="K54" s="3">
        <v>9</v>
      </c>
      <c r="L54" s="3">
        <v>55</v>
      </c>
      <c r="M54" s="4">
        <v>0.16363636363636364</v>
      </c>
    </row>
    <row r="55" spans="1:13" ht="15.75" thickBot="1" x14ac:dyDescent="0.3">
      <c r="A55" s="6">
        <v>18</v>
      </c>
      <c r="B55" s="6" t="s">
        <v>26</v>
      </c>
      <c r="C55" s="7" t="s">
        <v>13</v>
      </c>
      <c r="D55" s="7" t="s">
        <v>14</v>
      </c>
      <c r="E55" s="8">
        <v>46269</v>
      </c>
      <c r="F55" s="7" t="s">
        <v>32</v>
      </c>
      <c r="G55" s="7" t="s">
        <v>21</v>
      </c>
      <c r="H55" s="7">
        <v>7</v>
      </c>
      <c r="I55" s="3">
        <v>1.5</v>
      </c>
      <c r="J55" s="12">
        <v>10.5</v>
      </c>
      <c r="K55" s="3">
        <v>4</v>
      </c>
      <c r="L55" s="3">
        <v>33</v>
      </c>
      <c r="M55" s="4">
        <v>0.12121212121212122</v>
      </c>
    </row>
    <row r="56" spans="1:13" ht="15.75" thickBot="1" x14ac:dyDescent="0.3">
      <c r="A56" s="6">
        <v>19</v>
      </c>
      <c r="B56" s="6" t="s">
        <v>26</v>
      </c>
      <c r="C56" s="7" t="s">
        <v>13</v>
      </c>
      <c r="D56" s="7" t="s">
        <v>14</v>
      </c>
      <c r="E56" s="8">
        <v>46269</v>
      </c>
      <c r="F56" s="7" t="s">
        <v>32</v>
      </c>
      <c r="G56" s="7" t="s">
        <v>22</v>
      </c>
      <c r="H56" s="7">
        <v>4</v>
      </c>
      <c r="I56" s="3">
        <v>1.5</v>
      </c>
      <c r="J56" s="12">
        <v>6</v>
      </c>
      <c r="K56" s="3">
        <v>3</v>
      </c>
      <c r="L56" s="3">
        <v>21</v>
      </c>
      <c r="M56" s="4">
        <v>0.14285714285714285</v>
      </c>
    </row>
    <row r="57" spans="1:13" ht="15.75" thickBot="1" x14ac:dyDescent="0.3">
      <c r="A57" s="6">
        <v>20</v>
      </c>
      <c r="B57" s="6" t="s">
        <v>26</v>
      </c>
      <c r="C57" s="7" t="s">
        <v>13</v>
      </c>
      <c r="D57" s="7" t="s">
        <v>14</v>
      </c>
      <c r="E57" s="8">
        <v>46269</v>
      </c>
      <c r="F57" s="7" t="s">
        <v>32</v>
      </c>
      <c r="G57" s="7" t="s">
        <v>23</v>
      </c>
      <c r="H57" s="7">
        <v>4</v>
      </c>
      <c r="I57" s="3">
        <v>1.5</v>
      </c>
      <c r="J57" s="12">
        <v>6</v>
      </c>
      <c r="K57" s="3">
        <v>5</v>
      </c>
      <c r="L57" s="3">
        <v>36</v>
      </c>
      <c r="M57" s="4">
        <v>0.1388888888888889</v>
      </c>
    </row>
    <row r="58" spans="1:13" ht="15.75" thickBot="1" x14ac:dyDescent="0.3">
      <c r="A58" s="6">
        <v>21</v>
      </c>
      <c r="B58" s="6" t="s">
        <v>26</v>
      </c>
      <c r="C58" s="7" t="s">
        <v>13</v>
      </c>
      <c r="D58" s="7" t="s">
        <v>14</v>
      </c>
      <c r="E58" s="8">
        <v>46269</v>
      </c>
      <c r="F58" s="7" t="s">
        <v>32</v>
      </c>
      <c r="G58" s="7" t="s">
        <v>24</v>
      </c>
      <c r="H58" s="7">
        <v>4</v>
      </c>
      <c r="I58" s="3">
        <v>1.5</v>
      </c>
      <c r="J58" s="12">
        <v>6</v>
      </c>
      <c r="K58" s="3">
        <v>5</v>
      </c>
      <c r="L58" s="3">
        <v>24</v>
      </c>
      <c r="M58" s="4">
        <v>0.20833333333333334</v>
      </c>
    </row>
    <row r="61" spans="1:13" ht="15.75" thickBot="1" x14ac:dyDescent="0.3"/>
    <row r="62" spans="1:13" ht="15.75" thickBot="1" x14ac:dyDescent="0.3">
      <c r="A62" s="1"/>
      <c r="B62" s="9">
        <v>46270</v>
      </c>
      <c r="C62" s="10"/>
      <c r="D62" s="10"/>
      <c r="E62" s="17"/>
      <c r="F62" s="17"/>
      <c r="G62" s="17"/>
      <c r="H62" s="17"/>
      <c r="I62" s="17"/>
      <c r="J62" s="10"/>
      <c r="K62" s="17"/>
      <c r="L62" s="17"/>
      <c r="M62" s="17"/>
    </row>
    <row r="63" spans="1:13" ht="15.75" thickBot="1" x14ac:dyDescent="0.3">
      <c r="A63" s="1" t="s">
        <v>31</v>
      </c>
      <c r="B63" s="1" t="s">
        <v>0</v>
      </c>
      <c r="C63" s="2" t="s">
        <v>1</v>
      </c>
      <c r="D63" s="2" t="s">
        <v>2</v>
      </c>
      <c r="E63" s="2" t="s">
        <v>3</v>
      </c>
      <c r="F63" s="2" t="s">
        <v>4</v>
      </c>
      <c r="G63" s="2" t="s">
        <v>5</v>
      </c>
      <c r="H63" s="2" t="s">
        <v>6</v>
      </c>
      <c r="I63" s="2" t="s">
        <v>7</v>
      </c>
      <c r="J63" s="11" t="s">
        <v>8</v>
      </c>
      <c r="K63" s="2" t="s">
        <v>9</v>
      </c>
      <c r="L63" s="2" t="s">
        <v>10</v>
      </c>
      <c r="M63" s="2" t="s">
        <v>11</v>
      </c>
    </row>
    <row r="64" spans="1:13" ht="15.75" thickBot="1" x14ac:dyDescent="0.3">
      <c r="A64" s="6">
        <v>11</v>
      </c>
      <c r="B64" s="6" t="s">
        <v>26</v>
      </c>
      <c r="C64" s="7" t="s">
        <v>13</v>
      </c>
      <c r="D64" s="7" t="s">
        <v>14</v>
      </c>
      <c r="E64" s="8">
        <v>46270</v>
      </c>
      <c r="F64" s="7" t="s">
        <v>32</v>
      </c>
      <c r="G64" s="7" t="s">
        <v>12</v>
      </c>
      <c r="H64" s="7">
        <v>3</v>
      </c>
      <c r="I64" s="3">
        <v>1.5</v>
      </c>
      <c r="J64" s="12">
        <v>4.5</v>
      </c>
      <c r="K64" s="3">
        <v>1</v>
      </c>
      <c r="L64" s="3">
        <v>11</v>
      </c>
      <c r="M64" s="4">
        <v>9.0909090909090912E-2</v>
      </c>
    </row>
    <row r="65" spans="1:13" ht="15.75" thickBot="1" x14ac:dyDescent="0.3">
      <c r="A65" s="6">
        <v>12</v>
      </c>
      <c r="B65" s="6" t="s">
        <v>26</v>
      </c>
      <c r="C65" s="7" t="s">
        <v>13</v>
      </c>
      <c r="D65" s="7" t="s">
        <v>14</v>
      </c>
      <c r="E65" s="8">
        <v>46270</v>
      </c>
      <c r="F65" s="7" t="s">
        <v>32</v>
      </c>
      <c r="G65" s="7" t="s">
        <v>15</v>
      </c>
      <c r="H65" s="7">
        <v>3</v>
      </c>
      <c r="I65" s="3">
        <v>1.5</v>
      </c>
      <c r="J65" s="12">
        <v>4.5</v>
      </c>
      <c r="K65" s="3">
        <v>4</v>
      </c>
      <c r="L65" s="3">
        <v>24</v>
      </c>
      <c r="M65" s="4">
        <v>0.16666666666666666</v>
      </c>
    </row>
    <row r="66" spans="1:13" ht="15.75" thickBot="1" x14ac:dyDescent="0.3">
      <c r="A66" s="6">
        <v>13</v>
      </c>
      <c r="B66" s="6" t="s">
        <v>26</v>
      </c>
      <c r="C66" s="7" t="s">
        <v>13</v>
      </c>
      <c r="D66" s="7" t="s">
        <v>14</v>
      </c>
      <c r="E66" s="8">
        <v>46270</v>
      </c>
      <c r="F66" s="7" t="s">
        <v>32</v>
      </c>
      <c r="G66" s="7" t="s">
        <v>16</v>
      </c>
      <c r="H66" s="7">
        <v>7</v>
      </c>
      <c r="I66" s="3">
        <v>1.5</v>
      </c>
      <c r="J66" s="12">
        <v>10.5</v>
      </c>
      <c r="K66" s="3">
        <v>4</v>
      </c>
      <c r="L66" s="3">
        <v>21</v>
      </c>
      <c r="M66" s="4">
        <v>0.19047619047619047</v>
      </c>
    </row>
    <row r="67" spans="1:13" ht="15.75" thickBot="1" x14ac:dyDescent="0.3">
      <c r="A67" s="6">
        <v>14</v>
      </c>
      <c r="B67" s="6" t="s">
        <v>26</v>
      </c>
      <c r="C67" s="7" t="s">
        <v>13</v>
      </c>
      <c r="D67" s="7" t="s">
        <v>14</v>
      </c>
      <c r="E67" s="8">
        <v>46270</v>
      </c>
      <c r="F67" s="7" t="s">
        <v>32</v>
      </c>
      <c r="G67" s="7" t="s">
        <v>17</v>
      </c>
      <c r="H67" s="7">
        <v>7</v>
      </c>
      <c r="I67" s="3">
        <v>1.5</v>
      </c>
      <c r="J67" s="12">
        <v>10.5</v>
      </c>
      <c r="K67" s="3">
        <v>2</v>
      </c>
      <c r="L67" s="3">
        <v>31</v>
      </c>
      <c r="M67" s="4">
        <v>6.4516129032258063E-2</v>
      </c>
    </row>
    <row r="68" spans="1:13" ht="15.75" thickBot="1" x14ac:dyDescent="0.3">
      <c r="A68" s="6">
        <v>15</v>
      </c>
      <c r="B68" s="6" t="s">
        <v>26</v>
      </c>
      <c r="C68" s="7" t="s">
        <v>13</v>
      </c>
      <c r="D68" s="7" t="s">
        <v>14</v>
      </c>
      <c r="E68" s="8">
        <v>46270</v>
      </c>
      <c r="F68" s="7" t="s">
        <v>32</v>
      </c>
      <c r="G68" s="7" t="s">
        <v>18</v>
      </c>
      <c r="H68" s="7">
        <v>7</v>
      </c>
      <c r="I68" s="3">
        <v>1.5</v>
      </c>
      <c r="J68" s="12">
        <v>10.5</v>
      </c>
      <c r="K68" s="3">
        <v>8</v>
      </c>
      <c r="L68" s="3">
        <v>24</v>
      </c>
      <c r="M68" s="4">
        <v>0.33333333333333331</v>
      </c>
    </row>
    <row r="69" spans="1:13" ht="15.75" thickBot="1" x14ac:dyDescent="0.3">
      <c r="A69" s="6">
        <v>16</v>
      </c>
      <c r="B69" s="6" t="s">
        <v>26</v>
      </c>
      <c r="C69" s="7" t="s">
        <v>13</v>
      </c>
      <c r="D69" s="7" t="s">
        <v>14</v>
      </c>
      <c r="E69" s="8">
        <v>46270</v>
      </c>
      <c r="F69" s="7" t="s">
        <v>32</v>
      </c>
      <c r="G69" s="7" t="s">
        <v>19</v>
      </c>
      <c r="H69" s="7">
        <v>7</v>
      </c>
      <c r="I69" s="3">
        <v>1.5</v>
      </c>
      <c r="J69" s="12">
        <v>10.5</v>
      </c>
      <c r="K69" s="3">
        <v>8</v>
      </c>
      <c r="L69" s="3">
        <v>58</v>
      </c>
      <c r="M69" s="4">
        <v>0.13793103448275862</v>
      </c>
    </row>
    <row r="70" spans="1:13" ht="15.75" thickBot="1" x14ac:dyDescent="0.3">
      <c r="A70" s="6">
        <v>17</v>
      </c>
      <c r="B70" s="6" t="s">
        <v>26</v>
      </c>
      <c r="C70" s="7" t="s">
        <v>13</v>
      </c>
      <c r="D70" s="7" t="s">
        <v>14</v>
      </c>
      <c r="E70" s="8">
        <v>46270</v>
      </c>
      <c r="F70" s="7" t="s">
        <v>32</v>
      </c>
      <c r="G70" s="7" t="s">
        <v>20</v>
      </c>
      <c r="H70" s="7">
        <v>7</v>
      </c>
      <c r="I70" s="3">
        <v>1.5</v>
      </c>
      <c r="J70" s="12">
        <v>10.5</v>
      </c>
      <c r="K70" s="3">
        <v>7</v>
      </c>
      <c r="L70" s="3">
        <v>67</v>
      </c>
      <c r="M70" s="4">
        <v>0.1044776119402985</v>
      </c>
    </row>
    <row r="71" spans="1:13" ht="15.75" thickBot="1" x14ac:dyDescent="0.3">
      <c r="A71" s="6">
        <v>18</v>
      </c>
      <c r="B71" s="6" t="s">
        <v>26</v>
      </c>
      <c r="C71" s="7" t="s">
        <v>13</v>
      </c>
      <c r="D71" s="7" t="s">
        <v>14</v>
      </c>
      <c r="E71" s="8">
        <v>46270</v>
      </c>
      <c r="F71" s="7" t="s">
        <v>32</v>
      </c>
      <c r="G71" s="7" t="s">
        <v>21</v>
      </c>
      <c r="H71" s="7">
        <v>7</v>
      </c>
      <c r="I71" s="3">
        <v>1.5</v>
      </c>
      <c r="J71" s="12">
        <v>10.5</v>
      </c>
      <c r="K71" s="3">
        <v>5</v>
      </c>
      <c r="L71" s="3">
        <v>49</v>
      </c>
      <c r="M71" s="4">
        <v>0.10204081632653061</v>
      </c>
    </row>
    <row r="72" spans="1:13" ht="15.75" thickBot="1" x14ac:dyDescent="0.3">
      <c r="A72" s="6">
        <v>19</v>
      </c>
      <c r="B72" s="6" t="s">
        <v>26</v>
      </c>
      <c r="C72" s="7" t="s">
        <v>13</v>
      </c>
      <c r="D72" s="7" t="s">
        <v>14</v>
      </c>
      <c r="E72" s="8">
        <v>46270</v>
      </c>
      <c r="F72" s="7" t="s">
        <v>32</v>
      </c>
      <c r="G72" s="7" t="s">
        <v>22</v>
      </c>
      <c r="H72" s="7">
        <v>4</v>
      </c>
      <c r="I72" s="3">
        <v>1.5</v>
      </c>
      <c r="J72" s="12">
        <v>6</v>
      </c>
      <c r="K72" s="3">
        <v>13</v>
      </c>
      <c r="L72" s="3">
        <v>78</v>
      </c>
      <c r="M72" s="4">
        <v>0.16666666666666666</v>
      </c>
    </row>
    <row r="73" spans="1:13" ht="15.75" thickBot="1" x14ac:dyDescent="0.3">
      <c r="A73" s="6">
        <v>20</v>
      </c>
      <c r="B73" s="6" t="s">
        <v>26</v>
      </c>
      <c r="C73" s="7" t="s">
        <v>13</v>
      </c>
      <c r="D73" s="7" t="s">
        <v>14</v>
      </c>
      <c r="E73" s="8">
        <v>46270</v>
      </c>
      <c r="F73" s="7" t="s">
        <v>32</v>
      </c>
      <c r="G73" s="7" t="s">
        <v>23</v>
      </c>
      <c r="H73" s="7">
        <v>4</v>
      </c>
      <c r="I73" s="3">
        <v>1.5</v>
      </c>
      <c r="J73" s="12">
        <v>6</v>
      </c>
      <c r="K73" s="3">
        <v>5</v>
      </c>
      <c r="L73" s="3">
        <v>41</v>
      </c>
      <c r="M73" s="4">
        <v>0.12195121951219512</v>
      </c>
    </row>
    <row r="74" spans="1:13" ht="15.75" thickBot="1" x14ac:dyDescent="0.3">
      <c r="A74" s="6">
        <v>21</v>
      </c>
      <c r="B74" s="6" t="s">
        <v>26</v>
      </c>
      <c r="C74" s="7" t="s">
        <v>13</v>
      </c>
      <c r="D74" s="7" t="s">
        <v>14</v>
      </c>
      <c r="E74" s="8">
        <v>46270</v>
      </c>
      <c r="F74" s="7" t="s">
        <v>32</v>
      </c>
      <c r="G74" s="7" t="s">
        <v>24</v>
      </c>
      <c r="H74" s="7">
        <v>4</v>
      </c>
      <c r="I74" s="3">
        <v>1.5</v>
      </c>
      <c r="J74" s="12">
        <v>6</v>
      </c>
      <c r="K74" s="3">
        <v>9</v>
      </c>
      <c r="L74" s="3">
        <v>33</v>
      </c>
      <c r="M74" s="4">
        <v>0.27272727272727271</v>
      </c>
    </row>
    <row r="91" spans="1:13" ht="15.75" thickBot="1" x14ac:dyDescent="0.3"/>
    <row r="92" spans="1:13" ht="15.75" thickBot="1" x14ac:dyDescent="0.3">
      <c r="A92" s="1"/>
      <c r="B92" s="9">
        <v>46272</v>
      </c>
      <c r="C92" s="10"/>
      <c r="D92" s="10"/>
      <c r="E92" s="17"/>
      <c r="F92" s="17"/>
      <c r="G92" s="17"/>
      <c r="H92" s="17"/>
      <c r="I92" s="17"/>
      <c r="J92" s="10"/>
      <c r="K92" s="17"/>
      <c r="L92" s="17"/>
      <c r="M92" s="17"/>
    </row>
    <row r="93" spans="1:13" ht="15.75" thickBot="1" x14ac:dyDescent="0.3">
      <c r="A93" s="1" t="s">
        <v>31</v>
      </c>
      <c r="B93" s="1" t="s">
        <v>0</v>
      </c>
      <c r="C93" s="2" t="s">
        <v>1</v>
      </c>
      <c r="D93" s="2" t="s">
        <v>2</v>
      </c>
      <c r="E93" s="2" t="s">
        <v>3</v>
      </c>
      <c r="F93" s="2" t="s">
        <v>4</v>
      </c>
      <c r="G93" s="2" t="s">
        <v>5</v>
      </c>
      <c r="H93" s="2" t="s">
        <v>6</v>
      </c>
      <c r="I93" s="2" t="s">
        <v>7</v>
      </c>
      <c r="J93" s="11" t="s">
        <v>8</v>
      </c>
      <c r="K93" s="2" t="s">
        <v>9</v>
      </c>
      <c r="L93" s="2" t="s">
        <v>10</v>
      </c>
      <c r="M93" s="2" t="s">
        <v>11</v>
      </c>
    </row>
    <row r="94" spans="1:13" ht="15.75" thickBot="1" x14ac:dyDescent="0.3">
      <c r="A94" s="6">
        <v>11</v>
      </c>
      <c r="B94" s="6" t="s">
        <v>26</v>
      </c>
      <c r="C94" s="7" t="s">
        <v>13</v>
      </c>
      <c r="D94" s="7" t="s">
        <v>14</v>
      </c>
      <c r="E94" s="8">
        <v>46272</v>
      </c>
      <c r="F94" s="7" t="s">
        <v>32</v>
      </c>
      <c r="G94" s="7" t="s">
        <v>12</v>
      </c>
      <c r="H94" s="7">
        <v>3</v>
      </c>
      <c r="I94" s="3">
        <v>1.5</v>
      </c>
      <c r="J94" s="12">
        <v>4.5</v>
      </c>
      <c r="K94" s="3">
        <v>0</v>
      </c>
      <c r="L94" s="3">
        <v>0</v>
      </c>
      <c r="M94" s="4" t="e">
        <v>#DIV/0!</v>
      </c>
    </row>
    <row r="95" spans="1:13" ht="15.75" thickBot="1" x14ac:dyDescent="0.3">
      <c r="A95" s="6">
        <v>12</v>
      </c>
      <c r="B95" s="6" t="s">
        <v>26</v>
      </c>
      <c r="C95" s="7" t="s">
        <v>13</v>
      </c>
      <c r="D95" s="7" t="s">
        <v>14</v>
      </c>
      <c r="E95" s="8">
        <v>46272</v>
      </c>
      <c r="F95" s="7" t="s">
        <v>32</v>
      </c>
      <c r="G95" s="7" t="s">
        <v>15</v>
      </c>
      <c r="H95" s="7">
        <v>3</v>
      </c>
      <c r="I95" s="3">
        <v>1.5</v>
      </c>
      <c r="J95" s="12">
        <v>4.5</v>
      </c>
      <c r="K95" s="3">
        <v>0</v>
      </c>
      <c r="L95" s="3">
        <v>4</v>
      </c>
      <c r="M95" s="4">
        <v>0</v>
      </c>
    </row>
    <row r="96" spans="1:13" ht="15.75" thickBot="1" x14ac:dyDescent="0.3">
      <c r="A96" s="6">
        <v>13</v>
      </c>
      <c r="B96" s="6" t="s">
        <v>26</v>
      </c>
      <c r="C96" s="7" t="s">
        <v>13</v>
      </c>
      <c r="D96" s="7" t="s">
        <v>14</v>
      </c>
      <c r="E96" s="8">
        <v>46272</v>
      </c>
      <c r="F96" s="7" t="s">
        <v>32</v>
      </c>
      <c r="G96" s="7" t="s">
        <v>16</v>
      </c>
      <c r="H96" s="7">
        <v>7</v>
      </c>
      <c r="I96" s="3">
        <v>1.5</v>
      </c>
      <c r="J96" s="12">
        <v>10.5</v>
      </c>
      <c r="K96" s="3">
        <v>0</v>
      </c>
      <c r="L96" s="3">
        <v>3</v>
      </c>
      <c r="M96" s="4">
        <v>0</v>
      </c>
    </row>
    <row r="97" spans="1:13" ht="15.75" thickBot="1" x14ac:dyDescent="0.3">
      <c r="A97" s="6">
        <v>14</v>
      </c>
      <c r="B97" s="6" t="s">
        <v>26</v>
      </c>
      <c r="C97" s="7" t="s">
        <v>13</v>
      </c>
      <c r="D97" s="7" t="s">
        <v>14</v>
      </c>
      <c r="E97" s="8">
        <v>46272</v>
      </c>
      <c r="F97" s="7" t="s">
        <v>32</v>
      </c>
      <c r="G97" s="7" t="s">
        <v>17</v>
      </c>
      <c r="H97" s="7">
        <v>7</v>
      </c>
      <c r="I97" s="3">
        <v>1.5</v>
      </c>
      <c r="J97" s="12">
        <v>10.5</v>
      </c>
      <c r="K97" s="3">
        <v>1</v>
      </c>
      <c r="L97" s="3">
        <v>6</v>
      </c>
      <c r="M97" s="4">
        <v>0.16666666666666666</v>
      </c>
    </row>
    <row r="98" spans="1:13" ht="15.75" thickBot="1" x14ac:dyDescent="0.3">
      <c r="A98" s="6">
        <v>15</v>
      </c>
      <c r="B98" s="6" t="s">
        <v>26</v>
      </c>
      <c r="C98" s="7" t="s">
        <v>13</v>
      </c>
      <c r="D98" s="7" t="s">
        <v>14</v>
      </c>
      <c r="E98" s="8">
        <v>46272</v>
      </c>
      <c r="F98" s="7" t="s">
        <v>32</v>
      </c>
      <c r="G98" s="7" t="s">
        <v>18</v>
      </c>
      <c r="H98" s="7">
        <v>7</v>
      </c>
      <c r="I98" s="3">
        <v>1.5</v>
      </c>
      <c r="J98" s="12">
        <v>10.5</v>
      </c>
      <c r="K98" s="3">
        <v>1</v>
      </c>
      <c r="L98" s="3">
        <v>8</v>
      </c>
      <c r="M98" s="4">
        <v>0.125</v>
      </c>
    </row>
    <row r="99" spans="1:13" ht="15.75" thickBot="1" x14ac:dyDescent="0.3">
      <c r="A99" s="6">
        <v>16</v>
      </c>
      <c r="B99" s="6" t="s">
        <v>26</v>
      </c>
      <c r="C99" s="7" t="s">
        <v>13</v>
      </c>
      <c r="D99" s="7" t="s">
        <v>14</v>
      </c>
      <c r="E99" s="8">
        <v>46272</v>
      </c>
      <c r="F99" s="7" t="s">
        <v>32</v>
      </c>
      <c r="G99" s="7" t="s">
        <v>19</v>
      </c>
      <c r="H99" s="7">
        <v>7</v>
      </c>
      <c r="I99" s="3">
        <v>1.5</v>
      </c>
      <c r="J99" s="12">
        <v>10.5</v>
      </c>
      <c r="K99" s="3">
        <v>2</v>
      </c>
      <c r="L99" s="3">
        <v>13</v>
      </c>
      <c r="M99" s="4">
        <v>0.15384615384615385</v>
      </c>
    </row>
    <row r="100" spans="1:13" ht="15.75" thickBot="1" x14ac:dyDescent="0.3">
      <c r="A100" s="6">
        <v>17</v>
      </c>
      <c r="B100" s="6" t="s">
        <v>26</v>
      </c>
      <c r="C100" s="7" t="s">
        <v>13</v>
      </c>
      <c r="D100" s="7" t="s">
        <v>14</v>
      </c>
      <c r="E100" s="8">
        <v>46272</v>
      </c>
      <c r="F100" s="7" t="s">
        <v>32</v>
      </c>
      <c r="G100" s="7" t="s">
        <v>20</v>
      </c>
      <c r="H100" s="7">
        <v>7</v>
      </c>
      <c r="I100" s="3">
        <v>1.5</v>
      </c>
      <c r="J100" s="12">
        <v>10.5</v>
      </c>
      <c r="K100" s="3">
        <v>2</v>
      </c>
      <c r="L100" s="3">
        <v>11</v>
      </c>
      <c r="M100" s="4">
        <v>0.18181818181818182</v>
      </c>
    </row>
    <row r="101" spans="1:13" ht="15.75" thickBot="1" x14ac:dyDescent="0.3">
      <c r="A101" s="6">
        <v>18</v>
      </c>
      <c r="B101" s="6" t="s">
        <v>26</v>
      </c>
      <c r="C101" s="7" t="s">
        <v>13</v>
      </c>
      <c r="D101" s="7" t="s">
        <v>14</v>
      </c>
      <c r="E101" s="8">
        <v>46272</v>
      </c>
      <c r="F101" s="7" t="s">
        <v>32</v>
      </c>
      <c r="G101" s="7" t="s">
        <v>21</v>
      </c>
      <c r="H101" s="7">
        <v>7</v>
      </c>
      <c r="I101" s="3">
        <v>1.5</v>
      </c>
      <c r="J101" s="12">
        <v>10.5</v>
      </c>
      <c r="K101" s="3">
        <v>5</v>
      </c>
      <c r="L101" s="3">
        <v>24</v>
      </c>
      <c r="M101" s="4">
        <v>0.20833333333333334</v>
      </c>
    </row>
    <row r="102" spans="1:13" ht="15.75" thickBot="1" x14ac:dyDescent="0.3">
      <c r="A102" s="6">
        <v>19</v>
      </c>
      <c r="B102" s="6" t="s">
        <v>26</v>
      </c>
      <c r="C102" s="7" t="s">
        <v>13</v>
      </c>
      <c r="D102" s="7" t="s">
        <v>14</v>
      </c>
      <c r="E102" s="8">
        <v>46272</v>
      </c>
      <c r="F102" s="7" t="s">
        <v>32</v>
      </c>
      <c r="G102" s="7" t="s">
        <v>22</v>
      </c>
      <c r="H102" s="7">
        <v>4</v>
      </c>
      <c r="I102" s="3">
        <v>1.5</v>
      </c>
      <c r="J102" s="12">
        <v>6</v>
      </c>
      <c r="K102" s="3">
        <v>3</v>
      </c>
      <c r="L102" s="3">
        <v>19</v>
      </c>
      <c r="M102" s="4">
        <v>0.15789473684210525</v>
      </c>
    </row>
    <row r="103" spans="1:13" ht="15.75" thickBot="1" x14ac:dyDescent="0.3">
      <c r="A103" s="6">
        <v>20</v>
      </c>
      <c r="B103" s="6" t="s">
        <v>26</v>
      </c>
      <c r="C103" s="7" t="s">
        <v>13</v>
      </c>
      <c r="D103" s="7" t="s">
        <v>14</v>
      </c>
      <c r="E103" s="8">
        <v>46272</v>
      </c>
      <c r="F103" s="7" t="s">
        <v>32</v>
      </c>
      <c r="G103" s="7" t="s">
        <v>23</v>
      </c>
      <c r="H103" s="7">
        <v>4</v>
      </c>
      <c r="I103" s="3">
        <v>1.5</v>
      </c>
      <c r="J103" s="12">
        <v>6</v>
      </c>
      <c r="K103" s="3">
        <v>8</v>
      </c>
      <c r="L103" s="3">
        <v>34</v>
      </c>
      <c r="M103" s="4">
        <v>0.23529411764705882</v>
      </c>
    </row>
    <row r="104" spans="1:13" ht="15.75" thickBot="1" x14ac:dyDescent="0.3">
      <c r="A104" s="6">
        <v>21</v>
      </c>
      <c r="B104" s="6" t="s">
        <v>26</v>
      </c>
      <c r="C104" s="7" t="s">
        <v>13</v>
      </c>
      <c r="D104" s="7" t="s">
        <v>14</v>
      </c>
      <c r="E104" s="8">
        <v>46272</v>
      </c>
      <c r="F104" s="7" t="s">
        <v>32</v>
      </c>
      <c r="G104" s="7" t="s">
        <v>24</v>
      </c>
      <c r="H104" s="7">
        <v>4</v>
      </c>
      <c r="I104" s="3">
        <v>1.5</v>
      </c>
      <c r="J104" s="12">
        <v>6</v>
      </c>
      <c r="K104" s="3">
        <v>2</v>
      </c>
      <c r="L104" s="3">
        <v>18</v>
      </c>
      <c r="M104" s="4">
        <v>0.1111111111111111</v>
      </c>
    </row>
    <row r="106" spans="1:13" ht="15.75" thickBot="1" x14ac:dyDescent="0.3"/>
    <row r="107" spans="1:13" ht="15.75" thickBot="1" x14ac:dyDescent="0.3">
      <c r="A107" s="1"/>
      <c r="B107" s="9">
        <v>46273</v>
      </c>
      <c r="C107" s="10"/>
      <c r="D107" s="10"/>
      <c r="E107" s="17"/>
      <c r="F107" s="17"/>
      <c r="G107" s="17"/>
      <c r="H107" s="17"/>
      <c r="I107" s="17"/>
      <c r="J107" s="10"/>
      <c r="K107" s="17"/>
      <c r="L107" s="17"/>
      <c r="M107" s="17"/>
    </row>
    <row r="108" spans="1:13" ht="15.75" thickBot="1" x14ac:dyDescent="0.3">
      <c r="A108" s="1" t="s">
        <v>31</v>
      </c>
      <c r="B108" s="1" t="s">
        <v>0</v>
      </c>
      <c r="C108" s="2" t="s">
        <v>1</v>
      </c>
      <c r="D108" s="2" t="s">
        <v>2</v>
      </c>
      <c r="E108" s="2" t="s">
        <v>3</v>
      </c>
      <c r="F108" s="2" t="s">
        <v>4</v>
      </c>
      <c r="G108" s="2" t="s">
        <v>5</v>
      </c>
      <c r="H108" s="2" t="s">
        <v>6</v>
      </c>
      <c r="I108" s="2" t="s">
        <v>7</v>
      </c>
      <c r="J108" s="11" t="s">
        <v>8</v>
      </c>
      <c r="K108" s="2" t="s">
        <v>9</v>
      </c>
      <c r="L108" s="2" t="s">
        <v>10</v>
      </c>
      <c r="M108" s="2" t="s">
        <v>11</v>
      </c>
    </row>
    <row r="109" spans="1:13" ht="15.75" thickBot="1" x14ac:dyDescent="0.3">
      <c r="A109" s="6">
        <v>11</v>
      </c>
      <c r="B109" s="6" t="s">
        <v>26</v>
      </c>
      <c r="C109" s="7" t="s">
        <v>13</v>
      </c>
      <c r="D109" s="7" t="s">
        <v>14</v>
      </c>
      <c r="E109" s="8">
        <v>46273</v>
      </c>
      <c r="F109" s="7" t="s">
        <v>32</v>
      </c>
      <c r="G109" s="7" t="s">
        <v>12</v>
      </c>
      <c r="H109" s="7">
        <v>3</v>
      </c>
      <c r="I109" s="3">
        <v>1.5</v>
      </c>
      <c r="J109" s="12">
        <v>4.5</v>
      </c>
      <c r="K109" s="3">
        <v>0</v>
      </c>
      <c r="L109" s="3">
        <v>2</v>
      </c>
      <c r="M109" s="4">
        <v>0</v>
      </c>
    </row>
    <row r="110" spans="1:13" ht="15.75" thickBot="1" x14ac:dyDescent="0.3">
      <c r="A110" s="6">
        <v>12</v>
      </c>
      <c r="B110" s="6" t="s">
        <v>26</v>
      </c>
      <c r="C110" s="7" t="s">
        <v>13</v>
      </c>
      <c r="D110" s="7" t="s">
        <v>14</v>
      </c>
      <c r="E110" s="8">
        <v>46273</v>
      </c>
      <c r="F110" s="7" t="s">
        <v>32</v>
      </c>
      <c r="G110" s="7" t="s">
        <v>15</v>
      </c>
      <c r="H110" s="7">
        <v>3</v>
      </c>
      <c r="I110" s="3">
        <v>1.5</v>
      </c>
      <c r="J110" s="12">
        <v>4.5</v>
      </c>
      <c r="K110" s="3">
        <v>0</v>
      </c>
      <c r="L110" s="3">
        <v>4</v>
      </c>
      <c r="M110" s="4">
        <v>0</v>
      </c>
    </row>
    <row r="111" spans="1:13" ht="15.75" thickBot="1" x14ac:dyDescent="0.3">
      <c r="A111" s="6">
        <v>13</v>
      </c>
      <c r="B111" s="6" t="s">
        <v>26</v>
      </c>
      <c r="C111" s="7" t="s">
        <v>13</v>
      </c>
      <c r="D111" s="7" t="s">
        <v>14</v>
      </c>
      <c r="E111" s="8">
        <v>46273</v>
      </c>
      <c r="F111" s="7" t="s">
        <v>32</v>
      </c>
      <c r="G111" s="7" t="s">
        <v>16</v>
      </c>
      <c r="H111" s="7">
        <v>7</v>
      </c>
      <c r="I111" s="3">
        <v>1.5</v>
      </c>
      <c r="J111" s="12">
        <v>10.5</v>
      </c>
      <c r="K111" s="3">
        <v>1</v>
      </c>
      <c r="L111" s="3">
        <v>6</v>
      </c>
      <c r="M111" s="4">
        <v>0.16666666666666666</v>
      </c>
    </row>
    <row r="112" spans="1:13" ht="15.75" thickBot="1" x14ac:dyDescent="0.3">
      <c r="A112" s="6">
        <v>14</v>
      </c>
      <c r="B112" s="6" t="s">
        <v>26</v>
      </c>
      <c r="C112" s="7" t="s">
        <v>13</v>
      </c>
      <c r="D112" s="7" t="s">
        <v>14</v>
      </c>
      <c r="E112" s="8">
        <v>46273</v>
      </c>
      <c r="F112" s="7" t="s">
        <v>32</v>
      </c>
      <c r="G112" s="7" t="s">
        <v>17</v>
      </c>
      <c r="H112" s="7">
        <v>7</v>
      </c>
      <c r="I112" s="3">
        <v>1.5</v>
      </c>
      <c r="J112" s="12">
        <v>10.5</v>
      </c>
      <c r="K112" s="3">
        <v>2</v>
      </c>
      <c r="L112" s="3">
        <v>13</v>
      </c>
      <c r="M112" s="4">
        <v>0.15384615384615385</v>
      </c>
    </row>
    <row r="113" spans="1:13" ht="15.75" thickBot="1" x14ac:dyDescent="0.3">
      <c r="A113" s="6">
        <v>15</v>
      </c>
      <c r="B113" s="6" t="s">
        <v>26</v>
      </c>
      <c r="C113" s="7" t="s">
        <v>13</v>
      </c>
      <c r="D113" s="7" t="s">
        <v>14</v>
      </c>
      <c r="E113" s="8">
        <v>46273</v>
      </c>
      <c r="F113" s="7" t="s">
        <v>32</v>
      </c>
      <c r="G113" s="7" t="s">
        <v>18</v>
      </c>
      <c r="H113" s="7">
        <v>7</v>
      </c>
      <c r="I113" s="3">
        <v>1.5</v>
      </c>
      <c r="J113" s="12">
        <v>10.5</v>
      </c>
      <c r="K113" s="3">
        <v>2</v>
      </c>
      <c r="L113" s="3">
        <v>18</v>
      </c>
      <c r="M113" s="4">
        <v>0.1111111111111111</v>
      </c>
    </row>
    <row r="114" spans="1:13" ht="15.75" thickBot="1" x14ac:dyDescent="0.3">
      <c r="A114" s="6">
        <v>16</v>
      </c>
      <c r="B114" s="6" t="s">
        <v>26</v>
      </c>
      <c r="C114" s="7" t="s">
        <v>13</v>
      </c>
      <c r="D114" s="7" t="s">
        <v>14</v>
      </c>
      <c r="E114" s="8">
        <v>46273</v>
      </c>
      <c r="F114" s="7" t="s">
        <v>32</v>
      </c>
      <c r="G114" s="7" t="s">
        <v>19</v>
      </c>
      <c r="H114" s="7">
        <v>7</v>
      </c>
      <c r="I114" s="3">
        <v>1.5</v>
      </c>
      <c r="J114" s="12">
        <v>10.5</v>
      </c>
      <c r="K114" s="3">
        <v>4</v>
      </c>
      <c r="L114" s="3">
        <v>22</v>
      </c>
      <c r="M114" s="4">
        <v>0.18181818181818182</v>
      </c>
    </row>
    <row r="115" spans="1:13" ht="15.75" thickBot="1" x14ac:dyDescent="0.3">
      <c r="A115" s="6">
        <v>17</v>
      </c>
      <c r="B115" s="6" t="s">
        <v>26</v>
      </c>
      <c r="C115" s="7" t="s">
        <v>13</v>
      </c>
      <c r="D115" s="7" t="s">
        <v>14</v>
      </c>
      <c r="E115" s="8">
        <v>46273</v>
      </c>
      <c r="F115" s="7" t="s">
        <v>32</v>
      </c>
      <c r="G115" s="7" t="s">
        <v>20</v>
      </c>
      <c r="H115" s="7">
        <v>7</v>
      </c>
      <c r="I115" s="3">
        <v>1.5</v>
      </c>
      <c r="J115" s="12">
        <v>10.5</v>
      </c>
      <c r="K115" s="3">
        <v>1</v>
      </c>
      <c r="L115" s="3">
        <v>9</v>
      </c>
      <c r="M115" s="4">
        <v>0.1111111111111111</v>
      </c>
    </row>
    <row r="116" spans="1:13" ht="15.75" thickBot="1" x14ac:dyDescent="0.3">
      <c r="A116" s="6">
        <v>18</v>
      </c>
      <c r="B116" s="6" t="s">
        <v>26</v>
      </c>
      <c r="C116" s="7" t="s">
        <v>13</v>
      </c>
      <c r="D116" s="7" t="s">
        <v>14</v>
      </c>
      <c r="E116" s="8">
        <v>46273</v>
      </c>
      <c r="F116" s="7" t="s">
        <v>32</v>
      </c>
      <c r="G116" s="7" t="s">
        <v>21</v>
      </c>
      <c r="H116" s="7">
        <v>7</v>
      </c>
      <c r="I116" s="3">
        <v>1.5</v>
      </c>
      <c r="J116" s="12">
        <v>10.5</v>
      </c>
      <c r="K116" s="3">
        <v>2</v>
      </c>
      <c r="L116" s="3">
        <v>15</v>
      </c>
      <c r="M116" s="4">
        <v>0.13333333333333333</v>
      </c>
    </row>
    <row r="117" spans="1:13" ht="15.75" thickBot="1" x14ac:dyDescent="0.3">
      <c r="A117" s="6">
        <v>19</v>
      </c>
      <c r="B117" s="6" t="s">
        <v>26</v>
      </c>
      <c r="C117" s="7" t="s">
        <v>13</v>
      </c>
      <c r="D117" s="7" t="s">
        <v>14</v>
      </c>
      <c r="E117" s="8">
        <v>46273</v>
      </c>
      <c r="F117" s="7" t="s">
        <v>32</v>
      </c>
      <c r="G117" s="7" t="s">
        <v>22</v>
      </c>
      <c r="H117" s="7">
        <v>4</v>
      </c>
      <c r="I117" s="3">
        <v>1.5</v>
      </c>
      <c r="J117" s="12">
        <v>6</v>
      </c>
      <c r="K117" s="3">
        <v>2</v>
      </c>
      <c r="L117" s="3">
        <v>18</v>
      </c>
      <c r="M117" s="4">
        <v>0.1111111111111111</v>
      </c>
    </row>
    <row r="118" spans="1:13" ht="15.75" thickBot="1" x14ac:dyDescent="0.3">
      <c r="A118" s="6">
        <v>20</v>
      </c>
      <c r="B118" s="6" t="s">
        <v>26</v>
      </c>
      <c r="C118" s="7" t="s">
        <v>13</v>
      </c>
      <c r="D118" s="7" t="s">
        <v>14</v>
      </c>
      <c r="E118" s="8">
        <v>46273</v>
      </c>
      <c r="F118" s="7" t="s">
        <v>32</v>
      </c>
      <c r="G118" s="7" t="s">
        <v>23</v>
      </c>
      <c r="H118" s="7">
        <v>4</v>
      </c>
      <c r="I118" s="3">
        <v>1.5</v>
      </c>
      <c r="J118" s="12">
        <v>6</v>
      </c>
      <c r="K118" s="3">
        <v>4</v>
      </c>
      <c r="L118" s="3">
        <v>22</v>
      </c>
      <c r="M118" s="4">
        <v>0.18181818181818182</v>
      </c>
    </row>
    <row r="119" spans="1:13" ht="15.75" thickBot="1" x14ac:dyDescent="0.3">
      <c r="A119" s="6">
        <v>21</v>
      </c>
      <c r="B119" s="6" t="s">
        <v>26</v>
      </c>
      <c r="C119" s="7" t="s">
        <v>13</v>
      </c>
      <c r="D119" s="7" t="s">
        <v>14</v>
      </c>
      <c r="E119" s="8">
        <v>46273</v>
      </c>
      <c r="F119" s="7" t="s">
        <v>32</v>
      </c>
      <c r="G119" s="7" t="s">
        <v>24</v>
      </c>
      <c r="H119" s="7">
        <v>4</v>
      </c>
      <c r="I119" s="3">
        <v>1.5</v>
      </c>
      <c r="J119" s="12">
        <v>6</v>
      </c>
      <c r="K119" s="3">
        <v>3</v>
      </c>
      <c r="L119" s="3">
        <v>13</v>
      </c>
      <c r="M119" s="4">
        <v>0.23076923076923078</v>
      </c>
    </row>
    <row r="121" spans="1:13" ht="15.75" thickBot="1" x14ac:dyDescent="0.3"/>
    <row r="122" spans="1:13" ht="15.75" thickBot="1" x14ac:dyDescent="0.3">
      <c r="A122" s="1"/>
      <c r="B122" s="9">
        <v>46274</v>
      </c>
      <c r="C122" s="10"/>
      <c r="D122" s="10"/>
      <c r="E122" s="17"/>
      <c r="F122" s="17"/>
      <c r="G122" s="17"/>
      <c r="H122" s="17"/>
      <c r="I122" s="17"/>
      <c r="J122" s="10"/>
      <c r="K122" s="17"/>
      <c r="L122" s="17"/>
      <c r="M122" s="17"/>
    </row>
    <row r="123" spans="1:13" ht="15.75" thickBot="1" x14ac:dyDescent="0.3">
      <c r="A123" s="1" t="s">
        <v>31</v>
      </c>
      <c r="B123" s="1" t="s">
        <v>0</v>
      </c>
      <c r="C123" s="2" t="s">
        <v>1</v>
      </c>
      <c r="D123" s="2" t="s">
        <v>2</v>
      </c>
      <c r="E123" s="2" t="s">
        <v>3</v>
      </c>
      <c r="F123" s="2" t="s">
        <v>4</v>
      </c>
      <c r="G123" s="2" t="s">
        <v>5</v>
      </c>
      <c r="H123" s="2" t="s">
        <v>6</v>
      </c>
      <c r="I123" s="2" t="s">
        <v>7</v>
      </c>
      <c r="J123" s="11" t="s">
        <v>8</v>
      </c>
      <c r="K123" s="2" t="s">
        <v>9</v>
      </c>
      <c r="L123" s="2" t="s">
        <v>10</v>
      </c>
      <c r="M123" s="2" t="s">
        <v>11</v>
      </c>
    </row>
    <row r="124" spans="1:13" ht="15.75" thickBot="1" x14ac:dyDescent="0.3">
      <c r="A124" s="6">
        <v>11</v>
      </c>
      <c r="B124" s="6" t="s">
        <v>26</v>
      </c>
      <c r="C124" s="7" t="s">
        <v>13</v>
      </c>
      <c r="D124" s="7" t="s">
        <v>14</v>
      </c>
      <c r="E124" s="8">
        <v>46274</v>
      </c>
      <c r="F124" s="7" t="s">
        <v>32</v>
      </c>
      <c r="G124" s="7" t="s">
        <v>12</v>
      </c>
      <c r="H124" s="7">
        <v>3</v>
      </c>
      <c r="I124" s="3">
        <v>1.5</v>
      </c>
      <c r="J124" s="12">
        <v>4.5</v>
      </c>
      <c r="K124" s="3">
        <v>2</v>
      </c>
      <c r="L124" s="3">
        <v>6</v>
      </c>
      <c r="M124" s="4">
        <v>0.33333333333333331</v>
      </c>
    </row>
    <row r="125" spans="1:13" ht="15.75" thickBot="1" x14ac:dyDescent="0.3">
      <c r="A125" s="6">
        <v>12</v>
      </c>
      <c r="B125" s="6" t="s">
        <v>26</v>
      </c>
      <c r="C125" s="7" t="s">
        <v>13</v>
      </c>
      <c r="D125" s="7" t="s">
        <v>14</v>
      </c>
      <c r="E125" s="8">
        <v>46274</v>
      </c>
      <c r="F125" s="7" t="s">
        <v>32</v>
      </c>
      <c r="G125" s="7" t="s">
        <v>15</v>
      </c>
      <c r="H125" s="7">
        <v>3</v>
      </c>
      <c r="I125" s="3">
        <v>1.5</v>
      </c>
      <c r="J125" s="12">
        <v>4.5</v>
      </c>
      <c r="K125" s="3">
        <v>1</v>
      </c>
      <c r="L125" s="3">
        <v>12</v>
      </c>
      <c r="M125" s="4">
        <v>8.3333333333333329E-2</v>
      </c>
    </row>
    <row r="126" spans="1:13" ht="15.75" thickBot="1" x14ac:dyDescent="0.3">
      <c r="A126" s="6">
        <v>13</v>
      </c>
      <c r="B126" s="6" t="s">
        <v>26</v>
      </c>
      <c r="C126" s="7" t="s">
        <v>13</v>
      </c>
      <c r="D126" s="7" t="s">
        <v>14</v>
      </c>
      <c r="E126" s="8">
        <v>46274</v>
      </c>
      <c r="F126" s="7" t="s">
        <v>32</v>
      </c>
      <c r="G126" s="7" t="s">
        <v>16</v>
      </c>
      <c r="H126" s="7">
        <v>7</v>
      </c>
      <c r="I126" s="3">
        <v>1.5</v>
      </c>
      <c r="J126" s="12">
        <v>10.5</v>
      </c>
      <c r="K126" s="3">
        <v>4</v>
      </c>
      <c r="L126" s="3">
        <v>27</v>
      </c>
      <c r="M126" s="4">
        <v>0.14814814814814814</v>
      </c>
    </row>
    <row r="127" spans="1:13" ht="15.75" thickBot="1" x14ac:dyDescent="0.3">
      <c r="A127" s="6">
        <v>14</v>
      </c>
      <c r="B127" s="6" t="s">
        <v>26</v>
      </c>
      <c r="C127" s="7" t="s">
        <v>13</v>
      </c>
      <c r="D127" s="7" t="s">
        <v>14</v>
      </c>
      <c r="E127" s="8">
        <v>46274</v>
      </c>
      <c r="F127" s="7" t="s">
        <v>32</v>
      </c>
      <c r="G127" s="7" t="s">
        <v>17</v>
      </c>
      <c r="H127" s="7">
        <v>7</v>
      </c>
      <c r="I127" s="3">
        <v>1.5</v>
      </c>
      <c r="J127" s="12">
        <v>10.5</v>
      </c>
      <c r="K127" s="3">
        <v>1</v>
      </c>
      <c r="L127" s="3">
        <v>19</v>
      </c>
      <c r="M127" s="4">
        <v>5.2631578947368418E-2</v>
      </c>
    </row>
    <row r="128" spans="1:13" ht="15.75" thickBot="1" x14ac:dyDescent="0.3">
      <c r="A128" s="6">
        <v>15</v>
      </c>
      <c r="B128" s="6" t="s">
        <v>26</v>
      </c>
      <c r="C128" s="7" t="s">
        <v>13</v>
      </c>
      <c r="D128" s="7" t="s">
        <v>14</v>
      </c>
      <c r="E128" s="8">
        <v>46274</v>
      </c>
      <c r="F128" s="7" t="s">
        <v>32</v>
      </c>
      <c r="G128" s="7" t="s">
        <v>18</v>
      </c>
      <c r="H128" s="7">
        <v>7</v>
      </c>
      <c r="I128" s="3">
        <v>1.5</v>
      </c>
      <c r="J128" s="12">
        <v>10.5</v>
      </c>
      <c r="K128" s="3">
        <v>3</v>
      </c>
      <c r="L128" s="3">
        <v>23</v>
      </c>
      <c r="M128" s="4">
        <v>0.13043478260869565</v>
      </c>
    </row>
    <row r="129" spans="1:13" ht="15.75" thickBot="1" x14ac:dyDescent="0.3">
      <c r="A129" s="6">
        <v>16</v>
      </c>
      <c r="B129" s="6" t="s">
        <v>26</v>
      </c>
      <c r="C129" s="7" t="s">
        <v>13</v>
      </c>
      <c r="D129" s="7" t="s">
        <v>14</v>
      </c>
      <c r="E129" s="8">
        <v>46274</v>
      </c>
      <c r="F129" s="7" t="s">
        <v>32</v>
      </c>
      <c r="G129" s="7" t="s">
        <v>19</v>
      </c>
      <c r="H129" s="7">
        <v>7</v>
      </c>
      <c r="I129" s="3">
        <v>1.5</v>
      </c>
      <c r="J129" s="12">
        <v>10.5</v>
      </c>
      <c r="K129" s="3">
        <v>3</v>
      </c>
      <c r="L129" s="3">
        <v>17</v>
      </c>
      <c r="M129" s="4">
        <v>0.17647058823529413</v>
      </c>
    </row>
    <row r="130" spans="1:13" ht="15.75" thickBot="1" x14ac:dyDescent="0.3">
      <c r="A130" s="6">
        <v>17</v>
      </c>
      <c r="B130" s="6" t="s">
        <v>26</v>
      </c>
      <c r="C130" s="7" t="s">
        <v>13</v>
      </c>
      <c r="D130" s="7" t="s">
        <v>14</v>
      </c>
      <c r="E130" s="8">
        <v>46274</v>
      </c>
      <c r="F130" s="7" t="s">
        <v>32</v>
      </c>
      <c r="G130" s="7" t="s">
        <v>20</v>
      </c>
      <c r="H130" s="7">
        <v>7</v>
      </c>
      <c r="I130" s="3">
        <v>1.5</v>
      </c>
      <c r="J130" s="12">
        <v>10.5</v>
      </c>
      <c r="K130" s="3">
        <v>1</v>
      </c>
      <c r="L130" s="3">
        <v>12</v>
      </c>
      <c r="M130" s="4">
        <v>8.3333333333333329E-2</v>
      </c>
    </row>
    <row r="131" spans="1:13" ht="15.75" thickBot="1" x14ac:dyDescent="0.3">
      <c r="A131" s="6">
        <v>18</v>
      </c>
      <c r="B131" s="6" t="s">
        <v>26</v>
      </c>
      <c r="C131" s="7" t="s">
        <v>13</v>
      </c>
      <c r="D131" s="7" t="s">
        <v>14</v>
      </c>
      <c r="E131" s="8">
        <v>46274</v>
      </c>
      <c r="F131" s="7" t="s">
        <v>32</v>
      </c>
      <c r="G131" s="7" t="s">
        <v>21</v>
      </c>
      <c r="H131" s="7">
        <v>7</v>
      </c>
      <c r="I131" s="3">
        <v>1.5</v>
      </c>
      <c r="J131" s="12">
        <v>10.5</v>
      </c>
      <c r="K131" s="3">
        <v>0</v>
      </c>
      <c r="L131" s="3">
        <v>8</v>
      </c>
      <c r="M131" s="4">
        <v>0</v>
      </c>
    </row>
    <row r="132" spans="1:13" ht="15.75" thickBot="1" x14ac:dyDescent="0.3">
      <c r="A132" s="6">
        <v>19</v>
      </c>
      <c r="B132" s="6" t="s">
        <v>26</v>
      </c>
      <c r="C132" s="7" t="s">
        <v>13</v>
      </c>
      <c r="D132" s="7" t="s">
        <v>14</v>
      </c>
      <c r="E132" s="8">
        <v>46274</v>
      </c>
      <c r="F132" s="7" t="s">
        <v>32</v>
      </c>
      <c r="G132" s="7" t="s">
        <v>22</v>
      </c>
      <c r="H132" s="7">
        <v>4</v>
      </c>
      <c r="I132" s="3">
        <v>1.5</v>
      </c>
      <c r="J132" s="12">
        <v>6</v>
      </c>
      <c r="K132" s="3">
        <v>7</v>
      </c>
      <c r="L132" s="3">
        <v>29</v>
      </c>
      <c r="M132" s="4">
        <v>0.2413793103448276</v>
      </c>
    </row>
    <row r="133" spans="1:13" ht="15.75" thickBot="1" x14ac:dyDescent="0.3">
      <c r="A133" s="6">
        <v>20</v>
      </c>
      <c r="B133" s="6" t="s">
        <v>26</v>
      </c>
      <c r="C133" s="7" t="s">
        <v>13</v>
      </c>
      <c r="D133" s="7" t="s">
        <v>14</v>
      </c>
      <c r="E133" s="8">
        <v>46274</v>
      </c>
      <c r="F133" s="7" t="s">
        <v>32</v>
      </c>
      <c r="G133" s="7" t="s">
        <v>23</v>
      </c>
      <c r="H133" s="7">
        <v>4</v>
      </c>
      <c r="I133" s="3">
        <v>1.5</v>
      </c>
      <c r="J133" s="12">
        <v>6</v>
      </c>
      <c r="K133" s="3">
        <v>3</v>
      </c>
      <c r="L133" s="3">
        <v>21</v>
      </c>
      <c r="M133" s="4">
        <v>0.14285714285714285</v>
      </c>
    </row>
    <row r="134" spans="1:13" ht="15.75" thickBot="1" x14ac:dyDescent="0.3">
      <c r="A134" s="6">
        <v>21</v>
      </c>
      <c r="B134" s="6" t="s">
        <v>26</v>
      </c>
      <c r="C134" s="7" t="s">
        <v>13</v>
      </c>
      <c r="D134" s="7" t="s">
        <v>14</v>
      </c>
      <c r="E134" s="8">
        <v>46274</v>
      </c>
      <c r="F134" s="7" t="s">
        <v>32</v>
      </c>
      <c r="G134" s="7" t="s">
        <v>24</v>
      </c>
      <c r="H134" s="7">
        <v>4</v>
      </c>
      <c r="I134" s="3">
        <v>1.5</v>
      </c>
      <c r="J134" s="12">
        <v>6</v>
      </c>
      <c r="K134" s="3">
        <v>4</v>
      </c>
      <c r="L134" s="3">
        <v>18</v>
      </c>
      <c r="M134" s="4">
        <v>0.22222222222222221</v>
      </c>
    </row>
    <row r="136" spans="1:13" ht="15.75" thickBot="1" x14ac:dyDescent="0.3"/>
    <row r="137" spans="1:13" ht="15.75" thickBot="1" x14ac:dyDescent="0.3">
      <c r="A137" s="1"/>
      <c r="B137" s="9">
        <v>46275</v>
      </c>
      <c r="C137" s="10"/>
      <c r="D137" s="10"/>
      <c r="E137" s="17"/>
      <c r="F137" s="17"/>
      <c r="G137" s="17"/>
      <c r="H137" s="17"/>
      <c r="I137" s="17"/>
      <c r="J137" s="10"/>
      <c r="K137" s="17"/>
      <c r="L137" s="17"/>
      <c r="M137" s="17"/>
    </row>
    <row r="138" spans="1:13" ht="15.75" thickBot="1" x14ac:dyDescent="0.3">
      <c r="A138" s="1" t="s">
        <v>31</v>
      </c>
      <c r="B138" s="1" t="s">
        <v>0</v>
      </c>
      <c r="C138" s="2" t="s">
        <v>1</v>
      </c>
      <c r="D138" s="2" t="s">
        <v>2</v>
      </c>
      <c r="E138" s="2" t="s">
        <v>3</v>
      </c>
      <c r="F138" s="2" t="s">
        <v>4</v>
      </c>
      <c r="G138" s="2" t="s">
        <v>5</v>
      </c>
      <c r="H138" s="2" t="s">
        <v>6</v>
      </c>
      <c r="I138" s="2" t="s">
        <v>7</v>
      </c>
      <c r="J138" s="11" t="s">
        <v>8</v>
      </c>
      <c r="K138" s="2" t="s">
        <v>9</v>
      </c>
      <c r="L138" s="2" t="s">
        <v>10</v>
      </c>
      <c r="M138" s="2" t="s">
        <v>11</v>
      </c>
    </row>
    <row r="139" spans="1:13" ht="15.75" thickBot="1" x14ac:dyDescent="0.3">
      <c r="A139" s="6">
        <v>11</v>
      </c>
      <c r="B139" s="6" t="s">
        <v>26</v>
      </c>
      <c r="C139" s="7" t="s">
        <v>13</v>
      </c>
      <c r="D139" s="7" t="s">
        <v>14</v>
      </c>
      <c r="E139" s="8">
        <v>46275</v>
      </c>
      <c r="F139" s="7" t="s">
        <v>32</v>
      </c>
      <c r="G139" s="7" t="s">
        <v>12</v>
      </c>
      <c r="H139" s="7">
        <v>3</v>
      </c>
      <c r="I139" s="3">
        <v>1.5</v>
      </c>
      <c r="J139" s="12">
        <v>4.5</v>
      </c>
      <c r="K139" s="3">
        <v>1</v>
      </c>
      <c r="L139" s="3">
        <v>3</v>
      </c>
      <c r="M139" s="4">
        <v>0.33333333333333331</v>
      </c>
    </row>
    <row r="140" spans="1:13" ht="15.75" thickBot="1" x14ac:dyDescent="0.3">
      <c r="A140" s="6">
        <v>12</v>
      </c>
      <c r="B140" s="6" t="s">
        <v>26</v>
      </c>
      <c r="C140" s="7" t="s">
        <v>13</v>
      </c>
      <c r="D140" s="7" t="s">
        <v>14</v>
      </c>
      <c r="E140" s="8">
        <v>46275</v>
      </c>
      <c r="F140" s="7" t="s">
        <v>32</v>
      </c>
      <c r="G140" s="7" t="s">
        <v>15</v>
      </c>
      <c r="H140" s="7">
        <v>3</v>
      </c>
      <c r="I140" s="3">
        <v>1.5</v>
      </c>
      <c r="J140" s="12">
        <v>4.5</v>
      </c>
      <c r="K140" s="3">
        <v>2</v>
      </c>
      <c r="L140" s="3">
        <v>9</v>
      </c>
      <c r="M140" s="4">
        <v>0.22222222222222221</v>
      </c>
    </row>
    <row r="141" spans="1:13" ht="15.75" thickBot="1" x14ac:dyDescent="0.3">
      <c r="A141" s="6">
        <v>13</v>
      </c>
      <c r="B141" s="6" t="s">
        <v>26</v>
      </c>
      <c r="C141" s="7" t="s">
        <v>13</v>
      </c>
      <c r="D141" s="7" t="s">
        <v>14</v>
      </c>
      <c r="E141" s="8">
        <v>46275</v>
      </c>
      <c r="F141" s="7" t="s">
        <v>32</v>
      </c>
      <c r="G141" s="7" t="s">
        <v>16</v>
      </c>
      <c r="H141" s="7">
        <v>7</v>
      </c>
      <c r="I141" s="3">
        <v>1.5</v>
      </c>
      <c r="J141" s="12">
        <v>10.5</v>
      </c>
      <c r="K141" s="3">
        <v>1</v>
      </c>
      <c r="L141" s="3">
        <v>11</v>
      </c>
      <c r="M141" s="4">
        <v>9.0909090909090912E-2</v>
      </c>
    </row>
    <row r="142" spans="1:13" ht="15.75" thickBot="1" x14ac:dyDescent="0.3">
      <c r="A142" s="6">
        <v>14</v>
      </c>
      <c r="B142" s="6" t="s">
        <v>26</v>
      </c>
      <c r="C142" s="7" t="s">
        <v>13</v>
      </c>
      <c r="D142" s="7" t="s">
        <v>14</v>
      </c>
      <c r="E142" s="8">
        <v>46275</v>
      </c>
      <c r="F142" s="7" t="s">
        <v>32</v>
      </c>
      <c r="G142" s="7" t="s">
        <v>17</v>
      </c>
      <c r="H142" s="7">
        <v>7</v>
      </c>
      <c r="I142" s="3">
        <v>1.5</v>
      </c>
      <c r="J142" s="12">
        <v>10.5</v>
      </c>
      <c r="K142" s="3">
        <v>1</v>
      </c>
      <c r="L142" s="3">
        <v>16</v>
      </c>
      <c r="M142" s="4">
        <v>6.25E-2</v>
      </c>
    </row>
    <row r="143" spans="1:13" ht="15.75" thickBot="1" x14ac:dyDescent="0.3">
      <c r="A143" s="6">
        <v>15</v>
      </c>
      <c r="B143" s="6" t="s">
        <v>26</v>
      </c>
      <c r="C143" s="7" t="s">
        <v>13</v>
      </c>
      <c r="D143" s="7" t="s">
        <v>14</v>
      </c>
      <c r="E143" s="8">
        <v>46275</v>
      </c>
      <c r="F143" s="7" t="s">
        <v>32</v>
      </c>
      <c r="G143" s="7" t="s">
        <v>18</v>
      </c>
      <c r="H143" s="7">
        <v>7</v>
      </c>
      <c r="I143" s="3">
        <v>1.5</v>
      </c>
      <c r="J143" s="12">
        <v>10.5</v>
      </c>
      <c r="K143" s="3">
        <v>8</v>
      </c>
      <c r="L143" s="3">
        <v>33</v>
      </c>
      <c r="M143" s="4">
        <v>0.24242424242424243</v>
      </c>
    </row>
    <row r="144" spans="1:13" ht="15.75" thickBot="1" x14ac:dyDescent="0.3">
      <c r="A144" s="6">
        <v>16</v>
      </c>
      <c r="B144" s="6" t="s">
        <v>26</v>
      </c>
      <c r="C144" s="7" t="s">
        <v>13</v>
      </c>
      <c r="D144" s="7" t="s">
        <v>14</v>
      </c>
      <c r="E144" s="8">
        <v>46275</v>
      </c>
      <c r="F144" s="7" t="s">
        <v>32</v>
      </c>
      <c r="G144" s="7" t="s">
        <v>19</v>
      </c>
      <c r="H144" s="7">
        <v>7</v>
      </c>
      <c r="I144" s="3">
        <v>1.5</v>
      </c>
      <c r="J144" s="12">
        <v>10.5</v>
      </c>
      <c r="K144" s="3">
        <v>7</v>
      </c>
      <c r="L144" s="3">
        <v>30</v>
      </c>
      <c r="M144" s="4">
        <v>0.23333333333333334</v>
      </c>
    </row>
    <row r="145" spans="1:13" ht="15.75" thickBot="1" x14ac:dyDescent="0.3">
      <c r="A145" s="6">
        <v>17</v>
      </c>
      <c r="B145" s="6" t="s">
        <v>26</v>
      </c>
      <c r="C145" s="7" t="s">
        <v>13</v>
      </c>
      <c r="D145" s="7" t="s">
        <v>14</v>
      </c>
      <c r="E145" s="8">
        <v>46275</v>
      </c>
      <c r="F145" s="7" t="s">
        <v>32</v>
      </c>
      <c r="G145" s="7" t="s">
        <v>20</v>
      </c>
      <c r="H145" s="7">
        <v>7</v>
      </c>
      <c r="I145" s="3">
        <v>1.5</v>
      </c>
      <c r="J145" s="12">
        <v>10.5</v>
      </c>
      <c r="K145" s="3">
        <v>3</v>
      </c>
      <c r="L145" s="3">
        <v>19</v>
      </c>
      <c r="M145" s="4">
        <v>0.15789473684210525</v>
      </c>
    </row>
    <row r="146" spans="1:13" ht="15.75" thickBot="1" x14ac:dyDescent="0.3">
      <c r="A146" s="6">
        <v>18</v>
      </c>
      <c r="B146" s="6" t="s">
        <v>26</v>
      </c>
      <c r="C146" s="7" t="s">
        <v>13</v>
      </c>
      <c r="D146" s="7" t="s">
        <v>14</v>
      </c>
      <c r="E146" s="8">
        <v>46275</v>
      </c>
      <c r="F146" s="7" t="s">
        <v>32</v>
      </c>
      <c r="G146" s="7" t="s">
        <v>21</v>
      </c>
      <c r="H146" s="7">
        <v>7</v>
      </c>
      <c r="I146" s="3">
        <v>1.5</v>
      </c>
      <c r="J146" s="12">
        <v>10.5</v>
      </c>
      <c r="K146" s="3">
        <v>5</v>
      </c>
      <c r="L146" s="3">
        <v>31</v>
      </c>
      <c r="M146" s="4">
        <v>0.16129032258064516</v>
      </c>
    </row>
    <row r="147" spans="1:13" ht="15.75" thickBot="1" x14ac:dyDescent="0.3">
      <c r="A147" s="6">
        <v>19</v>
      </c>
      <c r="B147" s="6" t="s">
        <v>26</v>
      </c>
      <c r="C147" s="7" t="s">
        <v>13</v>
      </c>
      <c r="D147" s="7" t="s">
        <v>14</v>
      </c>
      <c r="E147" s="8">
        <v>46275</v>
      </c>
      <c r="F147" s="7" t="s">
        <v>32</v>
      </c>
      <c r="G147" s="7" t="s">
        <v>22</v>
      </c>
      <c r="H147" s="7">
        <v>4</v>
      </c>
      <c r="I147" s="3">
        <v>1.5</v>
      </c>
      <c r="J147" s="12">
        <v>6</v>
      </c>
      <c r="K147" s="3">
        <v>5</v>
      </c>
      <c r="L147" s="3">
        <v>27</v>
      </c>
      <c r="M147" s="4">
        <v>0.18518518518518517</v>
      </c>
    </row>
    <row r="148" spans="1:13" ht="15.75" thickBot="1" x14ac:dyDescent="0.3">
      <c r="A148" s="6">
        <v>20</v>
      </c>
      <c r="B148" s="6" t="s">
        <v>26</v>
      </c>
      <c r="C148" s="7" t="s">
        <v>13</v>
      </c>
      <c r="D148" s="7" t="s">
        <v>14</v>
      </c>
      <c r="E148" s="8">
        <v>46275</v>
      </c>
      <c r="F148" s="7" t="s">
        <v>32</v>
      </c>
      <c r="G148" s="7" t="s">
        <v>23</v>
      </c>
      <c r="H148" s="7">
        <v>4</v>
      </c>
      <c r="I148" s="3">
        <v>1.5</v>
      </c>
      <c r="J148" s="12">
        <v>6</v>
      </c>
      <c r="K148" s="3">
        <v>4</v>
      </c>
      <c r="L148" s="3">
        <v>23</v>
      </c>
      <c r="M148" s="4">
        <v>0.17391304347826086</v>
      </c>
    </row>
    <row r="149" spans="1:13" ht="15.75" thickBot="1" x14ac:dyDescent="0.3">
      <c r="A149" s="6">
        <v>21</v>
      </c>
      <c r="B149" s="6" t="s">
        <v>26</v>
      </c>
      <c r="C149" s="7" t="s">
        <v>13</v>
      </c>
      <c r="D149" s="7" t="s">
        <v>14</v>
      </c>
      <c r="E149" s="8">
        <v>46275</v>
      </c>
      <c r="F149" s="7" t="s">
        <v>32</v>
      </c>
      <c r="G149" s="7" t="s">
        <v>24</v>
      </c>
      <c r="H149" s="7">
        <v>4</v>
      </c>
      <c r="I149" s="3">
        <v>1.5</v>
      </c>
      <c r="J149" s="12">
        <v>6</v>
      </c>
      <c r="K149" s="3">
        <v>0</v>
      </c>
      <c r="L149" s="3">
        <v>8</v>
      </c>
      <c r="M149" s="4">
        <v>0</v>
      </c>
    </row>
    <row r="151" spans="1:13" ht="15.75" thickBot="1" x14ac:dyDescent="0.3"/>
    <row r="152" spans="1:13" ht="15.75" thickBot="1" x14ac:dyDescent="0.3">
      <c r="A152" s="1"/>
      <c r="B152" s="9">
        <v>46276</v>
      </c>
      <c r="C152" s="10"/>
      <c r="D152" s="10"/>
      <c r="E152" s="17"/>
      <c r="F152" s="17"/>
      <c r="G152" s="17"/>
      <c r="H152" s="17"/>
      <c r="I152" s="17"/>
      <c r="J152" s="10"/>
      <c r="K152" s="17"/>
      <c r="L152" s="17"/>
      <c r="M152" s="17"/>
    </row>
    <row r="153" spans="1:13" ht="15.75" thickBot="1" x14ac:dyDescent="0.3">
      <c r="A153" s="1" t="s">
        <v>31</v>
      </c>
      <c r="B153" s="1" t="s">
        <v>0</v>
      </c>
      <c r="C153" s="2" t="s">
        <v>1</v>
      </c>
      <c r="D153" s="2" t="s">
        <v>2</v>
      </c>
      <c r="E153" s="2" t="s">
        <v>3</v>
      </c>
      <c r="F153" s="2" t="s">
        <v>4</v>
      </c>
      <c r="G153" s="2" t="s">
        <v>5</v>
      </c>
      <c r="H153" s="2" t="s">
        <v>6</v>
      </c>
      <c r="I153" s="2" t="s">
        <v>7</v>
      </c>
      <c r="J153" s="11" t="s">
        <v>8</v>
      </c>
      <c r="K153" s="2" t="s">
        <v>9</v>
      </c>
      <c r="L153" s="2" t="s">
        <v>10</v>
      </c>
      <c r="M153" s="2" t="s">
        <v>11</v>
      </c>
    </row>
    <row r="154" spans="1:13" ht="15.75" thickBot="1" x14ac:dyDescent="0.3">
      <c r="A154" s="6">
        <v>11</v>
      </c>
      <c r="B154" s="6" t="s">
        <v>26</v>
      </c>
      <c r="C154" s="7" t="s">
        <v>13</v>
      </c>
      <c r="D154" s="7" t="s">
        <v>14</v>
      </c>
      <c r="E154" s="8">
        <v>46276</v>
      </c>
      <c r="F154" s="7" t="s">
        <v>32</v>
      </c>
      <c r="G154" s="7" t="s">
        <v>12</v>
      </c>
      <c r="H154" s="7">
        <v>3</v>
      </c>
      <c r="I154" s="3">
        <v>1.5</v>
      </c>
      <c r="J154" s="12">
        <v>4.5</v>
      </c>
      <c r="K154" s="3">
        <v>3</v>
      </c>
      <c r="L154" s="3">
        <v>7</v>
      </c>
      <c r="M154" s="4">
        <v>0.42857142857142855</v>
      </c>
    </row>
    <row r="155" spans="1:13" ht="15.75" thickBot="1" x14ac:dyDescent="0.3">
      <c r="A155" s="6">
        <v>12</v>
      </c>
      <c r="B155" s="6" t="s">
        <v>26</v>
      </c>
      <c r="C155" s="7" t="s">
        <v>13</v>
      </c>
      <c r="D155" s="7" t="s">
        <v>14</v>
      </c>
      <c r="E155" s="8">
        <v>46276</v>
      </c>
      <c r="F155" s="7" t="s">
        <v>32</v>
      </c>
      <c r="G155" s="7" t="s">
        <v>15</v>
      </c>
      <c r="H155" s="7">
        <v>3</v>
      </c>
      <c r="I155" s="3">
        <v>1.5</v>
      </c>
      <c r="J155" s="12">
        <v>4.5</v>
      </c>
      <c r="K155" s="3">
        <v>3</v>
      </c>
      <c r="L155" s="3">
        <v>11</v>
      </c>
      <c r="M155" s="4">
        <v>0.27272727272727271</v>
      </c>
    </row>
    <row r="156" spans="1:13" ht="15.75" thickBot="1" x14ac:dyDescent="0.3">
      <c r="A156" s="6">
        <v>13</v>
      </c>
      <c r="B156" s="6" t="s">
        <v>26</v>
      </c>
      <c r="C156" s="7" t="s">
        <v>13</v>
      </c>
      <c r="D156" s="7" t="s">
        <v>14</v>
      </c>
      <c r="E156" s="8">
        <v>46276</v>
      </c>
      <c r="F156" s="7" t="s">
        <v>32</v>
      </c>
      <c r="G156" s="7" t="s">
        <v>16</v>
      </c>
      <c r="H156" s="7">
        <v>7</v>
      </c>
      <c r="I156" s="3">
        <v>1.5</v>
      </c>
      <c r="J156" s="12">
        <v>10.5</v>
      </c>
      <c r="K156" s="3">
        <v>3</v>
      </c>
      <c r="L156" s="3">
        <v>19</v>
      </c>
      <c r="M156" s="4">
        <v>0.15789473684210525</v>
      </c>
    </row>
    <row r="157" spans="1:13" ht="15.75" thickBot="1" x14ac:dyDescent="0.3">
      <c r="A157" s="6">
        <v>14</v>
      </c>
      <c r="B157" s="6" t="s">
        <v>26</v>
      </c>
      <c r="C157" s="7" t="s">
        <v>13</v>
      </c>
      <c r="D157" s="7" t="s">
        <v>14</v>
      </c>
      <c r="E157" s="8">
        <v>46276</v>
      </c>
      <c r="F157" s="7" t="s">
        <v>32</v>
      </c>
      <c r="G157" s="7" t="s">
        <v>17</v>
      </c>
      <c r="H157" s="7">
        <v>7</v>
      </c>
      <c r="I157" s="3">
        <v>1.5</v>
      </c>
      <c r="J157" s="12">
        <v>10.5</v>
      </c>
      <c r="K157" s="3">
        <v>3</v>
      </c>
      <c r="L157" s="3">
        <v>16</v>
      </c>
      <c r="M157" s="4">
        <v>0.1875</v>
      </c>
    </row>
    <row r="158" spans="1:13" ht="15.75" thickBot="1" x14ac:dyDescent="0.3">
      <c r="A158" s="6">
        <v>15</v>
      </c>
      <c r="B158" s="6" t="s">
        <v>26</v>
      </c>
      <c r="C158" s="7" t="s">
        <v>13</v>
      </c>
      <c r="D158" s="7" t="s">
        <v>14</v>
      </c>
      <c r="E158" s="8">
        <v>46276</v>
      </c>
      <c r="F158" s="7" t="s">
        <v>32</v>
      </c>
      <c r="G158" s="7" t="s">
        <v>18</v>
      </c>
      <c r="H158" s="7">
        <v>7</v>
      </c>
      <c r="I158" s="3">
        <v>1.5</v>
      </c>
      <c r="J158" s="12">
        <v>10.5</v>
      </c>
      <c r="K158" s="3">
        <v>9</v>
      </c>
      <c r="L158" s="3">
        <v>41</v>
      </c>
      <c r="M158" s="4">
        <v>0.21951219512195122</v>
      </c>
    </row>
    <row r="159" spans="1:13" ht="15.75" thickBot="1" x14ac:dyDescent="0.3">
      <c r="A159" s="6">
        <v>16</v>
      </c>
      <c r="B159" s="6" t="s">
        <v>26</v>
      </c>
      <c r="C159" s="7" t="s">
        <v>13</v>
      </c>
      <c r="D159" s="7" t="s">
        <v>14</v>
      </c>
      <c r="E159" s="8">
        <v>46276</v>
      </c>
      <c r="F159" s="7" t="s">
        <v>32</v>
      </c>
      <c r="G159" s="7" t="s">
        <v>19</v>
      </c>
      <c r="H159" s="7">
        <v>7</v>
      </c>
      <c r="I159" s="3">
        <v>1.5</v>
      </c>
      <c r="J159" s="12">
        <v>10.5</v>
      </c>
      <c r="K159" s="3">
        <v>5</v>
      </c>
      <c r="L159" s="3">
        <v>27</v>
      </c>
      <c r="M159" s="4">
        <v>0.18518518518518517</v>
      </c>
    </row>
    <row r="160" spans="1:13" ht="15.75" thickBot="1" x14ac:dyDescent="0.3">
      <c r="A160" s="6">
        <v>17</v>
      </c>
      <c r="B160" s="6" t="s">
        <v>26</v>
      </c>
      <c r="C160" s="7" t="s">
        <v>13</v>
      </c>
      <c r="D160" s="7" t="s">
        <v>14</v>
      </c>
      <c r="E160" s="8">
        <v>46276</v>
      </c>
      <c r="F160" s="7" t="s">
        <v>32</v>
      </c>
      <c r="G160" s="7" t="s">
        <v>20</v>
      </c>
      <c r="H160" s="7">
        <v>7</v>
      </c>
      <c r="I160" s="3">
        <v>1.5</v>
      </c>
      <c r="J160" s="12">
        <v>10.5</v>
      </c>
      <c r="K160" s="3">
        <v>6</v>
      </c>
      <c r="L160" s="3">
        <v>31</v>
      </c>
      <c r="M160" s="4">
        <v>0.19354838709677419</v>
      </c>
    </row>
    <row r="161" spans="1:13" ht="15.75" thickBot="1" x14ac:dyDescent="0.3">
      <c r="A161" s="6">
        <v>18</v>
      </c>
      <c r="B161" s="6" t="s">
        <v>26</v>
      </c>
      <c r="C161" s="7" t="s">
        <v>13</v>
      </c>
      <c r="D161" s="7" t="s">
        <v>14</v>
      </c>
      <c r="E161" s="8">
        <v>46276</v>
      </c>
      <c r="F161" s="7" t="s">
        <v>32</v>
      </c>
      <c r="G161" s="7" t="s">
        <v>21</v>
      </c>
      <c r="H161" s="7">
        <v>7</v>
      </c>
      <c r="I161" s="3">
        <v>1.5</v>
      </c>
      <c r="J161" s="12">
        <v>10.5</v>
      </c>
      <c r="K161" s="3">
        <v>3</v>
      </c>
      <c r="L161" s="3">
        <v>24</v>
      </c>
      <c r="M161" s="4">
        <v>0.125</v>
      </c>
    </row>
    <row r="162" spans="1:13" ht="15.75" thickBot="1" x14ac:dyDescent="0.3">
      <c r="A162" s="6">
        <v>19</v>
      </c>
      <c r="B162" s="6" t="s">
        <v>26</v>
      </c>
      <c r="C162" s="7" t="s">
        <v>13</v>
      </c>
      <c r="D162" s="7" t="s">
        <v>14</v>
      </c>
      <c r="E162" s="8">
        <v>46276</v>
      </c>
      <c r="F162" s="7" t="s">
        <v>32</v>
      </c>
      <c r="G162" s="7" t="s">
        <v>22</v>
      </c>
      <c r="H162" s="7">
        <v>4</v>
      </c>
      <c r="I162" s="3">
        <v>1.5</v>
      </c>
      <c r="J162" s="12">
        <v>6</v>
      </c>
      <c r="K162" s="3">
        <v>4</v>
      </c>
      <c r="L162" s="3">
        <v>29</v>
      </c>
      <c r="M162" s="4">
        <v>0.13793103448275862</v>
      </c>
    </row>
    <row r="163" spans="1:13" ht="15.75" thickBot="1" x14ac:dyDescent="0.3">
      <c r="A163" s="6">
        <v>20</v>
      </c>
      <c r="B163" s="6" t="s">
        <v>26</v>
      </c>
      <c r="C163" s="7" t="s">
        <v>13</v>
      </c>
      <c r="D163" s="7" t="s">
        <v>14</v>
      </c>
      <c r="E163" s="8">
        <v>46276</v>
      </c>
      <c r="F163" s="7" t="s">
        <v>32</v>
      </c>
      <c r="G163" s="7" t="s">
        <v>23</v>
      </c>
      <c r="H163" s="7">
        <v>4</v>
      </c>
      <c r="I163" s="3">
        <v>1.5</v>
      </c>
      <c r="J163" s="12">
        <v>6</v>
      </c>
      <c r="K163" s="3">
        <v>4</v>
      </c>
      <c r="L163" s="3">
        <v>33</v>
      </c>
      <c r="M163" s="4">
        <v>0.12121212121212122</v>
      </c>
    </row>
    <row r="164" spans="1:13" ht="15.75" thickBot="1" x14ac:dyDescent="0.3">
      <c r="A164" s="6">
        <v>21</v>
      </c>
      <c r="B164" s="6" t="s">
        <v>26</v>
      </c>
      <c r="C164" s="7" t="s">
        <v>13</v>
      </c>
      <c r="D164" s="7" t="s">
        <v>14</v>
      </c>
      <c r="E164" s="8">
        <v>46276</v>
      </c>
      <c r="F164" s="7" t="s">
        <v>32</v>
      </c>
      <c r="G164" s="7" t="s">
        <v>24</v>
      </c>
      <c r="H164" s="7">
        <v>4</v>
      </c>
      <c r="I164" s="3">
        <v>1.5</v>
      </c>
      <c r="J164" s="12">
        <v>6</v>
      </c>
      <c r="K164" s="3">
        <v>2</v>
      </c>
      <c r="L164" s="3">
        <v>15</v>
      </c>
      <c r="M164" s="4">
        <v>0.13333333333333333</v>
      </c>
    </row>
    <row r="166" spans="1:13" ht="15.75" thickBot="1" x14ac:dyDescent="0.3"/>
    <row r="167" spans="1:13" ht="15.75" thickBot="1" x14ac:dyDescent="0.3">
      <c r="A167" s="1"/>
      <c r="B167" s="9">
        <v>46277</v>
      </c>
      <c r="C167" s="10"/>
      <c r="D167" s="10"/>
      <c r="E167" s="17"/>
      <c r="F167" s="17"/>
      <c r="G167" s="17"/>
      <c r="H167" s="17"/>
      <c r="I167" s="17"/>
      <c r="J167" s="10"/>
      <c r="K167" s="17"/>
      <c r="L167" s="17"/>
      <c r="M167" s="17"/>
    </row>
    <row r="168" spans="1:13" ht="15.75" thickBot="1" x14ac:dyDescent="0.3">
      <c r="A168" s="1" t="s">
        <v>31</v>
      </c>
      <c r="B168" s="1" t="s">
        <v>0</v>
      </c>
      <c r="C168" s="2" t="s">
        <v>1</v>
      </c>
      <c r="D168" s="2" t="s">
        <v>2</v>
      </c>
      <c r="E168" s="2" t="s">
        <v>3</v>
      </c>
      <c r="F168" s="2" t="s">
        <v>4</v>
      </c>
      <c r="G168" s="2" t="s">
        <v>5</v>
      </c>
      <c r="H168" s="2" t="s">
        <v>6</v>
      </c>
      <c r="I168" s="2" t="s">
        <v>7</v>
      </c>
      <c r="J168" s="11" t="s">
        <v>8</v>
      </c>
      <c r="K168" s="2" t="s">
        <v>9</v>
      </c>
      <c r="L168" s="2" t="s">
        <v>10</v>
      </c>
      <c r="M168" s="2" t="s">
        <v>11</v>
      </c>
    </row>
    <row r="169" spans="1:13" ht="15.75" thickBot="1" x14ac:dyDescent="0.3">
      <c r="A169" s="6">
        <v>11</v>
      </c>
      <c r="B169" s="6" t="s">
        <v>26</v>
      </c>
      <c r="C169" s="7" t="s">
        <v>13</v>
      </c>
      <c r="D169" s="7" t="s">
        <v>14</v>
      </c>
      <c r="E169" s="8">
        <v>46277</v>
      </c>
      <c r="F169" s="7" t="s">
        <v>135</v>
      </c>
      <c r="G169" s="7" t="s">
        <v>12</v>
      </c>
      <c r="H169" s="7">
        <v>3</v>
      </c>
      <c r="I169" s="3">
        <v>1.5</v>
      </c>
      <c r="J169" s="12">
        <v>4.5</v>
      </c>
      <c r="K169" s="3">
        <v>3</v>
      </c>
      <c r="L169" s="3">
        <v>15</v>
      </c>
      <c r="M169" s="4">
        <v>0.2</v>
      </c>
    </row>
    <row r="170" spans="1:13" ht="15.75" thickBot="1" x14ac:dyDescent="0.3">
      <c r="A170" s="6">
        <v>12</v>
      </c>
      <c r="B170" s="6" t="s">
        <v>26</v>
      </c>
      <c r="C170" s="7" t="s">
        <v>13</v>
      </c>
      <c r="D170" s="7" t="s">
        <v>14</v>
      </c>
      <c r="E170" s="8">
        <v>46277</v>
      </c>
      <c r="F170" s="7" t="s">
        <v>135</v>
      </c>
      <c r="G170" s="7" t="s">
        <v>15</v>
      </c>
      <c r="H170" s="7">
        <v>3</v>
      </c>
      <c r="I170" s="3">
        <v>1.5</v>
      </c>
      <c r="J170" s="12">
        <v>4.5</v>
      </c>
      <c r="K170" s="3">
        <v>5</v>
      </c>
      <c r="L170" s="3">
        <v>31</v>
      </c>
      <c r="M170" s="4">
        <v>0.16129032258064516</v>
      </c>
    </row>
    <row r="171" spans="1:13" ht="15.75" thickBot="1" x14ac:dyDescent="0.3">
      <c r="A171" s="6">
        <v>13</v>
      </c>
      <c r="B171" s="6" t="s">
        <v>26</v>
      </c>
      <c r="C171" s="7" t="s">
        <v>13</v>
      </c>
      <c r="D171" s="7" t="s">
        <v>14</v>
      </c>
      <c r="E171" s="8">
        <v>46277</v>
      </c>
      <c r="F171" s="7" t="s">
        <v>135</v>
      </c>
      <c r="G171" s="7" t="s">
        <v>16</v>
      </c>
      <c r="H171" s="7">
        <v>7</v>
      </c>
      <c r="I171" s="3">
        <v>1.5</v>
      </c>
      <c r="J171" s="12">
        <v>10.5</v>
      </c>
      <c r="K171" s="3">
        <v>7</v>
      </c>
      <c r="L171" s="3">
        <v>44</v>
      </c>
      <c r="M171" s="4">
        <v>0.15909090909090909</v>
      </c>
    </row>
    <row r="172" spans="1:13" ht="15.75" thickBot="1" x14ac:dyDescent="0.3">
      <c r="A172" s="6">
        <v>14</v>
      </c>
      <c r="B172" s="6" t="s">
        <v>26</v>
      </c>
      <c r="C172" s="7" t="s">
        <v>13</v>
      </c>
      <c r="D172" s="7" t="s">
        <v>14</v>
      </c>
      <c r="E172" s="8">
        <v>46277</v>
      </c>
      <c r="F172" s="7" t="s">
        <v>135</v>
      </c>
      <c r="G172" s="7" t="s">
        <v>17</v>
      </c>
      <c r="H172" s="7">
        <v>7</v>
      </c>
      <c r="I172" s="3">
        <v>1.5</v>
      </c>
      <c r="J172" s="12">
        <v>10.5</v>
      </c>
      <c r="K172" s="3">
        <v>3</v>
      </c>
      <c r="L172" s="3">
        <v>29</v>
      </c>
      <c r="M172" s="4">
        <v>0.10344827586206896</v>
      </c>
    </row>
    <row r="173" spans="1:13" ht="15.75" thickBot="1" x14ac:dyDescent="0.3">
      <c r="A173" s="6">
        <v>15</v>
      </c>
      <c r="B173" s="6" t="s">
        <v>26</v>
      </c>
      <c r="C173" s="7" t="s">
        <v>13</v>
      </c>
      <c r="D173" s="7" t="s">
        <v>14</v>
      </c>
      <c r="E173" s="8">
        <v>46277</v>
      </c>
      <c r="F173" s="7" t="s">
        <v>135</v>
      </c>
      <c r="G173" s="7" t="s">
        <v>18</v>
      </c>
      <c r="H173" s="7">
        <v>7</v>
      </c>
      <c r="I173" s="3">
        <v>1.5</v>
      </c>
      <c r="J173" s="12">
        <v>10.5</v>
      </c>
      <c r="K173" s="3">
        <v>6</v>
      </c>
      <c r="L173" s="3">
        <v>48</v>
      </c>
      <c r="M173" s="4">
        <v>0.125</v>
      </c>
    </row>
    <row r="174" spans="1:13" ht="15.75" thickBot="1" x14ac:dyDescent="0.3">
      <c r="A174" s="6">
        <v>16</v>
      </c>
      <c r="B174" s="6" t="s">
        <v>26</v>
      </c>
      <c r="C174" s="7" t="s">
        <v>13</v>
      </c>
      <c r="D174" s="7" t="s">
        <v>14</v>
      </c>
      <c r="E174" s="8">
        <v>46277</v>
      </c>
      <c r="F174" s="7" t="s">
        <v>135</v>
      </c>
      <c r="G174" s="7" t="s">
        <v>19</v>
      </c>
      <c r="H174" s="7">
        <v>7</v>
      </c>
      <c r="I174" s="3">
        <v>1.5</v>
      </c>
      <c r="J174" s="12">
        <v>10.5</v>
      </c>
      <c r="K174" s="3">
        <v>4</v>
      </c>
      <c r="L174" s="3">
        <v>34</v>
      </c>
      <c r="M174" s="4">
        <v>0.11764705882352941</v>
      </c>
    </row>
    <row r="175" spans="1:13" ht="15.75" thickBot="1" x14ac:dyDescent="0.3">
      <c r="A175" s="6">
        <v>17</v>
      </c>
      <c r="B175" s="6" t="s">
        <v>26</v>
      </c>
      <c r="C175" s="7" t="s">
        <v>13</v>
      </c>
      <c r="D175" s="7" t="s">
        <v>14</v>
      </c>
      <c r="E175" s="8">
        <v>46277</v>
      </c>
      <c r="F175" s="7" t="s">
        <v>135</v>
      </c>
      <c r="G175" s="7" t="s">
        <v>20</v>
      </c>
      <c r="H175" s="7">
        <v>7</v>
      </c>
      <c r="I175" s="3">
        <v>1.5</v>
      </c>
      <c r="J175" s="12">
        <v>10.5</v>
      </c>
      <c r="K175" s="3">
        <v>11</v>
      </c>
      <c r="L175" s="3">
        <v>65</v>
      </c>
      <c r="M175" s="4">
        <v>0.16923076923076924</v>
      </c>
    </row>
    <row r="176" spans="1:13" ht="15.75" thickBot="1" x14ac:dyDescent="0.3">
      <c r="A176" s="6">
        <v>18</v>
      </c>
      <c r="B176" s="6" t="s">
        <v>26</v>
      </c>
      <c r="C176" s="7" t="s">
        <v>13</v>
      </c>
      <c r="D176" s="7" t="s">
        <v>14</v>
      </c>
      <c r="E176" s="8">
        <v>46277</v>
      </c>
      <c r="F176" s="7" t="s">
        <v>135</v>
      </c>
      <c r="G176" s="7" t="s">
        <v>21</v>
      </c>
      <c r="H176" s="7">
        <v>7</v>
      </c>
      <c r="I176" s="3">
        <v>1.5</v>
      </c>
      <c r="J176" s="12">
        <v>10.5</v>
      </c>
      <c r="K176" s="3">
        <v>14</v>
      </c>
      <c r="L176" s="3">
        <v>69</v>
      </c>
      <c r="M176" s="4">
        <v>0.20289855072463769</v>
      </c>
    </row>
    <row r="177" spans="1:13" ht="15.75" thickBot="1" x14ac:dyDescent="0.3">
      <c r="A177" s="6">
        <v>19</v>
      </c>
      <c r="B177" s="6" t="s">
        <v>26</v>
      </c>
      <c r="C177" s="7" t="s">
        <v>13</v>
      </c>
      <c r="D177" s="7" t="s">
        <v>14</v>
      </c>
      <c r="E177" s="8">
        <v>46277</v>
      </c>
      <c r="F177" s="7" t="s">
        <v>135</v>
      </c>
      <c r="G177" s="7" t="s">
        <v>22</v>
      </c>
      <c r="H177" s="7">
        <v>4</v>
      </c>
      <c r="I177" s="3">
        <v>1.5</v>
      </c>
      <c r="J177" s="12">
        <v>6</v>
      </c>
      <c r="K177" s="3">
        <v>8</v>
      </c>
      <c r="L177" s="3">
        <v>57</v>
      </c>
      <c r="M177" s="4">
        <v>0.14035087719298245</v>
      </c>
    </row>
    <row r="178" spans="1:13" ht="15.75" thickBot="1" x14ac:dyDescent="0.3">
      <c r="A178" s="6">
        <v>20</v>
      </c>
      <c r="B178" s="6" t="s">
        <v>26</v>
      </c>
      <c r="C178" s="7" t="s">
        <v>13</v>
      </c>
      <c r="D178" s="7" t="s">
        <v>14</v>
      </c>
      <c r="E178" s="8">
        <v>46277</v>
      </c>
      <c r="F178" s="7" t="s">
        <v>135</v>
      </c>
      <c r="G178" s="7" t="s">
        <v>23</v>
      </c>
      <c r="H178" s="7">
        <v>4</v>
      </c>
      <c r="I178" s="3">
        <v>1.5</v>
      </c>
      <c r="J178" s="12">
        <v>6</v>
      </c>
      <c r="K178" s="3">
        <v>14</v>
      </c>
      <c r="L178" s="3">
        <v>69</v>
      </c>
      <c r="M178" s="4">
        <v>0.20289855072463769</v>
      </c>
    </row>
    <row r="179" spans="1:13" ht="15.75" thickBot="1" x14ac:dyDescent="0.3">
      <c r="A179" s="6">
        <v>21</v>
      </c>
      <c r="B179" s="6" t="s">
        <v>26</v>
      </c>
      <c r="C179" s="7" t="s">
        <v>13</v>
      </c>
      <c r="D179" s="7" t="s">
        <v>14</v>
      </c>
      <c r="E179" s="8">
        <v>46277</v>
      </c>
      <c r="F179" s="7" t="s">
        <v>135</v>
      </c>
      <c r="G179" s="7" t="s">
        <v>24</v>
      </c>
      <c r="H179" s="7">
        <v>4</v>
      </c>
      <c r="I179" s="3">
        <v>1.5</v>
      </c>
      <c r="J179" s="12">
        <v>6</v>
      </c>
      <c r="K179" s="3">
        <v>7</v>
      </c>
      <c r="L179" s="3">
        <v>51</v>
      </c>
      <c r="M179" s="4">
        <v>0.13725490196078433</v>
      </c>
    </row>
    <row r="181" spans="1:13" ht="15.75" thickBot="1" x14ac:dyDescent="0.3"/>
    <row r="182" spans="1:13" ht="15.75" thickBot="1" x14ac:dyDescent="0.3">
      <c r="A182" s="1"/>
      <c r="B182" s="9">
        <v>46278</v>
      </c>
      <c r="C182" s="10"/>
      <c r="D182" s="10"/>
      <c r="E182" s="17"/>
      <c r="F182" s="17"/>
      <c r="G182" s="17"/>
      <c r="H182" s="17"/>
      <c r="I182" s="17"/>
      <c r="J182" s="10"/>
      <c r="K182" s="17"/>
      <c r="L182" s="17"/>
      <c r="M182" s="17"/>
    </row>
    <row r="183" spans="1:13" ht="15.75" thickBot="1" x14ac:dyDescent="0.3">
      <c r="A183" s="1" t="s">
        <v>31</v>
      </c>
      <c r="B183" s="1" t="s">
        <v>0</v>
      </c>
      <c r="C183" s="2" t="s">
        <v>1</v>
      </c>
      <c r="D183" s="2" t="s">
        <v>2</v>
      </c>
      <c r="E183" s="2" t="s">
        <v>3</v>
      </c>
      <c r="F183" s="2" t="s">
        <v>4</v>
      </c>
      <c r="G183" s="2" t="s">
        <v>5</v>
      </c>
      <c r="H183" s="2" t="s">
        <v>6</v>
      </c>
      <c r="I183" s="2" t="s">
        <v>7</v>
      </c>
      <c r="J183" s="11" t="s">
        <v>8</v>
      </c>
      <c r="K183" s="2" t="s">
        <v>9</v>
      </c>
      <c r="L183" s="2" t="s">
        <v>10</v>
      </c>
      <c r="M183" s="2" t="s">
        <v>11</v>
      </c>
    </row>
    <row r="184" spans="1:13" ht="15.75" thickBot="1" x14ac:dyDescent="0.3">
      <c r="A184" s="6">
        <v>11</v>
      </c>
      <c r="B184" s="6" t="s">
        <v>26</v>
      </c>
      <c r="C184" s="7" t="s">
        <v>13</v>
      </c>
      <c r="D184" s="7" t="s">
        <v>14</v>
      </c>
      <c r="E184" s="8">
        <v>46278</v>
      </c>
      <c r="F184" s="7" t="s">
        <v>135</v>
      </c>
      <c r="G184" s="7" t="s">
        <v>12</v>
      </c>
      <c r="H184" s="7">
        <v>3</v>
      </c>
      <c r="I184" s="3">
        <v>1.5</v>
      </c>
      <c r="J184" s="12">
        <v>4.5</v>
      </c>
      <c r="K184" s="3">
        <v>0</v>
      </c>
      <c r="L184" s="3">
        <v>0</v>
      </c>
      <c r="M184" s="4" t="e">
        <v>#DIV/0!</v>
      </c>
    </row>
    <row r="185" spans="1:13" ht="15.75" thickBot="1" x14ac:dyDescent="0.3">
      <c r="A185" s="6">
        <v>12</v>
      </c>
      <c r="B185" s="6" t="s">
        <v>26</v>
      </c>
      <c r="C185" s="7" t="s">
        <v>13</v>
      </c>
      <c r="D185" s="7" t="s">
        <v>14</v>
      </c>
      <c r="E185" s="8">
        <v>46278</v>
      </c>
      <c r="F185" s="7" t="s">
        <v>135</v>
      </c>
      <c r="G185" s="7" t="s">
        <v>15</v>
      </c>
      <c r="H185" s="7">
        <v>3</v>
      </c>
      <c r="I185" s="3">
        <v>1.5</v>
      </c>
      <c r="J185" s="12">
        <v>4.5</v>
      </c>
      <c r="K185" s="3">
        <v>1</v>
      </c>
      <c r="L185" s="3">
        <v>3</v>
      </c>
      <c r="M185" s="4">
        <v>0.33333333333333331</v>
      </c>
    </row>
    <row r="186" spans="1:13" ht="15.75" thickBot="1" x14ac:dyDescent="0.3">
      <c r="A186" s="6">
        <v>13</v>
      </c>
      <c r="B186" s="6" t="s">
        <v>26</v>
      </c>
      <c r="C186" s="7" t="s">
        <v>13</v>
      </c>
      <c r="D186" s="7" t="s">
        <v>14</v>
      </c>
      <c r="E186" s="8">
        <v>46278</v>
      </c>
      <c r="F186" s="7" t="s">
        <v>135</v>
      </c>
      <c r="G186" s="7" t="s">
        <v>16</v>
      </c>
      <c r="H186" s="7">
        <v>7</v>
      </c>
      <c r="I186" s="3">
        <v>1.5</v>
      </c>
      <c r="J186" s="12">
        <v>10.5</v>
      </c>
      <c r="K186" s="3">
        <v>6</v>
      </c>
      <c r="L186" s="3">
        <v>35</v>
      </c>
      <c r="M186" s="4">
        <v>0.17142857142857143</v>
      </c>
    </row>
    <row r="187" spans="1:13" ht="15.75" thickBot="1" x14ac:dyDescent="0.3">
      <c r="A187" s="6">
        <v>14</v>
      </c>
      <c r="B187" s="6" t="s">
        <v>26</v>
      </c>
      <c r="C187" s="7" t="s">
        <v>13</v>
      </c>
      <c r="D187" s="7" t="s">
        <v>14</v>
      </c>
      <c r="E187" s="8">
        <v>46278</v>
      </c>
      <c r="F187" s="7" t="s">
        <v>135</v>
      </c>
      <c r="G187" s="7" t="s">
        <v>17</v>
      </c>
      <c r="H187" s="7">
        <v>7</v>
      </c>
      <c r="I187" s="3">
        <v>1.5</v>
      </c>
      <c r="J187" s="12">
        <v>10.5</v>
      </c>
      <c r="K187" s="3">
        <v>11</v>
      </c>
      <c r="L187" s="3">
        <v>58</v>
      </c>
      <c r="M187" s="4">
        <v>0.18965517241379309</v>
      </c>
    </row>
    <row r="188" spans="1:13" ht="15.75" thickBot="1" x14ac:dyDescent="0.3">
      <c r="A188" s="6">
        <v>15</v>
      </c>
      <c r="B188" s="6" t="s">
        <v>26</v>
      </c>
      <c r="C188" s="7" t="s">
        <v>13</v>
      </c>
      <c r="D188" s="7" t="s">
        <v>14</v>
      </c>
      <c r="E188" s="8">
        <v>46278</v>
      </c>
      <c r="F188" s="7" t="s">
        <v>135</v>
      </c>
      <c r="G188" s="7" t="s">
        <v>18</v>
      </c>
      <c r="H188" s="7">
        <v>7</v>
      </c>
      <c r="I188" s="3">
        <v>1.5</v>
      </c>
      <c r="J188" s="12">
        <v>10.5</v>
      </c>
      <c r="K188" s="3">
        <v>6</v>
      </c>
      <c r="L188" s="3">
        <v>57</v>
      </c>
      <c r="M188" s="4">
        <v>0.10526315789473684</v>
      </c>
    </row>
    <row r="189" spans="1:13" ht="15.75" thickBot="1" x14ac:dyDescent="0.3">
      <c r="A189" s="6">
        <v>16</v>
      </c>
      <c r="B189" s="6" t="s">
        <v>26</v>
      </c>
      <c r="C189" s="7" t="s">
        <v>13</v>
      </c>
      <c r="D189" s="7" t="s">
        <v>14</v>
      </c>
      <c r="E189" s="8">
        <v>46278</v>
      </c>
      <c r="F189" s="7" t="s">
        <v>135</v>
      </c>
      <c r="G189" s="7" t="s">
        <v>19</v>
      </c>
      <c r="H189" s="7">
        <v>7</v>
      </c>
      <c r="I189" s="3">
        <v>1.5</v>
      </c>
      <c r="J189" s="12">
        <v>10.5</v>
      </c>
      <c r="K189" s="3">
        <v>6</v>
      </c>
      <c r="L189" s="3">
        <v>49</v>
      </c>
      <c r="M189" s="4">
        <v>0.12244897959183673</v>
      </c>
    </row>
    <row r="190" spans="1:13" ht="15.75" thickBot="1" x14ac:dyDescent="0.3">
      <c r="A190" s="6">
        <v>17</v>
      </c>
      <c r="B190" s="6" t="s">
        <v>26</v>
      </c>
      <c r="C190" s="7" t="s">
        <v>13</v>
      </c>
      <c r="D190" s="7" t="s">
        <v>14</v>
      </c>
      <c r="E190" s="8">
        <v>46278</v>
      </c>
      <c r="F190" s="7" t="s">
        <v>135</v>
      </c>
      <c r="G190" s="7" t="s">
        <v>20</v>
      </c>
      <c r="H190" s="7">
        <v>7</v>
      </c>
      <c r="I190" s="3">
        <v>1.5</v>
      </c>
      <c r="J190" s="12">
        <v>10.5</v>
      </c>
      <c r="K190" s="3">
        <v>6</v>
      </c>
      <c r="L190" s="3">
        <v>53</v>
      </c>
      <c r="M190" s="4">
        <v>0.11320754716981132</v>
      </c>
    </row>
    <row r="191" spans="1:13" ht="15.75" thickBot="1" x14ac:dyDescent="0.3">
      <c r="A191" s="6">
        <v>18</v>
      </c>
      <c r="B191" s="6" t="s">
        <v>26</v>
      </c>
      <c r="C191" s="7" t="s">
        <v>13</v>
      </c>
      <c r="D191" s="7" t="s">
        <v>14</v>
      </c>
      <c r="E191" s="8">
        <v>46278</v>
      </c>
      <c r="F191" s="7" t="s">
        <v>135</v>
      </c>
      <c r="G191" s="7" t="s">
        <v>21</v>
      </c>
      <c r="H191" s="7">
        <v>7</v>
      </c>
      <c r="I191" s="3">
        <v>1.5</v>
      </c>
      <c r="J191" s="12">
        <v>10.5</v>
      </c>
      <c r="K191" s="3">
        <v>12</v>
      </c>
      <c r="L191" s="3">
        <v>70</v>
      </c>
      <c r="M191" s="4">
        <v>0.17142857142857143</v>
      </c>
    </row>
    <row r="192" spans="1:13" ht="15.75" thickBot="1" x14ac:dyDescent="0.3">
      <c r="A192" s="6">
        <v>19</v>
      </c>
      <c r="B192" s="6" t="s">
        <v>26</v>
      </c>
      <c r="C192" s="7" t="s">
        <v>13</v>
      </c>
      <c r="D192" s="7" t="s">
        <v>14</v>
      </c>
      <c r="E192" s="8">
        <v>46278</v>
      </c>
      <c r="F192" s="7" t="s">
        <v>135</v>
      </c>
      <c r="G192" s="7" t="s">
        <v>22</v>
      </c>
      <c r="H192" s="7">
        <v>4</v>
      </c>
      <c r="I192" s="3">
        <v>1.5</v>
      </c>
      <c r="J192" s="12">
        <v>6</v>
      </c>
      <c r="K192" s="3">
        <v>7</v>
      </c>
      <c r="L192" s="3">
        <v>51</v>
      </c>
      <c r="M192" s="4">
        <v>0.13725490196078433</v>
      </c>
    </row>
    <row r="193" spans="1:13" ht="15.75" thickBot="1" x14ac:dyDescent="0.3">
      <c r="A193" s="6">
        <v>20</v>
      </c>
      <c r="B193" s="6" t="s">
        <v>26</v>
      </c>
      <c r="C193" s="7" t="s">
        <v>13</v>
      </c>
      <c r="D193" s="7" t="s">
        <v>14</v>
      </c>
      <c r="E193" s="8">
        <v>46278</v>
      </c>
      <c r="F193" s="7" t="s">
        <v>135</v>
      </c>
      <c r="G193" s="7" t="s">
        <v>23</v>
      </c>
      <c r="H193" s="7">
        <v>4</v>
      </c>
      <c r="I193" s="3">
        <v>1.5</v>
      </c>
      <c r="J193" s="12">
        <v>6</v>
      </c>
      <c r="K193" s="3">
        <v>13</v>
      </c>
      <c r="L193" s="3">
        <v>74</v>
      </c>
      <c r="M193" s="4">
        <v>0.17567567567567569</v>
      </c>
    </row>
    <row r="194" spans="1:13" ht="15.75" thickBot="1" x14ac:dyDescent="0.3">
      <c r="A194" s="6">
        <v>21</v>
      </c>
      <c r="B194" s="6" t="s">
        <v>26</v>
      </c>
      <c r="C194" s="7" t="s">
        <v>13</v>
      </c>
      <c r="D194" s="7" t="s">
        <v>14</v>
      </c>
      <c r="E194" s="8">
        <v>46278</v>
      </c>
      <c r="F194" s="7" t="s">
        <v>135</v>
      </c>
      <c r="G194" s="7" t="s">
        <v>24</v>
      </c>
      <c r="H194" s="7">
        <v>4</v>
      </c>
      <c r="I194" s="3">
        <v>1.5</v>
      </c>
      <c r="J194" s="12">
        <v>6</v>
      </c>
      <c r="K194" s="3">
        <v>6</v>
      </c>
      <c r="L194" s="3">
        <v>50</v>
      </c>
      <c r="M194" s="4">
        <v>0.12</v>
      </c>
    </row>
    <row r="196" spans="1:13" ht="15.75" thickBot="1" x14ac:dyDescent="0.3">
      <c r="A196" s="17" t="s">
        <v>28</v>
      </c>
      <c r="B196" s="17"/>
      <c r="C196" s="17"/>
      <c r="D196" s="17"/>
      <c r="E196" s="17"/>
      <c r="F196" s="17"/>
      <c r="G196" s="17"/>
      <c r="H196" s="17"/>
      <c r="I196" s="17"/>
      <c r="J196" s="10"/>
      <c r="K196" s="17"/>
      <c r="L196" s="17"/>
      <c r="M196" s="17"/>
    </row>
    <row r="197" spans="1:13" ht="15.75" thickBot="1" x14ac:dyDescent="0.3">
      <c r="A197" s="1"/>
      <c r="B197" s="9">
        <v>46279</v>
      </c>
      <c r="C197" s="10"/>
      <c r="D197" s="10"/>
      <c r="E197" s="17"/>
      <c r="F197" s="17"/>
      <c r="G197" s="17"/>
      <c r="H197" s="17"/>
      <c r="I197" s="17"/>
      <c r="J197" s="10"/>
      <c r="K197" s="17"/>
      <c r="L197" s="17"/>
      <c r="M197" s="17"/>
    </row>
    <row r="198" spans="1:13" ht="15.75" thickBot="1" x14ac:dyDescent="0.3">
      <c r="A198" s="1" t="s">
        <v>31</v>
      </c>
      <c r="B198" s="1" t="s">
        <v>0</v>
      </c>
      <c r="C198" s="2" t="s">
        <v>1</v>
      </c>
      <c r="D198" s="2" t="s">
        <v>2</v>
      </c>
      <c r="E198" s="2" t="s">
        <v>3</v>
      </c>
      <c r="F198" s="2" t="s">
        <v>4</v>
      </c>
      <c r="G198" s="2" t="s">
        <v>5</v>
      </c>
      <c r="H198" s="2" t="s">
        <v>6</v>
      </c>
      <c r="I198" s="2" t="s">
        <v>7</v>
      </c>
      <c r="J198" s="11" t="s">
        <v>8</v>
      </c>
      <c r="K198" s="2" t="s">
        <v>9</v>
      </c>
      <c r="L198" s="2" t="s">
        <v>10</v>
      </c>
      <c r="M198" s="2" t="s">
        <v>11</v>
      </c>
    </row>
    <row r="199" spans="1:13" ht="15.75" thickBot="1" x14ac:dyDescent="0.3">
      <c r="A199" s="6">
        <v>11</v>
      </c>
      <c r="B199" s="6" t="s">
        <v>26</v>
      </c>
      <c r="C199" s="7" t="s">
        <v>13</v>
      </c>
      <c r="D199" s="7" t="s">
        <v>14</v>
      </c>
      <c r="E199" s="8">
        <v>46279</v>
      </c>
      <c r="F199" s="7" t="s">
        <v>135</v>
      </c>
      <c r="G199" s="7" t="s">
        <v>12</v>
      </c>
      <c r="H199" s="7">
        <v>3</v>
      </c>
      <c r="I199" s="3">
        <v>1.5</v>
      </c>
      <c r="J199" s="12">
        <v>4.5</v>
      </c>
      <c r="K199" s="3">
        <v>0</v>
      </c>
      <c r="L199" s="3">
        <v>4</v>
      </c>
      <c r="M199" s="4">
        <v>0</v>
      </c>
    </row>
    <row r="200" spans="1:13" ht="15.75" thickBot="1" x14ac:dyDescent="0.3">
      <c r="A200" s="6">
        <v>12</v>
      </c>
      <c r="B200" s="6" t="s">
        <v>26</v>
      </c>
      <c r="C200" s="7" t="s">
        <v>13</v>
      </c>
      <c r="D200" s="7" t="s">
        <v>14</v>
      </c>
      <c r="E200" s="8">
        <v>46279</v>
      </c>
      <c r="F200" s="7" t="s">
        <v>135</v>
      </c>
      <c r="G200" s="7" t="s">
        <v>15</v>
      </c>
      <c r="H200" s="7">
        <v>3</v>
      </c>
      <c r="I200" s="3">
        <v>1.5</v>
      </c>
      <c r="J200" s="12">
        <v>4.5</v>
      </c>
      <c r="K200" s="3">
        <v>1</v>
      </c>
      <c r="L200" s="3">
        <v>11</v>
      </c>
      <c r="M200" s="4">
        <v>9.0909090909090912E-2</v>
      </c>
    </row>
    <row r="201" spans="1:13" ht="15.75" thickBot="1" x14ac:dyDescent="0.3">
      <c r="A201" s="6">
        <v>13</v>
      </c>
      <c r="B201" s="6" t="s">
        <v>26</v>
      </c>
      <c r="C201" s="7" t="s">
        <v>13</v>
      </c>
      <c r="D201" s="7" t="s">
        <v>14</v>
      </c>
      <c r="E201" s="8">
        <v>46279</v>
      </c>
      <c r="F201" s="7" t="s">
        <v>135</v>
      </c>
      <c r="G201" s="7" t="s">
        <v>16</v>
      </c>
      <c r="H201" s="7">
        <v>7</v>
      </c>
      <c r="I201" s="3">
        <v>1.5</v>
      </c>
      <c r="J201" s="12">
        <v>10.5</v>
      </c>
      <c r="K201" s="3">
        <v>1</v>
      </c>
      <c r="L201" s="3">
        <v>9</v>
      </c>
      <c r="M201" s="4">
        <v>0.1111111111111111</v>
      </c>
    </row>
    <row r="202" spans="1:13" ht="15.75" thickBot="1" x14ac:dyDescent="0.3">
      <c r="A202" s="6">
        <v>14</v>
      </c>
      <c r="B202" s="6" t="s">
        <v>26</v>
      </c>
      <c r="C202" s="7" t="s">
        <v>13</v>
      </c>
      <c r="D202" s="7" t="s">
        <v>14</v>
      </c>
      <c r="E202" s="8">
        <v>46279</v>
      </c>
      <c r="F202" s="7" t="s">
        <v>135</v>
      </c>
      <c r="G202" s="7" t="s">
        <v>17</v>
      </c>
      <c r="H202" s="7">
        <v>7</v>
      </c>
      <c r="I202" s="3">
        <v>1.5</v>
      </c>
      <c r="J202" s="12">
        <v>10.5</v>
      </c>
      <c r="K202" s="3">
        <v>0</v>
      </c>
      <c r="L202" s="3">
        <v>8</v>
      </c>
      <c r="M202" s="4">
        <v>0</v>
      </c>
    </row>
    <row r="203" spans="1:13" ht="15.75" thickBot="1" x14ac:dyDescent="0.3">
      <c r="A203" s="6">
        <v>15</v>
      </c>
      <c r="B203" s="6" t="s">
        <v>26</v>
      </c>
      <c r="C203" s="7" t="s">
        <v>13</v>
      </c>
      <c r="D203" s="7" t="s">
        <v>14</v>
      </c>
      <c r="E203" s="8">
        <v>46279</v>
      </c>
      <c r="F203" s="7" t="s">
        <v>135</v>
      </c>
      <c r="G203" s="7" t="s">
        <v>18</v>
      </c>
      <c r="H203" s="7">
        <v>7</v>
      </c>
      <c r="I203" s="3">
        <v>1.5</v>
      </c>
      <c r="J203" s="12">
        <v>10.5</v>
      </c>
      <c r="K203" s="3">
        <v>2</v>
      </c>
      <c r="L203" s="3">
        <v>11</v>
      </c>
      <c r="M203" s="4">
        <v>0.18181818181818182</v>
      </c>
    </row>
    <row r="204" spans="1:13" ht="15.75" thickBot="1" x14ac:dyDescent="0.3">
      <c r="A204" s="6">
        <v>16</v>
      </c>
      <c r="B204" s="6" t="s">
        <v>26</v>
      </c>
      <c r="C204" s="7" t="s">
        <v>13</v>
      </c>
      <c r="D204" s="7" t="s">
        <v>14</v>
      </c>
      <c r="E204" s="8">
        <v>46279</v>
      </c>
      <c r="F204" s="7" t="s">
        <v>135</v>
      </c>
      <c r="G204" s="7" t="s">
        <v>19</v>
      </c>
      <c r="H204" s="7">
        <v>7</v>
      </c>
      <c r="I204" s="3">
        <v>1.5</v>
      </c>
      <c r="J204" s="12">
        <v>10.5</v>
      </c>
      <c r="K204" s="3">
        <v>2</v>
      </c>
      <c r="L204" s="3">
        <v>14</v>
      </c>
      <c r="M204" s="4">
        <v>0.14285714285714285</v>
      </c>
    </row>
    <row r="205" spans="1:13" ht="15.75" thickBot="1" x14ac:dyDescent="0.3">
      <c r="A205" s="6">
        <v>17</v>
      </c>
      <c r="B205" s="6" t="s">
        <v>26</v>
      </c>
      <c r="C205" s="7" t="s">
        <v>13</v>
      </c>
      <c r="D205" s="7" t="s">
        <v>14</v>
      </c>
      <c r="E205" s="8">
        <v>46279</v>
      </c>
      <c r="F205" s="7" t="s">
        <v>135</v>
      </c>
      <c r="G205" s="7" t="s">
        <v>20</v>
      </c>
      <c r="H205" s="7">
        <v>7</v>
      </c>
      <c r="I205" s="3">
        <v>1.5</v>
      </c>
      <c r="J205" s="12">
        <v>10.5</v>
      </c>
      <c r="K205" s="3">
        <v>2</v>
      </c>
      <c r="L205" s="3">
        <v>12</v>
      </c>
      <c r="M205" s="4">
        <v>0.16666666666666666</v>
      </c>
    </row>
    <row r="206" spans="1:13" ht="15.75" thickBot="1" x14ac:dyDescent="0.3">
      <c r="A206" s="6">
        <v>18</v>
      </c>
      <c r="B206" s="6" t="s">
        <v>26</v>
      </c>
      <c r="C206" s="7" t="s">
        <v>13</v>
      </c>
      <c r="D206" s="7" t="s">
        <v>14</v>
      </c>
      <c r="E206" s="8">
        <v>46279</v>
      </c>
      <c r="F206" s="7" t="s">
        <v>135</v>
      </c>
      <c r="G206" s="7" t="s">
        <v>21</v>
      </c>
      <c r="H206" s="7">
        <v>7</v>
      </c>
      <c r="I206" s="3">
        <v>1.5</v>
      </c>
      <c r="J206" s="12">
        <v>10.5</v>
      </c>
      <c r="K206" s="3">
        <v>3</v>
      </c>
      <c r="L206" s="3">
        <v>25</v>
      </c>
      <c r="M206" s="4">
        <v>0.12</v>
      </c>
    </row>
    <row r="207" spans="1:13" ht="15.75" thickBot="1" x14ac:dyDescent="0.3">
      <c r="A207" s="6">
        <v>19</v>
      </c>
      <c r="B207" s="6" t="s">
        <v>26</v>
      </c>
      <c r="C207" s="7" t="s">
        <v>13</v>
      </c>
      <c r="D207" s="7" t="s">
        <v>14</v>
      </c>
      <c r="E207" s="8">
        <v>46279</v>
      </c>
      <c r="F207" s="7" t="s">
        <v>135</v>
      </c>
      <c r="G207" s="7" t="s">
        <v>22</v>
      </c>
      <c r="H207" s="7">
        <v>4</v>
      </c>
      <c r="I207" s="3">
        <v>1.5</v>
      </c>
      <c r="J207" s="12">
        <v>6</v>
      </c>
      <c r="K207" s="3">
        <v>2</v>
      </c>
      <c r="L207" s="3">
        <v>6</v>
      </c>
      <c r="M207" s="4">
        <v>0.33333333333333331</v>
      </c>
    </row>
    <row r="208" spans="1:13" ht="15.75" thickBot="1" x14ac:dyDescent="0.3">
      <c r="A208" s="6">
        <v>20</v>
      </c>
      <c r="B208" s="6" t="s">
        <v>26</v>
      </c>
      <c r="C208" s="7" t="s">
        <v>13</v>
      </c>
      <c r="D208" s="7" t="s">
        <v>14</v>
      </c>
      <c r="E208" s="8">
        <v>46279</v>
      </c>
      <c r="F208" s="7" t="s">
        <v>135</v>
      </c>
      <c r="G208" s="7" t="s">
        <v>23</v>
      </c>
      <c r="H208" s="7">
        <v>4</v>
      </c>
      <c r="I208" s="3">
        <v>1.5</v>
      </c>
      <c r="J208" s="12">
        <v>6</v>
      </c>
      <c r="K208" s="3">
        <v>6</v>
      </c>
      <c r="L208" s="3">
        <v>31</v>
      </c>
      <c r="M208" s="4">
        <v>0.19354838709677419</v>
      </c>
    </row>
    <row r="209" spans="1:13" ht="15.75" thickBot="1" x14ac:dyDescent="0.3">
      <c r="A209" s="6">
        <v>21</v>
      </c>
      <c r="B209" s="6" t="s">
        <v>26</v>
      </c>
      <c r="C209" s="7" t="s">
        <v>13</v>
      </c>
      <c r="D209" s="7" t="s">
        <v>14</v>
      </c>
      <c r="E209" s="8">
        <v>46279</v>
      </c>
      <c r="F209" s="7" t="s">
        <v>135</v>
      </c>
      <c r="G209" s="7" t="s">
        <v>24</v>
      </c>
      <c r="H209" s="7">
        <v>4</v>
      </c>
      <c r="I209" s="3">
        <v>1.5</v>
      </c>
      <c r="J209" s="12">
        <v>6</v>
      </c>
      <c r="K209" s="3">
        <v>2</v>
      </c>
      <c r="L209" s="3">
        <v>18</v>
      </c>
      <c r="M209" s="4">
        <v>0.1111111111111111</v>
      </c>
    </row>
    <row r="211" spans="1:13" ht="15.75" thickBot="1" x14ac:dyDescent="0.3">
      <c r="A211" s="17" t="s">
        <v>28</v>
      </c>
      <c r="B211" s="17"/>
      <c r="C211" s="17"/>
      <c r="D211" s="17"/>
      <c r="E211" s="17"/>
      <c r="F211" s="17"/>
      <c r="G211" s="17"/>
      <c r="H211" s="17"/>
      <c r="I211" s="17"/>
      <c r="J211" s="10"/>
      <c r="K211" s="17"/>
      <c r="L211" s="17"/>
      <c r="M211" s="17"/>
    </row>
    <row r="212" spans="1:13" ht="15.75" thickBot="1" x14ac:dyDescent="0.3">
      <c r="A212" s="1"/>
      <c r="B212" s="9">
        <v>46280</v>
      </c>
      <c r="C212" s="10"/>
      <c r="D212" s="10"/>
      <c r="E212" s="17"/>
      <c r="F212" s="17"/>
      <c r="G212" s="17"/>
      <c r="H212" s="17"/>
      <c r="I212" s="17"/>
      <c r="J212" s="10"/>
      <c r="K212" s="17"/>
      <c r="L212" s="17"/>
      <c r="M212" s="17"/>
    </row>
    <row r="213" spans="1:13" ht="15.75" thickBot="1" x14ac:dyDescent="0.3">
      <c r="A213" s="1" t="s">
        <v>31</v>
      </c>
      <c r="B213" s="1" t="s">
        <v>0</v>
      </c>
      <c r="C213" s="2" t="s">
        <v>1</v>
      </c>
      <c r="D213" s="2" t="s">
        <v>2</v>
      </c>
      <c r="E213" s="2" t="s">
        <v>3</v>
      </c>
      <c r="F213" s="2" t="s">
        <v>4</v>
      </c>
      <c r="G213" s="2" t="s">
        <v>5</v>
      </c>
      <c r="H213" s="2" t="s">
        <v>6</v>
      </c>
      <c r="I213" s="2" t="s">
        <v>7</v>
      </c>
      <c r="J213" s="11" t="s">
        <v>8</v>
      </c>
      <c r="K213" s="2" t="s">
        <v>9</v>
      </c>
      <c r="L213" s="2" t="s">
        <v>10</v>
      </c>
      <c r="M213" s="2" t="s">
        <v>11</v>
      </c>
    </row>
    <row r="214" spans="1:13" ht="15.75" thickBot="1" x14ac:dyDescent="0.3">
      <c r="A214" s="6">
        <v>11</v>
      </c>
      <c r="B214" s="6" t="s">
        <v>26</v>
      </c>
      <c r="C214" s="7" t="s">
        <v>13</v>
      </c>
      <c r="D214" s="7" t="s">
        <v>14</v>
      </c>
      <c r="E214" s="8">
        <v>46280</v>
      </c>
      <c r="F214" s="7" t="s">
        <v>136</v>
      </c>
      <c r="G214" s="7" t="s">
        <v>12</v>
      </c>
      <c r="H214" s="7">
        <v>3</v>
      </c>
      <c r="I214" s="3">
        <v>1.5</v>
      </c>
      <c r="J214" s="12">
        <v>4.5</v>
      </c>
      <c r="K214" s="3">
        <v>0</v>
      </c>
      <c r="L214" s="3">
        <v>3</v>
      </c>
      <c r="M214" s="4">
        <v>0</v>
      </c>
    </row>
    <row r="215" spans="1:13" ht="15.75" thickBot="1" x14ac:dyDescent="0.3">
      <c r="A215" s="6">
        <v>12</v>
      </c>
      <c r="B215" s="6" t="s">
        <v>26</v>
      </c>
      <c r="C215" s="7" t="s">
        <v>13</v>
      </c>
      <c r="D215" s="7" t="s">
        <v>14</v>
      </c>
      <c r="E215" s="8">
        <v>46280</v>
      </c>
      <c r="F215" s="7" t="s">
        <v>136</v>
      </c>
      <c r="G215" s="7" t="s">
        <v>15</v>
      </c>
      <c r="H215" s="7">
        <v>3</v>
      </c>
      <c r="I215" s="3">
        <v>1.5</v>
      </c>
      <c r="J215" s="12">
        <v>4.5</v>
      </c>
      <c r="K215" s="3">
        <v>2</v>
      </c>
      <c r="L215" s="3">
        <v>9</v>
      </c>
      <c r="M215" s="4">
        <v>0.22222222222222221</v>
      </c>
    </row>
    <row r="216" spans="1:13" ht="15.75" thickBot="1" x14ac:dyDescent="0.3">
      <c r="A216" s="6">
        <v>13</v>
      </c>
      <c r="B216" s="6" t="s">
        <v>26</v>
      </c>
      <c r="C216" s="7" t="s">
        <v>13</v>
      </c>
      <c r="D216" s="7" t="s">
        <v>14</v>
      </c>
      <c r="E216" s="8">
        <v>46280</v>
      </c>
      <c r="F216" s="7" t="s">
        <v>136</v>
      </c>
      <c r="G216" s="7" t="s">
        <v>16</v>
      </c>
      <c r="H216" s="7">
        <v>7</v>
      </c>
      <c r="I216" s="3">
        <v>1.5</v>
      </c>
      <c r="J216" s="12">
        <v>10.5</v>
      </c>
      <c r="K216" s="3">
        <v>0</v>
      </c>
      <c r="L216" s="3">
        <v>16</v>
      </c>
      <c r="M216" s="4">
        <v>0</v>
      </c>
    </row>
    <row r="217" spans="1:13" ht="15.75" thickBot="1" x14ac:dyDescent="0.3">
      <c r="A217" s="6">
        <v>14</v>
      </c>
      <c r="B217" s="6" t="s">
        <v>26</v>
      </c>
      <c r="C217" s="7" t="s">
        <v>13</v>
      </c>
      <c r="D217" s="7" t="s">
        <v>14</v>
      </c>
      <c r="E217" s="8">
        <v>46280</v>
      </c>
      <c r="F217" s="7" t="s">
        <v>136</v>
      </c>
      <c r="G217" s="7" t="s">
        <v>17</v>
      </c>
      <c r="H217" s="7">
        <v>7</v>
      </c>
      <c r="I217" s="3">
        <v>1.5</v>
      </c>
      <c r="J217" s="12">
        <v>10.5</v>
      </c>
      <c r="K217" s="3">
        <v>2</v>
      </c>
      <c r="L217" s="3">
        <v>13</v>
      </c>
      <c r="M217" s="4">
        <v>0.15384615384615385</v>
      </c>
    </row>
    <row r="218" spans="1:13" ht="15.75" thickBot="1" x14ac:dyDescent="0.3">
      <c r="A218" s="6">
        <v>15</v>
      </c>
      <c r="B218" s="6" t="s">
        <v>26</v>
      </c>
      <c r="C218" s="7" t="s">
        <v>13</v>
      </c>
      <c r="D218" s="7" t="s">
        <v>14</v>
      </c>
      <c r="E218" s="8">
        <v>46280</v>
      </c>
      <c r="F218" s="7" t="s">
        <v>136</v>
      </c>
      <c r="G218" s="7" t="s">
        <v>18</v>
      </c>
      <c r="H218" s="7">
        <v>7</v>
      </c>
      <c r="I218" s="3">
        <v>1.5</v>
      </c>
      <c r="J218" s="12">
        <v>10.5</v>
      </c>
      <c r="K218" s="3">
        <v>0</v>
      </c>
      <c r="L218" s="3">
        <v>11</v>
      </c>
      <c r="M218" s="4">
        <v>0</v>
      </c>
    </row>
    <row r="219" spans="1:13" ht="15.75" thickBot="1" x14ac:dyDescent="0.3">
      <c r="A219" s="6">
        <v>16</v>
      </c>
      <c r="B219" s="6" t="s">
        <v>26</v>
      </c>
      <c r="C219" s="7" t="s">
        <v>13</v>
      </c>
      <c r="D219" s="7" t="s">
        <v>14</v>
      </c>
      <c r="E219" s="8">
        <v>46280</v>
      </c>
      <c r="F219" s="7" t="s">
        <v>136</v>
      </c>
      <c r="G219" s="7" t="s">
        <v>19</v>
      </c>
      <c r="H219" s="7">
        <v>7</v>
      </c>
      <c r="I219" s="3">
        <v>1.5</v>
      </c>
      <c r="J219" s="12">
        <v>10.5</v>
      </c>
      <c r="K219" s="3">
        <v>5</v>
      </c>
      <c r="L219" s="3">
        <v>34</v>
      </c>
      <c r="M219" s="4">
        <v>0.14705882352941177</v>
      </c>
    </row>
    <row r="220" spans="1:13" ht="15.75" thickBot="1" x14ac:dyDescent="0.3">
      <c r="A220" s="6">
        <v>17</v>
      </c>
      <c r="B220" s="6" t="s">
        <v>26</v>
      </c>
      <c r="C220" s="7" t="s">
        <v>13</v>
      </c>
      <c r="D220" s="7" t="s">
        <v>14</v>
      </c>
      <c r="E220" s="8">
        <v>46280</v>
      </c>
      <c r="F220" s="7" t="s">
        <v>136</v>
      </c>
      <c r="G220" s="7" t="s">
        <v>20</v>
      </c>
      <c r="H220" s="7">
        <v>7</v>
      </c>
      <c r="I220" s="3">
        <v>1.5</v>
      </c>
      <c r="J220" s="12">
        <v>10.5</v>
      </c>
      <c r="K220" s="3">
        <v>2</v>
      </c>
      <c r="L220" s="3">
        <v>21</v>
      </c>
      <c r="M220" s="4">
        <v>9.5238095238095233E-2</v>
      </c>
    </row>
    <row r="221" spans="1:13" ht="15.75" thickBot="1" x14ac:dyDescent="0.3">
      <c r="A221" s="6">
        <v>18</v>
      </c>
      <c r="B221" s="6" t="s">
        <v>26</v>
      </c>
      <c r="C221" s="7" t="s">
        <v>13</v>
      </c>
      <c r="D221" s="7" t="s">
        <v>14</v>
      </c>
      <c r="E221" s="8">
        <v>46280</v>
      </c>
      <c r="F221" s="7" t="s">
        <v>136</v>
      </c>
      <c r="G221" s="7" t="s">
        <v>21</v>
      </c>
      <c r="H221" s="7">
        <v>7</v>
      </c>
      <c r="I221" s="3">
        <v>1.5</v>
      </c>
      <c r="J221" s="12">
        <v>10.5</v>
      </c>
      <c r="K221" s="3">
        <v>2</v>
      </c>
      <c r="L221" s="3">
        <v>17</v>
      </c>
      <c r="M221" s="4">
        <v>0.11764705882352941</v>
      </c>
    </row>
    <row r="222" spans="1:13" ht="15.75" thickBot="1" x14ac:dyDescent="0.3">
      <c r="A222" s="6">
        <v>19</v>
      </c>
      <c r="B222" s="6" t="s">
        <v>26</v>
      </c>
      <c r="C222" s="7" t="s">
        <v>13</v>
      </c>
      <c r="D222" s="7" t="s">
        <v>14</v>
      </c>
      <c r="E222" s="8">
        <v>46280</v>
      </c>
      <c r="F222" s="7" t="s">
        <v>136</v>
      </c>
      <c r="G222" s="7" t="s">
        <v>22</v>
      </c>
      <c r="H222" s="7">
        <v>4</v>
      </c>
      <c r="I222" s="3">
        <v>1.5</v>
      </c>
      <c r="J222" s="12">
        <v>6</v>
      </c>
      <c r="K222" s="3">
        <v>5</v>
      </c>
      <c r="L222" s="3">
        <v>25</v>
      </c>
      <c r="M222" s="4">
        <v>0.2</v>
      </c>
    </row>
    <row r="223" spans="1:13" ht="15.75" thickBot="1" x14ac:dyDescent="0.3">
      <c r="A223" s="6">
        <v>20</v>
      </c>
      <c r="B223" s="6" t="s">
        <v>26</v>
      </c>
      <c r="C223" s="7" t="s">
        <v>13</v>
      </c>
      <c r="D223" s="7" t="s">
        <v>14</v>
      </c>
      <c r="E223" s="8">
        <v>46280</v>
      </c>
      <c r="F223" s="7" t="s">
        <v>136</v>
      </c>
      <c r="G223" s="7" t="s">
        <v>23</v>
      </c>
      <c r="H223" s="7">
        <v>4</v>
      </c>
      <c r="I223" s="3">
        <v>1.5</v>
      </c>
      <c r="J223" s="12">
        <v>6</v>
      </c>
      <c r="K223" s="3">
        <v>1</v>
      </c>
      <c r="L223" s="3">
        <v>6</v>
      </c>
      <c r="M223" s="4">
        <v>0.16666666666666666</v>
      </c>
    </row>
    <row r="224" spans="1:13" ht="15.75" thickBot="1" x14ac:dyDescent="0.3">
      <c r="A224" s="6">
        <v>21</v>
      </c>
      <c r="B224" s="6" t="s">
        <v>26</v>
      </c>
      <c r="C224" s="7" t="s">
        <v>13</v>
      </c>
      <c r="D224" s="7" t="s">
        <v>14</v>
      </c>
      <c r="E224" s="8">
        <v>46280</v>
      </c>
      <c r="F224" s="7" t="s">
        <v>136</v>
      </c>
      <c r="G224" s="7" t="s">
        <v>24</v>
      </c>
      <c r="H224" s="7">
        <v>4</v>
      </c>
      <c r="I224" s="3">
        <v>1.5</v>
      </c>
      <c r="J224" s="12">
        <v>6</v>
      </c>
      <c r="K224" s="3">
        <v>1</v>
      </c>
      <c r="L224" s="3">
        <v>4</v>
      </c>
      <c r="M224" s="4">
        <v>0.25</v>
      </c>
    </row>
    <row r="226" spans="1:13" ht="15.75" thickBot="1" x14ac:dyDescent="0.3"/>
    <row r="227" spans="1:13" ht="15.75" thickBot="1" x14ac:dyDescent="0.3">
      <c r="A227" s="1"/>
      <c r="B227" s="9">
        <v>46281</v>
      </c>
      <c r="C227" s="10"/>
      <c r="D227" s="10"/>
      <c r="E227" s="17"/>
      <c r="F227" s="17"/>
      <c r="G227" s="17"/>
      <c r="H227" s="17"/>
      <c r="I227" s="17"/>
      <c r="J227" s="10"/>
      <c r="K227" s="17"/>
      <c r="L227" s="17"/>
      <c r="M227" s="17"/>
    </row>
    <row r="228" spans="1:13" ht="15.75" thickBot="1" x14ac:dyDescent="0.3">
      <c r="A228" s="1" t="s">
        <v>31</v>
      </c>
      <c r="B228" s="1" t="s">
        <v>0</v>
      </c>
      <c r="C228" s="2" t="s">
        <v>1</v>
      </c>
      <c r="D228" s="2" t="s">
        <v>2</v>
      </c>
      <c r="E228" s="2" t="s">
        <v>3</v>
      </c>
      <c r="F228" s="2" t="s">
        <v>4</v>
      </c>
      <c r="G228" s="2" t="s">
        <v>5</v>
      </c>
      <c r="H228" s="2" t="s">
        <v>6</v>
      </c>
      <c r="I228" s="2" t="s">
        <v>7</v>
      </c>
      <c r="J228" s="11" t="s">
        <v>8</v>
      </c>
      <c r="K228" s="2" t="s">
        <v>9</v>
      </c>
      <c r="L228" s="2" t="s">
        <v>10</v>
      </c>
      <c r="M228" s="2" t="s">
        <v>11</v>
      </c>
    </row>
    <row r="229" spans="1:13" ht="15.75" thickBot="1" x14ac:dyDescent="0.3">
      <c r="A229" s="6">
        <v>11</v>
      </c>
      <c r="B229" s="6" t="s">
        <v>26</v>
      </c>
      <c r="C229" s="7" t="s">
        <v>13</v>
      </c>
      <c r="D229" s="7" t="s">
        <v>14</v>
      </c>
      <c r="E229" s="8">
        <v>46281</v>
      </c>
      <c r="F229" s="7" t="s">
        <v>136</v>
      </c>
      <c r="G229" s="7" t="s">
        <v>12</v>
      </c>
      <c r="H229" s="7">
        <v>3</v>
      </c>
      <c r="I229" s="3">
        <v>1.5</v>
      </c>
      <c r="J229" s="12">
        <v>4.5</v>
      </c>
      <c r="K229" s="3">
        <v>0</v>
      </c>
      <c r="L229" s="3">
        <v>2</v>
      </c>
      <c r="M229" s="4">
        <v>0</v>
      </c>
    </row>
    <row r="230" spans="1:13" ht="15.75" thickBot="1" x14ac:dyDescent="0.3">
      <c r="A230" s="6">
        <v>12</v>
      </c>
      <c r="B230" s="6" t="s">
        <v>26</v>
      </c>
      <c r="C230" s="7" t="s">
        <v>13</v>
      </c>
      <c r="D230" s="7" t="s">
        <v>14</v>
      </c>
      <c r="E230" s="8">
        <v>46281</v>
      </c>
      <c r="F230" s="7" t="s">
        <v>136</v>
      </c>
      <c r="G230" s="7" t="s">
        <v>15</v>
      </c>
      <c r="H230" s="7">
        <v>3</v>
      </c>
      <c r="I230" s="3">
        <v>1.5</v>
      </c>
      <c r="J230" s="12">
        <v>4.5</v>
      </c>
      <c r="K230" s="3">
        <v>0</v>
      </c>
      <c r="L230" s="3">
        <v>6</v>
      </c>
      <c r="M230" s="4">
        <v>0</v>
      </c>
    </row>
    <row r="231" spans="1:13" ht="15.75" thickBot="1" x14ac:dyDescent="0.3">
      <c r="A231" s="6">
        <v>13</v>
      </c>
      <c r="B231" s="6" t="s">
        <v>26</v>
      </c>
      <c r="C231" s="7" t="s">
        <v>13</v>
      </c>
      <c r="D231" s="7" t="s">
        <v>14</v>
      </c>
      <c r="E231" s="8">
        <v>46281</v>
      </c>
      <c r="F231" s="7" t="s">
        <v>136</v>
      </c>
      <c r="G231" s="7" t="s">
        <v>16</v>
      </c>
      <c r="H231" s="7">
        <v>7</v>
      </c>
      <c r="I231" s="3">
        <v>1.5</v>
      </c>
      <c r="J231" s="12">
        <v>10.5</v>
      </c>
      <c r="K231" s="3">
        <v>0</v>
      </c>
      <c r="L231" s="3">
        <v>9</v>
      </c>
      <c r="M231" s="4">
        <v>0</v>
      </c>
    </row>
    <row r="232" spans="1:13" ht="15.75" thickBot="1" x14ac:dyDescent="0.3">
      <c r="A232" s="6">
        <v>14</v>
      </c>
      <c r="B232" s="6" t="s">
        <v>26</v>
      </c>
      <c r="C232" s="7" t="s">
        <v>13</v>
      </c>
      <c r="D232" s="7" t="s">
        <v>14</v>
      </c>
      <c r="E232" s="8">
        <v>46281</v>
      </c>
      <c r="F232" s="7" t="s">
        <v>136</v>
      </c>
      <c r="G232" s="7" t="s">
        <v>17</v>
      </c>
      <c r="H232" s="7">
        <v>7</v>
      </c>
      <c r="I232" s="3">
        <v>1.5</v>
      </c>
      <c r="J232" s="12">
        <v>10.5</v>
      </c>
      <c r="K232" s="3">
        <v>3</v>
      </c>
      <c r="L232" s="3">
        <v>21</v>
      </c>
      <c r="M232" s="4">
        <v>0.14285714285714285</v>
      </c>
    </row>
    <row r="233" spans="1:13" ht="15.75" thickBot="1" x14ac:dyDescent="0.3">
      <c r="A233" s="6">
        <v>15</v>
      </c>
      <c r="B233" s="6" t="s">
        <v>26</v>
      </c>
      <c r="C233" s="7" t="s">
        <v>13</v>
      </c>
      <c r="D233" s="7" t="s">
        <v>14</v>
      </c>
      <c r="E233" s="8">
        <v>46281</v>
      </c>
      <c r="F233" s="7" t="s">
        <v>136</v>
      </c>
      <c r="G233" s="7" t="s">
        <v>18</v>
      </c>
      <c r="H233" s="7">
        <v>7</v>
      </c>
      <c r="I233" s="3">
        <v>1.5</v>
      </c>
      <c r="J233" s="12">
        <v>10.5</v>
      </c>
      <c r="K233" s="3">
        <v>4</v>
      </c>
      <c r="L233" s="3">
        <v>26</v>
      </c>
      <c r="M233" s="4">
        <v>0.15384615384615385</v>
      </c>
    </row>
    <row r="234" spans="1:13" ht="15.75" thickBot="1" x14ac:dyDescent="0.3">
      <c r="A234" s="6">
        <v>16</v>
      </c>
      <c r="B234" s="6" t="s">
        <v>26</v>
      </c>
      <c r="C234" s="7" t="s">
        <v>13</v>
      </c>
      <c r="D234" s="7" t="s">
        <v>14</v>
      </c>
      <c r="E234" s="8">
        <v>46281</v>
      </c>
      <c r="F234" s="7" t="s">
        <v>136</v>
      </c>
      <c r="G234" s="7" t="s">
        <v>19</v>
      </c>
      <c r="H234" s="7">
        <v>7</v>
      </c>
      <c r="I234" s="3">
        <v>1.5</v>
      </c>
      <c r="J234" s="12">
        <v>10.5</v>
      </c>
      <c r="K234" s="3">
        <v>2</v>
      </c>
      <c r="L234" s="3">
        <v>17</v>
      </c>
      <c r="M234" s="4">
        <v>0.11764705882352941</v>
      </c>
    </row>
    <row r="235" spans="1:13" ht="15.75" thickBot="1" x14ac:dyDescent="0.3">
      <c r="A235" s="6">
        <v>17</v>
      </c>
      <c r="B235" s="6" t="s">
        <v>26</v>
      </c>
      <c r="C235" s="7" t="s">
        <v>13</v>
      </c>
      <c r="D235" s="7" t="s">
        <v>14</v>
      </c>
      <c r="E235" s="8">
        <v>46281</v>
      </c>
      <c r="F235" s="7" t="s">
        <v>136</v>
      </c>
      <c r="G235" s="7" t="s">
        <v>20</v>
      </c>
      <c r="H235" s="7">
        <v>7</v>
      </c>
      <c r="I235" s="3">
        <v>1.5</v>
      </c>
      <c r="J235" s="12">
        <v>10.5</v>
      </c>
      <c r="K235" s="3">
        <v>3</v>
      </c>
      <c r="L235" s="3">
        <v>19</v>
      </c>
      <c r="M235" s="4">
        <v>0.15789473684210525</v>
      </c>
    </row>
    <row r="236" spans="1:13" ht="15.75" thickBot="1" x14ac:dyDescent="0.3">
      <c r="A236" s="6">
        <v>18</v>
      </c>
      <c r="B236" s="6" t="s">
        <v>26</v>
      </c>
      <c r="C236" s="7" t="s">
        <v>13</v>
      </c>
      <c r="D236" s="7" t="s">
        <v>14</v>
      </c>
      <c r="E236" s="8">
        <v>46281</v>
      </c>
      <c r="F236" s="7" t="s">
        <v>136</v>
      </c>
      <c r="G236" s="7" t="s">
        <v>21</v>
      </c>
      <c r="H236" s="7">
        <v>7</v>
      </c>
      <c r="I236" s="3">
        <v>1.5</v>
      </c>
      <c r="J236" s="12">
        <v>10.5</v>
      </c>
      <c r="K236" s="3">
        <v>0</v>
      </c>
      <c r="L236" s="3">
        <v>9</v>
      </c>
      <c r="M236" s="4">
        <v>0</v>
      </c>
    </row>
    <row r="237" spans="1:13" ht="15.75" thickBot="1" x14ac:dyDescent="0.3">
      <c r="A237" s="6">
        <v>19</v>
      </c>
      <c r="B237" s="6" t="s">
        <v>26</v>
      </c>
      <c r="C237" s="7" t="s">
        <v>13</v>
      </c>
      <c r="D237" s="7" t="s">
        <v>14</v>
      </c>
      <c r="E237" s="8">
        <v>46281</v>
      </c>
      <c r="F237" s="7" t="s">
        <v>136</v>
      </c>
      <c r="G237" s="7" t="s">
        <v>22</v>
      </c>
      <c r="H237" s="7">
        <v>4</v>
      </c>
      <c r="I237" s="3">
        <v>1.5</v>
      </c>
      <c r="J237" s="12">
        <v>6</v>
      </c>
      <c r="K237" s="3">
        <v>4</v>
      </c>
      <c r="L237" s="3">
        <v>21</v>
      </c>
      <c r="M237" s="4">
        <v>0.19047619047619047</v>
      </c>
    </row>
    <row r="238" spans="1:13" ht="15.75" thickBot="1" x14ac:dyDescent="0.3">
      <c r="A238" s="6">
        <v>20</v>
      </c>
      <c r="B238" s="6" t="s">
        <v>26</v>
      </c>
      <c r="C238" s="7" t="s">
        <v>13</v>
      </c>
      <c r="D238" s="7" t="s">
        <v>14</v>
      </c>
      <c r="E238" s="8">
        <v>46281</v>
      </c>
      <c r="F238" s="7" t="s">
        <v>136</v>
      </c>
      <c r="G238" s="7" t="s">
        <v>23</v>
      </c>
      <c r="H238" s="7">
        <v>4</v>
      </c>
      <c r="I238" s="3">
        <v>1.5</v>
      </c>
      <c r="J238" s="12">
        <v>6</v>
      </c>
      <c r="K238" s="3">
        <v>3</v>
      </c>
      <c r="L238" s="3">
        <v>13</v>
      </c>
      <c r="M238" s="4">
        <v>0.23076923076923078</v>
      </c>
    </row>
    <row r="239" spans="1:13" ht="15.75" thickBot="1" x14ac:dyDescent="0.3">
      <c r="A239" s="6">
        <v>21</v>
      </c>
      <c r="B239" s="6" t="s">
        <v>26</v>
      </c>
      <c r="C239" s="7" t="s">
        <v>13</v>
      </c>
      <c r="D239" s="7" t="s">
        <v>14</v>
      </c>
      <c r="E239" s="8">
        <v>46281</v>
      </c>
      <c r="F239" s="7" t="s">
        <v>136</v>
      </c>
      <c r="G239" s="7" t="s">
        <v>24</v>
      </c>
      <c r="H239" s="7">
        <v>4</v>
      </c>
      <c r="I239" s="3">
        <v>1.5</v>
      </c>
      <c r="J239" s="12">
        <v>6</v>
      </c>
      <c r="K239" s="3">
        <v>1</v>
      </c>
      <c r="L239" s="3">
        <v>8</v>
      </c>
      <c r="M239" s="4">
        <v>0.125</v>
      </c>
    </row>
    <row r="241" spans="1:13" ht="15.75" thickBot="1" x14ac:dyDescent="0.3"/>
    <row r="242" spans="1:13" ht="15.75" thickBot="1" x14ac:dyDescent="0.3">
      <c r="A242" s="1"/>
      <c r="B242" s="9">
        <v>46282</v>
      </c>
      <c r="C242" s="10"/>
      <c r="D242" s="10"/>
      <c r="E242" s="17"/>
      <c r="F242" s="17"/>
      <c r="G242" s="17"/>
      <c r="H242" s="17"/>
      <c r="I242" s="17"/>
      <c r="J242" s="10"/>
      <c r="K242" s="17"/>
      <c r="L242" s="17"/>
      <c r="M242" s="17"/>
    </row>
    <row r="243" spans="1:13" ht="15.75" thickBot="1" x14ac:dyDescent="0.3">
      <c r="A243" s="1" t="s">
        <v>31</v>
      </c>
      <c r="B243" s="1" t="s">
        <v>0</v>
      </c>
      <c r="C243" s="2" t="s">
        <v>1</v>
      </c>
      <c r="D243" s="2" t="s">
        <v>2</v>
      </c>
      <c r="E243" s="2" t="s">
        <v>3</v>
      </c>
      <c r="F243" s="2" t="s">
        <v>4</v>
      </c>
      <c r="G243" s="2" t="s">
        <v>5</v>
      </c>
      <c r="H243" s="2" t="s">
        <v>6</v>
      </c>
      <c r="I243" s="2" t="s">
        <v>7</v>
      </c>
      <c r="J243" s="11" t="s">
        <v>8</v>
      </c>
      <c r="K243" s="2" t="s">
        <v>9</v>
      </c>
      <c r="L243" s="2" t="s">
        <v>10</v>
      </c>
      <c r="M243" s="2" t="s">
        <v>11</v>
      </c>
    </row>
    <row r="244" spans="1:13" ht="15.75" thickBot="1" x14ac:dyDescent="0.3">
      <c r="A244" s="6">
        <v>11</v>
      </c>
      <c r="B244" s="6" t="s">
        <v>26</v>
      </c>
      <c r="C244" s="7" t="s">
        <v>13</v>
      </c>
      <c r="D244" s="7" t="s">
        <v>14</v>
      </c>
      <c r="E244" s="8">
        <v>46282</v>
      </c>
      <c r="F244" s="7" t="s">
        <v>136</v>
      </c>
      <c r="G244" s="7" t="s">
        <v>12</v>
      </c>
      <c r="H244" s="7">
        <v>3</v>
      </c>
      <c r="I244" s="3">
        <v>1.5</v>
      </c>
      <c r="J244" s="12">
        <v>4.5</v>
      </c>
      <c r="K244" s="3">
        <v>1</v>
      </c>
      <c r="L244" s="3">
        <v>4</v>
      </c>
      <c r="M244" s="4">
        <v>0.25</v>
      </c>
    </row>
    <row r="245" spans="1:13" ht="15.75" thickBot="1" x14ac:dyDescent="0.3">
      <c r="A245" s="6">
        <v>12</v>
      </c>
      <c r="B245" s="6" t="s">
        <v>26</v>
      </c>
      <c r="C245" s="7" t="s">
        <v>13</v>
      </c>
      <c r="D245" s="7" t="s">
        <v>14</v>
      </c>
      <c r="E245" s="8">
        <v>46282</v>
      </c>
      <c r="F245" s="7" t="s">
        <v>136</v>
      </c>
      <c r="G245" s="7" t="s">
        <v>15</v>
      </c>
      <c r="H245" s="7">
        <v>3</v>
      </c>
      <c r="I245" s="3">
        <v>1.5</v>
      </c>
      <c r="J245" s="12">
        <v>4.5</v>
      </c>
      <c r="K245" s="3">
        <v>1</v>
      </c>
      <c r="L245" s="3">
        <v>5</v>
      </c>
      <c r="M245" s="4">
        <v>0.2</v>
      </c>
    </row>
    <row r="246" spans="1:13" ht="15.75" thickBot="1" x14ac:dyDescent="0.3">
      <c r="A246" s="6">
        <v>13</v>
      </c>
      <c r="B246" s="6" t="s">
        <v>26</v>
      </c>
      <c r="C246" s="7" t="s">
        <v>13</v>
      </c>
      <c r="D246" s="7" t="s">
        <v>14</v>
      </c>
      <c r="E246" s="8">
        <v>46282</v>
      </c>
      <c r="F246" s="7" t="s">
        <v>136</v>
      </c>
      <c r="G246" s="7" t="s">
        <v>16</v>
      </c>
      <c r="H246" s="7">
        <v>7</v>
      </c>
      <c r="I246" s="3">
        <v>1.5</v>
      </c>
      <c r="J246" s="12">
        <v>10.5</v>
      </c>
      <c r="K246" s="3">
        <v>3</v>
      </c>
      <c r="L246" s="3">
        <v>16</v>
      </c>
      <c r="M246" s="4">
        <v>0.1875</v>
      </c>
    </row>
    <row r="247" spans="1:13" ht="15.75" thickBot="1" x14ac:dyDescent="0.3">
      <c r="A247" s="6">
        <v>14</v>
      </c>
      <c r="B247" s="6" t="s">
        <v>26</v>
      </c>
      <c r="C247" s="7" t="s">
        <v>13</v>
      </c>
      <c r="D247" s="7" t="s">
        <v>14</v>
      </c>
      <c r="E247" s="8">
        <v>46282</v>
      </c>
      <c r="F247" s="7" t="s">
        <v>136</v>
      </c>
      <c r="G247" s="7" t="s">
        <v>17</v>
      </c>
      <c r="H247" s="7">
        <v>7</v>
      </c>
      <c r="I247" s="3">
        <v>1.5</v>
      </c>
      <c r="J247" s="12">
        <v>10.5</v>
      </c>
      <c r="K247" s="3">
        <v>1</v>
      </c>
      <c r="L247" s="3">
        <v>13</v>
      </c>
      <c r="M247" s="4">
        <v>7.6923076923076927E-2</v>
      </c>
    </row>
    <row r="248" spans="1:13" ht="15.75" thickBot="1" x14ac:dyDescent="0.3">
      <c r="A248" s="6">
        <v>15</v>
      </c>
      <c r="B248" s="6" t="s">
        <v>26</v>
      </c>
      <c r="C248" s="7" t="s">
        <v>13</v>
      </c>
      <c r="D248" s="7" t="s">
        <v>14</v>
      </c>
      <c r="E248" s="8">
        <v>46282</v>
      </c>
      <c r="F248" s="7" t="s">
        <v>136</v>
      </c>
      <c r="G248" s="7" t="s">
        <v>18</v>
      </c>
      <c r="H248" s="7">
        <v>7</v>
      </c>
      <c r="I248" s="3">
        <v>1.5</v>
      </c>
      <c r="J248" s="12">
        <v>10.5</v>
      </c>
      <c r="K248" s="3">
        <v>5</v>
      </c>
      <c r="L248" s="3">
        <v>24</v>
      </c>
      <c r="M248" s="4">
        <v>0.20833333333333334</v>
      </c>
    </row>
    <row r="249" spans="1:13" ht="15.75" thickBot="1" x14ac:dyDescent="0.3">
      <c r="A249" s="6">
        <v>16</v>
      </c>
      <c r="B249" s="6" t="s">
        <v>26</v>
      </c>
      <c r="C249" s="7" t="s">
        <v>13</v>
      </c>
      <c r="D249" s="7" t="s">
        <v>14</v>
      </c>
      <c r="E249" s="8">
        <v>46282</v>
      </c>
      <c r="F249" s="7" t="s">
        <v>136</v>
      </c>
      <c r="G249" s="7" t="s">
        <v>19</v>
      </c>
      <c r="H249" s="7">
        <v>7</v>
      </c>
      <c r="I249" s="3">
        <v>1.5</v>
      </c>
      <c r="J249" s="12">
        <v>10.5</v>
      </c>
      <c r="K249" s="3">
        <v>1</v>
      </c>
      <c r="L249" s="3">
        <v>11</v>
      </c>
      <c r="M249" s="4">
        <v>9.0909090909090912E-2</v>
      </c>
    </row>
    <row r="250" spans="1:13" ht="15.75" thickBot="1" x14ac:dyDescent="0.3">
      <c r="A250" s="6">
        <v>17</v>
      </c>
      <c r="B250" s="6" t="s">
        <v>26</v>
      </c>
      <c r="C250" s="7" t="s">
        <v>13</v>
      </c>
      <c r="D250" s="7" t="s">
        <v>14</v>
      </c>
      <c r="E250" s="8">
        <v>46282</v>
      </c>
      <c r="F250" s="7" t="s">
        <v>136</v>
      </c>
      <c r="G250" s="7" t="s">
        <v>20</v>
      </c>
      <c r="H250" s="7">
        <v>7</v>
      </c>
      <c r="I250" s="3">
        <v>1.5</v>
      </c>
      <c r="J250" s="12">
        <v>10.5</v>
      </c>
      <c r="K250" s="3">
        <v>3</v>
      </c>
      <c r="L250" s="3">
        <v>21</v>
      </c>
      <c r="M250" s="4">
        <v>0.14285714285714285</v>
      </c>
    </row>
    <row r="251" spans="1:13" ht="15.75" thickBot="1" x14ac:dyDescent="0.3">
      <c r="A251" s="6">
        <v>18</v>
      </c>
      <c r="B251" s="6" t="s">
        <v>26</v>
      </c>
      <c r="C251" s="7" t="s">
        <v>13</v>
      </c>
      <c r="D251" s="7" t="s">
        <v>14</v>
      </c>
      <c r="E251" s="8">
        <v>46282</v>
      </c>
      <c r="F251" s="7" t="s">
        <v>136</v>
      </c>
      <c r="G251" s="7" t="s">
        <v>21</v>
      </c>
      <c r="H251" s="7">
        <v>7</v>
      </c>
      <c r="I251" s="3">
        <v>1.5</v>
      </c>
      <c r="J251" s="12">
        <v>10.5</v>
      </c>
      <c r="K251" s="3">
        <v>0</v>
      </c>
      <c r="L251" s="3">
        <v>15</v>
      </c>
      <c r="M251" s="4">
        <v>0</v>
      </c>
    </row>
    <row r="252" spans="1:13" ht="15.75" thickBot="1" x14ac:dyDescent="0.3">
      <c r="A252" s="6">
        <v>19</v>
      </c>
      <c r="B252" s="6" t="s">
        <v>26</v>
      </c>
      <c r="C252" s="7" t="s">
        <v>13</v>
      </c>
      <c r="D252" s="7" t="s">
        <v>14</v>
      </c>
      <c r="E252" s="8">
        <v>46282</v>
      </c>
      <c r="F252" s="7" t="s">
        <v>136</v>
      </c>
      <c r="G252" s="7" t="s">
        <v>22</v>
      </c>
      <c r="H252" s="7">
        <v>4</v>
      </c>
      <c r="I252" s="3">
        <v>1.5</v>
      </c>
      <c r="J252" s="12">
        <v>6</v>
      </c>
      <c r="K252" s="3">
        <v>6</v>
      </c>
      <c r="L252" s="3">
        <v>26</v>
      </c>
      <c r="M252" s="4">
        <v>0.23076923076923078</v>
      </c>
    </row>
    <row r="253" spans="1:13" ht="15.75" thickBot="1" x14ac:dyDescent="0.3">
      <c r="A253" s="6">
        <v>20</v>
      </c>
      <c r="B253" s="6" t="s">
        <v>26</v>
      </c>
      <c r="C253" s="7" t="s">
        <v>13</v>
      </c>
      <c r="D253" s="7" t="s">
        <v>14</v>
      </c>
      <c r="E253" s="8">
        <v>46282</v>
      </c>
      <c r="F253" s="7" t="s">
        <v>136</v>
      </c>
      <c r="G253" s="7" t="s">
        <v>23</v>
      </c>
      <c r="H253" s="7">
        <v>4</v>
      </c>
      <c r="I253" s="3">
        <v>1.5</v>
      </c>
      <c r="J253" s="12">
        <v>6</v>
      </c>
      <c r="K253" s="3">
        <v>2</v>
      </c>
      <c r="L253" s="3">
        <v>19</v>
      </c>
      <c r="M253" s="4">
        <v>0.10526315789473684</v>
      </c>
    </row>
    <row r="254" spans="1:13" ht="15.75" thickBot="1" x14ac:dyDescent="0.3">
      <c r="A254" s="6">
        <v>21</v>
      </c>
      <c r="B254" s="6" t="s">
        <v>26</v>
      </c>
      <c r="C254" s="7" t="s">
        <v>13</v>
      </c>
      <c r="D254" s="7" t="s">
        <v>14</v>
      </c>
      <c r="E254" s="8">
        <v>46282</v>
      </c>
      <c r="F254" s="7" t="s">
        <v>136</v>
      </c>
      <c r="G254" s="7" t="s">
        <v>24</v>
      </c>
      <c r="H254" s="7">
        <v>4</v>
      </c>
      <c r="I254" s="3">
        <v>1.5</v>
      </c>
      <c r="J254" s="12">
        <v>6</v>
      </c>
      <c r="K254" s="3">
        <v>2</v>
      </c>
      <c r="L254" s="3">
        <v>15</v>
      </c>
      <c r="M254" s="4">
        <v>0.13333333333333333</v>
      </c>
    </row>
    <row r="256" spans="1:13" ht="15.75" thickBot="1" x14ac:dyDescent="0.3"/>
    <row r="257" spans="1:13" ht="15.75" thickBot="1" x14ac:dyDescent="0.3">
      <c r="A257" s="1"/>
      <c r="B257" s="9">
        <v>46283</v>
      </c>
      <c r="C257" s="10"/>
      <c r="D257" s="10"/>
      <c r="E257" s="17"/>
      <c r="F257" s="17"/>
      <c r="G257" s="17"/>
      <c r="H257" s="17"/>
      <c r="I257" s="17"/>
      <c r="J257" s="10"/>
      <c r="K257" s="17"/>
      <c r="L257" s="17"/>
      <c r="M257" s="17"/>
    </row>
    <row r="258" spans="1:13" ht="15.75" thickBot="1" x14ac:dyDescent="0.3">
      <c r="A258" s="1" t="s">
        <v>31</v>
      </c>
      <c r="B258" s="1" t="s">
        <v>0</v>
      </c>
      <c r="C258" s="2" t="s">
        <v>1</v>
      </c>
      <c r="D258" s="2" t="s">
        <v>2</v>
      </c>
      <c r="E258" s="2" t="s">
        <v>3</v>
      </c>
      <c r="F258" s="2" t="s">
        <v>4</v>
      </c>
      <c r="G258" s="2" t="s">
        <v>5</v>
      </c>
      <c r="H258" s="2" t="s">
        <v>6</v>
      </c>
      <c r="I258" s="2" t="s">
        <v>7</v>
      </c>
      <c r="J258" s="11" t="s">
        <v>8</v>
      </c>
      <c r="K258" s="2" t="s">
        <v>9</v>
      </c>
      <c r="L258" s="2" t="s">
        <v>10</v>
      </c>
      <c r="M258" s="2" t="s">
        <v>11</v>
      </c>
    </row>
    <row r="259" spans="1:13" ht="15.75" thickBot="1" x14ac:dyDescent="0.3">
      <c r="A259" s="6">
        <v>11</v>
      </c>
      <c r="B259" s="6" t="s">
        <v>26</v>
      </c>
      <c r="C259" s="7" t="s">
        <v>13</v>
      </c>
      <c r="D259" s="7" t="s">
        <v>14</v>
      </c>
      <c r="E259" s="8">
        <v>46283</v>
      </c>
      <c r="F259" s="7" t="s">
        <v>136</v>
      </c>
      <c r="G259" s="7" t="s">
        <v>12</v>
      </c>
      <c r="H259" s="7">
        <v>3</v>
      </c>
      <c r="I259" s="3">
        <v>1.5</v>
      </c>
      <c r="J259" s="12">
        <v>4.5</v>
      </c>
      <c r="K259" s="3">
        <v>2</v>
      </c>
      <c r="L259" s="3">
        <v>6</v>
      </c>
      <c r="M259" s="4">
        <v>0.33333333333333331</v>
      </c>
    </row>
    <row r="260" spans="1:13" ht="15.75" thickBot="1" x14ac:dyDescent="0.3">
      <c r="A260" s="6">
        <v>12</v>
      </c>
      <c r="B260" s="6" t="s">
        <v>26</v>
      </c>
      <c r="C260" s="7" t="s">
        <v>13</v>
      </c>
      <c r="D260" s="7" t="s">
        <v>14</v>
      </c>
      <c r="E260" s="8">
        <v>46283</v>
      </c>
      <c r="F260" s="7" t="s">
        <v>136</v>
      </c>
      <c r="G260" s="7" t="s">
        <v>15</v>
      </c>
      <c r="H260" s="7">
        <v>3</v>
      </c>
      <c r="I260" s="3">
        <v>1.5</v>
      </c>
      <c r="J260" s="12">
        <v>4.5</v>
      </c>
      <c r="K260" s="3">
        <v>3</v>
      </c>
      <c r="L260" s="3">
        <v>13</v>
      </c>
      <c r="M260" s="4">
        <v>0.23076923076923078</v>
      </c>
    </row>
    <row r="261" spans="1:13" ht="15.75" thickBot="1" x14ac:dyDescent="0.3">
      <c r="A261" s="6">
        <v>13</v>
      </c>
      <c r="B261" s="6" t="s">
        <v>26</v>
      </c>
      <c r="C261" s="7" t="s">
        <v>13</v>
      </c>
      <c r="D261" s="7" t="s">
        <v>14</v>
      </c>
      <c r="E261" s="8">
        <v>46283</v>
      </c>
      <c r="F261" s="7" t="s">
        <v>136</v>
      </c>
      <c r="G261" s="7" t="s">
        <v>16</v>
      </c>
      <c r="H261" s="7">
        <v>7</v>
      </c>
      <c r="I261" s="3">
        <v>1.5</v>
      </c>
      <c r="J261" s="12">
        <v>10.5</v>
      </c>
      <c r="K261" s="3">
        <v>3</v>
      </c>
      <c r="L261" s="3">
        <v>24</v>
      </c>
      <c r="M261" s="4">
        <v>0.125</v>
      </c>
    </row>
    <row r="262" spans="1:13" ht="15.75" thickBot="1" x14ac:dyDescent="0.3">
      <c r="A262" s="6">
        <v>14</v>
      </c>
      <c r="B262" s="6" t="s">
        <v>26</v>
      </c>
      <c r="C262" s="7" t="s">
        <v>13</v>
      </c>
      <c r="D262" s="7" t="s">
        <v>14</v>
      </c>
      <c r="E262" s="8">
        <v>46283</v>
      </c>
      <c r="F262" s="7" t="s">
        <v>136</v>
      </c>
      <c r="G262" s="7" t="s">
        <v>17</v>
      </c>
      <c r="H262" s="7">
        <v>7</v>
      </c>
      <c r="I262" s="3">
        <v>1.5</v>
      </c>
      <c r="J262" s="12">
        <v>10.5</v>
      </c>
      <c r="K262" s="3">
        <v>1</v>
      </c>
      <c r="L262" s="3">
        <v>16</v>
      </c>
      <c r="M262" s="4">
        <v>6.25E-2</v>
      </c>
    </row>
    <row r="263" spans="1:13" ht="15.75" thickBot="1" x14ac:dyDescent="0.3">
      <c r="A263" s="6">
        <v>15</v>
      </c>
      <c r="B263" s="6" t="s">
        <v>26</v>
      </c>
      <c r="C263" s="7" t="s">
        <v>13</v>
      </c>
      <c r="D263" s="7" t="s">
        <v>14</v>
      </c>
      <c r="E263" s="8">
        <v>46283</v>
      </c>
      <c r="F263" s="7" t="s">
        <v>136</v>
      </c>
      <c r="G263" s="7" t="s">
        <v>18</v>
      </c>
      <c r="H263" s="7">
        <v>7</v>
      </c>
      <c r="I263" s="3">
        <v>1.5</v>
      </c>
      <c r="J263" s="12">
        <v>10.5</v>
      </c>
      <c r="K263" s="3">
        <v>3</v>
      </c>
      <c r="L263" s="3">
        <v>21</v>
      </c>
      <c r="M263" s="4">
        <v>0.14285714285714285</v>
      </c>
    </row>
    <row r="264" spans="1:13" ht="15.75" thickBot="1" x14ac:dyDescent="0.3">
      <c r="A264" s="6">
        <v>16</v>
      </c>
      <c r="B264" s="6" t="s">
        <v>26</v>
      </c>
      <c r="C264" s="7" t="s">
        <v>13</v>
      </c>
      <c r="D264" s="7" t="s">
        <v>14</v>
      </c>
      <c r="E264" s="8">
        <v>46283</v>
      </c>
      <c r="F264" s="7" t="s">
        <v>136</v>
      </c>
      <c r="G264" s="7" t="s">
        <v>19</v>
      </c>
      <c r="H264" s="7">
        <v>7</v>
      </c>
      <c r="I264" s="3">
        <v>1.5</v>
      </c>
      <c r="J264" s="12">
        <v>10.5</v>
      </c>
      <c r="K264" s="3">
        <v>2</v>
      </c>
      <c r="L264" s="3">
        <v>18</v>
      </c>
      <c r="M264" s="4">
        <v>0.1111111111111111</v>
      </c>
    </row>
    <row r="265" spans="1:13" ht="15.75" thickBot="1" x14ac:dyDescent="0.3">
      <c r="A265" s="6">
        <v>17</v>
      </c>
      <c r="B265" s="6" t="s">
        <v>26</v>
      </c>
      <c r="C265" s="7" t="s">
        <v>13</v>
      </c>
      <c r="D265" s="7" t="s">
        <v>14</v>
      </c>
      <c r="E265" s="8">
        <v>46283</v>
      </c>
      <c r="F265" s="7" t="s">
        <v>136</v>
      </c>
      <c r="G265" s="7" t="s">
        <v>20</v>
      </c>
      <c r="H265" s="7">
        <v>7</v>
      </c>
      <c r="I265" s="3">
        <v>1.5</v>
      </c>
      <c r="J265" s="12">
        <v>10.5</v>
      </c>
      <c r="K265" s="3">
        <v>2</v>
      </c>
      <c r="L265" s="3">
        <v>20</v>
      </c>
      <c r="M265" s="4">
        <v>0.1</v>
      </c>
    </row>
    <row r="266" spans="1:13" ht="15.75" thickBot="1" x14ac:dyDescent="0.3">
      <c r="A266" s="6">
        <v>18</v>
      </c>
      <c r="B266" s="6" t="s">
        <v>26</v>
      </c>
      <c r="C266" s="7" t="s">
        <v>13</v>
      </c>
      <c r="D266" s="7" t="s">
        <v>14</v>
      </c>
      <c r="E266" s="8">
        <v>46283</v>
      </c>
      <c r="F266" s="7" t="s">
        <v>136</v>
      </c>
      <c r="G266" s="7" t="s">
        <v>21</v>
      </c>
      <c r="H266" s="7">
        <v>7</v>
      </c>
      <c r="I266" s="3">
        <v>1.5</v>
      </c>
      <c r="J266" s="12">
        <v>10.5</v>
      </c>
      <c r="K266" s="3">
        <v>7</v>
      </c>
      <c r="L266" s="3">
        <v>34</v>
      </c>
      <c r="M266" s="4">
        <v>0.20588235294117646</v>
      </c>
    </row>
    <row r="267" spans="1:13" ht="15.75" thickBot="1" x14ac:dyDescent="0.3">
      <c r="A267" s="6">
        <v>19</v>
      </c>
      <c r="B267" s="6" t="s">
        <v>26</v>
      </c>
      <c r="C267" s="7" t="s">
        <v>13</v>
      </c>
      <c r="D267" s="7" t="s">
        <v>14</v>
      </c>
      <c r="E267" s="8">
        <v>46283</v>
      </c>
      <c r="F267" s="7" t="s">
        <v>136</v>
      </c>
      <c r="G267" s="7" t="s">
        <v>22</v>
      </c>
      <c r="H267" s="7">
        <v>4</v>
      </c>
      <c r="I267" s="3">
        <v>1.5</v>
      </c>
      <c r="J267" s="12">
        <v>6</v>
      </c>
      <c r="K267" s="3">
        <v>8</v>
      </c>
      <c r="L267" s="3">
        <v>28</v>
      </c>
      <c r="M267" s="4">
        <v>0.2857142857142857</v>
      </c>
    </row>
    <row r="268" spans="1:13" ht="15.75" thickBot="1" x14ac:dyDescent="0.3">
      <c r="A268" s="6">
        <v>20</v>
      </c>
      <c r="B268" s="6" t="s">
        <v>26</v>
      </c>
      <c r="C268" s="7" t="s">
        <v>13</v>
      </c>
      <c r="D268" s="7" t="s">
        <v>14</v>
      </c>
      <c r="E268" s="8">
        <v>46283</v>
      </c>
      <c r="F268" s="7" t="s">
        <v>136</v>
      </c>
      <c r="G268" s="7" t="s">
        <v>23</v>
      </c>
      <c r="H268" s="7">
        <v>4</v>
      </c>
      <c r="I268" s="3">
        <v>1.5</v>
      </c>
      <c r="J268" s="12">
        <v>6</v>
      </c>
      <c r="K268" s="3">
        <v>7</v>
      </c>
      <c r="L268" s="3">
        <v>36</v>
      </c>
      <c r="M268" s="4">
        <v>0.19444444444444445</v>
      </c>
    </row>
    <row r="269" spans="1:13" ht="15.75" thickBot="1" x14ac:dyDescent="0.3">
      <c r="A269" s="6">
        <v>21</v>
      </c>
      <c r="B269" s="6" t="s">
        <v>26</v>
      </c>
      <c r="C269" s="7" t="s">
        <v>13</v>
      </c>
      <c r="D269" s="7" t="s">
        <v>14</v>
      </c>
      <c r="E269" s="8">
        <v>46283</v>
      </c>
      <c r="F269" s="7" t="s">
        <v>136</v>
      </c>
      <c r="G269" s="7" t="s">
        <v>24</v>
      </c>
      <c r="H269" s="7">
        <v>4</v>
      </c>
      <c r="I269" s="3">
        <v>1.5</v>
      </c>
      <c r="J269" s="12">
        <v>6</v>
      </c>
      <c r="K269" s="3">
        <v>4</v>
      </c>
      <c r="L269" s="3">
        <v>31</v>
      </c>
      <c r="M269" s="4">
        <v>0.12903225806451613</v>
      </c>
    </row>
    <row r="271" spans="1:13" ht="15.75" thickBot="1" x14ac:dyDescent="0.3"/>
    <row r="272" spans="1:13" ht="15.75" thickBot="1" x14ac:dyDescent="0.3">
      <c r="A272" s="1"/>
      <c r="B272" s="9">
        <v>46284</v>
      </c>
      <c r="C272" s="10"/>
      <c r="D272" s="10"/>
      <c r="E272" s="17"/>
      <c r="F272" s="17"/>
      <c r="G272" s="17"/>
      <c r="H272" s="17"/>
      <c r="I272" s="17"/>
      <c r="J272" s="10"/>
      <c r="K272" s="17"/>
      <c r="L272" s="17"/>
      <c r="M272" s="17"/>
    </row>
    <row r="273" spans="1:13" ht="15.75" thickBot="1" x14ac:dyDescent="0.3">
      <c r="A273" s="1" t="s">
        <v>31</v>
      </c>
      <c r="B273" s="1" t="s">
        <v>0</v>
      </c>
      <c r="C273" s="2" t="s">
        <v>1</v>
      </c>
      <c r="D273" s="2" t="s">
        <v>2</v>
      </c>
      <c r="E273" s="2" t="s">
        <v>3</v>
      </c>
      <c r="F273" s="2" t="s">
        <v>4</v>
      </c>
      <c r="G273" s="2" t="s">
        <v>5</v>
      </c>
      <c r="H273" s="2" t="s">
        <v>6</v>
      </c>
      <c r="I273" s="2" t="s">
        <v>7</v>
      </c>
      <c r="J273" s="11" t="s">
        <v>8</v>
      </c>
      <c r="K273" s="2" t="s">
        <v>9</v>
      </c>
      <c r="L273" s="2" t="s">
        <v>10</v>
      </c>
      <c r="M273" s="2" t="s">
        <v>11</v>
      </c>
    </row>
    <row r="274" spans="1:13" ht="15.75" thickBot="1" x14ac:dyDescent="0.3">
      <c r="A274" s="6">
        <v>11</v>
      </c>
      <c r="B274" s="6" t="s">
        <v>26</v>
      </c>
      <c r="C274" s="7" t="s">
        <v>13</v>
      </c>
      <c r="D274" s="7" t="s">
        <v>14</v>
      </c>
      <c r="E274" s="8">
        <v>46284</v>
      </c>
      <c r="F274" s="7" t="s">
        <v>136</v>
      </c>
      <c r="G274" s="7" t="s">
        <v>12</v>
      </c>
      <c r="H274" s="7">
        <v>3</v>
      </c>
      <c r="I274" s="3">
        <v>1.5</v>
      </c>
      <c r="J274" s="12">
        <v>4.5</v>
      </c>
      <c r="K274" s="3">
        <v>2</v>
      </c>
      <c r="L274" s="3">
        <v>12</v>
      </c>
      <c r="M274" s="4">
        <v>0.16666666666666666</v>
      </c>
    </row>
    <row r="275" spans="1:13" ht="15.75" thickBot="1" x14ac:dyDescent="0.3">
      <c r="A275" s="6">
        <v>12</v>
      </c>
      <c r="B275" s="6" t="s">
        <v>26</v>
      </c>
      <c r="C275" s="7" t="s">
        <v>13</v>
      </c>
      <c r="D275" s="7" t="s">
        <v>14</v>
      </c>
      <c r="E275" s="8">
        <v>46284</v>
      </c>
      <c r="F275" s="7" t="s">
        <v>136</v>
      </c>
      <c r="G275" s="7" t="s">
        <v>15</v>
      </c>
      <c r="H275" s="7">
        <v>3</v>
      </c>
      <c r="I275" s="3">
        <v>1.5</v>
      </c>
      <c r="J275" s="12">
        <v>4.5</v>
      </c>
      <c r="K275" s="3">
        <v>5</v>
      </c>
      <c r="L275" s="3">
        <v>29</v>
      </c>
      <c r="M275" s="4">
        <v>0.17241379310344829</v>
      </c>
    </row>
    <row r="276" spans="1:13" ht="15.75" thickBot="1" x14ac:dyDescent="0.3">
      <c r="A276" s="6">
        <v>13</v>
      </c>
      <c r="B276" s="6" t="s">
        <v>26</v>
      </c>
      <c r="C276" s="7" t="s">
        <v>13</v>
      </c>
      <c r="D276" s="7" t="s">
        <v>14</v>
      </c>
      <c r="E276" s="8">
        <v>46284</v>
      </c>
      <c r="F276" s="7" t="s">
        <v>136</v>
      </c>
      <c r="G276" s="7" t="s">
        <v>16</v>
      </c>
      <c r="H276" s="7">
        <v>7</v>
      </c>
      <c r="I276" s="3">
        <v>1.5</v>
      </c>
      <c r="J276" s="12">
        <v>10.5</v>
      </c>
      <c r="K276" s="3">
        <v>4</v>
      </c>
      <c r="L276" s="3">
        <v>34</v>
      </c>
      <c r="M276" s="4">
        <v>0.11764705882352941</v>
      </c>
    </row>
    <row r="277" spans="1:13" ht="15.75" thickBot="1" x14ac:dyDescent="0.3">
      <c r="A277" s="6">
        <v>14</v>
      </c>
      <c r="B277" s="6" t="s">
        <v>26</v>
      </c>
      <c r="C277" s="7" t="s">
        <v>13</v>
      </c>
      <c r="D277" s="7" t="s">
        <v>14</v>
      </c>
      <c r="E277" s="8">
        <v>46284</v>
      </c>
      <c r="F277" s="7" t="s">
        <v>136</v>
      </c>
      <c r="G277" s="7" t="s">
        <v>17</v>
      </c>
      <c r="H277" s="7">
        <v>7</v>
      </c>
      <c r="I277" s="3">
        <v>1.5</v>
      </c>
      <c r="J277" s="12">
        <v>10.5</v>
      </c>
      <c r="K277" s="3">
        <v>11</v>
      </c>
      <c r="L277" s="3">
        <v>43</v>
      </c>
      <c r="M277" s="4">
        <v>0.2558139534883721</v>
      </c>
    </row>
    <row r="278" spans="1:13" ht="15.75" thickBot="1" x14ac:dyDescent="0.3">
      <c r="A278" s="6">
        <v>15</v>
      </c>
      <c r="B278" s="6" t="s">
        <v>26</v>
      </c>
      <c r="C278" s="7" t="s">
        <v>13</v>
      </c>
      <c r="D278" s="7" t="s">
        <v>14</v>
      </c>
      <c r="E278" s="8">
        <v>46284</v>
      </c>
      <c r="F278" s="7" t="s">
        <v>136</v>
      </c>
      <c r="G278" s="7" t="s">
        <v>18</v>
      </c>
      <c r="H278" s="7">
        <v>7</v>
      </c>
      <c r="I278" s="3">
        <v>1.5</v>
      </c>
      <c r="J278" s="12">
        <v>10.5</v>
      </c>
      <c r="K278" s="3">
        <v>9</v>
      </c>
      <c r="L278" s="3">
        <v>65</v>
      </c>
      <c r="M278" s="4">
        <v>0.13846153846153847</v>
      </c>
    </row>
    <row r="279" spans="1:13" ht="15.75" thickBot="1" x14ac:dyDescent="0.3">
      <c r="A279" s="6">
        <v>16</v>
      </c>
      <c r="B279" s="6" t="s">
        <v>26</v>
      </c>
      <c r="C279" s="7" t="s">
        <v>13</v>
      </c>
      <c r="D279" s="7" t="s">
        <v>14</v>
      </c>
      <c r="E279" s="8">
        <v>46284</v>
      </c>
      <c r="F279" s="7" t="s">
        <v>136</v>
      </c>
      <c r="G279" s="7" t="s">
        <v>19</v>
      </c>
      <c r="H279" s="7">
        <v>7</v>
      </c>
      <c r="I279" s="3">
        <v>1.5</v>
      </c>
      <c r="J279" s="12">
        <v>10.5</v>
      </c>
      <c r="K279" s="3">
        <v>8</v>
      </c>
      <c r="L279" s="3">
        <v>51</v>
      </c>
      <c r="M279" s="4">
        <v>0.15686274509803921</v>
      </c>
    </row>
    <row r="280" spans="1:13" ht="15.75" thickBot="1" x14ac:dyDescent="0.3">
      <c r="A280" s="6">
        <v>17</v>
      </c>
      <c r="B280" s="6" t="s">
        <v>26</v>
      </c>
      <c r="C280" s="7" t="s">
        <v>13</v>
      </c>
      <c r="D280" s="7" t="s">
        <v>14</v>
      </c>
      <c r="E280" s="8">
        <v>46284</v>
      </c>
      <c r="F280" s="7" t="s">
        <v>136</v>
      </c>
      <c r="G280" s="7" t="s">
        <v>20</v>
      </c>
      <c r="H280" s="7">
        <v>7</v>
      </c>
      <c r="I280" s="3">
        <v>1.5</v>
      </c>
      <c r="J280" s="12">
        <v>10.5</v>
      </c>
      <c r="K280" s="3">
        <v>13</v>
      </c>
      <c r="L280" s="3">
        <v>69</v>
      </c>
      <c r="M280" s="4">
        <v>0.18840579710144928</v>
      </c>
    </row>
    <row r="281" spans="1:13" ht="15.75" thickBot="1" x14ac:dyDescent="0.3">
      <c r="A281" s="6">
        <v>18</v>
      </c>
      <c r="B281" s="6" t="s">
        <v>26</v>
      </c>
      <c r="C281" s="7" t="s">
        <v>13</v>
      </c>
      <c r="D281" s="7" t="s">
        <v>14</v>
      </c>
      <c r="E281" s="8">
        <v>46284</v>
      </c>
      <c r="F281" s="7" t="s">
        <v>136</v>
      </c>
      <c r="G281" s="7" t="s">
        <v>21</v>
      </c>
      <c r="H281" s="7">
        <v>7</v>
      </c>
      <c r="I281" s="3">
        <v>1.5</v>
      </c>
      <c r="J281" s="12">
        <v>10.5</v>
      </c>
      <c r="K281" s="3">
        <v>5</v>
      </c>
      <c r="L281" s="3">
        <v>44</v>
      </c>
      <c r="M281" s="4">
        <v>0.11363636363636363</v>
      </c>
    </row>
    <row r="282" spans="1:13" ht="15.75" thickBot="1" x14ac:dyDescent="0.3">
      <c r="A282" s="6">
        <v>19</v>
      </c>
      <c r="B282" s="6" t="s">
        <v>26</v>
      </c>
      <c r="C282" s="7" t="s">
        <v>13</v>
      </c>
      <c r="D282" s="7" t="s">
        <v>14</v>
      </c>
      <c r="E282" s="8">
        <v>46284</v>
      </c>
      <c r="F282" s="7" t="s">
        <v>136</v>
      </c>
      <c r="G282" s="7" t="s">
        <v>22</v>
      </c>
      <c r="H282" s="7">
        <v>4</v>
      </c>
      <c r="I282" s="3">
        <v>1.5</v>
      </c>
      <c r="J282" s="12">
        <v>6</v>
      </c>
      <c r="K282" s="3">
        <v>10</v>
      </c>
      <c r="L282" s="3">
        <v>62</v>
      </c>
      <c r="M282" s="4">
        <v>0.16129032258064516</v>
      </c>
    </row>
    <row r="283" spans="1:13" ht="15.75" thickBot="1" x14ac:dyDescent="0.3">
      <c r="A283" s="6">
        <v>20</v>
      </c>
      <c r="B283" s="6" t="s">
        <v>26</v>
      </c>
      <c r="C283" s="7" t="s">
        <v>13</v>
      </c>
      <c r="D283" s="7" t="s">
        <v>14</v>
      </c>
      <c r="E283" s="8">
        <v>46284</v>
      </c>
      <c r="F283" s="7" t="s">
        <v>136</v>
      </c>
      <c r="G283" s="7" t="s">
        <v>23</v>
      </c>
      <c r="H283" s="7">
        <v>4</v>
      </c>
      <c r="I283" s="3">
        <v>1.5</v>
      </c>
      <c r="J283" s="12">
        <v>6</v>
      </c>
      <c r="K283" s="3">
        <v>6</v>
      </c>
      <c r="L283" s="3">
        <v>42</v>
      </c>
      <c r="M283" s="4">
        <v>0.14285714285714285</v>
      </c>
    </row>
    <row r="284" spans="1:13" ht="15.75" thickBot="1" x14ac:dyDescent="0.3">
      <c r="A284" s="6">
        <v>21</v>
      </c>
      <c r="B284" s="6" t="s">
        <v>26</v>
      </c>
      <c r="C284" s="7" t="s">
        <v>13</v>
      </c>
      <c r="D284" s="7" t="s">
        <v>14</v>
      </c>
      <c r="E284" s="8">
        <v>46284</v>
      </c>
      <c r="F284" s="7" t="s">
        <v>136</v>
      </c>
      <c r="G284" s="7" t="s">
        <v>24</v>
      </c>
      <c r="H284" s="7">
        <v>4</v>
      </c>
      <c r="I284" s="3">
        <v>1.5</v>
      </c>
      <c r="J284" s="12">
        <v>6</v>
      </c>
      <c r="K284" s="3">
        <v>8</v>
      </c>
      <c r="L284" s="3">
        <v>49</v>
      </c>
      <c r="M284" s="4">
        <v>0.16326530612244897</v>
      </c>
    </row>
    <row r="285" spans="1:13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0"/>
      <c r="K285" s="17"/>
      <c r="L285" s="16"/>
      <c r="M285" s="17"/>
    </row>
    <row r="286" spans="1:13" ht="15.75" thickBot="1" x14ac:dyDescent="0.3"/>
    <row r="287" spans="1:13" ht="15.75" thickBot="1" x14ac:dyDescent="0.3">
      <c r="A287" s="1"/>
      <c r="B287" s="9">
        <v>46285</v>
      </c>
      <c r="C287" s="10"/>
      <c r="D287" s="10"/>
      <c r="E287" s="17"/>
      <c r="F287" s="17"/>
      <c r="G287" s="17"/>
      <c r="H287" s="17"/>
      <c r="I287" s="17"/>
      <c r="J287" s="10"/>
      <c r="K287" s="17"/>
      <c r="L287" s="17"/>
      <c r="M287" s="17"/>
    </row>
    <row r="288" spans="1:13" ht="15.75" thickBot="1" x14ac:dyDescent="0.3">
      <c r="A288" s="1" t="s">
        <v>31</v>
      </c>
      <c r="B288" s="1" t="s">
        <v>0</v>
      </c>
      <c r="C288" s="2" t="s">
        <v>1</v>
      </c>
      <c r="D288" s="2" t="s">
        <v>2</v>
      </c>
      <c r="E288" s="2" t="s">
        <v>3</v>
      </c>
      <c r="F288" s="2" t="s">
        <v>4</v>
      </c>
      <c r="G288" s="2" t="s">
        <v>5</v>
      </c>
      <c r="H288" s="2" t="s">
        <v>6</v>
      </c>
      <c r="I288" s="2" t="s">
        <v>7</v>
      </c>
      <c r="J288" s="11" t="s">
        <v>8</v>
      </c>
      <c r="K288" s="2" t="s">
        <v>9</v>
      </c>
      <c r="L288" s="2" t="s">
        <v>10</v>
      </c>
      <c r="M288" s="2" t="s">
        <v>11</v>
      </c>
    </row>
    <row r="289" spans="1:13" ht="15.75" thickBot="1" x14ac:dyDescent="0.3">
      <c r="A289" s="6">
        <v>11</v>
      </c>
      <c r="B289" s="6" t="s">
        <v>26</v>
      </c>
      <c r="C289" s="7" t="s">
        <v>13</v>
      </c>
      <c r="D289" s="7" t="s">
        <v>14</v>
      </c>
      <c r="E289" s="8">
        <v>46285</v>
      </c>
      <c r="F289" s="7" t="s">
        <v>136</v>
      </c>
      <c r="G289" s="7" t="s">
        <v>12</v>
      </c>
      <c r="H289" s="7">
        <v>3</v>
      </c>
      <c r="I289" s="3">
        <v>1.5</v>
      </c>
      <c r="J289" s="12">
        <v>4.5</v>
      </c>
      <c r="K289" s="3">
        <v>0</v>
      </c>
      <c r="L289" s="3">
        <v>0</v>
      </c>
      <c r="M289" s="4" t="e">
        <v>#DIV/0!</v>
      </c>
    </row>
    <row r="290" spans="1:13" ht="15.75" thickBot="1" x14ac:dyDescent="0.3">
      <c r="A290" s="6">
        <v>12</v>
      </c>
      <c r="B290" s="6" t="s">
        <v>26</v>
      </c>
      <c r="C290" s="7" t="s">
        <v>13</v>
      </c>
      <c r="D290" s="7" t="s">
        <v>14</v>
      </c>
      <c r="E290" s="8">
        <v>46285</v>
      </c>
      <c r="F290" s="7" t="s">
        <v>136</v>
      </c>
      <c r="G290" s="7" t="s">
        <v>15</v>
      </c>
      <c r="H290" s="7">
        <v>3</v>
      </c>
      <c r="I290" s="3">
        <v>1.5</v>
      </c>
      <c r="J290" s="12">
        <v>4.5</v>
      </c>
      <c r="K290" s="3">
        <v>4</v>
      </c>
      <c r="L290" s="3">
        <v>21</v>
      </c>
      <c r="M290" s="4">
        <v>0.19047619047619047</v>
      </c>
    </row>
    <row r="291" spans="1:13" ht="15.75" thickBot="1" x14ac:dyDescent="0.3">
      <c r="A291" s="6">
        <v>13</v>
      </c>
      <c r="B291" s="6" t="s">
        <v>26</v>
      </c>
      <c r="C291" s="7" t="s">
        <v>13</v>
      </c>
      <c r="D291" s="7" t="s">
        <v>14</v>
      </c>
      <c r="E291" s="8">
        <v>46285</v>
      </c>
      <c r="F291" s="7" t="s">
        <v>136</v>
      </c>
      <c r="G291" s="7" t="s">
        <v>16</v>
      </c>
      <c r="H291" s="7">
        <v>7</v>
      </c>
      <c r="I291" s="3">
        <v>1.5</v>
      </c>
      <c r="J291" s="12">
        <v>10.5</v>
      </c>
      <c r="K291" s="3">
        <v>5</v>
      </c>
      <c r="L291" s="3">
        <v>35</v>
      </c>
      <c r="M291" s="4">
        <v>0.14285714285714285</v>
      </c>
    </row>
    <row r="292" spans="1:13" ht="15.75" thickBot="1" x14ac:dyDescent="0.3">
      <c r="A292" s="6">
        <v>14</v>
      </c>
      <c r="B292" s="6" t="s">
        <v>26</v>
      </c>
      <c r="C292" s="7" t="s">
        <v>13</v>
      </c>
      <c r="D292" s="7" t="s">
        <v>14</v>
      </c>
      <c r="E292" s="8">
        <v>46285</v>
      </c>
      <c r="F292" s="7" t="s">
        <v>136</v>
      </c>
      <c r="G292" s="7" t="s">
        <v>17</v>
      </c>
      <c r="H292" s="7">
        <v>7</v>
      </c>
      <c r="I292" s="3">
        <v>1.5</v>
      </c>
      <c r="J292" s="12">
        <v>10.5</v>
      </c>
      <c r="K292" s="3">
        <v>5</v>
      </c>
      <c r="L292" s="3">
        <v>28</v>
      </c>
      <c r="M292" s="4">
        <v>0.17857142857142858</v>
      </c>
    </row>
    <row r="293" spans="1:13" ht="15.75" thickBot="1" x14ac:dyDescent="0.3">
      <c r="A293" s="6">
        <v>15</v>
      </c>
      <c r="B293" s="6" t="s">
        <v>26</v>
      </c>
      <c r="C293" s="7" t="s">
        <v>13</v>
      </c>
      <c r="D293" s="7" t="s">
        <v>14</v>
      </c>
      <c r="E293" s="8">
        <v>46285</v>
      </c>
      <c r="F293" s="7" t="s">
        <v>136</v>
      </c>
      <c r="G293" s="7" t="s">
        <v>18</v>
      </c>
      <c r="H293" s="7">
        <v>7</v>
      </c>
      <c r="I293" s="3">
        <v>1.5</v>
      </c>
      <c r="J293" s="12">
        <v>10.5</v>
      </c>
      <c r="K293" s="3">
        <v>9</v>
      </c>
      <c r="L293" s="3">
        <v>68</v>
      </c>
      <c r="M293" s="4">
        <v>0.13235294117647059</v>
      </c>
    </row>
    <row r="294" spans="1:13" ht="15.75" thickBot="1" x14ac:dyDescent="0.3">
      <c r="A294" s="6">
        <v>16</v>
      </c>
      <c r="B294" s="6" t="s">
        <v>26</v>
      </c>
      <c r="C294" s="7" t="s">
        <v>13</v>
      </c>
      <c r="D294" s="7" t="s">
        <v>14</v>
      </c>
      <c r="E294" s="8">
        <v>46285</v>
      </c>
      <c r="F294" s="7" t="s">
        <v>136</v>
      </c>
      <c r="G294" s="7" t="s">
        <v>19</v>
      </c>
      <c r="H294" s="7">
        <v>7</v>
      </c>
      <c r="I294" s="3">
        <v>1.5</v>
      </c>
      <c r="J294" s="12">
        <v>10.5</v>
      </c>
      <c r="K294" s="3">
        <v>8</v>
      </c>
      <c r="L294" s="3">
        <v>55</v>
      </c>
      <c r="M294" s="4">
        <v>0.14545454545454545</v>
      </c>
    </row>
    <row r="295" spans="1:13" ht="15.75" thickBot="1" x14ac:dyDescent="0.3">
      <c r="A295" s="6">
        <v>17</v>
      </c>
      <c r="B295" s="6" t="s">
        <v>26</v>
      </c>
      <c r="C295" s="7" t="s">
        <v>13</v>
      </c>
      <c r="D295" s="7" t="s">
        <v>14</v>
      </c>
      <c r="E295" s="8">
        <v>46285</v>
      </c>
      <c r="F295" s="7" t="s">
        <v>136</v>
      </c>
      <c r="G295" s="7" t="s">
        <v>20</v>
      </c>
      <c r="H295" s="7">
        <v>7</v>
      </c>
      <c r="I295" s="3">
        <v>1.5</v>
      </c>
      <c r="J295" s="12">
        <v>10.5</v>
      </c>
      <c r="K295" s="3">
        <v>17</v>
      </c>
      <c r="L295" s="3">
        <v>87</v>
      </c>
      <c r="M295" s="4">
        <v>0.19540229885057472</v>
      </c>
    </row>
    <row r="296" spans="1:13" ht="15.75" thickBot="1" x14ac:dyDescent="0.3">
      <c r="A296" s="6">
        <v>18</v>
      </c>
      <c r="B296" s="6" t="s">
        <v>26</v>
      </c>
      <c r="C296" s="7" t="s">
        <v>13</v>
      </c>
      <c r="D296" s="7" t="s">
        <v>14</v>
      </c>
      <c r="E296" s="8">
        <v>46285</v>
      </c>
      <c r="F296" s="7" t="s">
        <v>136</v>
      </c>
      <c r="G296" s="7" t="s">
        <v>21</v>
      </c>
      <c r="H296" s="7">
        <v>7</v>
      </c>
      <c r="I296" s="3">
        <v>1.5</v>
      </c>
      <c r="J296" s="12">
        <v>10.5</v>
      </c>
      <c r="K296" s="3">
        <v>5</v>
      </c>
      <c r="L296" s="3">
        <v>42</v>
      </c>
      <c r="M296" s="4">
        <v>0.11904761904761904</v>
      </c>
    </row>
    <row r="297" spans="1:13" ht="15.75" thickBot="1" x14ac:dyDescent="0.3">
      <c r="A297" s="6">
        <v>19</v>
      </c>
      <c r="B297" s="6" t="s">
        <v>26</v>
      </c>
      <c r="C297" s="7" t="s">
        <v>13</v>
      </c>
      <c r="D297" s="7" t="s">
        <v>14</v>
      </c>
      <c r="E297" s="8">
        <v>46285</v>
      </c>
      <c r="F297" s="7" t="s">
        <v>136</v>
      </c>
      <c r="G297" s="7" t="s">
        <v>22</v>
      </c>
      <c r="H297" s="7">
        <v>4</v>
      </c>
      <c r="I297" s="3">
        <v>1.5</v>
      </c>
      <c r="J297" s="12">
        <v>6</v>
      </c>
      <c r="K297" s="3">
        <v>8</v>
      </c>
      <c r="L297" s="3">
        <v>76</v>
      </c>
      <c r="M297" s="4">
        <v>0.10526315789473684</v>
      </c>
    </row>
    <row r="298" spans="1:13" ht="15.75" thickBot="1" x14ac:dyDescent="0.3">
      <c r="A298" s="6">
        <v>20</v>
      </c>
      <c r="B298" s="6" t="s">
        <v>26</v>
      </c>
      <c r="C298" s="7" t="s">
        <v>13</v>
      </c>
      <c r="D298" s="7" t="s">
        <v>14</v>
      </c>
      <c r="E298" s="8">
        <v>46285</v>
      </c>
      <c r="F298" s="7" t="s">
        <v>136</v>
      </c>
      <c r="G298" s="7" t="s">
        <v>23</v>
      </c>
      <c r="H298" s="7">
        <v>4</v>
      </c>
      <c r="I298" s="3">
        <v>1.5</v>
      </c>
      <c r="J298" s="12">
        <v>6</v>
      </c>
      <c r="K298" s="3">
        <v>14</v>
      </c>
      <c r="L298" s="3">
        <v>69</v>
      </c>
      <c r="M298" s="4">
        <v>0.20289855072463769</v>
      </c>
    </row>
    <row r="299" spans="1:13" ht="15.75" thickBot="1" x14ac:dyDescent="0.3">
      <c r="A299" s="6">
        <v>21</v>
      </c>
      <c r="B299" s="6" t="s">
        <v>26</v>
      </c>
      <c r="C299" s="7" t="s">
        <v>13</v>
      </c>
      <c r="D299" s="7" t="s">
        <v>14</v>
      </c>
      <c r="E299" s="8">
        <v>46285</v>
      </c>
      <c r="F299" s="7" t="s">
        <v>136</v>
      </c>
      <c r="G299" s="7" t="s">
        <v>24</v>
      </c>
      <c r="H299" s="7">
        <v>4</v>
      </c>
      <c r="I299" s="3">
        <v>1.5</v>
      </c>
      <c r="J299" s="12">
        <v>6</v>
      </c>
      <c r="K299" s="3">
        <v>9</v>
      </c>
      <c r="L299" s="3">
        <v>57</v>
      </c>
      <c r="M299" s="4">
        <v>0.15789473684210525</v>
      </c>
    </row>
    <row r="301" spans="1:13" ht="15.75" thickBot="1" x14ac:dyDescent="0.3">
      <c r="A301" s="17" t="s">
        <v>28</v>
      </c>
      <c r="B301" s="17"/>
      <c r="C301" s="17"/>
      <c r="D301" s="17"/>
      <c r="E301" s="17"/>
      <c r="F301" s="17"/>
      <c r="G301" s="17"/>
      <c r="H301" s="17"/>
      <c r="I301" s="17"/>
      <c r="J301" s="10"/>
      <c r="K301" s="17"/>
      <c r="L301" s="17"/>
      <c r="M301" s="17"/>
    </row>
    <row r="302" spans="1:13" ht="15.75" thickBot="1" x14ac:dyDescent="0.3">
      <c r="A302" s="1"/>
      <c r="B302" s="9">
        <f ca="1">TODAY()</f>
        <v>46291</v>
      </c>
      <c r="C302" s="10"/>
      <c r="D302" s="10"/>
      <c r="E302" s="17"/>
      <c r="F302" s="17"/>
      <c r="G302" s="17"/>
      <c r="H302" s="17"/>
      <c r="I302" s="17"/>
      <c r="J302" s="10"/>
      <c r="K302" s="17"/>
      <c r="L302" s="17"/>
      <c r="M302" s="17"/>
    </row>
    <row r="303" spans="1:13" ht="15.75" thickBot="1" x14ac:dyDescent="0.3">
      <c r="A303" s="1" t="s">
        <v>31</v>
      </c>
      <c r="B303" s="1" t="s">
        <v>0</v>
      </c>
      <c r="C303" s="2" t="s">
        <v>1</v>
      </c>
      <c r="D303" s="2" t="s">
        <v>2</v>
      </c>
      <c r="E303" s="2" t="s">
        <v>3</v>
      </c>
      <c r="F303" s="2" t="s">
        <v>4</v>
      </c>
      <c r="G303" s="2" t="s">
        <v>5</v>
      </c>
      <c r="H303" s="2" t="s">
        <v>6</v>
      </c>
      <c r="I303" s="2" t="s">
        <v>7</v>
      </c>
      <c r="J303" s="11" t="s">
        <v>8</v>
      </c>
      <c r="K303" s="2" t="s">
        <v>9</v>
      </c>
      <c r="L303" s="2" t="s">
        <v>10</v>
      </c>
      <c r="M303" s="2" t="s">
        <v>11</v>
      </c>
    </row>
    <row r="304" spans="1:13" ht="15.75" thickBot="1" x14ac:dyDescent="0.3">
      <c r="A304" s="6">
        <v>11</v>
      </c>
      <c r="B304" s="6" t="s">
        <v>26</v>
      </c>
      <c r="C304" s="7" t="s">
        <v>13</v>
      </c>
      <c r="D304" s="7" t="s">
        <v>14</v>
      </c>
      <c r="E304" s="8" t="str">
        <f t="shared" ref="E304:E314" si="0">$B$2</f>
        <v>Store Name</v>
      </c>
      <c r="F304" s="7" t="s">
        <v>136</v>
      </c>
      <c r="G304" s="7" t="s">
        <v>12</v>
      </c>
      <c r="H304" s="7">
        <v>3</v>
      </c>
      <c r="I304" s="3">
        <v>1.5</v>
      </c>
      <c r="J304" s="12">
        <f>I304*H304</f>
        <v>4.5</v>
      </c>
      <c r="K304" s="3">
        <f>IFERROR(VLOOKUP(A304,PIVOT!A:B,2,0),0)</f>
        <v>2</v>
      </c>
      <c r="L304" s="3">
        <v>0</v>
      </c>
      <c r="M304" s="4" t="e">
        <f t="shared" ref="M304:M314" si="1">K304/L304</f>
        <v>#DIV/0!</v>
      </c>
    </row>
    <row r="305" spans="1:13" ht="15.75" thickBot="1" x14ac:dyDescent="0.3">
      <c r="A305" s="6">
        <v>12</v>
      </c>
      <c r="B305" s="6" t="s">
        <v>26</v>
      </c>
      <c r="C305" s="7" t="s">
        <v>13</v>
      </c>
      <c r="D305" s="7" t="s">
        <v>14</v>
      </c>
      <c r="E305" s="8" t="str">
        <f t="shared" si="0"/>
        <v>Store Name</v>
      </c>
      <c r="F305" s="7" t="s">
        <v>136</v>
      </c>
      <c r="G305" s="7" t="s">
        <v>15</v>
      </c>
      <c r="H305" s="7">
        <v>3</v>
      </c>
      <c r="I305" s="3">
        <v>1.5</v>
      </c>
      <c r="J305" s="12">
        <f>I305*H305</f>
        <v>4.5</v>
      </c>
      <c r="K305" s="3">
        <f>IFERROR(VLOOKUP(A305,PIVOT!A:B,2,0),0)</f>
        <v>4</v>
      </c>
      <c r="L305" s="3">
        <v>21</v>
      </c>
      <c r="M305" s="4">
        <f t="shared" si="1"/>
        <v>0.19047619047619047</v>
      </c>
    </row>
    <row r="306" spans="1:13" ht="15.75" thickBot="1" x14ac:dyDescent="0.3">
      <c r="A306" s="6">
        <v>13</v>
      </c>
      <c r="B306" s="6" t="s">
        <v>26</v>
      </c>
      <c r="C306" s="7" t="s">
        <v>13</v>
      </c>
      <c r="D306" s="7" t="s">
        <v>14</v>
      </c>
      <c r="E306" s="8" t="str">
        <f t="shared" si="0"/>
        <v>Store Name</v>
      </c>
      <c r="F306" s="7" t="s">
        <v>136</v>
      </c>
      <c r="G306" s="7" t="s">
        <v>16</v>
      </c>
      <c r="H306" s="7">
        <v>7</v>
      </c>
      <c r="I306" s="3">
        <v>1.5</v>
      </c>
      <c r="J306" s="12">
        <f t="shared" ref="J306:J314" si="2">I306*H306</f>
        <v>10.5</v>
      </c>
      <c r="K306" s="3">
        <f>IFERROR(VLOOKUP(A306,PIVOT!A:B,2,0),0)</f>
        <v>7</v>
      </c>
      <c r="L306" s="3">
        <v>9</v>
      </c>
      <c r="M306" s="4">
        <f t="shared" si="1"/>
        <v>0.77777777777777779</v>
      </c>
    </row>
    <row r="307" spans="1:13" ht="15.75" thickBot="1" x14ac:dyDescent="0.3">
      <c r="A307" s="6">
        <v>14</v>
      </c>
      <c r="B307" s="6" t="s">
        <v>26</v>
      </c>
      <c r="C307" s="7" t="s">
        <v>13</v>
      </c>
      <c r="D307" s="7" t="s">
        <v>14</v>
      </c>
      <c r="E307" s="8" t="str">
        <f t="shared" si="0"/>
        <v>Store Name</v>
      </c>
      <c r="F307" s="7" t="s">
        <v>136</v>
      </c>
      <c r="G307" s="7" t="s">
        <v>17</v>
      </c>
      <c r="H307" s="7">
        <v>7</v>
      </c>
      <c r="I307" s="3">
        <v>1.5</v>
      </c>
      <c r="J307" s="12">
        <f t="shared" si="2"/>
        <v>10.5</v>
      </c>
      <c r="K307" s="3">
        <f>IFERROR(VLOOKUP(A307,PIVOT!A:B,2,0),0)</f>
        <v>8</v>
      </c>
      <c r="L307" s="3">
        <v>31</v>
      </c>
      <c r="M307" s="4">
        <f t="shared" si="1"/>
        <v>0.25806451612903225</v>
      </c>
    </row>
    <row r="308" spans="1:13" ht="15.75" thickBot="1" x14ac:dyDescent="0.3">
      <c r="A308" s="6">
        <v>15</v>
      </c>
      <c r="B308" s="6" t="s">
        <v>26</v>
      </c>
      <c r="C308" s="7" t="s">
        <v>13</v>
      </c>
      <c r="D308" s="7" t="s">
        <v>14</v>
      </c>
      <c r="E308" s="8" t="str">
        <f t="shared" si="0"/>
        <v>Store Name</v>
      </c>
      <c r="F308" s="7" t="s">
        <v>136</v>
      </c>
      <c r="G308" s="7" t="s">
        <v>18</v>
      </c>
      <c r="H308" s="7">
        <v>7</v>
      </c>
      <c r="I308" s="3">
        <v>1.5</v>
      </c>
      <c r="J308" s="12">
        <f t="shared" si="2"/>
        <v>10.5</v>
      </c>
      <c r="K308" s="3">
        <f>IFERROR(VLOOKUP(A308,PIVOT!A:B,2,0),0)</f>
        <v>10</v>
      </c>
      <c r="L308" s="3">
        <v>25</v>
      </c>
      <c r="M308" s="4">
        <f t="shared" si="1"/>
        <v>0.4</v>
      </c>
    </row>
    <row r="309" spans="1:13" ht="15.75" thickBot="1" x14ac:dyDescent="0.3">
      <c r="A309" s="6">
        <v>16</v>
      </c>
      <c r="B309" s="6" t="s">
        <v>26</v>
      </c>
      <c r="C309" s="7" t="s">
        <v>13</v>
      </c>
      <c r="D309" s="7" t="s">
        <v>14</v>
      </c>
      <c r="E309" s="8" t="str">
        <f t="shared" si="0"/>
        <v>Store Name</v>
      </c>
      <c r="F309" s="7" t="s">
        <v>136</v>
      </c>
      <c r="G309" s="7" t="s">
        <v>19</v>
      </c>
      <c r="H309" s="7">
        <v>7</v>
      </c>
      <c r="I309" s="3">
        <v>1.5</v>
      </c>
      <c r="J309" s="12">
        <f t="shared" si="2"/>
        <v>10.5</v>
      </c>
      <c r="K309" s="3">
        <f>IFERROR(VLOOKUP(A309,PIVOT!A:B,2,0),0)</f>
        <v>12</v>
      </c>
      <c r="L309" s="3">
        <v>18</v>
      </c>
      <c r="M309" s="4">
        <f t="shared" si="1"/>
        <v>0.66666666666666663</v>
      </c>
    </row>
    <row r="310" spans="1:13" ht="15.75" thickBot="1" x14ac:dyDescent="0.3">
      <c r="A310" s="6">
        <v>17</v>
      </c>
      <c r="B310" s="6" t="s">
        <v>26</v>
      </c>
      <c r="C310" s="7" t="s">
        <v>13</v>
      </c>
      <c r="D310" s="7" t="s">
        <v>14</v>
      </c>
      <c r="E310" s="8" t="str">
        <f t="shared" si="0"/>
        <v>Store Name</v>
      </c>
      <c r="F310" s="7" t="s">
        <v>136</v>
      </c>
      <c r="G310" s="7" t="s">
        <v>20</v>
      </c>
      <c r="H310" s="7">
        <v>7</v>
      </c>
      <c r="I310" s="3">
        <v>1.5</v>
      </c>
      <c r="J310" s="12">
        <f t="shared" si="2"/>
        <v>10.5</v>
      </c>
      <c r="K310" s="3">
        <f>IFERROR(VLOOKUP(A310,PIVOT!A:B,2,0),0)</f>
        <v>16</v>
      </c>
      <c r="L310" s="3">
        <v>32</v>
      </c>
      <c r="M310" s="4">
        <f t="shared" si="1"/>
        <v>0.5</v>
      </c>
    </row>
    <row r="311" spans="1:13" ht="15.75" thickBot="1" x14ac:dyDescent="0.3">
      <c r="A311" s="6">
        <v>18</v>
      </c>
      <c r="B311" s="6" t="s">
        <v>26</v>
      </c>
      <c r="C311" s="7" t="s">
        <v>13</v>
      </c>
      <c r="D311" s="7" t="s">
        <v>14</v>
      </c>
      <c r="E311" s="8" t="str">
        <f t="shared" si="0"/>
        <v>Store Name</v>
      </c>
      <c r="F311" s="7" t="s">
        <v>136</v>
      </c>
      <c r="G311" s="7" t="s">
        <v>21</v>
      </c>
      <c r="H311" s="7">
        <v>7</v>
      </c>
      <c r="I311" s="3">
        <v>1.5</v>
      </c>
      <c r="J311" s="12">
        <f t="shared" si="2"/>
        <v>10.5</v>
      </c>
      <c r="K311" s="3">
        <f>IFERROR(VLOOKUP(A311,PIVOT!A:B,2,0),0)</f>
        <v>11</v>
      </c>
      <c r="L311" s="3">
        <v>5</v>
      </c>
      <c r="M311" s="4">
        <f t="shared" si="1"/>
        <v>2.2000000000000002</v>
      </c>
    </row>
    <row r="312" spans="1:13" ht="15.75" thickBot="1" x14ac:dyDescent="0.3">
      <c r="A312" s="6">
        <v>19</v>
      </c>
      <c r="B312" s="6" t="s">
        <v>26</v>
      </c>
      <c r="C312" s="7" t="s">
        <v>13</v>
      </c>
      <c r="D312" s="7" t="s">
        <v>14</v>
      </c>
      <c r="E312" s="8" t="str">
        <f t="shared" si="0"/>
        <v>Store Name</v>
      </c>
      <c r="F312" s="7" t="s">
        <v>136</v>
      </c>
      <c r="G312" s="7" t="s">
        <v>22</v>
      </c>
      <c r="H312" s="7">
        <v>4</v>
      </c>
      <c r="I312" s="3">
        <v>1.5</v>
      </c>
      <c r="J312" s="12">
        <f t="shared" si="2"/>
        <v>6</v>
      </c>
      <c r="K312" s="3">
        <f>IFERROR(VLOOKUP(A312,PIVOT!A:B,2,0),0)</f>
        <v>0</v>
      </c>
      <c r="L312" s="3">
        <v>25</v>
      </c>
      <c r="M312" s="4">
        <f t="shared" si="1"/>
        <v>0</v>
      </c>
    </row>
    <row r="313" spans="1:13" ht="15.75" thickBot="1" x14ac:dyDescent="0.3">
      <c r="A313" s="6">
        <v>20</v>
      </c>
      <c r="B313" s="6" t="s">
        <v>26</v>
      </c>
      <c r="C313" s="7" t="s">
        <v>13</v>
      </c>
      <c r="D313" s="7" t="s">
        <v>14</v>
      </c>
      <c r="E313" s="8" t="str">
        <f t="shared" si="0"/>
        <v>Store Name</v>
      </c>
      <c r="F313" s="7" t="s">
        <v>136</v>
      </c>
      <c r="G313" s="7" t="s">
        <v>23</v>
      </c>
      <c r="H313" s="7">
        <v>4</v>
      </c>
      <c r="I313" s="3">
        <v>1.5</v>
      </c>
      <c r="J313" s="12">
        <f t="shared" si="2"/>
        <v>6</v>
      </c>
      <c r="K313" s="3">
        <f>IFERROR(VLOOKUP(A313,PIVOT!A:B,2,0),0)</f>
        <v>0</v>
      </c>
      <c r="L313" s="3">
        <v>38</v>
      </c>
      <c r="M313" s="4">
        <f t="shared" si="1"/>
        <v>0</v>
      </c>
    </row>
    <row r="314" spans="1:13" ht="15.75" thickBot="1" x14ac:dyDescent="0.3">
      <c r="A314" s="6">
        <v>21</v>
      </c>
      <c r="B314" s="6" t="s">
        <v>26</v>
      </c>
      <c r="C314" s="7" t="s">
        <v>13</v>
      </c>
      <c r="D314" s="7" t="s">
        <v>14</v>
      </c>
      <c r="E314" s="8" t="str">
        <f t="shared" si="0"/>
        <v>Store Name</v>
      </c>
      <c r="F314" s="7" t="s">
        <v>136</v>
      </c>
      <c r="G314" s="7" t="s">
        <v>24</v>
      </c>
      <c r="H314" s="7">
        <v>4</v>
      </c>
      <c r="I314" s="3">
        <v>1.5</v>
      </c>
      <c r="J314" s="12">
        <f t="shared" si="2"/>
        <v>6</v>
      </c>
      <c r="K314" s="3">
        <f>IFERROR(VLOOKUP(A314,PIVOT!A:B,2,0),0)</f>
        <v>0</v>
      </c>
      <c r="L314" s="3">
        <v>12</v>
      </c>
      <c r="M314" s="4">
        <f t="shared" si="1"/>
        <v>0</v>
      </c>
    </row>
    <row r="316" spans="1:13" ht="15.75" thickBot="1" x14ac:dyDescent="0.3"/>
    <row r="317" spans="1:13" ht="15.75" thickBot="1" x14ac:dyDescent="0.3">
      <c r="A317" s="1"/>
      <c r="B317" s="9">
        <v>46288</v>
      </c>
      <c r="C317" s="10"/>
      <c r="D317" s="10"/>
      <c r="E317" s="17"/>
      <c r="F317" s="17"/>
      <c r="G317" s="17"/>
      <c r="H317" s="17"/>
      <c r="I317" s="17"/>
      <c r="J317" s="10"/>
      <c r="K317" s="17"/>
      <c r="L317" s="17"/>
      <c r="M317" s="17"/>
    </row>
    <row r="318" spans="1:13" ht="15.75" thickBot="1" x14ac:dyDescent="0.3">
      <c r="A318" s="1" t="s">
        <v>31</v>
      </c>
      <c r="B318" s="1" t="s">
        <v>0</v>
      </c>
      <c r="C318" s="2" t="s">
        <v>1</v>
      </c>
      <c r="D318" s="2" t="s">
        <v>2</v>
      </c>
      <c r="E318" s="2" t="s">
        <v>3</v>
      </c>
      <c r="F318" s="2" t="s">
        <v>4</v>
      </c>
      <c r="G318" s="2" t="s">
        <v>5</v>
      </c>
      <c r="H318" s="2" t="s">
        <v>6</v>
      </c>
      <c r="I318" s="2" t="s">
        <v>7</v>
      </c>
      <c r="J318" s="11" t="s">
        <v>8</v>
      </c>
      <c r="K318" s="2" t="s">
        <v>9</v>
      </c>
      <c r="L318" s="2" t="s">
        <v>10</v>
      </c>
      <c r="M318" s="2" t="s">
        <v>11</v>
      </c>
    </row>
    <row r="319" spans="1:13" ht="15.75" thickBot="1" x14ac:dyDescent="0.3">
      <c r="A319" s="6">
        <v>11</v>
      </c>
      <c r="B319" s="6" t="s">
        <v>26</v>
      </c>
      <c r="C319" s="7" t="s">
        <v>13</v>
      </c>
      <c r="D319" s="7" t="s">
        <v>14</v>
      </c>
      <c r="E319" s="8">
        <v>46288</v>
      </c>
      <c r="F319" s="7" t="s">
        <v>136</v>
      </c>
      <c r="G319" s="7" t="s">
        <v>12</v>
      </c>
      <c r="H319" s="7">
        <v>3</v>
      </c>
      <c r="I319" s="3">
        <v>1.5</v>
      </c>
      <c r="J319" s="12">
        <v>4.5</v>
      </c>
      <c r="K319" s="3">
        <v>1</v>
      </c>
      <c r="L319" s="3">
        <v>6</v>
      </c>
      <c r="M319" s="4">
        <v>0.16666666666666666</v>
      </c>
    </row>
    <row r="320" spans="1:13" ht="15.75" thickBot="1" x14ac:dyDescent="0.3">
      <c r="A320" s="6">
        <v>12</v>
      </c>
      <c r="B320" s="6" t="s">
        <v>26</v>
      </c>
      <c r="C320" s="7" t="s">
        <v>13</v>
      </c>
      <c r="D320" s="7" t="s">
        <v>14</v>
      </c>
      <c r="E320" s="8">
        <v>46288</v>
      </c>
      <c r="F320" s="7" t="s">
        <v>136</v>
      </c>
      <c r="G320" s="7" t="s">
        <v>15</v>
      </c>
      <c r="H320" s="7">
        <v>3</v>
      </c>
      <c r="I320" s="3">
        <v>1.5</v>
      </c>
      <c r="J320" s="12">
        <v>4.5</v>
      </c>
      <c r="K320" s="3">
        <v>2</v>
      </c>
      <c r="L320" s="3">
        <v>9</v>
      </c>
      <c r="M320" s="4">
        <v>0.22222222222222221</v>
      </c>
    </row>
    <row r="321" spans="1:13" ht="15.75" thickBot="1" x14ac:dyDescent="0.3">
      <c r="A321" s="6">
        <v>13</v>
      </c>
      <c r="B321" s="6" t="s">
        <v>26</v>
      </c>
      <c r="C321" s="7" t="s">
        <v>13</v>
      </c>
      <c r="D321" s="7" t="s">
        <v>14</v>
      </c>
      <c r="E321" s="8">
        <v>46288</v>
      </c>
      <c r="F321" s="7" t="s">
        <v>136</v>
      </c>
      <c r="G321" s="7" t="s">
        <v>16</v>
      </c>
      <c r="H321" s="7">
        <v>7</v>
      </c>
      <c r="I321" s="3">
        <v>1.5</v>
      </c>
      <c r="J321" s="12">
        <v>10.5</v>
      </c>
      <c r="K321" s="3">
        <v>0</v>
      </c>
      <c r="L321" s="3">
        <v>7</v>
      </c>
      <c r="M321" s="4">
        <v>0</v>
      </c>
    </row>
    <row r="322" spans="1:13" ht="15.75" thickBot="1" x14ac:dyDescent="0.3">
      <c r="A322" s="6">
        <v>14</v>
      </c>
      <c r="B322" s="6" t="s">
        <v>26</v>
      </c>
      <c r="C322" s="7" t="s">
        <v>13</v>
      </c>
      <c r="D322" s="7" t="s">
        <v>14</v>
      </c>
      <c r="E322" s="8">
        <v>46288</v>
      </c>
      <c r="F322" s="7" t="s">
        <v>136</v>
      </c>
      <c r="G322" s="7" t="s">
        <v>17</v>
      </c>
      <c r="H322" s="7">
        <v>7</v>
      </c>
      <c r="I322" s="3">
        <v>1.5</v>
      </c>
      <c r="J322" s="12">
        <v>10.5</v>
      </c>
      <c r="K322" s="3">
        <v>5</v>
      </c>
      <c r="L322" s="3">
        <v>26</v>
      </c>
      <c r="M322" s="4">
        <v>0.19230769230769232</v>
      </c>
    </row>
    <row r="323" spans="1:13" ht="15.75" thickBot="1" x14ac:dyDescent="0.3">
      <c r="A323" s="6">
        <v>15</v>
      </c>
      <c r="B323" s="6" t="s">
        <v>26</v>
      </c>
      <c r="C323" s="7" t="s">
        <v>13</v>
      </c>
      <c r="D323" s="7" t="s">
        <v>14</v>
      </c>
      <c r="E323" s="8">
        <v>46288</v>
      </c>
      <c r="F323" s="7" t="s">
        <v>136</v>
      </c>
      <c r="G323" s="7" t="s">
        <v>18</v>
      </c>
      <c r="H323" s="7">
        <v>7</v>
      </c>
      <c r="I323" s="3">
        <v>1.5</v>
      </c>
      <c r="J323" s="12">
        <v>10.5</v>
      </c>
      <c r="K323" s="3">
        <v>2</v>
      </c>
      <c r="L323" s="3">
        <v>11</v>
      </c>
      <c r="M323" s="4">
        <v>0.18181818181818182</v>
      </c>
    </row>
    <row r="324" spans="1:13" ht="15.75" thickBot="1" x14ac:dyDescent="0.3">
      <c r="A324" s="6">
        <v>16</v>
      </c>
      <c r="B324" s="6" t="s">
        <v>26</v>
      </c>
      <c r="C324" s="7" t="s">
        <v>13</v>
      </c>
      <c r="D324" s="7" t="s">
        <v>14</v>
      </c>
      <c r="E324" s="8">
        <v>46288</v>
      </c>
      <c r="F324" s="7" t="s">
        <v>136</v>
      </c>
      <c r="G324" s="7" t="s">
        <v>19</v>
      </c>
      <c r="H324" s="7">
        <v>7</v>
      </c>
      <c r="I324" s="3">
        <v>1.5</v>
      </c>
      <c r="J324" s="12">
        <v>10.5</v>
      </c>
      <c r="K324" s="3">
        <v>4</v>
      </c>
      <c r="L324" s="3">
        <v>24</v>
      </c>
      <c r="M324" s="4">
        <v>0.16666666666666666</v>
      </c>
    </row>
    <row r="325" spans="1:13" ht="15.75" thickBot="1" x14ac:dyDescent="0.3">
      <c r="A325" s="6">
        <v>17</v>
      </c>
      <c r="B325" s="6" t="s">
        <v>26</v>
      </c>
      <c r="C325" s="7" t="s">
        <v>13</v>
      </c>
      <c r="D325" s="7" t="s">
        <v>14</v>
      </c>
      <c r="E325" s="8">
        <v>46288</v>
      </c>
      <c r="F325" s="7" t="s">
        <v>136</v>
      </c>
      <c r="G325" s="7" t="s">
        <v>20</v>
      </c>
      <c r="H325" s="7">
        <v>7</v>
      </c>
      <c r="I325" s="3">
        <v>1.5</v>
      </c>
      <c r="J325" s="12">
        <v>10.5</v>
      </c>
      <c r="K325" s="3">
        <v>7</v>
      </c>
      <c r="L325" s="3">
        <v>31</v>
      </c>
      <c r="M325" s="4">
        <v>0.22580645161290322</v>
      </c>
    </row>
    <row r="326" spans="1:13" ht="15.75" thickBot="1" x14ac:dyDescent="0.3">
      <c r="A326" s="6">
        <v>18</v>
      </c>
      <c r="B326" s="6" t="s">
        <v>26</v>
      </c>
      <c r="C326" s="7" t="s">
        <v>13</v>
      </c>
      <c r="D326" s="7" t="s">
        <v>14</v>
      </c>
      <c r="E326" s="8">
        <v>46288</v>
      </c>
      <c r="F326" s="7" t="s">
        <v>136</v>
      </c>
      <c r="G326" s="7" t="s">
        <v>21</v>
      </c>
      <c r="H326" s="7">
        <v>7</v>
      </c>
      <c r="I326" s="3">
        <v>1.5</v>
      </c>
      <c r="J326" s="12">
        <v>10.5</v>
      </c>
      <c r="K326" s="3">
        <v>4</v>
      </c>
      <c r="L326" s="3">
        <v>27</v>
      </c>
      <c r="M326" s="4">
        <v>0.14814814814814814</v>
      </c>
    </row>
    <row r="327" spans="1:13" ht="15.75" thickBot="1" x14ac:dyDescent="0.3">
      <c r="A327" s="6">
        <v>19</v>
      </c>
      <c r="B327" s="6" t="s">
        <v>26</v>
      </c>
      <c r="C327" s="7" t="s">
        <v>13</v>
      </c>
      <c r="D327" s="7" t="s">
        <v>14</v>
      </c>
      <c r="E327" s="8">
        <v>46288</v>
      </c>
      <c r="F327" s="7" t="s">
        <v>136</v>
      </c>
      <c r="G327" s="7" t="s">
        <v>22</v>
      </c>
      <c r="H327" s="7">
        <v>4</v>
      </c>
      <c r="I327" s="3">
        <v>1.5</v>
      </c>
      <c r="J327" s="12">
        <v>6</v>
      </c>
      <c r="K327" s="3">
        <v>5</v>
      </c>
      <c r="L327" s="3">
        <v>19</v>
      </c>
      <c r="M327" s="4">
        <v>0.26315789473684209</v>
      </c>
    </row>
    <row r="328" spans="1:13" ht="15.75" thickBot="1" x14ac:dyDescent="0.3">
      <c r="A328" s="6">
        <v>20</v>
      </c>
      <c r="B328" s="6" t="s">
        <v>26</v>
      </c>
      <c r="C328" s="7" t="s">
        <v>13</v>
      </c>
      <c r="D328" s="7" t="s">
        <v>14</v>
      </c>
      <c r="E328" s="8">
        <v>46288</v>
      </c>
      <c r="F328" s="7" t="s">
        <v>136</v>
      </c>
      <c r="G328" s="7" t="s">
        <v>23</v>
      </c>
      <c r="H328" s="7">
        <v>4</v>
      </c>
      <c r="I328" s="3">
        <v>1.5</v>
      </c>
      <c r="J328" s="12">
        <v>6</v>
      </c>
      <c r="K328" s="3">
        <v>8</v>
      </c>
      <c r="L328" s="3">
        <v>38</v>
      </c>
      <c r="M328" s="4">
        <v>0.21052631578947367</v>
      </c>
    </row>
    <row r="329" spans="1:13" ht="15.75" thickBot="1" x14ac:dyDescent="0.3">
      <c r="A329" s="6">
        <v>21</v>
      </c>
      <c r="B329" s="6" t="s">
        <v>26</v>
      </c>
      <c r="C329" s="7" t="s">
        <v>13</v>
      </c>
      <c r="D329" s="7" t="s">
        <v>14</v>
      </c>
      <c r="E329" s="8">
        <v>46288</v>
      </c>
      <c r="F329" s="7" t="s">
        <v>136</v>
      </c>
      <c r="G329" s="7" t="s">
        <v>24</v>
      </c>
      <c r="H329" s="7">
        <v>4</v>
      </c>
      <c r="I329" s="3">
        <v>1.5</v>
      </c>
      <c r="J329" s="12">
        <v>6</v>
      </c>
      <c r="K329" s="3">
        <v>1</v>
      </c>
      <c r="L329" s="3">
        <v>16</v>
      </c>
      <c r="M329" s="4">
        <v>6.25E-2</v>
      </c>
    </row>
    <row r="332" spans="1:13" ht="15.75" thickBot="1" x14ac:dyDescent="0.3"/>
    <row r="333" spans="1:13" ht="15.75" thickBot="1" x14ac:dyDescent="0.3">
      <c r="A333" s="1"/>
      <c r="B333" s="9">
        <v>46289</v>
      </c>
      <c r="C333" s="10"/>
      <c r="D333" s="10"/>
      <c r="E333" s="17"/>
      <c r="F333" s="17"/>
      <c r="G333" s="17"/>
      <c r="H333" s="17"/>
      <c r="I333" s="17"/>
      <c r="J333" s="10"/>
      <c r="K333" s="17"/>
      <c r="L333" s="17"/>
      <c r="M333" s="17"/>
    </row>
    <row r="334" spans="1:13" ht="15.75" thickBot="1" x14ac:dyDescent="0.3">
      <c r="A334" s="1" t="s">
        <v>31</v>
      </c>
      <c r="B334" s="1" t="s">
        <v>0</v>
      </c>
      <c r="C334" s="2" t="s">
        <v>1</v>
      </c>
      <c r="D334" s="2" t="s">
        <v>2</v>
      </c>
      <c r="E334" s="2" t="s">
        <v>3</v>
      </c>
      <c r="F334" s="2" t="s">
        <v>4</v>
      </c>
      <c r="G334" s="2" t="s">
        <v>5</v>
      </c>
      <c r="H334" s="2" t="s">
        <v>6</v>
      </c>
      <c r="I334" s="2" t="s">
        <v>7</v>
      </c>
      <c r="J334" s="11" t="s">
        <v>8</v>
      </c>
      <c r="K334" s="2" t="s">
        <v>9</v>
      </c>
      <c r="L334" s="2" t="s">
        <v>10</v>
      </c>
      <c r="M334" s="2" t="s">
        <v>11</v>
      </c>
    </row>
    <row r="335" spans="1:13" ht="15.75" thickBot="1" x14ac:dyDescent="0.3">
      <c r="A335" s="6">
        <v>11</v>
      </c>
      <c r="B335" s="6" t="s">
        <v>26</v>
      </c>
      <c r="C335" s="7" t="s">
        <v>13</v>
      </c>
      <c r="D335" s="7" t="s">
        <v>14</v>
      </c>
      <c r="E335" s="8">
        <v>46289</v>
      </c>
      <c r="F335" s="7" t="s">
        <v>136</v>
      </c>
      <c r="G335" s="7" t="s">
        <v>12</v>
      </c>
      <c r="H335" s="7">
        <v>3</v>
      </c>
      <c r="I335" s="3">
        <v>1.5</v>
      </c>
      <c r="J335" s="12">
        <v>4.5</v>
      </c>
      <c r="K335" s="3">
        <v>2</v>
      </c>
      <c r="L335" s="3">
        <v>9</v>
      </c>
      <c r="M335" s="4">
        <v>0.22222222222222221</v>
      </c>
    </row>
    <row r="336" spans="1:13" ht="15.75" thickBot="1" x14ac:dyDescent="0.3">
      <c r="A336" s="6">
        <v>12</v>
      </c>
      <c r="B336" s="6" t="s">
        <v>26</v>
      </c>
      <c r="C336" s="7" t="s">
        <v>13</v>
      </c>
      <c r="D336" s="7" t="s">
        <v>14</v>
      </c>
      <c r="E336" s="8">
        <v>46289</v>
      </c>
      <c r="F336" s="7" t="s">
        <v>136</v>
      </c>
      <c r="G336" s="7" t="s">
        <v>15</v>
      </c>
      <c r="H336" s="7">
        <v>3</v>
      </c>
      <c r="I336" s="3">
        <v>1.5</v>
      </c>
      <c r="J336" s="12">
        <v>4.5</v>
      </c>
      <c r="K336" s="3">
        <v>6</v>
      </c>
      <c r="L336" s="3">
        <v>18</v>
      </c>
      <c r="M336" s="4">
        <v>0.33333333333333331</v>
      </c>
    </row>
    <row r="337" spans="1:13" ht="15.75" thickBot="1" x14ac:dyDescent="0.3">
      <c r="A337" s="6">
        <v>13</v>
      </c>
      <c r="B337" s="6" t="s">
        <v>26</v>
      </c>
      <c r="C337" s="7" t="s">
        <v>13</v>
      </c>
      <c r="D337" s="7" t="s">
        <v>14</v>
      </c>
      <c r="E337" s="8">
        <v>46289</v>
      </c>
      <c r="F337" s="7" t="s">
        <v>136</v>
      </c>
      <c r="G337" s="7" t="s">
        <v>16</v>
      </c>
      <c r="H337" s="7">
        <v>7</v>
      </c>
      <c r="I337" s="3">
        <v>1.5</v>
      </c>
      <c r="J337" s="12">
        <v>10.5</v>
      </c>
      <c r="K337" s="3">
        <v>4</v>
      </c>
      <c r="L337" s="3">
        <v>24</v>
      </c>
      <c r="M337" s="4">
        <v>0.16666666666666666</v>
      </c>
    </row>
    <row r="338" spans="1:13" ht="15.75" thickBot="1" x14ac:dyDescent="0.3">
      <c r="A338" s="6">
        <v>14</v>
      </c>
      <c r="B338" s="6" t="s">
        <v>26</v>
      </c>
      <c r="C338" s="7" t="s">
        <v>13</v>
      </c>
      <c r="D338" s="7" t="s">
        <v>14</v>
      </c>
      <c r="E338" s="8">
        <v>46289</v>
      </c>
      <c r="F338" s="7" t="s">
        <v>136</v>
      </c>
      <c r="G338" s="7" t="s">
        <v>17</v>
      </c>
      <c r="H338" s="7">
        <v>7</v>
      </c>
      <c r="I338" s="3">
        <v>1.5</v>
      </c>
      <c r="J338" s="12">
        <v>10.5</v>
      </c>
      <c r="K338" s="3">
        <v>4</v>
      </c>
      <c r="L338" s="3">
        <v>19</v>
      </c>
      <c r="M338" s="4">
        <v>0.21052631578947367</v>
      </c>
    </row>
    <row r="339" spans="1:13" ht="15.75" thickBot="1" x14ac:dyDescent="0.3">
      <c r="A339" s="6">
        <v>15</v>
      </c>
      <c r="B339" s="6" t="s">
        <v>26</v>
      </c>
      <c r="C339" s="7" t="s">
        <v>13</v>
      </c>
      <c r="D339" s="7" t="s">
        <v>14</v>
      </c>
      <c r="E339" s="8">
        <v>46289</v>
      </c>
      <c r="F339" s="7" t="s">
        <v>136</v>
      </c>
      <c r="G339" s="7" t="s">
        <v>18</v>
      </c>
      <c r="H339" s="7">
        <v>7</v>
      </c>
      <c r="I339" s="3">
        <v>1.5</v>
      </c>
      <c r="J339" s="12">
        <v>10.5</v>
      </c>
      <c r="K339" s="3">
        <v>4</v>
      </c>
      <c r="L339" s="3">
        <v>29</v>
      </c>
      <c r="M339" s="4">
        <v>0.13793103448275862</v>
      </c>
    </row>
    <row r="340" spans="1:13" ht="15.75" thickBot="1" x14ac:dyDescent="0.3">
      <c r="A340" s="6">
        <v>16</v>
      </c>
      <c r="B340" s="6" t="s">
        <v>26</v>
      </c>
      <c r="C340" s="7" t="s">
        <v>13</v>
      </c>
      <c r="D340" s="7" t="s">
        <v>14</v>
      </c>
      <c r="E340" s="8">
        <v>46289</v>
      </c>
      <c r="F340" s="7" t="s">
        <v>136</v>
      </c>
      <c r="G340" s="7" t="s">
        <v>19</v>
      </c>
      <c r="H340" s="7">
        <v>7</v>
      </c>
      <c r="I340" s="3">
        <v>1.5</v>
      </c>
      <c r="J340" s="12">
        <v>10.5</v>
      </c>
      <c r="K340" s="3">
        <v>8</v>
      </c>
      <c r="L340" s="3">
        <v>31</v>
      </c>
      <c r="M340" s="4">
        <v>0.25806451612903225</v>
      </c>
    </row>
    <row r="341" spans="1:13" ht="15.75" thickBot="1" x14ac:dyDescent="0.3">
      <c r="A341" s="6">
        <v>17</v>
      </c>
      <c r="B341" s="6" t="s">
        <v>26</v>
      </c>
      <c r="C341" s="7" t="s">
        <v>13</v>
      </c>
      <c r="D341" s="7" t="s">
        <v>14</v>
      </c>
      <c r="E341" s="8">
        <v>46289</v>
      </c>
      <c r="F341" s="7" t="s">
        <v>136</v>
      </c>
      <c r="G341" s="7" t="s">
        <v>20</v>
      </c>
      <c r="H341" s="7">
        <v>7</v>
      </c>
      <c r="I341" s="3">
        <v>1.5</v>
      </c>
      <c r="J341" s="12">
        <v>10.5</v>
      </c>
      <c r="K341" s="3">
        <v>9</v>
      </c>
      <c r="L341" s="3">
        <v>39</v>
      </c>
      <c r="M341" s="4">
        <v>0.23076923076923078</v>
      </c>
    </row>
    <row r="342" spans="1:13" ht="15.75" thickBot="1" x14ac:dyDescent="0.3">
      <c r="A342" s="6">
        <v>18</v>
      </c>
      <c r="B342" s="6" t="s">
        <v>26</v>
      </c>
      <c r="C342" s="7" t="s">
        <v>13</v>
      </c>
      <c r="D342" s="7" t="s">
        <v>14</v>
      </c>
      <c r="E342" s="8">
        <v>46289</v>
      </c>
      <c r="F342" s="7" t="s">
        <v>136</v>
      </c>
      <c r="G342" s="7" t="s">
        <v>21</v>
      </c>
      <c r="H342" s="7">
        <v>7</v>
      </c>
      <c r="I342" s="3">
        <v>1.5</v>
      </c>
      <c r="J342" s="12">
        <v>10.5</v>
      </c>
      <c r="K342" s="3">
        <v>8</v>
      </c>
      <c r="L342" s="3">
        <v>44</v>
      </c>
      <c r="M342" s="4">
        <v>0.18181818181818182</v>
      </c>
    </row>
    <row r="343" spans="1:13" ht="15.75" thickBot="1" x14ac:dyDescent="0.3">
      <c r="A343" s="6">
        <v>19</v>
      </c>
      <c r="B343" s="6" t="s">
        <v>26</v>
      </c>
      <c r="C343" s="7" t="s">
        <v>13</v>
      </c>
      <c r="D343" s="7" t="s">
        <v>14</v>
      </c>
      <c r="E343" s="8">
        <v>46289</v>
      </c>
      <c r="F343" s="7" t="s">
        <v>136</v>
      </c>
      <c r="G343" s="7" t="s">
        <v>22</v>
      </c>
      <c r="H343" s="7">
        <v>4</v>
      </c>
      <c r="I343" s="3">
        <v>1.5</v>
      </c>
      <c r="J343" s="12">
        <v>6</v>
      </c>
      <c r="K343" s="3">
        <v>5</v>
      </c>
      <c r="L343" s="3">
        <v>27</v>
      </c>
      <c r="M343" s="4">
        <v>0.18518518518518517</v>
      </c>
    </row>
    <row r="344" spans="1:13" ht="15.75" thickBot="1" x14ac:dyDescent="0.3">
      <c r="A344" s="6">
        <v>20</v>
      </c>
      <c r="B344" s="6" t="s">
        <v>26</v>
      </c>
      <c r="C344" s="7" t="s">
        <v>13</v>
      </c>
      <c r="D344" s="7" t="s">
        <v>14</v>
      </c>
      <c r="E344" s="8">
        <v>46289</v>
      </c>
      <c r="F344" s="7" t="s">
        <v>136</v>
      </c>
      <c r="G344" s="7" t="s">
        <v>23</v>
      </c>
      <c r="H344" s="7">
        <v>4</v>
      </c>
      <c r="I344" s="3">
        <v>1.5</v>
      </c>
      <c r="J344" s="12">
        <v>6</v>
      </c>
      <c r="K344" s="3">
        <v>8</v>
      </c>
      <c r="L344" s="3">
        <v>30</v>
      </c>
      <c r="M344" s="4">
        <v>0.26666666666666666</v>
      </c>
    </row>
    <row r="345" spans="1:13" ht="15.75" thickBot="1" x14ac:dyDescent="0.3">
      <c r="A345" s="6">
        <v>21</v>
      </c>
      <c r="B345" s="6" t="s">
        <v>26</v>
      </c>
      <c r="C345" s="7" t="s">
        <v>13</v>
      </c>
      <c r="D345" s="7" t="s">
        <v>14</v>
      </c>
      <c r="E345" s="8">
        <v>46289</v>
      </c>
      <c r="F345" s="7" t="s">
        <v>136</v>
      </c>
      <c r="G345" s="7" t="s">
        <v>24</v>
      </c>
      <c r="H345" s="7">
        <v>4</v>
      </c>
      <c r="I345" s="3">
        <v>1.5</v>
      </c>
      <c r="J345" s="12">
        <v>6</v>
      </c>
      <c r="K345" s="3">
        <v>2</v>
      </c>
      <c r="L345" s="3">
        <v>17</v>
      </c>
      <c r="M345" s="4">
        <v>0.11764705882352941</v>
      </c>
    </row>
    <row r="347" spans="1:13" ht="15.75" thickBot="1" x14ac:dyDescent="0.3">
      <c r="A347" s="17" t="s">
        <v>28</v>
      </c>
      <c r="B347" s="17"/>
      <c r="C347" s="17"/>
      <c r="D347" s="17"/>
      <c r="E347" s="17"/>
      <c r="F347" s="17"/>
      <c r="G347" s="17"/>
      <c r="H347" s="17"/>
      <c r="I347" s="17"/>
      <c r="J347" s="10"/>
      <c r="K347" s="17"/>
      <c r="L347" s="17"/>
      <c r="M347" s="17"/>
    </row>
    <row r="348" spans="1:13" ht="15.75" thickBot="1" x14ac:dyDescent="0.3">
      <c r="A348" s="1"/>
      <c r="B348" s="9">
        <v>46290</v>
      </c>
      <c r="C348" s="10"/>
      <c r="D348" s="10"/>
      <c r="E348" s="17"/>
      <c r="F348" s="17"/>
      <c r="G348" s="17"/>
      <c r="H348" s="17"/>
      <c r="I348" s="17"/>
      <c r="J348" s="10"/>
      <c r="K348" s="17"/>
      <c r="L348" s="17"/>
      <c r="M348" s="17"/>
    </row>
    <row r="349" spans="1:13" ht="15.75" thickBot="1" x14ac:dyDescent="0.3">
      <c r="A349" s="1" t="s">
        <v>31</v>
      </c>
      <c r="B349" s="1" t="s">
        <v>0</v>
      </c>
      <c r="C349" s="2" t="s">
        <v>1</v>
      </c>
      <c r="D349" s="2" t="s">
        <v>2</v>
      </c>
      <c r="E349" s="2" t="s">
        <v>3</v>
      </c>
      <c r="F349" s="2" t="s">
        <v>4</v>
      </c>
      <c r="G349" s="2" t="s">
        <v>5</v>
      </c>
      <c r="H349" s="2" t="s">
        <v>6</v>
      </c>
      <c r="I349" s="2" t="s">
        <v>7</v>
      </c>
      <c r="J349" s="11" t="s">
        <v>8</v>
      </c>
      <c r="K349" s="2" t="s">
        <v>9</v>
      </c>
      <c r="L349" s="2" t="s">
        <v>10</v>
      </c>
      <c r="M349" s="2" t="s">
        <v>11</v>
      </c>
    </row>
    <row r="350" spans="1:13" ht="15.75" thickBot="1" x14ac:dyDescent="0.3">
      <c r="A350" s="6">
        <v>11</v>
      </c>
      <c r="B350" s="6" t="s">
        <v>26</v>
      </c>
      <c r="C350" s="7" t="s">
        <v>13</v>
      </c>
      <c r="D350" s="7" t="s">
        <v>14</v>
      </c>
      <c r="E350" s="8">
        <v>46290</v>
      </c>
      <c r="F350" s="7" t="s">
        <v>136</v>
      </c>
      <c r="G350" s="7" t="s">
        <v>12</v>
      </c>
      <c r="H350" s="7">
        <v>3</v>
      </c>
      <c r="I350" s="3">
        <v>1.5</v>
      </c>
      <c r="J350" s="12">
        <v>4.5</v>
      </c>
      <c r="K350" s="3">
        <v>3</v>
      </c>
      <c r="L350" s="3">
        <v>12</v>
      </c>
      <c r="M350" s="4">
        <v>0.25</v>
      </c>
    </row>
    <row r="351" spans="1:13" ht="15.75" thickBot="1" x14ac:dyDescent="0.3">
      <c r="A351" s="6">
        <v>12</v>
      </c>
      <c r="B351" s="6" t="s">
        <v>26</v>
      </c>
      <c r="C351" s="7" t="s">
        <v>13</v>
      </c>
      <c r="D351" s="7" t="s">
        <v>14</v>
      </c>
      <c r="E351" s="8">
        <v>46290</v>
      </c>
      <c r="F351" s="7" t="s">
        <v>136</v>
      </c>
      <c r="G351" s="7" t="s">
        <v>15</v>
      </c>
      <c r="H351" s="7">
        <v>3</v>
      </c>
      <c r="I351" s="3">
        <v>1.5</v>
      </c>
      <c r="J351" s="12">
        <v>4.5</v>
      </c>
      <c r="K351" s="3">
        <v>3</v>
      </c>
      <c r="L351" s="3">
        <v>9</v>
      </c>
      <c r="M351" s="4">
        <v>0.33333333333333331</v>
      </c>
    </row>
    <row r="352" spans="1:13" ht="15.75" thickBot="1" x14ac:dyDescent="0.3">
      <c r="A352" s="6">
        <v>13</v>
      </c>
      <c r="B352" s="6" t="s">
        <v>26</v>
      </c>
      <c r="C352" s="7" t="s">
        <v>13</v>
      </c>
      <c r="D352" s="7" t="s">
        <v>14</v>
      </c>
      <c r="E352" s="8">
        <v>46290</v>
      </c>
      <c r="F352" s="7" t="s">
        <v>136</v>
      </c>
      <c r="G352" s="7" t="s">
        <v>16</v>
      </c>
      <c r="H352" s="7">
        <v>7</v>
      </c>
      <c r="I352" s="3">
        <v>1.5</v>
      </c>
      <c r="J352" s="12">
        <v>10.5</v>
      </c>
      <c r="K352" s="3">
        <v>2</v>
      </c>
      <c r="L352" s="3">
        <v>18</v>
      </c>
      <c r="M352" s="4">
        <v>0.1111111111111111</v>
      </c>
    </row>
    <row r="353" spans="1:13" ht="15.75" thickBot="1" x14ac:dyDescent="0.3">
      <c r="A353" s="6">
        <v>14</v>
      </c>
      <c r="B353" s="6" t="s">
        <v>26</v>
      </c>
      <c r="C353" s="7" t="s">
        <v>13</v>
      </c>
      <c r="D353" s="7" t="s">
        <v>14</v>
      </c>
      <c r="E353" s="8">
        <v>46290</v>
      </c>
      <c r="F353" s="7" t="s">
        <v>136</v>
      </c>
      <c r="G353" s="7" t="s">
        <v>17</v>
      </c>
      <c r="H353" s="7">
        <v>7</v>
      </c>
      <c r="I353" s="3">
        <v>1.5</v>
      </c>
      <c r="J353" s="12">
        <v>10.5</v>
      </c>
      <c r="K353" s="3">
        <v>2</v>
      </c>
      <c r="L353" s="3">
        <v>22</v>
      </c>
      <c r="M353" s="4">
        <v>9.0909090909090912E-2</v>
      </c>
    </row>
    <row r="354" spans="1:13" ht="15.75" thickBot="1" x14ac:dyDescent="0.3">
      <c r="A354" s="6">
        <v>15</v>
      </c>
      <c r="B354" s="6" t="s">
        <v>26</v>
      </c>
      <c r="C354" s="7" t="s">
        <v>13</v>
      </c>
      <c r="D354" s="7" t="s">
        <v>14</v>
      </c>
      <c r="E354" s="8">
        <v>46290</v>
      </c>
      <c r="F354" s="7" t="s">
        <v>136</v>
      </c>
      <c r="G354" s="7" t="s">
        <v>18</v>
      </c>
      <c r="H354" s="7">
        <v>7</v>
      </c>
      <c r="I354" s="3">
        <v>1.5</v>
      </c>
      <c r="J354" s="12">
        <v>10.5</v>
      </c>
      <c r="K354" s="3">
        <v>3</v>
      </c>
      <c r="L354" s="3">
        <v>28</v>
      </c>
      <c r="M354" s="4">
        <v>0.10714285714285714</v>
      </c>
    </row>
    <row r="355" spans="1:13" ht="15.75" thickBot="1" x14ac:dyDescent="0.3">
      <c r="A355" s="6">
        <v>16</v>
      </c>
      <c r="B355" s="6" t="s">
        <v>26</v>
      </c>
      <c r="C355" s="7" t="s">
        <v>13</v>
      </c>
      <c r="D355" s="7" t="s">
        <v>14</v>
      </c>
      <c r="E355" s="8">
        <v>46290</v>
      </c>
      <c r="F355" s="7" t="s">
        <v>136</v>
      </c>
      <c r="G355" s="7" t="s">
        <v>19</v>
      </c>
      <c r="H355" s="7">
        <v>7</v>
      </c>
      <c r="I355" s="3">
        <v>1.5</v>
      </c>
      <c r="J355" s="12">
        <v>10.5</v>
      </c>
      <c r="K355" s="3">
        <v>6</v>
      </c>
      <c r="L355" s="3">
        <v>31</v>
      </c>
      <c r="M355" s="4">
        <v>0.19354838709677419</v>
      </c>
    </row>
    <row r="356" spans="1:13" ht="15.75" thickBot="1" x14ac:dyDescent="0.3">
      <c r="A356" s="6">
        <v>17</v>
      </c>
      <c r="B356" s="6" t="s">
        <v>26</v>
      </c>
      <c r="C356" s="7" t="s">
        <v>13</v>
      </c>
      <c r="D356" s="7" t="s">
        <v>14</v>
      </c>
      <c r="E356" s="8">
        <v>46290</v>
      </c>
      <c r="F356" s="7" t="s">
        <v>136</v>
      </c>
      <c r="G356" s="7" t="s">
        <v>20</v>
      </c>
      <c r="H356" s="7">
        <v>7</v>
      </c>
      <c r="I356" s="3">
        <v>1.5</v>
      </c>
      <c r="J356" s="12">
        <v>10.5</v>
      </c>
      <c r="K356" s="3">
        <v>6</v>
      </c>
      <c r="L356" s="3">
        <v>36</v>
      </c>
      <c r="M356" s="4">
        <v>0.16666666666666666</v>
      </c>
    </row>
    <row r="357" spans="1:13" ht="15.75" thickBot="1" x14ac:dyDescent="0.3">
      <c r="A357" s="6">
        <v>18</v>
      </c>
      <c r="B357" s="6" t="s">
        <v>26</v>
      </c>
      <c r="C357" s="7" t="s">
        <v>13</v>
      </c>
      <c r="D357" s="7" t="s">
        <v>14</v>
      </c>
      <c r="E357" s="8">
        <v>46290</v>
      </c>
      <c r="F357" s="7" t="s">
        <v>136</v>
      </c>
      <c r="G357" s="7" t="s">
        <v>21</v>
      </c>
      <c r="H357" s="7">
        <v>7</v>
      </c>
      <c r="I357" s="3">
        <v>1.5</v>
      </c>
      <c r="J357" s="12">
        <v>10.5</v>
      </c>
      <c r="K357" s="3">
        <v>2</v>
      </c>
      <c r="L357" s="3">
        <v>18</v>
      </c>
      <c r="M357" s="4">
        <v>0.1111111111111111</v>
      </c>
    </row>
    <row r="358" spans="1:13" ht="15.75" thickBot="1" x14ac:dyDescent="0.3">
      <c r="A358" s="6">
        <v>19</v>
      </c>
      <c r="B358" s="6" t="s">
        <v>26</v>
      </c>
      <c r="C358" s="7" t="s">
        <v>13</v>
      </c>
      <c r="D358" s="7" t="s">
        <v>14</v>
      </c>
      <c r="E358" s="8">
        <v>46290</v>
      </c>
      <c r="F358" s="7" t="s">
        <v>136</v>
      </c>
      <c r="G358" s="7" t="s">
        <v>22</v>
      </c>
      <c r="H358" s="7">
        <v>4</v>
      </c>
      <c r="I358" s="3">
        <v>1.5</v>
      </c>
      <c r="J358" s="12">
        <v>6</v>
      </c>
      <c r="K358" s="3">
        <v>3</v>
      </c>
      <c r="L358" s="3">
        <v>21</v>
      </c>
      <c r="M358" s="4">
        <v>0.14285714285714285</v>
      </c>
    </row>
    <row r="359" spans="1:13" ht="15.75" thickBot="1" x14ac:dyDescent="0.3">
      <c r="A359" s="6">
        <v>20</v>
      </c>
      <c r="B359" s="6" t="s">
        <v>26</v>
      </c>
      <c r="C359" s="7" t="s">
        <v>13</v>
      </c>
      <c r="D359" s="7" t="s">
        <v>14</v>
      </c>
      <c r="E359" s="8">
        <v>46290</v>
      </c>
      <c r="F359" s="7" t="s">
        <v>136</v>
      </c>
      <c r="G359" s="7" t="s">
        <v>23</v>
      </c>
      <c r="H359" s="7">
        <v>4</v>
      </c>
      <c r="I359" s="3">
        <v>1.5</v>
      </c>
      <c r="J359" s="12">
        <v>6</v>
      </c>
      <c r="K359" s="3">
        <v>13</v>
      </c>
      <c r="L359" s="3">
        <v>55</v>
      </c>
      <c r="M359" s="4">
        <v>0.23636363636363636</v>
      </c>
    </row>
    <row r="360" spans="1:13" ht="15.75" thickBot="1" x14ac:dyDescent="0.3">
      <c r="A360" s="6">
        <v>21</v>
      </c>
      <c r="B360" s="6" t="s">
        <v>26</v>
      </c>
      <c r="C360" s="7" t="s">
        <v>13</v>
      </c>
      <c r="D360" s="7" t="s">
        <v>14</v>
      </c>
      <c r="E360" s="8">
        <v>46290</v>
      </c>
      <c r="F360" s="7" t="s">
        <v>136</v>
      </c>
      <c r="G360" s="7" t="s">
        <v>24</v>
      </c>
      <c r="H360" s="7">
        <v>4</v>
      </c>
      <c r="I360" s="3">
        <v>1.5</v>
      </c>
      <c r="J360" s="12">
        <v>6</v>
      </c>
      <c r="K360" s="3">
        <v>5</v>
      </c>
      <c r="L360" s="3">
        <v>15</v>
      </c>
      <c r="M360" s="4">
        <v>0.33333333333333331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415"/>
  <sheetViews>
    <sheetView tabSelected="1" zoomScale="120" zoomScaleNormal="120" workbookViewId="0">
      <selection activeCell="O14" sqref="O14"/>
    </sheetView>
  </sheetViews>
  <sheetFormatPr defaultRowHeight="15" x14ac:dyDescent="0.25"/>
  <cols>
    <col min="1" max="1" width="7.7109375" bestFit="1" customWidth="1"/>
    <col min="2" max="2" width="16.7109375" customWidth="1"/>
    <col min="3" max="3" width="11" customWidth="1"/>
    <col min="4" max="4" width="9.28515625" customWidth="1"/>
    <col min="5" max="5" width="9.85546875" customWidth="1"/>
    <col min="6" max="6" width="5.42578125" bestFit="1" customWidth="1"/>
    <col min="7" max="7" width="10.5703125" bestFit="1" customWidth="1"/>
    <col min="8" max="8" width="14.42578125" bestFit="1" customWidth="1"/>
    <col min="9" max="9" width="11.42578125" bestFit="1" customWidth="1"/>
    <col min="10" max="10" width="9.85546875" style="10" bestFit="1" customWidth="1"/>
    <col min="11" max="11" width="10.140625" bestFit="1" customWidth="1"/>
    <col min="12" max="12" width="7.42578125" customWidth="1"/>
    <col min="13" max="13" width="9.85546875" customWidth="1"/>
    <col min="17" max="17" width="12.28515625" bestFit="1" customWidth="1"/>
  </cols>
  <sheetData>
    <row r="1" spans="1:19" ht="20.25" customHeight="1" thickBot="1" x14ac:dyDescent="0.3">
      <c r="A1" t="s">
        <v>28</v>
      </c>
    </row>
    <row r="2" spans="1:19" ht="15.75" thickBot="1" x14ac:dyDescent="0.3">
      <c r="A2" s="1"/>
      <c r="B2" s="9">
        <f ca="1">TODAY()</f>
        <v>46291</v>
      </c>
      <c r="C2" s="10"/>
      <c r="D2" s="10"/>
    </row>
    <row r="3" spans="1:19" ht="15.75" thickBot="1" x14ac:dyDescent="0.3">
      <c r="A3" s="1" t="s">
        <v>31</v>
      </c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11" t="s">
        <v>8</v>
      </c>
      <c r="K3" s="2" t="s">
        <v>9</v>
      </c>
      <c r="L3" s="2" t="s">
        <v>10</v>
      </c>
      <c r="M3" s="2" t="s">
        <v>11</v>
      </c>
    </row>
    <row r="4" spans="1:19" ht="15.75" thickBot="1" x14ac:dyDescent="0.3">
      <c r="A4" s="6">
        <v>11</v>
      </c>
      <c r="B4" s="6" t="s">
        <v>26</v>
      </c>
      <c r="C4" s="7" t="s">
        <v>13</v>
      </c>
      <c r="D4" s="7" t="s">
        <v>14</v>
      </c>
      <c r="E4" s="8">
        <f t="shared" ref="E4:E14" ca="1" si="0">$B$2</f>
        <v>46291</v>
      </c>
      <c r="F4" s="7" t="s">
        <v>136</v>
      </c>
      <c r="G4" s="7" t="s">
        <v>12</v>
      </c>
      <c r="H4" s="7">
        <v>3</v>
      </c>
      <c r="I4" s="3">
        <v>1.5</v>
      </c>
      <c r="J4" s="12">
        <f>I4*H4</f>
        <v>4.5</v>
      </c>
      <c r="K4" s="3">
        <f>IFERROR(VLOOKUP(A4,PIVOT!A:B,2,0),0)</f>
        <v>2</v>
      </c>
      <c r="L4" s="3">
        <v>16</v>
      </c>
      <c r="M4" s="4">
        <f t="shared" ref="M4:M14" si="1">K4/L4</f>
        <v>0.125</v>
      </c>
    </row>
    <row r="5" spans="1:19" ht="15.75" thickBot="1" x14ac:dyDescent="0.3">
      <c r="A5" s="6">
        <v>12</v>
      </c>
      <c r="B5" s="6" t="s">
        <v>26</v>
      </c>
      <c r="C5" s="7" t="s">
        <v>13</v>
      </c>
      <c r="D5" s="7" t="s">
        <v>14</v>
      </c>
      <c r="E5" s="8">
        <f t="shared" ca="1" si="0"/>
        <v>46291</v>
      </c>
      <c r="F5" s="7" t="s">
        <v>136</v>
      </c>
      <c r="G5" s="7" t="s">
        <v>15</v>
      </c>
      <c r="H5" s="7">
        <v>3</v>
      </c>
      <c r="I5" s="3">
        <v>1.5</v>
      </c>
      <c r="J5" s="12">
        <f>I5*H5</f>
        <v>4.5</v>
      </c>
      <c r="K5" s="3">
        <f>IFERROR(VLOOKUP(A5,PIVOT!A:B,2,0),0)</f>
        <v>4</v>
      </c>
      <c r="L5" s="3">
        <v>27</v>
      </c>
      <c r="M5" s="4">
        <f t="shared" si="1"/>
        <v>0.14814814814814814</v>
      </c>
    </row>
    <row r="6" spans="1:19" ht="15.75" thickBot="1" x14ac:dyDescent="0.3">
      <c r="A6" s="6">
        <v>13</v>
      </c>
      <c r="B6" s="6" t="s">
        <v>26</v>
      </c>
      <c r="C6" s="7" t="s">
        <v>13</v>
      </c>
      <c r="D6" s="7" t="s">
        <v>14</v>
      </c>
      <c r="E6" s="8">
        <f t="shared" ca="1" si="0"/>
        <v>46291</v>
      </c>
      <c r="F6" s="7" t="s">
        <v>136</v>
      </c>
      <c r="G6" s="7" t="s">
        <v>16</v>
      </c>
      <c r="H6" s="7">
        <v>7</v>
      </c>
      <c r="I6" s="3">
        <v>1.5</v>
      </c>
      <c r="J6" s="12">
        <f t="shared" ref="J6:J14" si="2">I6*H6</f>
        <v>10.5</v>
      </c>
      <c r="K6" s="3">
        <f>IFERROR(VLOOKUP(A6,PIVOT!A:B,2,0),0)</f>
        <v>7</v>
      </c>
      <c r="L6" s="3">
        <v>41</v>
      </c>
      <c r="M6" s="4">
        <f t="shared" si="1"/>
        <v>0.17073170731707318</v>
      </c>
    </row>
    <row r="7" spans="1:19" ht="15.75" thickBot="1" x14ac:dyDescent="0.3">
      <c r="A7" s="6">
        <v>14</v>
      </c>
      <c r="B7" s="6" t="s">
        <v>26</v>
      </c>
      <c r="C7" s="7" t="s">
        <v>13</v>
      </c>
      <c r="D7" s="7" t="s">
        <v>14</v>
      </c>
      <c r="E7" s="8">
        <f t="shared" ca="1" si="0"/>
        <v>46291</v>
      </c>
      <c r="F7" s="7" t="s">
        <v>136</v>
      </c>
      <c r="G7" s="7" t="s">
        <v>17</v>
      </c>
      <c r="H7" s="7">
        <v>7</v>
      </c>
      <c r="I7" s="3">
        <v>1.5</v>
      </c>
      <c r="J7" s="12">
        <f t="shared" si="2"/>
        <v>10.5</v>
      </c>
      <c r="K7" s="3">
        <f>IFERROR(VLOOKUP(A7,PIVOT!A:B,2,0),0)</f>
        <v>8</v>
      </c>
      <c r="L7" s="3">
        <v>55</v>
      </c>
      <c r="M7" s="4">
        <f t="shared" si="1"/>
        <v>0.14545454545454545</v>
      </c>
    </row>
    <row r="8" spans="1:19" ht="15.75" thickBot="1" x14ac:dyDescent="0.3">
      <c r="A8" s="6">
        <v>15</v>
      </c>
      <c r="B8" s="6" t="s">
        <v>26</v>
      </c>
      <c r="C8" s="7" t="s">
        <v>13</v>
      </c>
      <c r="D8" s="7" t="s">
        <v>14</v>
      </c>
      <c r="E8" s="8">
        <f t="shared" ca="1" si="0"/>
        <v>46291</v>
      </c>
      <c r="F8" s="7" t="s">
        <v>136</v>
      </c>
      <c r="G8" s="7" t="s">
        <v>18</v>
      </c>
      <c r="H8" s="7">
        <v>7</v>
      </c>
      <c r="I8" s="3">
        <v>1.5</v>
      </c>
      <c r="J8" s="12">
        <f t="shared" si="2"/>
        <v>10.5</v>
      </c>
      <c r="K8" s="3">
        <f>IFERROR(VLOOKUP(A8,PIVOT!A:B,2,0),0)</f>
        <v>10</v>
      </c>
      <c r="L8" s="3">
        <v>71</v>
      </c>
      <c r="M8" s="4">
        <f t="shared" si="1"/>
        <v>0.14084507042253522</v>
      </c>
    </row>
    <row r="9" spans="1:19" ht="15.75" thickBot="1" x14ac:dyDescent="0.3">
      <c r="A9" s="6">
        <v>16</v>
      </c>
      <c r="B9" s="6" t="s">
        <v>26</v>
      </c>
      <c r="C9" s="7" t="s">
        <v>13</v>
      </c>
      <c r="D9" s="7" t="s">
        <v>14</v>
      </c>
      <c r="E9" s="8">
        <f t="shared" ca="1" si="0"/>
        <v>46291</v>
      </c>
      <c r="F9" s="7" t="s">
        <v>136</v>
      </c>
      <c r="G9" s="7" t="s">
        <v>19</v>
      </c>
      <c r="H9" s="7">
        <v>7</v>
      </c>
      <c r="I9" s="3">
        <v>1.5</v>
      </c>
      <c r="J9" s="12">
        <f t="shared" si="2"/>
        <v>10.5</v>
      </c>
      <c r="K9" s="3">
        <f>IFERROR(VLOOKUP(A9,PIVOT!A:B,2,0),0)</f>
        <v>12</v>
      </c>
      <c r="L9" s="3">
        <v>62</v>
      </c>
      <c r="M9" s="4">
        <f t="shared" si="1"/>
        <v>0.19354838709677419</v>
      </c>
    </row>
    <row r="10" spans="1:19" ht="15.75" thickBot="1" x14ac:dyDescent="0.3">
      <c r="A10" s="6">
        <v>17</v>
      </c>
      <c r="B10" s="6" t="s">
        <v>26</v>
      </c>
      <c r="C10" s="7" t="s">
        <v>13</v>
      </c>
      <c r="D10" s="7" t="s">
        <v>14</v>
      </c>
      <c r="E10" s="8">
        <f t="shared" ca="1" si="0"/>
        <v>46291</v>
      </c>
      <c r="F10" s="7" t="s">
        <v>136</v>
      </c>
      <c r="G10" s="7" t="s">
        <v>20</v>
      </c>
      <c r="H10" s="7">
        <v>7</v>
      </c>
      <c r="I10" s="3">
        <v>1.5</v>
      </c>
      <c r="J10" s="12">
        <f t="shared" si="2"/>
        <v>10.5</v>
      </c>
      <c r="K10" s="3">
        <f>IFERROR(VLOOKUP(A10,PIVOT!A:B,2,0),0)</f>
        <v>16</v>
      </c>
      <c r="L10" s="3">
        <v>76</v>
      </c>
      <c r="M10" s="4">
        <f t="shared" si="1"/>
        <v>0.21052631578947367</v>
      </c>
      <c r="O10" s="13"/>
      <c r="Q10" t="s">
        <v>59</v>
      </c>
    </row>
    <row r="11" spans="1:19" ht="15.75" thickBot="1" x14ac:dyDescent="0.3">
      <c r="A11" s="6">
        <v>18</v>
      </c>
      <c r="B11" s="6" t="s">
        <v>26</v>
      </c>
      <c r="C11" s="7" t="s">
        <v>13</v>
      </c>
      <c r="D11" s="7" t="s">
        <v>14</v>
      </c>
      <c r="E11" s="8">
        <f t="shared" ca="1" si="0"/>
        <v>46291</v>
      </c>
      <c r="F11" s="7" t="s">
        <v>136</v>
      </c>
      <c r="G11" s="7" t="s">
        <v>21</v>
      </c>
      <c r="H11" s="7">
        <v>7</v>
      </c>
      <c r="I11" s="3">
        <v>1.5</v>
      </c>
      <c r="J11" s="12">
        <f t="shared" si="2"/>
        <v>10.5</v>
      </c>
      <c r="K11" s="3">
        <f>IFERROR(VLOOKUP(A11,PIVOT!A:B,2,0),0)</f>
        <v>11</v>
      </c>
      <c r="L11" s="3">
        <v>52</v>
      </c>
      <c r="M11" s="4">
        <f t="shared" si="1"/>
        <v>0.21153846153846154</v>
      </c>
    </row>
    <row r="12" spans="1:19" ht="15.75" thickBot="1" x14ac:dyDescent="0.3">
      <c r="A12" s="6">
        <v>19</v>
      </c>
      <c r="B12" s="6" t="s">
        <v>26</v>
      </c>
      <c r="C12" s="7" t="s">
        <v>13</v>
      </c>
      <c r="D12" s="7" t="s">
        <v>14</v>
      </c>
      <c r="E12" s="8">
        <f t="shared" ca="1" si="0"/>
        <v>46291</v>
      </c>
      <c r="F12" s="7" t="s">
        <v>136</v>
      </c>
      <c r="G12" s="7" t="s">
        <v>22</v>
      </c>
      <c r="H12" s="7">
        <v>4</v>
      </c>
      <c r="I12" s="3">
        <v>1.5</v>
      </c>
      <c r="J12" s="12">
        <f t="shared" si="2"/>
        <v>6</v>
      </c>
      <c r="K12" s="3">
        <f>IFERROR(VLOOKUP(A12,PIVOT!A:B,2,0),0)</f>
        <v>0</v>
      </c>
      <c r="L12" s="3"/>
      <c r="M12" s="4" t="e">
        <f t="shared" si="1"/>
        <v>#DIV/0!</v>
      </c>
      <c r="R12" s="15"/>
    </row>
    <row r="13" spans="1:19" ht="15.75" thickBot="1" x14ac:dyDescent="0.3">
      <c r="A13" s="6">
        <v>20</v>
      </c>
      <c r="B13" s="6" t="s">
        <v>26</v>
      </c>
      <c r="C13" s="7" t="s">
        <v>13</v>
      </c>
      <c r="D13" s="7" t="s">
        <v>14</v>
      </c>
      <c r="E13" s="8">
        <f t="shared" ca="1" si="0"/>
        <v>46291</v>
      </c>
      <c r="F13" s="7" t="s">
        <v>136</v>
      </c>
      <c r="G13" s="7" t="s">
        <v>23</v>
      </c>
      <c r="H13" s="7">
        <v>4</v>
      </c>
      <c r="I13" s="3">
        <v>1.5</v>
      </c>
      <c r="J13" s="12">
        <f t="shared" si="2"/>
        <v>6</v>
      </c>
      <c r="K13" s="3">
        <f>IFERROR(VLOOKUP(A13,PIVOT!A:B,2,0),0)</f>
        <v>0</v>
      </c>
      <c r="L13" s="3"/>
      <c r="M13" s="4" t="e">
        <f t="shared" si="1"/>
        <v>#DIV/0!</v>
      </c>
      <c r="S13" s="14"/>
    </row>
    <row r="14" spans="1:19" ht="15.75" thickBot="1" x14ac:dyDescent="0.3">
      <c r="A14" s="6">
        <v>21</v>
      </c>
      <c r="B14" s="6" t="s">
        <v>26</v>
      </c>
      <c r="C14" s="7" t="s">
        <v>13</v>
      </c>
      <c r="D14" s="7" t="s">
        <v>14</v>
      </c>
      <c r="E14" s="8">
        <f t="shared" ca="1" si="0"/>
        <v>46291</v>
      </c>
      <c r="F14" s="7" t="s">
        <v>136</v>
      </c>
      <c r="G14" s="7" t="s">
        <v>24</v>
      </c>
      <c r="H14" s="7">
        <v>4</v>
      </c>
      <c r="I14" s="3">
        <v>1.5</v>
      </c>
      <c r="J14" s="12">
        <f t="shared" si="2"/>
        <v>6</v>
      </c>
      <c r="K14" s="3">
        <f>IFERROR(VLOOKUP(A14,PIVOT!A:B,2,0),0)</f>
        <v>0</v>
      </c>
      <c r="L14" s="3"/>
      <c r="M14" s="4" t="e">
        <f t="shared" si="1"/>
        <v>#DIV/0!</v>
      </c>
    </row>
    <row r="15" spans="1:19" x14ac:dyDescent="0.25">
      <c r="L15" s="16"/>
    </row>
    <row r="19" spans="11:19" x14ac:dyDescent="0.25">
      <c r="P19" s="15"/>
      <c r="S19" s="15"/>
    </row>
    <row r="22" spans="11:19" x14ac:dyDescent="0.25">
      <c r="K22" t="s">
        <v>28</v>
      </c>
      <c r="S22" s="15"/>
    </row>
    <row r="415" spans="8:8" x14ac:dyDescent="0.25">
      <c r="H415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3"/>
  <sheetViews>
    <sheetView workbookViewId="0">
      <selection activeCell="B7" sqref="B7"/>
    </sheetView>
  </sheetViews>
  <sheetFormatPr defaultRowHeight="15" x14ac:dyDescent="0.25"/>
  <cols>
    <col min="1" max="1" width="13.140625" bestFit="1" customWidth="1"/>
    <col min="2" max="2" width="11.28515625" bestFit="1" customWidth="1"/>
  </cols>
  <sheetData>
    <row r="3" spans="1:2" x14ac:dyDescent="0.25">
      <c r="A3" s="22" t="s">
        <v>29</v>
      </c>
      <c r="B3" t="s">
        <v>34</v>
      </c>
    </row>
    <row r="4" spans="1:2" x14ac:dyDescent="0.25">
      <c r="A4" s="23">
        <v>0</v>
      </c>
      <c r="B4" s="24">
        <v>1</v>
      </c>
    </row>
    <row r="5" spans="1:2" x14ac:dyDescent="0.25">
      <c r="A5" s="23">
        <v>11</v>
      </c>
      <c r="B5" s="24">
        <v>2</v>
      </c>
    </row>
    <row r="6" spans="1:2" x14ac:dyDescent="0.25">
      <c r="A6" s="23">
        <v>12</v>
      </c>
      <c r="B6" s="24">
        <v>4</v>
      </c>
    </row>
    <row r="7" spans="1:2" x14ac:dyDescent="0.25">
      <c r="A7" s="23">
        <v>13</v>
      </c>
      <c r="B7" s="24">
        <v>7</v>
      </c>
    </row>
    <row r="8" spans="1:2" x14ac:dyDescent="0.25">
      <c r="A8" s="23">
        <v>16</v>
      </c>
      <c r="B8" s="24">
        <v>12</v>
      </c>
    </row>
    <row r="9" spans="1:2" x14ac:dyDescent="0.25">
      <c r="A9" s="23">
        <v>17</v>
      </c>
      <c r="B9" s="24">
        <v>16</v>
      </c>
    </row>
    <row r="10" spans="1:2" x14ac:dyDescent="0.25">
      <c r="A10" s="23">
        <v>18</v>
      </c>
      <c r="B10" s="24">
        <v>11</v>
      </c>
    </row>
    <row r="11" spans="1:2" x14ac:dyDescent="0.25">
      <c r="A11" s="23">
        <v>14</v>
      </c>
      <c r="B11" s="24">
        <v>8</v>
      </c>
    </row>
    <row r="12" spans="1:2" x14ac:dyDescent="0.25">
      <c r="A12" s="23">
        <v>15</v>
      </c>
      <c r="B12" s="24">
        <v>10</v>
      </c>
    </row>
    <row r="13" spans="1:2" x14ac:dyDescent="0.25">
      <c r="A13" s="23" t="s">
        <v>30</v>
      </c>
      <c r="B13" s="24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5777"/>
  <sheetViews>
    <sheetView zoomScaleNormal="100" workbookViewId="0">
      <selection sqref="A1:U460"/>
    </sheetView>
  </sheetViews>
  <sheetFormatPr defaultRowHeight="15" x14ac:dyDescent="0.25"/>
  <cols>
    <col min="1" max="1" width="5.7109375" bestFit="1" customWidth="1"/>
    <col min="2" max="2" width="8.42578125" bestFit="1" customWidth="1"/>
    <col min="3" max="3" width="16" bestFit="1" customWidth="1"/>
    <col min="4" max="4" width="19.85546875" bestFit="1" customWidth="1"/>
    <col min="5" max="5" width="15.140625" bestFit="1" customWidth="1"/>
    <col min="6" max="6" width="15.85546875" bestFit="1" customWidth="1"/>
    <col min="7" max="7" width="12" bestFit="1" customWidth="1"/>
    <col min="8" max="8" width="4.140625" bestFit="1" customWidth="1"/>
    <col min="9" max="9" width="11.28515625" bestFit="1" customWidth="1"/>
    <col min="10" max="10" width="11" bestFit="1" customWidth="1"/>
    <col min="11" max="11" width="9" bestFit="1" customWidth="1"/>
    <col min="12" max="12" width="14.140625" bestFit="1" customWidth="1"/>
    <col min="13" max="14" width="7" bestFit="1" customWidth="1"/>
    <col min="15" max="15" width="4.85546875" bestFit="1" customWidth="1"/>
    <col min="16" max="16" width="20.28515625" bestFit="1" customWidth="1"/>
    <col min="17" max="17" width="9" bestFit="1" customWidth="1"/>
    <col min="18" max="18" width="10.28515625" bestFit="1" customWidth="1"/>
    <col min="19" max="19" width="14" bestFit="1" customWidth="1"/>
    <col min="20" max="20" width="10.28515625" bestFit="1" customWidth="1"/>
    <col min="21" max="21" width="13.140625" bestFit="1" customWidth="1"/>
  </cols>
  <sheetData>
    <row r="1" spans="1:24" s="5" customFormat="1" x14ac:dyDescent="0.25">
      <c r="A1" s="20" t="s">
        <v>60</v>
      </c>
      <c r="B1" s="20" t="s">
        <v>35</v>
      </c>
      <c r="C1" s="20" t="s">
        <v>36</v>
      </c>
      <c r="D1" s="20" t="s">
        <v>37</v>
      </c>
      <c r="E1" s="20" t="s">
        <v>38</v>
      </c>
      <c r="F1" s="20" t="s">
        <v>39</v>
      </c>
      <c r="G1" s="20" t="s">
        <v>40</v>
      </c>
      <c r="H1" s="20" t="s">
        <v>41</v>
      </c>
      <c r="I1" s="20" t="s">
        <v>42</v>
      </c>
      <c r="J1" s="20" t="s">
        <v>43</v>
      </c>
      <c r="K1" s="20" t="s">
        <v>44</v>
      </c>
      <c r="L1" s="20" t="s">
        <v>45</v>
      </c>
      <c r="M1" s="20" t="s">
        <v>46</v>
      </c>
      <c r="N1" s="20" t="s">
        <v>47</v>
      </c>
      <c r="O1" s="20" t="s">
        <v>48</v>
      </c>
      <c r="P1" s="20" t="s">
        <v>49</v>
      </c>
      <c r="Q1" s="20" t="s">
        <v>50</v>
      </c>
      <c r="R1" s="20" t="s">
        <v>51</v>
      </c>
      <c r="S1" s="20" t="s">
        <v>52</v>
      </c>
      <c r="T1" s="20" t="s">
        <v>53</v>
      </c>
      <c r="U1" s="20" t="s">
        <v>54</v>
      </c>
      <c r="V1" s="18">
        <v>0</v>
      </c>
      <c r="W1" s="17" t="s">
        <v>33</v>
      </c>
      <c r="X1" s="5" t="s">
        <v>25</v>
      </c>
    </row>
    <row r="2" spans="1:24" s="5" customFormat="1" x14ac:dyDescent="0.25">
      <c r="A2" s="19">
        <v>1</v>
      </c>
      <c r="B2" s="19" t="s">
        <v>55</v>
      </c>
      <c r="C2" s="19" t="s">
        <v>56</v>
      </c>
      <c r="D2" s="19" t="s">
        <v>155</v>
      </c>
      <c r="E2" s="21">
        <v>46291.466990740744</v>
      </c>
      <c r="F2" s="19">
        <v>3</v>
      </c>
      <c r="G2" s="19">
        <v>8904391805119</v>
      </c>
      <c r="H2" s="19">
        <v>1</v>
      </c>
      <c r="I2" s="19">
        <v>699</v>
      </c>
      <c r="J2" s="19">
        <v>0</v>
      </c>
      <c r="K2" s="19">
        <v>0</v>
      </c>
      <c r="L2" s="19">
        <v>0</v>
      </c>
      <c r="M2" s="19">
        <v>699</v>
      </c>
      <c r="N2" s="19">
        <v>33.28</v>
      </c>
      <c r="O2" s="19">
        <v>5</v>
      </c>
      <c r="P2" s="19" t="s">
        <v>154</v>
      </c>
      <c r="Q2" s="19">
        <v>50170981</v>
      </c>
      <c r="R2" s="19" t="s">
        <v>57</v>
      </c>
      <c r="S2" s="19">
        <v>50188930</v>
      </c>
      <c r="T2" s="19"/>
      <c r="U2" s="19" t="s">
        <v>58</v>
      </c>
      <c r="V2" s="18">
        <v>0</v>
      </c>
      <c r="W2" s="17">
        <f t="shared" ref="W2:W33" si="0">HOUR(E2)</f>
        <v>11</v>
      </c>
      <c r="X2" s="5">
        <f t="shared" ref="X2:X15" si="1">IF(D2=D1,0,1)</f>
        <v>1</v>
      </c>
    </row>
    <row r="3" spans="1:24" s="5" customFormat="1" x14ac:dyDescent="0.25">
      <c r="A3" s="19">
        <v>1</v>
      </c>
      <c r="B3" s="19" t="s">
        <v>55</v>
      </c>
      <c r="C3" s="19" t="s">
        <v>56</v>
      </c>
      <c r="D3" s="19" t="s">
        <v>156</v>
      </c>
      <c r="E3" s="21">
        <v>46291.481006944443</v>
      </c>
      <c r="F3" s="19">
        <v>3</v>
      </c>
      <c r="G3" s="19">
        <v>8904391805201</v>
      </c>
      <c r="H3" s="19">
        <v>1</v>
      </c>
      <c r="I3" s="19">
        <v>999</v>
      </c>
      <c r="J3" s="19">
        <v>0</v>
      </c>
      <c r="K3" s="19">
        <v>0</v>
      </c>
      <c r="L3" s="19">
        <v>0</v>
      </c>
      <c r="M3" s="19">
        <v>999</v>
      </c>
      <c r="N3" s="19">
        <v>47.58</v>
      </c>
      <c r="O3" s="19">
        <v>5</v>
      </c>
      <c r="P3" s="19" t="s">
        <v>157</v>
      </c>
      <c r="Q3" s="19">
        <v>50157523</v>
      </c>
      <c r="R3" s="19" t="s">
        <v>57</v>
      </c>
      <c r="S3" s="19">
        <v>50188930</v>
      </c>
      <c r="T3" s="19"/>
      <c r="U3" s="19" t="s">
        <v>58</v>
      </c>
      <c r="V3" s="18">
        <v>0</v>
      </c>
      <c r="W3" s="17">
        <f t="shared" si="0"/>
        <v>11</v>
      </c>
      <c r="X3" s="5">
        <f t="shared" si="1"/>
        <v>1</v>
      </c>
    </row>
    <row r="4" spans="1:24" s="5" customFormat="1" ht="26.25" x14ac:dyDescent="0.25">
      <c r="A4" s="19">
        <v>5</v>
      </c>
      <c r="B4" s="19" t="s">
        <v>55</v>
      </c>
      <c r="C4" s="19" t="s">
        <v>56</v>
      </c>
      <c r="D4" s="19" t="s">
        <v>158</v>
      </c>
      <c r="E4" s="21">
        <v>46291.511597222219</v>
      </c>
      <c r="F4" s="19">
        <v>3</v>
      </c>
      <c r="G4" s="19">
        <v>194735220809</v>
      </c>
      <c r="H4" s="19">
        <v>1</v>
      </c>
      <c r="I4" s="19">
        <v>279</v>
      </c>
      <c r="J4" s="19">
        <v>-69.849999999999994</v>
      </c>
      <c r="K4" s="19">
        <v>0</v>
      </c>
      <c r="L4" s="19">
        <v>-69.849999999999994</v>
      </c>
      <c r="M4" s="19">
        <v>209.15</v>
      </c>
      <c r="N4" s="19">
        <v>9.9600000000000009</v>
      </c>
      <c r="O4" s="19">
        <v>5</v>
      </c>
      <c r="P4" s="19" t="s">
        <v>159</v>
      </c>
      <c r="Q4" s="19">
        <v>50170981</v>
      </c>
      <c r="R4" s="19" t="s">
        <v>57</v>
      </c>
      <c r="S4" s="19">
        <v>50188930</v>
      </c>
      <c r="T4" s="19"/>
      <c r="U4" s="19" t="s">
        <v>58</v>
      </c>
      <c r="V4" s="18">
        <v>0</v>
      </c>
      <c r="W4" s="17">
        <f t="shared" si="0"/>
        <v>12</v>
      </c>
      <c r="X4" s="5">
        <f t="shared" si="1"/>
        <v>1</v>
      </c>
    </row>
    <row r="5" spans="1:24" s="5" customFormat="1" x14ac:dyDescent="0.25">
      <c r="A5" s="19">
        <v>5</v>
      </c>
      <c r="B5" s="19" t="s">
        <v>55</v>
      </c>
      <c r="C5" s="19" t="s">
        <v>56</v>
      </c>
      <c r="D5" s="19" t="s">
        <v>158</v>
      </c>
      <c r="E5" s="21">
        <v>46291.511597222219</v>
      </c>
      <c r="F5" s="19">
        <v>3</v>
      </c>
      <c r="G5" s="19">
        <v>8909409261154</v>
      </c>
      <c r="H5" s="19">
        <v>1</v>
      </c>
      <c r="I5" s="19">
        <v>799</v>
      </c>
      <c r="J5" s="19">
        <v>-200.05</v>
      </c>
      <c r="K5" s="19">
        <v>0</v>
      </c>
      <c r="L5" s="19">
        <v>-200.05</v>
      </c>
      <c r="M5" s="19">
        <v>598.95000000000005</v>
      </c>
      <c r="N5" s="19">
        <v>28.52</v>
      </c>
      <c r="O5" s="19">
        <v>5</v>
      </c>
      <c r="P5" s="19" t="s">
        <v>160</v>
      </c>
      <c r="Q5" s="19">
        <v>50170981</v>
      </c>
      <c r="R5" s="19" t="s">
        <v>57</v>
      </c>
      <c r="S5" s="19">
        <v>50188930</v>
      </c>
      <c r="T5" s="19"/>
      <c r="U5" s="19" t="s">
        <v>58</v>
      </c>
      <c r="V5" s="18">
        <v>0</v>
      </c>
      <c r="W5" s="17">
        <f t="shared" si="0"/>
        <v>12</v>
      </c>
      <c r="X5" s="5">
        <f t="shared" si="1"/>
        <v>0</v>
      </c>
    </row>
    <row r="6" spans="1:24" s="5" customFormat="1" ht="26.25" x14ac:dyDescent="0.25">
      <c r="A6" s="19">
        <v>5</v>
      </c>
      <c r="B6" s="19" t="s">
        <v>55</v>
      </c>
      <c r="C6" s="19" t="s">
        <v>56</v>
      </c>
      <c r="D6" s="19" t="s">
        <v>158</v>
      </c>
      <c r="E6" s="21">
        <v>46291.511597222219</v>
      </c>
      <c r="F6" s="19">
        <v>3</v>
      </c>
      <c r="G6" s="19">
        <v>630509888900</v>
      </c>
      <c r="H6" s="19">
        <v>1</v>
      </c>
      <c r="I6" s="19">
        <v>899</v>
      </c>
      <c r="J6" s="19">
        <v>-225.09</v>
      </c>
      <c r="K6" s="19">
        <v>0</v>
      </c>
      <c r="L6" s="19">
        <v>-225.09</v>
      </c>
      <c r="M6" s="19">
        <v>673.91</v>
      </c>
      <c r="N6" s="19">
        <v>32.1</v>
      </c>
      <c r="O6" s="19">
        <v>5</v>
      </c>
      <c r="P6" s="19" t="s">
        <v>161</v>
      </c>
      <c r="Q6" s="19">
        <v>50170981</v>
      </c>
      <c r="R6" s="19" t="s">
        <v>57</v>
      </c>
      <c r="S6" s="19">
        <v>50188930</v>
      </c>
      <c r="T6" s="19"/>
      <c r="U6" s="19" t="s">
        <v>58</v>
      </c>
      <c r="V6" s="18">
        <v>0</v>
      </c>
      <c r="W6" s="17">
        <f t="shared" si="0"/>
        <v>12</v>
      </c>
      <c r="X6" s="5">
        <f t="shared" si="1"/>
        <v>0</v>
      </c>
    </row>
    <row r="7" spans="1:24" s="5" customFormat="1" x14ac:dyDescent="0.25">
      <c r="A7" s="19">
        <v>6</v>
      </c>
      <c r="B7" s="19" t="s">
        <v>55</v>
      </c>
      <c r="C7" s="19" t="s">
        <v>56</v>
      </c>
      <c r="D7" s="19" t="s">
        <v>162</v>
      </c>
      <c r="E7" s="21">
        <v>46291.514710648145</v>
      </c>
      <c r="F7" s="19">
        <v>3</v>
      </c>
      <c r="G7" s="19">
        <v>5010996295545</v>
      </c>
      <c r="H7" s="19">
        <v>1</v>
      </c>
      <c r="I7" s="19">
        <v>999</v>
      </c>
      <c r="J7" s="19">
        <v>0</v>
      </c>
      <c r="K7" s="19">
        <v>0</v>
      </c>
      <c r="L7" s="19">
        <v>0</v>
      </c>
      <c r="M7" s="19">
        <v>999</v>
      </c>
      <c r="N7" s="19">
        <v>47.58</v>
      </c>
      <c r="O7" s="19">
        <v>5</v>
      </c>
      <c r="P7" s="19" t="s">
        <v>146</v>
      </c>
      <c r="Q7" s="19">
        <v>50170981</v>
      </c>
      <c r="R7" s="19" t="s">
        <v>57</v>
      </c>
      <c r="S7" s="19">
        <v>50188930</v>
      </c>
      <c r="T7" s="19"/>
      <c r="U7" s="19" t="s">
        <v>58</v>
      </c>
      <c r="V7" s="18">
        <v>0</v>
      </c>
      <c r="W7" s="17">
        <f t="shared" si="0"/>
        <v>12</v>
      </c>
      <c r="X7" s="5">
        <f t="shared" si="1"/>
        <v>1</v>
      </c>
    </row>
    <row r="8" spans="1:24" s="5" customFormat="1" x14ac:dyDescent="0.25">
      <c r="A8" s="19">
        <v>7</v>
      </c>
      <c r="B8" s="19" t="s">
        <v>55</v>
      </c>
      <c r="C8" s="19" t="s">
        <v>56</v>
      </c>
      <c r="D8" s="19" t="s">
        <v>163</v>
      </c>
      <c r="E8" s="21">
        <v>46291.526666666665</v>
      </c>
      <c r="F8" s="19">
        <v>3</v>
      </c>
      <c r="G8" s="19">
        <v>887961751062</v>
      </c>
      <c r="H8" s="19">
        <v>1</v>
      </c>
      <c r="I8" s="19">
        <v>185</v>
      </c>
      <c r="J8" s="19">
        <v>0</v>
      </c>
      <c r="K8" s="19">
        <v>0</v>
      </c>
      <c r="L8" s="19">
        <v>0</v>
      </c>
      <c r="M8" s="19">
        <v>185</v>
      </c>
      <c r="N8" s="19">
        <v>8.8000000000000007</v>
      </c>
      <c r="O8" s="19">
        <v>5</v>
      </c>
      <c r="P8" s="19" t="s">
        <v>164</v>
      </c>
      <c r="Q8" s="19">
        <v>50170981</v>
      </c>
      <c r="R8" s="19" t="s">
        <v>57</v>
      </c>
      <c r="S8" s="19">
        <v>50188930</v>
      </c>
      <c r="T8" s="19"/>
      <c r="U8" s="19" t="s">
        <v>58</v>
      </c>
      <c r="V8" s="18">
        <v>0</v>
      </c>
      <c r="W8" s="17">
        <f t="shared" si="0"/>
        <v>12</v>
      </c>
      <c r="X8" s="5">
        <f t="shared" si="1"/>
        <v>1</v>
      </c>
    </row>
    <row r="9" spans="1:24" s="5" customFormat="1" x14ac:dyDescent="0.25">
      <c r="A9" s="19">
        <v>7</v>
      </c>
      <c r="B9" s="19" t="s">
        <v>55</v>
      </c>
      <c r="C9" s="19" t="s">
        <v>56</v>
      </c>
      <c r="D9" s="19" t="s">
        <v>163</v>
      </c>
      <c r="E9" s="21">
        <v>46291.526666666665</v>
      </c>
      <c r="F9" s="19">
        <v>3</v>
      </c>
      <c r="G9" s="19">
        <v>5010994106966</v>
      </c>
      <c r="H9" s="19">
        <v>1</v>
      </c>
      <c r="I9" s="19">
        <v>399</v>
      </c>
      <c r="J9" s="19">
        <v>0</v>
      </c>
      <c r="K9" s="19">
        <v>0</v>
      </c>
      <c r="L9" s="19">
        <v>0</v>
      </c>
      <c r="M9" s="19">
        <v>399</v>
      </c>
      <c r="N9" s="19">
        <v>19</v>
      </c>
      <c r="O9" s="19">
        <v>5</v>
      </c>
      <c r="P9" s="19" t="s">
        <v>165</v>
      </c>
      <c r="Q9" s="19">
        <v>50170981</v>
      </c>
      <c r="R9" s="19" t="s">
        <v>57</v>
      </c>
      <c r="S9" s="19">
        <v>50188930</v>
      </c>
      <c r="T9" s="19"/>
      <c r="U9" s="19" t="s">
        <v>58</v>
      </c>
      <c r="V9" s="18">
        <v>0</v>
      </c>
      <c r="W9" s="17">
        <f t="shared" si="0"/>
        <v>12</v>
      </c>
      <c r="X9" s="5">
        <f t="shared" si="1"/>
        <v>0</v>
      </c>
    </row>
    <row r="10" spans="1:24" s="5" customFormat="1" x14ac:dyDescent="0.25">
      <c r="A10" s="19">
        <v>8</v>
      </c>
      <c r="B10" s="19" t="s">
        <v>55</v>
      </c>
      <c r="C10" s="19" t="s">
        <v>56</v>
      </c>
      <c r="D10" s="19" t="s">
        <v>166</v>
      </c>
      <c r="E10" s="21">
        <v>46291.533715277779</v>
      </c>
      <c r="F10" s="19">
        <v>3</v>
      </c>
      <c r="G10" s="19">
        <v>195166219387</v>
      </c>
      <c r="H10" s="19">
        <v>1</v>
      </c>
      <c r="I10" s="19">
        <v>460</v>
      </c>
      <c r="J10" s="19">
        <v>0</v>
      </c>
      <c r="K10" s="19">
        <v>0</v>
      </c>
      <c r="L10" s="19">
        <v>0</v>
      </c>
      <c r="M10" s="19">
        <v>460</v>
      </c>
      <c r="N10" s="19">
        <v>21.9</v>
      </c>
      <c r="O10" s="19">
        <v>5</v>
      </c>
      <c r="P10" s="19" t="s">
        <v>167</v>
      </c>
      <c r="Q10" s="19">
        <v>50170981</v>
      </c>
      <c r="R10" s="19" t="s">
        <v>57</v>
      </c>
      <c r="S10" s="19">
        <v>50188930</v>
      </c>
      <c r="T10" s="19"/>
      <c r="U10" s="19" t="s">
        <v>58</v>
      </c>
      <c r="V10" s="18">
        <v>0</v>
      </c>
      <c r="W10" s="17">
        <f t="shared" si="0"/>
        <v>12</v>
      </c>
      <c r="X10" s="5">
        <f t="shared" si="1"/>
        <v>1</v>
      </c>
    </row>
    <row r="11" spans="1:24" s="5" customFormat="1" x14ac:dyDescent="0.25">
      <c r="A11" s="19">
        <v>9</v>
      </c>
      <c r="B11" s="19" t="s">
        <v>55</v>
      </c>
      <c r="C11" s="19" t="s">
        <v>56</v>
      </c>
      <c r="D11" s="19" t="s">
        <v>168</v>
      </c>
      <c r="E11" s="21">
        <v>46291.544618055559</v>
      </c>
      <c r="F11" s="19">
        <v>3</v>
      </c>
      <c r="G11" s="19">
        <v>8906169660944</v>
      </c>
      <c r="H11" s="19">
        <v>1</v>
      </c>
      <c r="I11" s="19">
        <v>1499</v>
      </c>
      <c r="J11" s="19">
        <v>0</v>
      </c>
      <c r="K11" s="19">
        <v>0</v>
      </c>
      <c r="L11" s="19">
        <v>0</v>
      </c>
      <c r="M11" s="19">
        <v>1499</v>
      </c>
      <c r="N11" s="19">
        <v>71.38</v>
      </c>
      <c r="O11" s="19">
        <v>5</v>
      </c>
      <c r="P11" s="19" t="s">
        <v>169</v>
      </c>
      <c r="Q11" s="19">
        <v>50170981</v>
      </c>
      <c r="R11" s="19" t="s">
        <v>57</v>
      </c>
      <c r="S11" s="19">
        <v>50188930</v>
      </c>
      <c r="T11" s="19"/>
      <c r="U11" s="19" t="s">
        <v>58</v>
      </c>
      <c r="V11" s="18">
        <v>0</v>
      </c>
      <c r="W11" s="17">
        <f t="shared" si="0"/>
        <v>13</v>
      </c>
      <c r="X11" s="5">
        <f t="shared" si="1"/>
        <v>1</v>
      </c>
    </row>
    <row r="12" spans="1:24" s="5" customFormat="1" x14ac:dyDescent="0.25">
      <c r="A12" s="19">
        <v>10</v>
      </c>
      <c r="B12" s="19" t="s">
        <v>55</v>
      </c>
      <c r="C12" s="19" t="s">
        <v>56</v>
      </c>
      <c r="D12" s="19" t="s">
        <v>170</v>
      </c>
      <c r="E12" s="21">
        <v>46291.549803240741</v>
      </c>
      <c r="F12" s="19">
        <v>3</v>
      </c>
      <c r="G12" s="19">
        <v>3467452077290</v>
      </c>
      <c r="H12" s="19">
        <v>1</v>
      </c>
      <c r="I12" s="19">
        <v>699</v>
      </c>
      <c r="J12" s="19">
        <v>-139.80000000000001</v>
      </c>
      <c r="K12" s="19">
        <v>0</v>
      </c>
      <c r="L12" s="19">
        <v>-139.80000000000001</v>
      </c>
      <c r="M12" s="19">
        <v>559.20000000000005</v>
      </c>
      <c r="N12" s="19">
        <v>26.62</v>
      </c>
      <c r="O12" s="19">
        <v>5</v>
      </c>
      <c r="P12" s="19" t="s">
        <v>171</v>
      </c>
      <c r="Q12" s="19">
        <v>50170981</v>
      </c>
      <c r="R12" s="19" t="s">
        <v>57</v>
      </c>
      <c r="S12" s="19">
        <v>50000001</v>
      </c>
      <c r="T12" s="19"/>
      <c r="U12" s="19" t="s">
        <v>58</v>
      </c>
      <c r="V12" s="18">
        <v>0</v>
      </c>
      <c r="W12" s="17">
        <f t="shared" si="0"/>
        <v>13</v>
      </c>
      <c r="X12" s="5">
        <f t="shared" si="1"/>
        <v>1</v>
      </c>
    </row>
    <row r="13" spans="1:24" s="5" customFormat="1" x14ac:dyDescent="0.25">
      <c r="A13" s="19">
        <v>10</v>
      </c>
      <c r="B13" s="19" t="s">
        <v>55</v>
      </c>
      <c r="C13" s="19" t="s">
        <v>56</v>
      </c>
      <c r="D13" s="19" t="s">
        <v>170</v>
      </c>
      <c r="E13" s="21">
        <v>46291.549803240741</v>
      </c>
      <c r="F13" s="19">
        <v>3</v>
      </c>
      <c r="G13" s="19">
        <v>74299018060</v>
      </c>
      <c r="H13" s="19">
        <v>1</v>
      </c>
      <c r="I13" s="19">
        <v>899</v>
      </c>
      <c r="J13" s="19">
        <v>-179.8</v>
      </c>
      <c r="K13" s="19">
        <v>0</v>
      </c>
      <c r="L13" s="19">
        <v>-179.8</v>
      </c>
      <c r="M13" s="19">
        <v>719.2</v>
      </c>
      <c r="N13" s="19">
        <v>34.24</v>
      </c>
      <c r="O13" s="19">
        <v>5</v>
      </c>
      <c r="P13" s="19" t="s">
        <v>142</v>
      </c>
      <c r="Q13" s="19">
        <v>50170981</v>
      </c>
      <c r="R13" s="19" t="s">
        <v>57</v>
      </c>
      <c r="S13" s="19">
        <v>50000001</v>
      </c>
      <c r="T13" s="19"/>
      <c r="U13" s="19" t="s">
        <v>58</v>
      </c>
      <c r="V13" s="18">
        <v>0</v>
      </c>
      <c r="W13" s="17">
        <f t="shared" si="0"/>
        <v>13</v>
      </c>
      <c r="X13" s="5">
        <f t="shared" si="1"/>
        <v>0</v>
      </c>
    </row>
    <row r="14" spans="1:24" s="5" customFormat="1" x14ac:dyDescent="0.25">
      <c r="A14" s="19">
        <v>11</v>
      </c>
      <c r="B14" s="19" t="s">
        <v>55</v>
      </c>
      <c r="C14" s="19" t="s">
        <v>56</v>
      </c>
      <c r="D14" s="19" t="s">
        <v>172</v>
      </c>
      <c r="E14" s="21">
        <v>46291.554259259261</v>
      </c>
      <c r="F14" s="19">
        <v>3</v>
      </c>
      <c r="G14" s="19">
        <v>27084120134</v>
      </c>
      <c r="H14" s="19">
        <v>1</v>
      </c>
      <c r="I14" s="19">
        <v>179</v>
      </c>
      <c r="J14" s="19">
        <v>0</v>
      </c>
      <c r="K14" s="19">
        <v>0</v>
      </c>
      <c r="L14" s="19">
        <v>0</v>
      </c>
      <c r="M14" s="19">
        <v>179</v>
      </c>
      <c r="N14" s="19">
        <v>8.52</v>
      </c>
      <c r="O14" s="19">
        <v>5</v>
      </c>
      <c r="P14" s="19" t="s">
        <v>139</v>
      </c>
      <c r="Q14" s="19">
        <v>50170981</v>
      </c>
      <c r="R14" s="19" t="s">
        <v>57</v>
      </c>
      <c r="S14" s="19"/>
      <c r="T14" s="19"/>
      <c r="U14" s="19" t="s">
        <v>58</v>
      </c>
      <c r="V14" s="18">
        <v>0</v>
      </c>
      <c r="W14" s="17">
        <f t="shared" si="0"/>
        <v>13</v>
      </c>
      <c r="X14" s="5">
        <f t="shared" si="1"/>
        <v>1</v>
      </c>
    </row>
    <row r="15" spans="1:24" s="5" customFormat="1" x14ac:dyDescent="0.25">
      <c r="A15" s="19">
        <v>11</v>
      </c>
      <c r="B15" s="19" t="s">
        <v>55</v>
      </c>
      <c r="C15" s="19" t="s">
        <v>56</v>
      </c>
      <c r="D15" s="19" t="s">
        <v>172</v>
      </c>
      <c r="E15" s="21">
        <v>46291.554259259261</v>
      </c>
      <c r="F15" s="19">
        <v>3</v>
      </c>
      <c r="G15" s="19">
        <v>3467452077368</v>
      </c>
      <c r="H15" s="19">
        <v>1</v>
      </c>
      <c r="I15" s="19">
        <v>399</v>
      </c>
      <c r="J15" s="19">
        <v>0</v>
      </c>
      <c r="K15" s="19">
        <v>0</v>
      </c>
      <c r="L15" s="19">
        <v>0</v>
      </c>
      <c r="M15" s="19">
        <v>399</v>
      </c>
      <c r="N15" s="19">
        <v>19</v>
      </c>
      <c r="O15" s="19">
        <v>5</v>
      </c>
      <c r="P15" s="19" t="s">
        <v>173</v>
      </c>
      <c r="Q15" s="19">
        <v>50170981</v>
      </c>
      <c r="R15" s="19" t="s">
        <v>57</v>
      </c>
      <c r="S15" s="19">
        <v>50170981</v>
      </c>
      <c r="T15" s="19"/>
      <c r="U15" s="19" t="s">
        <v>58</v>
      </c>
      <c r="V15" s="18">
        <v>0</v>
      </c>
      <c r="W15" s="17">
        <f t="shared" si="0"/>
        <v>13</v>
      </c>
      <c r="X15" s="5">
        <f t="shared" si="1"/>
        <v>0</v>
      </c>
    </row>
    <row r="16" spans="1:24" s="5" customFormat="1" x14ac:dyDescent="0.25">
      <c r="A16" s="19">
        <v>12</v>
      </c>
      <c r="B16" s="19" t="s">
        <v>55</v>
      </c>
      <c r="C16" s="19" t="s">
        <v>56</v>
      </c>
      <c r="D16" s="19" t="s">
        <v>174</v>
      </c>
      <c r="E16" s="21">
        <v>46291.556469907409</v>
      </c>
      <c r="F16" s="19">
        <v>3</v>
      </c>
      <c r="G16" s="19">
        <v>5702018063323</v>
      </c>
      <c r="H16" s="19">
        <v>1</v>
      </c>
      <c r="I16" s="19">
        <v>5499</v>
      </c>
      <c r="J16" s="19">
        <v>0</v>
      </c>
      <c r="K16" s="19">
        <v>0</v>
      </c>
      <c r="L16" s="19">
        <v>0</v>
      </c>
      <c r="M16" s="19">
        <v>5499</v>
      </c>
      <c r="N16" s="19">
        <v>261.86</v>
      </c>
      <c r="O16" s="19">
        <v>5</v>
      </c>
      <c r="P16" s="19" t="s">
        <v>175</v>
      </c>
      <c r="Q16" s="19">
        <v>50170981</v>
      </c>
      <c r="R16" s="19" t="s">
        <v>57</v>
      </c>
      <c r="S16" s="19">
        <v>50188930</v>
      </c>
      <c r="T16" s="19"/>
      <c r="U16" s="19" t="s">
        <v>58</v>
      </c>
      <c r="V16" s="18">
        <v>0</v>
      </c>
      <c r="W16" s="17">
        <f t="shared" si="0"/>
        <v>13</v>
      </c>
      <c r="X16" s="5">
        <f t="shared" ref="X16:X66" si="2">IF(D16=D15,0,1)</f>
        <v>1</v>
      </c>
    </row>
    <row r="17" spans="1:24" s="5" customFormat="1" x14ac:dyDescent="0.25">
      <c r="A17" s="19">
        <v>13</v>
      </c>
      <c r="B17" s="19" t="s">
        <v>55</v>
      </c>
      <c r="C17" s="19" t="s">
        <v>56</v>
      </c>
      <c r="D17" s="19" t="s">
        <v>176</v>
      </c>
      <c r="E17" s="21">
        <v>46291.563391203701</v>
      </c>
      <c r="F17" s="19">
        <v>3</v>
      </c>
      <c r="G17" s="19">
        <v>194735277582</v>
      </c>
      <c r="H17" s="19">
        <v>1</v>
      </c>
      <c r="I17" s="19">
        <v>1099</v>
      </c>
      <c r="J17" s="19">
        <v>0</v>
      </c>
      <c r="K17" s="19">
        <v>0</v>
      </c>
      <c r="L17" s="19">
        <v>0</v>
      </c>
      <c r="M17" s="19">
        <v>1099</v>
      </c>
      <c r="N17" s="19">
        <v>52.34</v>
      </c>
      <c r="O17" s="19">
        <v>5</v>
      </c>
      <c r="P17" s="19" t="s">
        <v>177</v>
      </c>
      <c r="Q17" s="19">
        <v>50170981</v>
      </c>
      <c r="R17" s="19" t="s">
        <v>57</v>
      </c>
      <c r="S17" s="19">
        <v>50195439</v>
      </c>
      <c r="T17" s="19"/>
      <c r="U17" s="19" t="s">
        <v>58</v>
      </c>
      <c r="V17" s="18">
        <v>0</v>
      </c>
      <c r="W17" s="17">
        <f t="shared" si="0"/>
        <v>13</v>
      </c>
      <c r="X17" s="5">
        <f t="shared" si="2"/>
        <v>1</v>
      </c>
    </row>
    <row r="18" spans="1:24" s="5" customFormat="1" x14ac:dyDescent="0.25">
      <c r="A18" s="19">
        <v>13</v>
      </c>
      <c r="B18" s="19" t="s">
        <v>55</v>
      </c>
      <c r="C18" s="19" t="s">
        <v>56</v>
      </c>
      <c r="D18" s="19" t="s">
        <v>176</v>
      </c>
      <c r="E18" s="21">
        <v>46291.563391203701</v>
      </c>
      <c r="F18" s="19">
        <v>3</v>
      </c>
      <c r="G18" s="19">
        <v>194735363353</v>
      </c>
      <c r="H18" s="19">
        <v>1</v>
      </c>
      <c r="I18" s="19">
        <v>399</v>
      </c>
      <c r="J18" s="19">
        <v>-88.59</v>
      </c>
      <c r="K18" s="19">
        <v>0</v>
      </c>
      <c r="L18" s="19">
        <v>-88.59</v>
      </c>
      <c r="M18" s="19">
        <v>310.41000000000003</v>
      </c>
      <c r="N18" s="19">
        <v>14.78</v>
      </c>
      <c r="O18" s="19">
        <v>5</v>
      </c>
      <c r="P18" s="19" t="s">
        <v>178</v>
      </c>
      <c r="Q18" s="19">
        <v>50170981</v>
      </c>
      <c r="R18" s="19" t="s">
        <v>57</v>
      </c>
      <c r="S18" s="19">
        <v>50195439</v>
      </c>
      <c r="T18" s="19"/>
      <c r="U18" s="19" t="s">
        <v>58</v>
      </c>
      <c r="V18" s="18">
        <v>0</v>
      </c>
      <c r="W18" s="17">
        <f t="shared" si="0"/>
        <v>13</v>
      </c>
      <c r="X18" s="5">
        <f t="shared" si="2"/>
        <v>0</v>
      </c>
    </row>
    <row r="19" spans="1:24" s="5" customFormat="1" x14ac:dyDescent="0.25">
      <c r="A19" s="19">
        <v>13</v>
      </c>
      <c r="B19" s="19" t="s">
        <v>55</v>
      </c>
      <c r="C19" s="19" t="s">
        <v>56</v>
      </c>
      <c r="D19" s="19" t="s">
        <v>176</v>
      </c>
      <c r="E19" s="21">
        <v>46291.563391203701</v>
      </c>
      <c r="F19" s="19">
        <v>3</v>
      </c>
      <c r="G19" s="19">
        <v>194735234561</v>
      </c>
      <c r="H19" s="19">
        <v>1</v>
      </c>
      <c r="I19" s="19">
        <v>599</v>
      </c>
      <c r="J19" s="19">
        <v>-133</v>
      </c>
      <c r="K19" s="19">
        <v>0</v>
      </c>
      <c r="L19" s="19">
        <v>-133</v>
      </c>
      <c r="M19" s="19">
        <v>466</v>
      </c>
      <c r="N19" s="19">
        <v>22.2</v>
      </c>
      <c r="O19" s="19">
        <v>5</v>
      </c>
      <c r="P19" s="19" t="s">
        <v>179</v>
      </c>
      <c r="Q19" s="19">
        <v>50170981</v>
      </c>
      <c r="R19" s="19" t="s">
        <v>57</v>
      </c>
      <c r="S19" s="19"/>
      <c r="T19" s="19"/>
      <c r="U19" s="19" t="s">
        <v>58</v>
      </c>
      <c r="V19" s="18">
        <v>0</v>
      </c>
      <c r="W19" s="17">
        <f t="shared" si="0"/>
        <v>13</v>
      </c>
      <c r="X19" s="5">
        <f t="shared" si="2"/>
        <v>0</v>
      </c>
    </row>
    <row r="20" spans="1:24" s="5" customFormat="1" x14ac:dyDescent="0.25">
      <c r="A20" s="19">
        <v>13</v>
      </c>
      <c r="B20" s="19" t="s">
        <v>55</v>
      </c>
      <c r="C20" s="19" t="s">
        <v>56</v>
      </c>
      <c r="D20" s="19" t="s">
        <v>176</v>
      </c>
      <c r="E20" s="21">
        <v>46291.563391203701</v>
      </c>
      <c r="F20" s="19">
        <v>3</v>
      </c>
      <c r="G20" s="19">
        <v>194735339754</v>
      </c>
      <c r="H20" s="19">
        <v>1</v>
      </c>
      <c r="I20" s="19">
        <v>799</v>
      </c>
      <c r="J20" s="19">
        <v>-177.41</v>
      </c>
      <c r="K20" s="19">
        <v>0</v>
      </c>
      <c r="L20" s="19">
        <v>-177.41</v>
      </c>
      <c r="M20" s="19">
        <v>621.59</v>
      </c>
      <c r="N20" s="19">
        <v>29.6</v>
      </c>
      <c r="O20" s="19">
        <v>5</v>
      </c>
      <c r="P20" s="19" t="s">
        <v>180</v>
      </c>
      <c r="Q20" s="19">
        <v>50170981</v>
      </c>
      <c r="R20" s="19" t="s">
        <v>57</v>
      </c>
      <c r="S20" s="19">
        <v>50195439</v>
      </c>
      <c r="T20" s="19"/>
      <c r="U20" s="19" t="s">
        <v>58</v>
      </c>
      <c r="V20" s="18">
        <v>0</v>
      </c>
      <c r="W20" s="17">
        <f t="shared" si="0"/>
        <v>13</v>
      </c>
      <c r="X20" s="5">
        <f t="shared" si="2"/>
        <v>0</v>
      </c>
    </row>
    <row r="21" spans="1:24" s="5" customFormat="1" x14ac:dyDescent="0.25">
      <c r="A21" s="19">
        <v>14</v>
      </c>
      <c r="B21" s="19" t="s">
        <v>55</v>
      </c>
      <c r="C21" s="19" t="s">
        <v>56</v>
      </c>
      <c r="D21" s="19" t="s">
        <v>181</v>
      </c>
      <c r="E21" s="21">
        <v>46291.582013888888</v>
      </c>
      <c r="F21" s="19">
        <v>3</v>
      </c>
      <c r="G21" s="19">
        <v>8904279514409</v>
      </c>
      <c r="H21" s="19">
        <v>1</v>
      </c>
      <c r="I21" s="19">
        <v>1499</v>
      </c>
      <c r="J21" s="19">
        <v>0</v>
      </c>
      <c r="K21" s="19">
        <v>0</v>
      </c>
      <c r="L21" s="19">
        <v>0</v>
      </c>
      <c r="M21" s="19">
        <v>1499</v>
      </c>
      <c r="N21" s="19">
        <v>71.38</v>
      </c>
      <c r="O21" s="19">
        <v>5</v>
      </c>
      <c r="P21" s="19" t="s">
        <v>182</v>
      </c>
      <c r="Q21" s="19">
        <v>50170981</v>
      </c>
      <c r="R21" s="19" t="s">
        <v>57</v>
      </c>
      <c r="S21" s="19">
        <v>50195439</v>
      </c>
      <c r="T21" s="19"/>
      <c r="U21" s="19" t="s">
        <v>58</v>
      </c>
      <c r="V21" s="18">
        <v>0</v>
      </c>
      <c r="W21" s="17">
        <f t="shared" si="0"/>
        <v>13</v>
      </c>
      <c r="X21" s="5">
        <f t="shared" si="2"/>
        <v>1</v>
      </c>
    </row>
    <row r="22" spans="1:24" s="5" customFormat="1" x14ac:dyDescent="0.25">
      <c r="A22" s="19">
        <v>15</v>
      </c>
      <c r="B22" s="19" t="s">
        <v>55</v>
      </c>
      <c r="C22" s="19" t="s">
        <v>56</v>
      </c>
      <c r="D22" s="19" t="s">
        <v>183</v>
      </c>
      <c r="E22" s="21">
        <v>46291.583194444444</v>
      </c>
      <c r="F22" s="19">
        <v>3</v>
      </c>
      <c r="G22" s="19">
        <v>194735284931</v>
      </c>
      <c r="H22" s="19">
        <v>1</v>
      </c>
      <c r="I22" s="19">
        <v>449</v>
      </c>
      <c r="J22" s="19">
        <v>0</v>
      </c>
      <c r="K22" s="19">
        <v>0</v>
      </c>
      <c r="L22" s="19">
        <v>0</v>
      </c>
      <c r="M22" s="19">
        <v>449</v>
      </c>
      <c r="N22" s="19">
        <v>21.38</v>
      </c>
      <c r="O22" s="19">
        <v>5</v>
      </c>
      <c r="P22" s="19" t="s">
        <v>138</v>
      </c>
      <c r="Q22" s="19">
        <v>50170981</v>
      </c>
      <c r="R22" s="19" t="s">
        <v>57</v>
      </c>
      <c r="S22" s="19">
        <v>50170981</v>
      </c>
      <c r="T22" s="19"/>
      <c r="U22" s="19" t="s">
        <v>58</v>
      </c>
      <c r="V22" s="18">
        <v>0</v>
      </c>
      <c r="W22" s="17">
        <f t="shared" si="0"/>
        <v>13</v>
      </c>
      <c r="X22" s="5">
        <f t="shared" si="2"/>
        <v>1</v>
      </c>
    </row>
    <row r="23" spans="1:24" s="5" customFormat="1" x14ac:dyDescent="0.25">
      <c r="A23" s="19">
        <v>15</v>
      </c>
      <c r="B23" s="19" t="s">
        <v>55</v>
      </c>
      <c r="C23" s="19" t="s">
        <v>56</v>
      </c>
      <c r="D23" s="19" t="s">
        <v>183</v>
      </c>
      <c r="E23" s="21">
        <v>46291.583194444444</v>
      </c>
      <c r="F23" s="19">
        <v>3</v>
      </c>
      <c r="G23" s="19">
        <v>8906134711299</v>
      </c>
      <c r="H23" s="19">
        <v>1</v>
      </c>
      <c r="I23" s="19">
        <v>499</v>
      </c>
      <c r="J23" s="19">
        <v>-299.39999999999998</v>
      </c>
      <c r="K23" s="19">
        <v>0</v>
      </c>
      <c r="L23" s="19">
        <v>-299.39999999999998</v>
      </c>
      <c r="M23" s="19">
        <v>199.6</v>
      </c>
      <c r="N23" s="19">
        <v>9.5</v>
      </c>
      <c r="O23" s="19">
        <v>5</v>
      </c>
      <c r="P23" s="19" t="s">
        <v>184</v>
      </c>
      <c r="Q23" s="19">
        <v>50170981</v>
      </c>
      <c r="R23" s="19" t="s">
        <v>57</v>
      </c>
      <c r="S23" s="19">
        <v>50170981</v>
      </c>
      <c r="T23" s="19"/>
      <c r="U23" s="19" t="s">
        <v>58</v>
      </c>
      <c r="V23" s="18">
        <v>0</v>
      </c>
      <c r="W23" s="17">
        <f t="shared" si="0"/>
        <v>13</v>
      </c>
      <c r="X23" s="5">
        <f t="shared" si="2"/>
        <v>0</v>
      </c>
    </row>
    <row r="24" spans="1:24" s="5" customFormat="1" x14ac:dyDescent="0.25">
      <c r="A24" s="19">
        <v>17</v>
      </c>
      <c r="B24" s="19" t="s">
        <v>55</v>
      </c>
      <c r="C24" s="19" t="s">
        <v>56</v>
      </c>
      <c r="D24" s="19" t="s">
        <v>185</v>
      </c>
      <c r="E24" s="21">
        <v>46291.585995370369</v>
      </c>
      <c r="F24" s="19">
        <v>3</v>
      </c>
      <c r="G24" s="19">
        <v>8905672078727</v>
      </c>
      <c r="H24" s="19">
        <v>1</v>
      </c>
      <c r="I24" s="19">
        <v>1099</v>
      </c>
      <c r="J24" s="19">
        <v>0</v>
      </c>
      <c r="K24" s="19">
        <v>0</v>
      </c>
      <c r="L24" s="19">
        <v>0</v>
      </c>
      <c r="M24" s="19">
        <v>1099</v>
      </c>
      <c r="N24" s="19">
        <v>52.34</v>
      </c>
      <c r="O24" s="19">
        <v>5</v>
      </c>
      <c r="P24" s="19" t="s">
        <v>186</v>
      </c>
      <c r="Q24" s="19">
        <v>50170981</v>
      </c>
      <c r="R24" s="19" t="s">
        <v>57</v>
      </c>
      <c r="S24" s="19"/>
      <c r="T24" s="19"/>
      <c r="U24" s="19" t="s">
        <v>58</v>
      </c>
      <c r="V24" s="18">
        <v>0</v>
      </c>
      <c r="W24" s="17">
        <f t="shared" si="0"/>
        <v>14</v>
      </c>
      <c r="X24" s="5">
        <f t="shared" si="2"/>
        <v>1</v>
      </c>
    </row>
    <row r="25" spans="1:24" s="5" customFormat="1" x14ac:dyDescent="0.25">
      <c r="A25" s="19">
        <v>17</v>
      </c>
      <c r="B25" s="19" t="s">
        <v>55</v>
      </c>
      <c r="C25" s="19" t="s">
        <v>56</v>
      </c>
      <c r="D25" s="19" t="s">
        <v>185</v>
      </c>
      <c r="E25" s="21">
        <v>46291.585995370369</v>
      </c>
      <c r="F25" s="19">
        <v>3</v>
      </c>
      <c r="G25" s="19">
        <v>8904432220918</v>
      </c>
      <c r="H25" s="19">
        <v>1</v>
      </c>
      <c r="I25" s="19">
        <v>599</v>
      </c>
      <c r="J25" s="19">
        <v>0</v>
      </c>
      <c r="K25" s="19">
        <v>0</v>
      </c>
      <c r="L25" s="19">
        <v>0</v>
      </c>
      <c r="M25" s="19">
        <v>599</v>
      </c>
      <c r="N25" s="19">
        <v>28.52</v>
      </c>
      <c r="O25" s="19">
        <v>5</v>
      </c>
      <c r="P25" s="19" t="s">
        <v>187</v>
      </c>
      <c r="Q25" s="19">
        <v>50170981</v>
      </c>
      <c r="R25" s="19" t="s">
        <v>57</v>
      </c>
      <c r="S25" s="19">
        <v>50188930</v>
      </c>
      <c r="T25" s="19"/>
      <c r="U25" s="19" t="s">
        <v>58</v>
      </c>
      <c r="V25" s="18">
        <v>0</v>
      </c>
      <c r="W25" s="17">
        <f t="shared" si="0"/>
        <v>14</v>
      </c>
      <c r="X25" s="5">
        <f t="shared" si="2"/>
        <v>0</v>
      </c>
    </row>
    <row r="26" spans="1:24" s="5" customFormat="1" x14ac:dyDescent="0.25">
      <c r="A26" s="19">
        <v>3</v>
      </c>
      <c r="B26" s="19" t="s">
        <v>55</v>
      </c>
      <c r="C26" s="19" t="s">
        <v>56</v>
      </c>
      <c r="D26" s="19" t="s">
        <v>188</v>
      </c>
      <c r="E26" s="21">
        <v>46291.58997685185</v>
      </c>
      <c r="F26" s="19">
        <v>3</v>
      </c>
      <c r="G26" s="19">
        <v>8905450027411</v>
      </c>
      <c r="H26" s="19">
        <v>1</v>
      </c>
      <c r="I26" s="19">
        <v>1599</v>
      </c>
      <c r="J26" s="19">
        <v>-799.5</v>
      </c>
      <c r="K26" s="19">
        <v>0</v>
      </c>
      <c r="L26" s="19">
        <v>-799.5</v>
      </c>
      <c r="M26" s="19">
        <v>799.5</v>
      </c>
      <c r="N26" s="19">
        <v>38.08</v>
      </c>
      <c r="O26" s="19">
        <v>5</v>
      </c>
      <c r="P26" s="19" t="s">
        <v>189</v>
      </c>
      <c r="Q26" s="19">
        <v>50157523</v>
      </c>
      <c r="R26" s="19" t="s">
        <v>57</v>
      </c>
      <c r="S26" s="19">
        <v>50195907</v>
      </c>
      <c r="T26" s="19"/>
      <c r="U26" s="19" t="s">
        <v>58</v>
      </c>
      <c r="V26" s="18">
        <v>0</v>
      </c>
      <c r="W26" s="17">
        <f t="shared" si="0"/>
        <v>14</v>
      </c>
      <c r="X26" s="5">
        <f t="shared" si="2"/>
        <v>1</v>
      </c>
    </row>
    <row r="27" spans="1:24" s="5" customFormat="1" x14ac:dyDescent="0.25">
      <c r="A27" s="19">
        <v>3</v>
      </c>
      <c r="B27" s="19" t="s">
        <v>55</v>
      </c>
      <c r="C27" s="19" t="s">
        <v>56</v>
      </c>
      <c r="D27" s="19" t="s">
        <v>188</v>
      </c>
      <c r="E27" s="21">
        <v>46291.58997685185</v>
      </c>
      <c r="F27" s="19">
        <v>3</v>
      </c>
      <c r="G27" s="19">
        <v>8905450027398</v>
      </c>
      <c r="H27" s="19">
        <v>1</v>
      </c>
      <c r="I27" s="19">
        <v>1799</v>
      </c>
      <c r="J27" s="19">
        <v>-899.5</v>
      </c>
      <c r="K27" s="19">
        <v>0</v>
      </c>
      <c r="L27" s="19">
        <v>-899.5</v>
      </c>
      <c r="M27" s="19">
        <v>899.5</v>
      </c>
      <c r="N27" s="19">
        <v>42.84</v>
      </c>
      <c r="O27" s="19">
        <v>5</v>
      </c>
      <c r="P27" s="19" t="s">
        <v>190</v>
      </c>
      <c r="Q27" s="19">
        <v>50157523</v>
      </c>
      <c r="R27" s="19" t="s">
        <v>57</v>
      </c>
      <c r="S27" s="19"/>
      <c r="T27" s="19"/>
      <c r="U27" s="19" t="s">
        <v>58</v>
      </c>
      <c r="V27" s="18">
        <v>0</v>
      </c>
      <c r="W27" s="17">
        <f t="shared" si="0"/>
        <v>14</v>
      </c>
      <c r="X27" s="5">
        <f t="shared" si="2"/>
        <v>0</v>
      </c>
    </row>
    <row r="28" spans="1:24" s="5" customFormat="1" x14ac:dyDescent="0.25">
      <c r="A28" s="19">
        <v>18</v>
      </c>
      <c r="B28" s="19" t="s">
        <v>55</v>
      </c>
      <c r="C28" s="19" t="s">
        <v>56</v>
      </c>
      <c r="D28" s="19" t="s">
        <v>191</v>
      </c>
      <c r="E28" s="21">
        <v>46291.594456018516</v>
      </c>
      <c r="F28" s="19">
        <v>3</v>
      </c>
      <c r="G28" s="19">
        <v>8905672075528</v>
      </c>
      <c r="H28" s="19">
        <v>1</v>
      </c>
      <c r="I28" s="19">
        <v>2499</v>
      </c>
      <c r="J28" s="19">
        <v>0</v>
      </c>
      <c r="K28" s="19">
        <v>0</v>
      </c>
      <c r="L28" s="19">
        <v>0</v>
      </c>
      <c r="M28" s="19">
        <v>2499</v>
      </c>
      <c r="N28" s="19">
        <v>119</v>
      </c>
      <c r="O28" s="19">
        <v>5</v>
      </c>
      <c r="P28" s="19" t="s">
        <v>192</v>
      </c>
      <c r="Q28" s="19">
        <v>50170981</v>
      </c>
      <c r="R28" s="19" t="s">
        <v>57</v>
      </c>
      <c r="S28" s="19"/>
      <c r="T28" s="19"/>
      <c r="U28" s="19" t="s">
        <v>58</v>
      </c>
      <c r="V28" s="18">
        <v>0</v>
      </c>
      <c r="W28" s="17">
        <f t="shared" si="0"/>
        <v>14</v>
      </c>
      <c r="X28" s="5">
        <f t="shared" si="2"/>
        <v>1</v>
      </c>
    </row>
    <row r="29" spans="1:24" s="5" customFormat="1" x14ac:dyDescent="0.25">
      <c r="A29" s="19">
        <v>19</v>
      </c>
      <c r="B29" s="19" t="s">
        <v>55</v>
      </c>
      <c r="C29" s="19" t="s">
        <v>56</v>
      </c>
      <c r="D29" s="19" t="s">
        <v>193</v>
      </c>
      <c r="E29" s="21">
        <v>46291.599409722221</v>
      </c>
      <c r="F29" s="19">
        <v>3</v>
      </c>
      <c r="G29" s="19">
        <v>194735284931</v>
      </c>
      <c r="H29" s="19">
        <v>1</v>
      </c>
      <c r="I29" s="19">
        <v>449</v>
      </c>
      <c r="J29" s="19">
        <v>0</v>
      </c>
      <c r="K29" s="19">
        <v>0</v>
      </c>
      <c r="L29" s="19">
        <v>0</v>
      </c>
      <c r="M29" s="19">
        <v>449</v>
      </c>
      <c r="N29" s="19">
        <v>21.38</v>
      </c>
      <c r="O29" s="19">
        <v>5</v>
      </c>
      <c r="P29" s="19" t="s">
        <v>138</v>
      </c>
      <c r="Q29" s="19">
        <v>50170981</v>
      </c>
      <c r="R29" s="19" t="s">
        <v>57</v>
      </c>
      <c r="S29" s="19">
        <v>50151682</v>
      </c>
      <c r="T29" s="19"/>
      <c r="U29" s="19" t="s">
        <v>58</v>
      </c>
      <c r="V29" s="18">
        <v>0</v>
      </c>
      <c r="W29" s="17">
        <f t="shared" si="0"/>
        <v>14</v>
      </c>
      <c r="X29" s="5">
        <f t="shared" si="2"/>
        <v>1</v>
      </c>
    </row>
    <row r="30" spans="1:24" s="5" customFormat="1" x14ac:dyDescent="0.25">
      <c r="A30" s="19">
        <v>21</v>
      </c>
      <c r="B30" s="19" t="s">
        <v>55</v>
      </c>
      <c r="C30" s="19" t="s">
        <v>56</v>
      </c>
      <c r="D30" s="19" t="s">
        <v>194</v>
      </c>
      <c r="E30" s="21">
        <v>46291.602071759262</v>
      </c>
      <c r="F30" s="19">
        <v>3</v>
      </c>
      <c r="G30" s="19">
        <v>8905450074064</v>
      </c>
      <c r="H30" s="19">
        <v>1</v>
      </c>
      <c r="I30" s="19">
        <v>79</v>
      </c>
      <c r="J30" s="19">
        <v>0</v>
      </c>
      <c r="K30" s="19">
        <v>0</v>
      </c>
      <c r="L30" s="19">
        <v>0</v>
      </c>
      <c r="M30" s="19">
        <v>79</v>
      </c>
      <c r="N30" s="19">
        <v>3.76</v>
      </c>
      <c r="O30" s="19">
        <v>5</v>
      </c>
      <c r="P30" s="19" t="s">
        <v>195</v>
      </c>
      <c r="Q30" s="19">
        <v>50170981</v>
      </c>
      <c r="R30" s="19" t="s">
        <v>57</v>
      </c>
      <c r="S30" s="19"/>
      <c r="T30" s="19"/>
      <c r="U30" s="19" t="s">
        <v>58</v>
      </c>
      <c r="V30" s="18">
        <v>0</v>
      </c>
      <c r="W30" s="17">
        <f t="shared" si="0"/>
        <v>14</v>
      </c>
      <c r="X30" s="5">
        <f t="shared" si="2"/>
        <v>1</v>
      </c>
    </row>
    <row r="31" spans="1:24" s="5" customFormat="1" ht="26.25" x14ac:dyDescent="0.25">
      <c r="A31" s="19">
        <v>22</v>
      </c>
      <c r="B31" s="19" t="s">
        <v>55</v>
      </c>
      <c r="C31" s="19" t="s">
        <v>56</v>
      </c>
      <c r="D31" s="19" t="s">
        <v>196</v>
      </c>
      <c r="E31" s="21">
        <v>46291.604178240741</v>
      </c>
      <c r="F31" s="19">
        <v>3</v>
      </c>
      <c r="G31" s="19">
        <v>778988661222</v>
      </c>
      <c r="H31" s="19">
        <v>1</v>
      </c>
      <c r="I31" s="19">
        <v>1499</v>
      </c>
      <c r="J31" s="19">
        <v>-299.8</v>
      </c>
      <c r="K31" s="19">
        <v>0</v>
      </c>
      <c r="L31" s="19">
        <v>-299.8</v>
      </c>
      <c r="M31" s="19">
        <v>1199.2</v>
      </c>
      <c r="N31" s="19">
        <v>182.92</v>
      </c>
      <c r="O31" s="19">
        <v>18</v>
      </c>
      <c r="P31" s="19" t="s">
        <v>197</v>
      </c>
      <c r="Q31" s="19">
        <v>50170981</v>
      </c>
      <c r="R31" s="19" t="s">
        <v>57</v>
      </c>
      <c r="S31" s="19"/>
      <c r="T31" s="19"/>
      <c r="U31" s="19" t="s">
        <v>58</v>
      </c>
      <c r="V31" s="18">
        <v>0</v>
      </c>
      <c r="W31" s="17">
        <f t="shared" si="0"/>
        <v>14</v>
      </c>
      <c r="X31" s="5">
        <f t="shared" si="2"/>
        <v>1</v>
      </c>
    </row>
    <row r="32" spans="1:24" s="5" customFormat="1" x14ac:dyDescent="0.25">
      <c r="A32" s="19">
        <v>23</v>
      </c>
      <c r="B32" s="19" t="s">
        <v>55</v>
      </c>
      <c r="C32" s="19" t="s">
        <v>56</v>
      </c>
      <c r="D32" s="19" t="s">
        <v>198</v>
      </c>
      <c r="E32" s="21">
        <v>46291.609432870369</v>
      </c>
      <c r="F32" s="19">
        <v>3</v>
      </c>
      <c r="G32" s="19">
        <v>8904027127288</v>
      </c>
      <c r="H32" s="19">
        <v>1</v>
      </c>
      <c r="I32" s="19">
        <v>1499</v>
      </c>
      <c r="J32" s="19">
        <v>0</v>
      </c>
      <c r="K32" s="19">
        <v>0</v>
      </c>
      <c r="L32" s="19">
        <v>0</v>
      </c>
      <c r="M32" s="19">
        <v>1499</v>
      </c>
      <c r="N32" s="19">
        <v>228.66</v>
      </c>
      <c r="O32" s="19">
        <v>18</v>
      </c>
      <c r="P32" s="19" t="s">
        <v>199</v>
      </c>
      <c r="Q32" s="19">
        <v>50170981</v>
      </c>
      <c r="R32" s="19" t="s">
        <v>57</v>
      </c>
      <c r="S32" s="19">
        <v>50188930</v>
      </c>
      <c r="T32" s="19"/>
      <c r="U32" s="19" t="s">
        <v>58</v>
      </c>
      <c r="V32" s="18">
        <v>0</v>
      </c>
      <c r="W32" s="17">
        <f t="shared" si="0"/>
        <v>14</v>
      </c>
      <c r="X32" s="5">
        <f t="shared" si="2"/>
        <v>1</v>
      </c>
    </row>
    <row r="33" spans="1:24" s="5" customFormat="1" x14ac:dyDescent="0.25">
      <c r="A33" s="19">
        <v>4</v>
      </c>
      <c r="B33" s="19" t="s">
        <v>55</v>
      </c>
      <c r="C33" s="19" t="s">
        <v>56</v>
      </c>
      <c r="D33" s="19" t="s">
        <v>200</v>
      </c>
      <c r="E33" s="21">
        <v>46291.611307870371</v>
      </c>
      <c r="F33" s="19">
        <v>3</v>
      </c>
      <c r="G33" s="19">
        <v>4501517003455</v>
      </c>
      <c r="H33" s="19">
        <v>1</v>
      </c>
      <c r="I33" s="19">
        <v>499</v>
      </c>
      <c r="J33" s="19">
        <v>0</v>
      </c>
      <c r="K33" s="19">
        <v>0</v>
      </c>
      <c r="L33" s="19">
        <v>0</v>
      </c>
      <c r="M33" s="19">
        <v>499</v>
      </c>
      <c r="N33" s="19">
        <v>23.76</v>
      </c>
      <c r="O33" s="19">
        <v>5</v>
      </c>
      <c r="P33" s="19" t="s">
        <v>147</v>
      </c>
      <c r="Q33" s="19">
        <v>50157523</v>
      </c>
      <c r="R33" s="19" t="s">
        <v>57</v>
      </c>
      <c r="S33" s="19">
        <v>50000003</v>
      </c>
      <c r="T33" s="19"/>
      <c r="U33" s="19" t="s">
        <v>58</v>
      </c>
      <c r="V33" s="18">
        <v>0</v>
      </c>
      <c r="W33" s="17">
        <f t="shared" si="0"/>
        <v>14</v>
      </c>
      <c r="X33" s="5">
        <f t="shared" si="2"/>
        <v>1</v>
      </c>
    </row>
    <row r="34" spans="1:24" s="5" customFormat="1" x14ac:dyDescent="0.25">
      <c r="A34" s="19">
        <v>4</v>
      </c>
      <c r="B34" s="19" t="s">
        <v>55</v>
      </c>
      <c r="C34" s="19" t="s">
        <v>56</v>
      </c>
      <c r="D34" s="19" t="s">
        <v>200</v>
      </c>
      <c r="E34" s="21">
        <v>46291.611307870371</v>
      </c>
      <c r="F34" s="19">
        <v>3</v>
      </c>
      <c r="G34" s="19">
        <v>8908013692385</v>
      </c>
      <c r="H34" s="19">
        <v>1</v>
      </c>
      <c r="I34" s="19">
        <v>499</v>
      </c>
      <c r="J34" s="19">
        <v>0</v>
      </c>
      <c r="K34" s="19">
        <v>0</v>
      </c>
      <c r="L34" s="19">
        <v>0</v>
      </c>
      <c r="M34" s="19">
        <v>499</v>
      </c>
      <c r="N34" s="19">
        <v>23.76</v>
      </c>
      <c r="O34" s="19">
        <v>5</v>
      </c>
      <c r="P34" s="19" t="s">
        <v>144</v>
      </c>
      <c r="Q34" s="19">
        <v>50157523</v>
      </c>
      <c r="R34" s="19" t="s">
        <v>57</v>
      </c>
      <c r="S34" s="19">
        <v>50000003</v>
      </c>
      <c r="T34" s="19"/>
      <c r="U34" s="19" t="s">
        <v>58</v>
      </c>
      <c r="V34" s="18">
        <v>0</v>
      </c>
      <c r="W34" s="17">
        <f t="shared" ref="W34:W66" si="3">HOUR(E34)</f>
        <v>14</v>
      </c>
      <c r="X34" s="5">
        <f t="shared" si="2"/>
        <v>0</v>
      </c>
    </row>
    <row r="35" spans="1:24" s="5" customFormat="1" x14ac:dyDescent="0.25">
      <c r="A35" s="19">
        <v>4</v>
      </c>
      <c r="B35" s="19" t="s">
        <v>55</v>
      </c>
      <c r="C35" s="19" t="s">
        <v>56</v>
      </c>
      <c r="D35" s="19" t="s">
        <v>200</v>
      </c>
      <c r="E35" s="21">
        <v>46291.611307870371</v>
      </c>
      <c r="F35" s="19">
        <v>3</v>
      </c>
      <c r="G35" s="19">
        <v>8909409286041</v>
      </c>
      <c r="H35" s="19">
        <v>1</v>
      </c>
      <c r="I35" s="19">
        <v>799</v>
      </c>
      <c r="J35" s="19">
        <v>0</v>
      </c>
      <c r="K35" s="19">
        <v>0</v>
      </c>
      <c r="L35" s="19">
        <v>0</v>
      </c>
      <c r="M35" s="19">
        <v>799</v>
      </c>
      <c r="N35" s="19">
        <v>121.88</v>
      </c>
      <c r="O35" s="19">
        <v>18</v>
      </c>
      <c r="P35" s="19" t="s">
        <v>201</v>
      </c>
      <c r="Q35" s="19">
        <v>50157523</v>
      </c>
      <c r="R35" s="19" t="s">
        <v>57</v>
      </c>
      <c r="S35" s="19">
        <v>50000003</v>
      </c>
      <c r="T35" s="19"/>
      <c r="U35" s="19" t="s">
        <v>58</v>
      </c>
      <c r="V35" s="18">
        <v>0</v>
      </c>
      <c r="W35" s="17">
        <f t="shared" si="3"/>
        <v>14</v>
      </c>
      <c r="X35" s="5">
        <f t="shared" si="2"/>
        <v>0</v>
      </c>
    </row>
    <row r="36" spans="1:24" s="5" customFormat="1" x14ac:dyDescent="0.25">
      <c r="A36" s="19">
        <v>4</v>
      </c>
      <c r="B36" s="19" t="s">
        <v>55</v>
      </c>
      <c r="C36" s="19" t="s">
        <v>56</v>
      </c>
      <c r="D36" s="19" t="s">
        <v>200</v>
      </c>
      <c r="E36" s="21">
        <v>46291.611307870371</v>
      </c>
      <c r="F36" s="19">
        <v>3</v>
      </c>
      <c r="G36" s="19">
        <v>8906169660821</v>
      </c>
      <c r="H36" s="19">
        <v>1</v>
      </c>
      <c r="I36" s="19">
        <v>799</v>
      </c>
      <c r="J36" s="19">
        <v>0</v>
      </c>
      <c r="K36" s="19">
        <v>0</v>
      </c>
      <c r="L36" s="19">
        <v>0</v>
      </c>
      <c r="M36" s="19">
        <v>799</v>
      </c>
      <c r="N36" s="19">
        <v>38.04</v>
      </c>
      <c r="O36" s="19">
        <v>5</v>
      </c>
      <c r="P36" s="19" t="s">
        <v>202</v>
      </c>
      <c r="Q36" s="19">
        <v>50157523</v>
      </c>
      <c r="R36" s="19" t="s">
        <v>57</v>
      </c>
      <c r="S36" s="19">
        <v>50000003</v>
      </c>
      <c r="T36" s="19"/>
      <c r="U36" s="19" t="s">
        <v>58</v>
      </c>
      <c r="V36" s="18">
        <v>0</v>
      </c>
      <c r="W36" s="17">
        <f t="shared" si="3"/>
        <v>14</v>
      </c>
      <c r="X36" s="5">
        <f t="shared" si="2"/>
        <v>0</v>
      </c>
    </row>
    <row r="37" spans="1:24" s="5" customFormat="1" ht="26.25" x14ac:dyDescent="0.25">
      <c r="A37" s="19">
        <v>5</v>
      </c>
      <c r="B37" s="19" t="s">
        <v>55</v>
      </c>
      <c r="C37" s="19" t="s">
        <v>56</v>
      </c>
      <c r="D37" s="19" t="s">
        <v>203</v>
      </c>
      <c r="E37" s="21">
        <v>46291.625937500001</v>
      </c>
      <c r="F37" s="19">
        <v>3</v>
      </c>
      <c r="G37" s="19">
        <v>194735358878</v>
      </c>
      <c r="H37" s="19">
        <v>1</v>
      </c>
      <c r="I37" s="19">
        <v>299</v>
      </c>
      <c r="J37" s="19">
        <v>0</v>
      </c>
      <c r="K37" s="19">
        <v>0</v>
      </c>
      <c r="L37" s="19">
        <v>0</v>
      </c>
      <c r="M37" s="19">
        <v>299</v>
      </c>
      <c r="N37" s="19">
        <v>14.24</v>
      </c>
      <c r="O37" s="19">
        <v>5</v>
      </c>
      <c r="P37" s="19" t="s">
        <v>140</v>
      </c>
      <c r="Q37" s="19">
        <v>50157523</v>
      </c>
      <c r="R37" s="19" t="s">
        <v>57</v>
      </c>
      <c r="S37" s="19">
        <v>50157523</v>
      </c>
      <c r="T37" s="19"/>
      <c r="U37" s="19" t="s">
        <v>58</v>
      </c>
      <c r="V37" s="18">
        <v>0</v>
      </c>
      <c r="W37" s="17">
        <f t="shared" si="3"/>
        <v>15</v>
      </c>
      <c r="X37" s="5">
        <f t="shared" si="2"/>
        <v>1</v>
      </c>
    </row>
    <row r="38" spans="1:24" s="5" customFormat="1" x14ac:dyDescent="0.25">
      <c r="A38" s="19">
        <v>5</v>
      </c>
      <c r="B38" s="19" t="s">
        <v>55</v>
      </c>
      <c r="C38" s="19" t="s">
        <v>56</v>
      </c>
      <c r="D38" s="19" t="s">
        <v>203</v>
      </c>
      <c r="E38" s="21">
        <v>46291.625937500001</v>
      </c>
      <c r="F38" s="19">
        <v>3</v>
      </c>
      <c r="G38" s="19">
        <v>887961672039</v>
      </c>
      <c r="H38" s="19">
        <v>1</v>
      </c>
      <c r="I38" s="19">
        <v>399</v>
      </c>
      <c r="J38" s="19">
        <v>0</v>
      </c>
      <c r="K38" s="19">
        <v>0</v>
      </c>
      <c r="L38" s="19">
        <v>0</v>
      </c>
      <c r="M38" s="19">
        <v>399</v>
      </c>
      <c r="N38" s="19">
        <v>19</v>
      </c>
      <c r="O38" s="19">
        <v>5</v>
      </c>
      <c r="P38" s="19" t="s">
        <v>145</v>
      </c>
      <c r="Q38" s="19">
        <v>50157523</v>
      </c>
      <c r="R38" s="19" t="s">
        <v>57</v>
      </c>
      <c r="S38" s="19">
        <v>50157523</v>
      </c>
      <c r="T38" s="19"/>
      <c r="U38" s="19" t="s">
        <v>58</v>
      </c>
      <c r="V38" s="18">
        <v>0</v>
      </c>
      <c r="W38" s="17">
        <f t="shared" si="3"/>
        <v>15</v>
      </c>
      <c r="X38" s="5">
        <f t="shared" si="2"/>
        <v>0</v>
      </c>
    </row>
    <row r="39" spans="1:24" s="5" customFormat="1" x14ac:dyDescent="0.25">
      <c r="A39" s="19">
        <v>26</v>
      </c>
      <c r="B39" s="19" t="s">
        <v>55</v>
      </c>
      <c r="C39" s="19" t="s">
        <v>56</v>
      </c>
      <c r="D39" s="19" t="s">
        <v>204</v>
      </c>
      <c r="E39" s="21">
        <v>46291.632268518515</v>
      </c>
      <c r="F39" s="19">
        <v>3</v>
      </c>
      <c r="G39" s="19">
        <v>8907653097178</v>
      </c>
      <c r="H39" s="19">
        <v>1</v>
      </c>
      <c r="I39" s="19">
        <v>295</v>
      </c>
      <c r="J39" s="19">
        <v>0</v>
      </c>
      <c r="K39" s="19">
        <v>0</v>
      </c>
      <c r="L39" s="19">
        <v>0</v>
      </c>
      <c r="M39" s="19">
        <v>295</v>
      </c>
      <c r="N39" s="19">
        <v>14.04</v>
      </c>
      <c r="O39" s="19">
        <v>5</v>
      </c>
      <c r="P39" s="19"/>
      <c r="Q39" s="19">
        <v>50170981</v>
      </c>
      <c r="R39" s="19" t="s">
        <v>57</v>
      </c>
      <c r="S39" s="19"/>
      <c r="T39" s="19"/>
      <c r="U39" s="19" t="s">
        <v>58</v>
      </c>
      <c r="V39" s="18">
        <v>0</v>
      </c>
      <c r="W39" s="17">
        <f t="shared" si="3"/>
        <v>15</v>
      </c>
      <c r="X39" s="5">
        <f t="shared" si="2"/>
        <v>1</v>
      </c>
    </row>
    <row r="40" spans="1:24" s="5" customFormat="1" x14ac:dyDescent="0.25">
      <c r="A40" s="19">
        <v>26</v>
      </c>
      <c r="B40" s="19" t="s">
        <v>55</v>
      </c>
      <c r="C40" s="19" t="s">
        <v>56</v>
      </c>
      <c r="D40" s="19" t="s">
        <v>204</v>
      </c>
      <c r="E40" s="21">
        <v>46291.632268518515</v>
      </c>
      <c r="F40" s="19">
        <v>3</v>
      </c>
      <c r="G40" s="19">
        <v>8904279514874</v>
      </c>
      <c r="H40" s="19">
        <v>1</v>
      </c>
      <c r="I40" s="19">
        <v>599</v>
      </c>
      <c r="J40" s="19">
        <v>0</v>
      </c>
      <c r="K40" s="19">
        <v>0</v>
      </c>
      <c r="L40" s="19">
        <v>0</v>
      </c>
      <c r="M40" s="19">
        <v>599</v>
      </c>
      <c r="N40" s="19">
        <v>28.52</v>
      </c>
      <c r="O40" s="19">
        <v>5</v>
      </c>
      <c r="P40" s="19" t="s">
        <v>205</v>
      </c>
      <c r="Q40" s="19">
        <v>50170981</v>
      </c>
      <c r="R40" s="19" t="s">
        <v>57</v>
      </c>
      <c r="S40" s="19">
        <v>50000002</v>
      </c>
      <c r="T40" s="19"/>
      <c r="U40" s="19" t="s">
        <v>58</v>
      </c>
      <c r="V40" s="18">
        <v>0</v>
      </c>
      <c r="W40" s="17">
        <f t="shared" si="3"/>
        <v>15</v>
      </c>
      <c r="X40" s="5">
        <f t="shared" si="2"/>
        <v>0</v>
      </c>
    </row>
    <row r="41" spans="1:24" s="5" customFormat="1" x14ac:dyDescent="0.25">
      <c r="A41" s="19">
        <v>26</v>
      </c>
      <c r="B41" s="19" t="s">
        <v>55</v>
      </c>
      <c r="C41" s="19" t="s">
        <v>56</v>
      </c>
      <c r="D41" s="19" t="s">
        <v>204</v>
      </c>
      <c r="E41" s="21">
        <v>46291.632268518515</v>
      </c>
      <c r="F41" s="19">
        <v>3</v>
      </c>
      <c r="G41" s="19">
        <v>8904384300539</v>
      </c>
      <c r="H41" s="19">
        <v>1</v>
      </c>
      <c r="I41" s="19">
        <v>899</v>
      </c>
      <c r="J41" s="19">
        <v>-539.4</v>
      </c>
      <c r="K41" s="19">
        <v>0</v>
      </c>
      <c r="L41" s="19">
        <v>-539.4</v>
      </c>
      <c r="M41" s="19">
        <v>359.6</v>
      </c>
      <c r="N41" s="19">
        <v>17.12</v>
      </c>
      <c r="O41" s="19">
        <v>5</v>
      </c>
      <c r="P41" s="19"/>
      <c r="Q41" s="19">
        <v>50170981</v>
      </c>
      <c r="R41" s="19" t="s">
        <v>57</v>
      </c>
      <c r="S41" s="19">
        <v>50000002</v>
      </c>
      <c r="T41" s="19"/>
      <c r="U41" s="19" t="s">
        <v>58</v>
      </c>
      <c r="V41" s="18">
        <v>0</v>
      </c>
      <c r="W41" s="17">
        <f t="shared" si="3"/>
        <v>15</v>
      </c>
      <c r="X41" s="5">
        <f t="shared" si="2"/>
        <v>0</v>
      </c>
    </row>
    <row r="42" spans="1:24" s="5" customFormat="1" x14ac:dyDescent="0.25">
      <c r="A42" s="19">
        <v>27</v>
      </c>
      <c r="B42" s="19" t="s">
        <v>55</v>
      </c>
      <c r="C42" s="19" t="s">
        <v>56</v>
      </c>
      <c r="D42" s="19" t="s">
        <v>206</v>
      </c>
      <c r="E42" s="21">
        <v>46291.633912037039</v>
      </c>
      <c r="F42" s="19">
        <v>3</v>
      </c>
      <c r="G42" s="19">
        <v>8904027123310</v>
      </c>
      <c r="H42" s="19">
        <v>1</v>
      </c>
      <c r="I42" s="19">
        <v>899</v>
      </c>
      <c r="J42" s="19">
        <v>0</v>
      </c>
      <c r="K42" s="19">
        <v>0</v>
      </c>
      <c r="L42" s="19">
        <v>0</v>
      </c>
      <c r="M42" s="19">
        <v>899</v>
      </c>
      <c r="N42" s="19">
        <v>42.8</v>
      </c>
      <c r="O42" s="19">
        <v>5</v>
      </c>
      <c r="P42" s="19" t="s">
        <v>207</v>
      </c>
      <c r="Q42" s="19">
        <v>50170981</v>
      </c>
      <c r="R42" s="19" t="s">
        <v>57</v>
      </c>
      <c r="S42" s="19">
        <v>50000003</v>
      </c>
      <c r="T42" s="19"/>
      <c r="U42" s="19" t="s">
        <v>58</v>
      </c>
      <c r="V42" s="18">
        <v>0</v>
      </c>
      <c r="W42" s="17">
        <f t="shared" si="3"/>
        <v>15</v>
      </c>
      <c r="X42" s="5">
        <f t="shared" si="2"/>
        <v>1</v>
      </c>
    </row>
    <row r="43" spans="1:24" s="5" customFormat="1" x14ac:dyDescent="0.25">
      <c r="A43" s="19">
        <v>27</v>
      </c>
      <c r="B43" s="19" t="s">
        <v>55</v>
      </c>
      <c r="C43" s="19" t="s">
        <v>56</v>
      </c>
      <c r="D43" s="19" t="s">
        <v>206</v>
      </c>
      <c r="E43" s="21">
        <v>46291.633912037039</v>
      </c>
      <c r="F43" s="19">
        <v>3</v>
      </c>
      <c r="G43" s="19">
        <v>8904279522329</v>
      </c>
      <c r="H43" s="19">
        <v>1</v>
      </c>
      <c r="I43" s="19">
        <v>999</v>
      </c>
      <c r="J43" s="19">
        <v>0</v>
      </c>
      <c r="K43" s="19">
        <v>0</v>
      </c>
      <c r="L43" s="19">
        <v>0</v>
      </c>
      <c r="M43" s="19">
        <v>999</v>
      </c>
      <c r="N43" s="19">
        <v>47.58</v>
      </c>
      <c r="O43" s="19">
        <v>5</v>
      </c>
      <c r="P43" s="19" t="s">
        <v>149</v>
      </c>
      <c r="Q43" s="19">
        <v>50170981</v>
      </c>
      <c r="R43" s="19" t="s">
        <v>57</v>
      </c>
      <c r="S43" s="19">
        <v>50000003</v>
      </c>
      <c r="T43" s="19"/>
      <c r="U43" s="19" t="s">
        <v>58</v>
      </c>
      <c r="V43" s="18">
        <v>0</v>
      </c>
      <c r="W43" s="17">
        <f t="shared" si="3"/>
        <v>15</v>
      </c>
      <c r="X43" s="5">
        <f t="shared" si="2"/>
        <v>0</v>
      </c>
    </row>
    <row r="44" spans="1:24" s="5" customFormat="1" x14ac:dyDescent="0.25">
      <c r="A44" s="19">
        <v>6</v>
      </c>
      <c r="B44" s="19" t="s">
        <v>55</v>
      </c>
      <c r="C44" s="19" t="s">
        <v>56</v>
      </c>
      <c r="D44" s="19" t="s">
        <v>208</v>
      </c>
      <c r="E44" s="21">
        <v>46291.634317129632</v>
      </c>
      <c r="F44" s="19">
        <v>3</v>
      </c>
      <c r="G44" s="19">
        <v>8905450036819</v>
      </c>
      <c r="H44" s="19">
        <v>1</v>
      </c>
      <c r="I44" s="19">
        <v>1499</v>
      </c>
      <c r="J44" s="19">
        <v>0</v>
      </c>
      <c r="K44" s="19">
        <v>0</v>
      </c>
      <c r="L44" s="19">
        <v>0</v>
      </c>
      <c r="M44" s="19">
        <v>1499</v>
      </c>
      <c r="N44" s="19">
        <v>71.38</v>
      </c>
      <c r="O44" s="19">
        <v>5</v>
      </c>
      <c r="P44" s="19" t="s">
        <v>209</v>
      </c>
      <c r="Q44" s="19">
        <v>50157523</v>
      </c>
      <c r="R44" s="19" t="s">
        <v>57</v>
      </c>
      <c r="S44" s="19">
        <v>50195907</v>
      </c>
      <c r="T44" s="19"/>
      <c r="U44" s="19" t="s">
        <v>58</v>
      </c>
      <c r="V44" s="18">
        <v>0</v>
      </c>
      <c r="W44" s="17">
        <f t="shared" si="3"/>
        <v>15</v>
      </c>
      <c r="X44" s="5">
        <f t="shared" si="2"/>
        <v>1</v>
      </c>
    </row>
    <row r="45" spans="1:24" s="5" customFormat="1" x14ac:dyDescent="0.25">
      <c r="A45" s="19">
        <v>6</v>
      </c>
      <c r="B45" s="19" t="s">
        <v>55</v>
      </c>
      <c r="C45" s="19" t="s">
        <v>56</v>
      </c>
      <c r="D45" s="19" t="s">
        <v>208</v>
      </c>
      <c r="E45" s="21">
        <v>46291.634317129632</v>
      </c>
      <c r="F45" s="19">
        <v>3</v>
      </c>
      <c r="G45" s="19">
        <v>8907653082358</v>
      </c>
      <c r="H45" s="19">
        <v>1</v>
      </c>
      <c r="I45" s="19">
        <v>295</v>
      </c>
      <c r="J45" s="19">
        <v>0</v>
      </c>
      <c r="K45" s="19">
        <v>0</v>
      </c>
      <c r="L45" s="19">
        <v>0</v>
      </c>
      <c r="M45" s="19">
        <v>295</v>
      </c>
      <c r="N45" s="19">
        <v>45</v>
      </c>
      <c r="O45" s="19">
        <v>18</v>
      </c>
      <c r="P45" s="19" t="s">
        <v>210</v>
      </c>
      <c r="Q45" s="19">
        <v>50157523</v>
      </c>
      <c r="R45" s="19" t="s">
        <v>57</v>
      </c>
      <c r="S45" s="19"/>
      <c r="T45" s="19"/>
      <c r="U45" s="19" t="s">
        <v>58</v>
      </c>
      <c r="V45" s="18">
        <v>0</v>
      </c>
      <c r="W45" s="17">
        <f t="shared" si="3"/>
        <v>15</v>
      </c>
      <c r="X45" s="5">
        <f t="shared" si="2"/>
        <v>0</v>
      </c>
    </row>
    <row r="46" spans="1:24" s="5" customFormat="1" x14ac:dyDescent="0.25">
      <c r="A46" s="19">
        <v>6</v>
      </c>
      <c r="B46" s="19" t="s">
        <v>55</v>
      </c>
      <c r="C46" s="19" t="s">
        <v>56</v>
      </c>
      <c r="D46" s="19" t="s">
        <v>208</v>
      </c>
      <c r="E46" s="21">
        <v>46291.634317129632</v>
      </c>
      <c r="F46" s="19">
        <v>3</v>
      </c>
      <c r="G46" s="19">
        <v>8907653106153</v>
      </c>
      <c r="H46" s="19">
        <v>1</v>
      </c>
      <c r="I46" s="19">
        <v>325</v>
      </c>
      <c r="J46" s="19">
        <v>0</v>
      </c>
      <c r="K46" s="19">
        <v>0</v>
      </c>
      <c r="L46" s="19">
        <v>0</v>
      </c>
      <c r="M46" s="19">
        <v>325</v>
      </c>
      <c r="N46" s="19">
        <v>49.58</v>
      </c>
      <c r="O46" s="19">
        <v>18</v>
      </c>
      <c r="P46" s="19"/>
      <c r="Q46" s="19">
        <v>50157523</v>
      </c>
      <c r="R46" s="19" t="s">
        <v>57</v>
      </c>
      <c r="S46" s="19"/>
      <c r="T46" s="19"/>
      <c r="U46" s="19" t="s">
        <v>58</v>
      </c>
      <c r="V46" s="18">
        <v>0</v>
      </c>
      <c r="W46" s="17">
        <f t="shared" si="3"/>
        <v>15</v>
      </c>
      <c r="X46" s="5">
        <f t="shared" si="2"/>
        <v>0</v>
      </c>
    </row>
    <row r="47" spans="1:24" s="5" customFormat="1" x14ac:dyDescent="0.25">
      <c r="A47" s="19">
        <v>6</v>
      </c>
      <c r="B47" s="19" t="s">
        <v>55</v>
      </c>
      <c r="C47" s="19" t="s">
        <v>56</v>
      </c>
      <c r="D47" s="19" t="s">
        <v>208</v>
      </c>
      <c r="E47" s="21">
        <v>46291.634317129632</v>
      </c>
      <c r="F47" s="19">
        <v>3</v>
      </c>
      <c r="G47" s="19">
        <v>8904520801401</v>
      </c>
      <c r="H47" s="19">
        <v>1</v>
      </c>
      <c r="I47" s="19">
        <v>699</v>
      </c>
      <c r="J47" s="19">
        <v>0</v>
      </c>
      <c r="K47" s="19">
        <v>0</v>
      </c>
      <c r="L47" s="19">
        <v>0</v>
      </c>
      <c r="M47" s="19">
        <v>699</v>
      </c>
      <c r="N47" s="19">
        <v>33.28</v>
      </c>
      <c r="O47" s="19">
        <v>5</v>
      </c>
      <c r="P47" s="19" t="s">
        <v>211</v>
      </c>
      <c r="Q47" s="19">
        <v>50157523</v>
      </c>
      <c r="R47" s="19" t="s">
        <v>57</v>
      </c>
      <c r="S47" s="19">
        <v>50195907</v>
      </c>
      <c r="T47" s="19"/>
      <c r="U47" s="19" t="s">
        <v>58</v>
      </c>
      <c r="V47" s="18">
        <v>0</v>
      </c>
      <c r="W47" s="17">
        <f t="shared" si="3"/>
        <v>15</v>
      </c>
      <c r="X47" s="5">
        <f t="shared" si="2"/>
        <v>0</v>
      </c>
    </row>
    <row r="48" spans="1:24" s="5" customFormat="1" x14ac:dyDescent="0.25">
      <c r="A48" s="19">
        <v>6</v>
      </c>
      <c r="B48" s="19" t="s">
        <v>55</v>
      </c>
      <c r="C48" s="19" t="s">
        <v>56</v>
      </c>
      <c r="D48" s="19" t="s">
        <v>208</v>
      </c>
      <c r="E48" s="21">
        <v>46291.634317129632</v>
      </c>
      <c r="F48" s="19">
        <v>3</v>
      </c>
      <c r="G48" s="19">
        <v>8904279501683</v>
      </c>
      <c r="H48" s="19">
        <v>1</v>
      </c>
      <c r="I48" s="19">
        <v>699</v>
      </c>
      <c r="J48" s="19">
        <v>0</v>
      </c>
      <c r="K48" s="19">
        <v>0</v>
      </c>
      <c r="L48" s="19">
        <v>0</v>
      </c>
      <c r="M48" s="19">
        <v>699</v>
      </c>
      <c r="N48" s="19">
        <v>33.28</v>
      </c>
      <c r="O48" s="19">
        <v>5</v>
      </c>
      <c r="P48" s="19" t="s">
        <v>212</v>
      </c>
      <c r="Q48" s="19">
        <v>50157523</v>
      </c>
      <c r="R48" s="19" t="s">
        <v>57</v>
      </c>
      <c r="S48" s="19">
        <v>50195907</v>
      </c>
      <c r="T48" s="19"/>
      <c r="U48" s="19" t="s">
        <v>58</v>
      </c>
      <c r="V48" s="18">
        <v>0</v>
      </c>
      <c r="W48" s="17">
        <f t="shared" si="3"/>
        <v>15</v>
      </c>
      <c r="X48" s="5">
        <f t="shared" si="2"/>
        <v>0</v>
      </c>
    </row>
    <row r="49" spans="1:24" s="5" customFormat="1" x14ac:dyDescent="0.25">
      <c r="A49" s="19">
        <v>6</v>
      </c>
      <c r="B49" s="19" t="s">
        <v>55</v>
      </c>
      <c r="C49" s="19" t="s">
        <v>56</v>
      </c>
      <c r="D49" s="19" t="s">
        <v>208</v>
      </c>
      <c r="E49" s="21">
        <v>46291.634317129632</v>
      </c>
      <c r="F49" s="19">
        <v>3</v>
      </c>
      <c r="G49" s="19">
        <v>8904027127257</v>
      </c>
      <c r="H49" s="19">
        <v>1</v>
      </c>
      <c r="I49" s="19">
        <v>99</v>
      </c>
      <c r="J49" s="19">
        <v>-6.19</v>
      </c>
      <c r="K49" s="19">
        <v>0</v>
      </c>
      <c r="L49" s="19">
        <v>-6.19</v>
      </c>
      <c r="M49" s="19">
        <v>92.81</v>
      </c>
      <c r="N49" s="19">
        <v>4.42</v>
      </c>
      <c r="O49" s="19">
        <v>5</v>
      </c>
      <c r="P49" s="19" t="s">
        <v>153</v>
      </c>
      <c r="Q49" s="19">
        <v>50157523</v>
      </c>
      <c r="R49" s="19" t="s">
        <v>57</v>
      </c>
      <c r="S49" s="19">
        <v>50195907</v>
      </c>
      <c r="T49" s="19"/>
      <c r="U49" s="19" t="s">
        <v>58</v>
      </c>
      <c r="V49" s="18">
        <v>0</v>
      </c>
      <c r="W49" s="17">
        <f t="shared" si="3"/>
        <v>15</v>
      </c>
      <c r="X49" s="5">
        <f t="shared" si="2"/>
        <v>0</v>
      </c>
    </row>
    <row r="50" spans="1:24" s="5" customFormat="1" x14ac:dyDescent="0.25">
      <c r="A50" s="19">
        <v>8</v>
      </c>
      <c r="B50" s="19" t="s">
        <v>55</v>
      </c>
      <c r="C50" s="19" t="s">
        <v>56</v>
      </c>
      <c r="D50" s="19" t="s">
        <v>213</v>
      </c>
      <c r="E50" s="21">
        <v>46291.641921296294</v>
      </c>
      <c r="F50" s="19">
        <v>3</v>
      </c>
      <c r="G50" s="19">
        <v>778988435922</v>
      </c>
      <c r="H50" s="19">
        <v>1</v>
      </c>
      <c r="I50" s="19">
        <v>2799</v>
      </c>
      <c r="J50" s="19">
        <v>0</v>
      </c>
      <c r="K50" s="19">
        <v>0</v>
      </c>
      <c r="L50" s="19">
        <v>0</v>
      </c>
      <c r="M50" s="19">
        <v>2799</v>
      </c>
      <c r="N50" s="19">
        <v>133.28</v>
      </c>
      <c r="O50" s="19">
        <v>5</v>
      </c>
      <c r="P50" s="19" t="s">
        <v>214</v>
      </c>
      <c r="Q50" s="19">
        <v>50157523</v>
      </c>
      <c r="R50" s="19" t="s">
        <v>57</v>
      </c>
      <c r="S50" s="19">
        <v>50000002</v>
      </c>
      <c r="T50" s="19"/>
      <c r="U50" s="19" t="s">
        <v>58</v>
      </c>
      <c r="V50" s="18">
        <v>0</v>
      </c>
      <c r="W50" s="17">
        <f t="shared" si="3"/>
        <v>15</v>
      </c>
      <c r="X50" s="5">
        <f t="shared" si="2"/>
        <v>1</v>
      </c>
    </row>
    <row r="51" spans="1:24" s="5" customFormat="1" x14ac:dyDescent="0.25">
      <c r="A51" s="19">
        <v>28</v>
      </c>
      <c r="B51" s="19" t="s">
        <v>55</v>
      </c>
      <c r="C51" s="19" t="s">
        <v>56</v>
      </c>
      <c r="D51" s="19" t="s">
        <v>215</v>
      </c>
      <c r="E51" s="21">
        <v>46291.64634259259</v>
      </c>
      <c r="F51" s="19">
        <v>3</v>
      </c>
      <c r="G51" s="19">
        <v>8904432220956</v>
      </c>
      <c r="H51" s="19">
        <v>1</v>
      </c>
      <c r="I51" s="19">
        <v>599</v>
      </c>
      <c r="J51" s="19">
        <v>0</v>
      </c>
      <c r="K51" s="19">
        <v>0</v>
      </c>
      <c r="L51" s="19">
        <v>0</v>
      </c>
      <c r="M51" s="19">
        <v>599</v>
      </c>
      <c r="N51" s="19">
        <v>28.52</v>
      </c>
      <c r="O51" s="19">
        <v>5</v>
      </c>
      <c r="P51" s="19" t="s">
        <v>216</v>
      </c>
      <c r="Q51" s="19">
        <v>50170981</v>
      </c>
      <c r="R51" s="19" t="s">
        <v>57</v>
      </c>
      <c r="S51" s="19">
        <v>50188930</v>
      </c>
      <c r="T51" s="19"/>
      <c r="U51" s="19" t="s">
        <v>58</v>
      </c>
      <c r="V51" s="18">
        <v>0</v>
      </c>
      <c r="W51" s="17">
        <f t="shared" si="3"/>
        <v>15</v>
      </c>
      <c r="X51" s="5">
        <f t="shared" si="2"/>
        <v>1</v>
      </c>
    </row>
    <row r="52" spans="1:24" s="5" customFormat="1" x14ac:dyDescent="0.25">
      <c r="A52" s="19">
        <v>30</v>
      </c>
      <c r="B52" s="19" t="s">
        <v>55</v>
      </c>
      <c r="C52" s="19" t="s">
        <v>56</v>
      </c>
      <c r="D52" s="19" t="s">
        <v>217</v>
      </c>
      <c r="E52" s="21">
        <v>46291.649016203701</v>
      </c>
      <c r="F52" s="19">
        <v>3</v>
      </c>
      <c r="G52" s="19">
        <v>8909409263608</v>
      </c>
      <c r="H52" s="19">
        <v>1</v>
      </c>
      <c r="I52" s="19">
        <v>1299</v>
      </c>
      <c r="J52" s="19">
        <v>0</v>
      </c>
      <c r="K52" s="19">
        <v>0</v>
      </c>
      <c r="L52" s="19">
        <v>0</v>
      </c>
      <c r="M52" s="19">
        <v>1299</v>
      </c>
      <c r="N52" s="19">
        <v>61.86</v>
      </c>
      <c r="O52" s="19">
        <v>5</v>
      </c>
      <c r="P52" s="19" t="s">
        <v>218</v>
      </c>
      <c r="Q52" s="19">
        <v>50170981</v>
      </c>
      <c r="R52" s="19" t="s">
        <v>57</v>
      </c>
      <c r="S52" s="19">
        <v>50000002</v>
      </c>
      <c r="T52" s="19"/>
      <c r="U52" s="19" t="s">
        <v>58</v>
      </c>
      <c r="V52" s="18">
        <v>0</v>
      </c>
      <c r="W52" s="17">
        <f t="shared" si="3"/>
        <v>15</v>
      </c>
      <c r="X52" s="5">
        <f t="shared" si="2"/>
        <v>1</v>
      </c>
    </row>
    <row r="53" spans="1:24" s="5" customFormat="1" x14ac:dyDescent="0.25">
      <c r="A53" s="19">
        <v>30</v>
      </c>
      <c r="B53" s="19" t="s">
        <v>55</v>
      </c>
      <c r="C53" s="19" t="s">
        <v>56</v>
      </c>
      <c r="D53" s="19" t="s">
        <v>217</v>
      </c>
      <c r="E53" s="21">
        <v>46291.649016203701</v>
      </c>
      <c r="F53" s="19">
        <v>3</v>
      </c>
      <c r="G53" s="19">
        <v>8908022297861</v>
      </c>
      <c r="H53" s="19">
        <v>1</v>
      </c>
      <c r="I53" s="19">
        <v>999</v>
      </c>
      <c r="J53" s="19">
        <v>0</v>
      </c>
      <c r="K53" s="19">
        <v>0</v>
      </c>
      <c r="L53" s="19">
        <v>0</v>
      </c>
      <c r="M53" s="19">
        <v>999</v>
      </c>
      <c r="N53" s="19">
        <v>0</v>
      </c>
      <c r="O53" s="19">
        <v>0</v>
      </c>
      <c r="P53" s="19" t="s">
        <v>219</v>
      </c>
      <c r="Q53" s="19">
        <v>50170981</v>
      </c>
      <c r="R53" s="19" t="s">
        <v>57</v>
      </c>
      <c r="S53" s="19">
        <v>50000002</v>
      </c>
      <c r="T53" s="19"/>
      <c r="U53" s="19" t="s">
        <v>58</v>
      </c>
      <c r="V53" s="18">
        <v>0</v>
      </c>
      <c r="W53" s="17">
        <f t="shared" si="3"/>
        <v>15</v>
      </c>
      <c r="X53" s="5">
        <f t="shared" si="2"/>
        <v>0</v>
      </c>
    </row>
    <row r="54" spans="1:24" s="5" customFormat="1" x14ac:dyDescent="0.25">
      <c r="A54" s="19">
        <v>34</v>
      </c>
      <c r="B54" s="19" t="s">
        <v>55</v>
      </c>
      <c r="C54" s="19" t="s">
        <v>56</v>
      </c>
      <c r="D54" s="19" t="s">
        <v>220</v>
      </c>
      <c r="E54" s="21">
        <v>46291.657835648148</v>
      </c>
      <c r="F54" s="19">
        <v>3</v>
      </c>
      <c r="G54" s="19">
        <v>8907653091381</v>
      </c>
      <c r="H54" s="19">
        <v>1</v>
      </c>
      <c r="I54" s="19">
        <v>395</v>
      </c>
      <c r="J54" s="19">
        <v>0</v>
      </c>
      <c r="K54" s="19">
        <v>0</v>
      </c>
      <c r="L54" s="19">
        <v>0</v>
      </c>
      <c r="M54" s="19">
        <v>395</v>
      </c>
      <c r="N54" s="19">
        <v>18.8</v>
      </c>
      <c r="O54" s="19">
        <v>5</v>
      </c>
      <c r="P54" s="19" t="s">
        <v>221</v>
      </c>
      <c r="Q54" s="19">
        <v>50170981</v>
      </c>
      <c r="R54" s="19" t="s">
        <v>57</v>
      </c>
      <c r="S54" s="19"/>
      <c r="T54" s="19"/>
      <c r="U54" s="19" t="s">
        <v>58</v>
      </c>
      <c r="V54" s="18">
        <v>0</v>
      </c>
      <c r="W54" s="17">
        <f t="shared" si="3"/>
        <v>15</v>
      </c>
      <c r="X54" s="5">
        <f t="shared" si="2"/>
        <v>1</v>
      </c>
    </row>
    <row r="55" spans="1:24" s="5" customFormat="1" x14ac:dyDescent="0.25">
      <c r="A55" s="19">
        <v>36</v>
      </c>
      <c r="B55" s="19" t="s">
        <v>55</v>
      </c>
      <c r="C55" s="19" t="s">
        <v>56</v>
      </c>
      <c r="D55" s="19" t="s">
        <v>222</v>
      </c>
      <c r="E55" s="21">
        <v>46291.659131944441</v>
      </c>
      <c r="F55" s="19">
        <v>3</v>
      </c>
      <c r="G55" s="19">
        <v>8909409261604</v>
      </c>
      <c r="H55" s="19">
        <v>1</v>
      </c>
      <c r="I55" s="19">
        <v>799</v>
      </c>
      <c r="J55" s="19">
        <v>-181.76</v>
      </c>
      <c r="K55" s="19">
        <v>0</v>
      </c>
      <c r="L55" s="19">
        <v>-181.76</v>
      </c>
      <c r="M55" s="19">
        <v>617.24</v>
      </c>
      <c r="N55" s="19">
        <v>29.4</v>
      </c>
      <c r="O55" s="19">
        <v>5</v>
      </c>
      <c r="P55" s="19" t="s">
        <v>223</v>
      </c>
      <c r="Q55" s="19">
        <v>50170981</v>
      </c>
      <c r="R55" s="19" t="s">
        <v>57</v>
      </c>
      <c r="S55" s="19">
        <v>50000003</v>
      </c>
      <c r="T55" s="19"/>
      <c r="U55" s="19" t="s">
        <v>58</v>
      </c>
      <c r="V55" s="18">
        <v>0</v>
      </c>
      <c r="W55" s="17">
        <f t="shared" si="3"/>
        <v>15</v>
      </c>
      <c r="X55" s="5">
        <f t="shared" si="2"/>
        <v>1</v>
      </c>
    </row>
    <row r="56" spans="1:24" s="5" customFormat="1" x14ac:dyDescent="0.25">
      <c r="A56" s="19">
        <v>36</v>
      </c>
      <c r="B56" s="19" t="s">
        <v>55</v>
      </c>
      <c r="C56" s="19" t="s">
        <v>56</v>
      </c>
      <c r="D56" s="19" t="s">
        <v>222</v>
      </c>
      <c r="E56" s="21">
        <v>46291.659131944441</v>
      </c>
      <c r="F56" s="19">
        <v>3</v>
      </c>
      <c r="G56" s="19">
        <v>74299018060</v>
      </c>
      <c r="H56" s="19">
        <v>1</v>
      </c>
      <c r="I56" s="19">
        <v>899</v>
      </c>
      <c r="J56" s="19">
        <v>-204.5</v>
      </c>
      <c r="K56" s="19">
        <v>0</v>
      </c>
      <c r="L56" s="19">
        <v>-204.5</v>
      </c>
      <c r="M56" s="19">
        <v>694.5</v>
      </c>
      <c r="N56" s="19">
        <v>33.08</v>
      </c>
      <c r="O56" s="19">
        <v>5</v>
      </c>
      <c r="P56" s="19" t="s">
        <v>142</v>
      </c>
      <c r="Q56" s="19">
        <v>50170981</v>
      </c>
      <c r="R56" s="19" t="s">
        <v>57</v>
      </c>
      <c r="S56" s="19">
        <v>50195907</v>
      </c>
      <c r="T56" s="19"/>
      <c r="U56" s="19" t="s">
        <v>58</v>
      </c>
      <c r="V56" s="18">
        <v>0</v>
      </c>
      <c r="W56" s="17">
        <f t="shared" si="3"/>
        <v>15</v>
      </c>
      <c r="X56" s="5">
        <f t="shared" si="2"/>
        <v>0</v>
      </c>
    </row>
    <row r="57" spans="1:24" s="5" customFormat="1" x14ac:dyDescent="0.25">
      <c r="A57" s="19">
        <v>9</v>
      </c>
      <c r="B57" s="19" t="s">
        <v>55</v>
      </c>
      <c r="C57" s="19" t="s">
        <v>56</v>
      </c>
      <c r="D57" s="19" t="s">
        <v>224</v>
      </c>
      <c r="E57" s="21">
        <v>46291.662106481483</v>
      </c>
      <c r="F57" s="19">
        <v>3</v>
      </c>
      <c r="G57" s="19">
        <v>74299018060</v>
      </c>
      <c r="H57" s="19">
        <v>1</v>
      </c>
      <c r="I57" s="19">
        <v>899</v>
      </c>
      <c r="J57" s="19">
        <v>0</v>
      </c>
      <c r="K57" s="19">
        <v>0</v>
      </c>
      <c r="L57" s="19">
        <v>0</v>
      </c>
      <c r="M57" s="19">
        <v>899</v>
      </c>
      <c r="N57" s="19">
        <v>42.8</v>
      </c>
      <c r="O57" s="19">
        <v>5</v>
      </c>
      <c r="P57" s="19" t="s">
        <v>142</v>
      </c>
      <c r="Q57" s="19">
        <v>50157523</v>
      </c>
      <c r="R57" s="19" t="s">
        <v>57</v>
      </c>
      <c r="S57" s="19">
        <v>50188930</v>
      </c>
      <c r="T57" s="19"/>
      <c r="U57" s="19" t="s">
        <v>58</v>
      </c>
      <c r="V57" s="18">
        <v>0</v>
      </c>
      <c r="W57" s="17">
        <f t="shared" si="3"/>
        <v>15</v>
      </c>
      <c r="X57" s="5">
        <f t="shared" si="2"/>
        <v>1</v>
      </c>
    </row>
    <row r="58" spans="1:24" s="5" customFormat="1" x14ac:dyDescent="0.25">
      <c r="A58" s="19">
        <v>9</v>
      </c>
      <c r="B58" s="19" t="s">
        <v>55</v>
      </c>
      <c r="C58" s="19" t="s">
        <v>56</v>
      </c>
      <c r="D58" s="19" t="s">
        <v>224</v>
      </c>
      <c r="E58" s="21">
        <v>46291.662106481483</v>
      </c>
      <c r="F58" s="19">
        <v>3</v>
      </c>
      <c r="G58" s="19">
        <v>8906169662467</v>
      </c>
      <c r="H58" s="19">
        <v>1</v>
      </c>
      <c r="I58" s="19">
        <v>999</v>
      </c>
      <c r="J58" s="19">
        <v>0</v>
      </c>
      <c r="K58" s="19">
        <v>0</v>
      </c>
      <c r="L58" s="19">
        <v>0</v>
      </c>
      <c r="M58" s="19">
        <v>999</v>
      </c>
      <c r="N58" s="19">
        <v>152.38</v>
      </c>
      <c r="O58" s="19">
        <v>18</v>
      </c>
      <c r="P58" s="19" t="s">
        <v>225</v>
      </c>
      <c r="Q58" s="19">
        <v>50157523</v>
      </c>
      <c r="R58" s="19" t="s">
        <v>57</v>
      </c>
      <c r="S58" s="19">
        <v>50000003</v>
      </c>
      <c r="T58" s="19"/>
      <c r="U58" s="19" t="s">
        <v>58</v>
      </c>
      <c r="V58" s="18">
        <v>0</v>
      </c>
      <c r="W58" s="17">
        <f t="shared" si="3"/>
        <v>15</v>
      </c>
      <c r="X58" s="5">
        <f t="shared" si="2"/>
        <v>0</v>
      </c>
    </row>
    <row r="59" spans="1:24" s="5" customFormat="1" x14ac:dyDescent="0.25">
      <c r="A59" s="19">
        <v>43</v>
      </c>
      <c r="B59" s="19" t="s">
        <v>55</v>
      </c>
      <c r="C59" s="19" t="s">
        <v>56</v>
      </c>
      <c r="D59" s="19" t="s">
        <v>226</v>
      </c>
      <c r="E59" s="21">
        <v>46291.684733796297</v>
      </c>
      <c r="F59" s="19">
        <v>3</v>
      </c>
      <c r="G59" s="19">
        <v>8904520800701</v>
      </c>
      <c r="H59" s="19">
        <v>1</v>
      </c>
      <c r="I59" s="19">
        <v>1199</v>
      </c>
      <c r="J59" s="19">
        <v>-444.18</v>
      </c>
      <c r="K59" s="19">
        <v>0</v>
      </c>
      <c r="L59" s="19">
        <v>-444.18</v>
      </c>
      <c r="M59" s="19">
        <v>754.82</v>
      </c>
      <c r="N59" s="19">
        <v>35.94</v>
      </c>
      <c r="O59" s="19">
        <v>5</v>
      </c>
      <c r="P59" s="19" t="s">
        <v>150</v>
      </c>
      <c r="Q59" s="19">
        <v>50170981</v>
      </c>
      <c r="R59" s="19" t="s">
        <v>57</v>
      </c>
      <c r="S59" s="19">
        <v>50195907</v>
      </c>
      <c r="T59" s="19"/>
      <c r="U59" s="19" t="s">
        <v>58</v>
      </c>
      <c r="V59" s="18">
        <v>0</v>
      </c>
      <c r="W59" s="17">
        <f t="shared" si="3"/>
        <v>16</v>
      </c>
      <c r="X59" s="5">
        <f t="shared" si="2"/>
        <v>1</v>
      </c>
    </row>
    <row r="60" spans="1:24" s="5" customFormat="1" x14ac:dyDescent="0.25">
      <c r="A60" s="19">
        <v>43</v>
      </c>
      <c r="B60" s="19" t="s">
        <v>55</v>
      </c>
      <c r="C60" s="19" t="s">
        <v>56</v>
      </c>
      <c r="D60" s="19" t="s">
        <v>226</v>
      </c>
      <c r="E60" s="21">
        <v>46291.684733796297</v>
      </c>
      <c r="F60" s="19">
        <v>3</v>
      </c>
      <c r="G60" s="19">
        <v>8904520800701</v>
      </c>
      <c r="H60" s="19">
        <v>1</v>
      </c>
      <c r="I60" s="19">
        <v>1199</v>
      </c>
      <c r="J60" s="19">
        <v>-444.18</v>
      </c>
      <c r="K60" s="19">
        <v>0</v>
      </c>
      <c r="L60" s="19">
        <v>-444.18</v>
      </c>
      <c r="M60" s="19">
        <v>754.82</v>
      </c>
      <c r="N60" s="19">
        <v>35.94</v>
      </c>
      <c r="O60" s="19">
        <v>5</v>
      </c>
      <c r="P60" s="19" t="s">
        <v>150</v>
      </c>
      <c r="Q60" s="19">
        <v>50170981</v>
      </c>
      <c r="R60" s="19" t="s">
        <v>57</v>
      </c>
      <c r="S60" s="19">
        <v>50195907</v>
      </c>
      <c r="T60" s="19"/>
      <c r="U60" s="19" t="s">
        <v>58</v>
      </c>
      <c r="V60" s="18">
        <v>0</v>
      </c>
      <c r="W60" s="17">
        <f t="shared" si="3"/>
        <v>16</v>
      </c>
      <c r="X60" s="5">
        <f t="shared" si="2"/>
        <v>0</v>
      </c>
    </row>
    <row r="61" spans="1:24" s="5" customFormat="1" x14ac:dyDescent="0.25">
      <c r="A61" s="19">
        <v>43</v>
      </c>
      <c r="B61" s="19" t="s">
        <v>55</v>
      </c>
      <c r="C61" s="19" t="s">
        <v>56</v>
      </c>
      <c r="D61" s="19" t="s">
        <v>226</v>
      </c>
      <c r="E61" s="21">
        <v>46291.684733796297</v>
      </c>
      <c r="F61" s="19">
        <v>3</v>
      </c>
      <c r="G61" s="19">
        <v>494500285</v>
      </c>
      <c r="H61" s="19">
        <v>1</v>
      </c>
      <c r="I61" s="19">
        <v>1999</v>
      </c>
      <c r="J61" s="19">
        <v>-740.55</v>
      </c>
      <c r="K61" s="19">
        <v>0</v>
      </c>
      <c r="L61" s="19">
        <v>-740.55</v>
      </c>
      <c r="M61" s="19">
        <v>1258.45</v>
      </c>
      <c r="N61" s="19">
        <v>191.96</v>
      </c>
      <c r="O61" s="19">
        <v>18</v>
      </c>
      <c r="P61" s="19" t="s">
        <v>137</v>
      </c>
      <c r="Q61" s="19">
        <v>50170981</v>
      </c>
      <c r="R61" s="19" t="s">
        <v>57</v>
      </c>
      <c r="S61" s="19"/>
      <c r="T61" s="19"/>
      <c r="U61" s="19" t="s">
        <v>58</v>
      </c>
      <c r="V61" s="18">
        <v>0</v>
      </c>
      <c r="W61" s="17">
        <f t="shared" si="3"/>
        <v>16</v>
      </c>
      <c r="X61" s="5">
        <f t="shared" si="2"/>
        <v>0</v>
      </c>
    </row>
    <row r="62" spans="1:24" s="5" customFormat="1" x14ac:dyDescent="0.25">
      <c r="A62" s="19">
        <v>43</v>
      </c>
      <c r="B62" s="19" t="s">
        <v>55</v>
      </c>
      <c r="C62" s="19" t="s">
        <v>56</v>
      </c>
      <c r="D62" s="19" t="s">
        <v>226</v>
      </c>
      <c r="E62" s="21">
        <v>46291.684733796297</v>
      </c>
      <c r="F62" s="19">
        <v>3</v>
      </c>
      <c r="G62" s="19">
        <v>8904520800657</v>
      </c>
      <c r="H62" s="19">
        <v>1</v>
      </c>
      <c r="I62" s="19">
        <v>999</v>
      </c>
      <c r="J62" s="19">
        <v>-370.09</v>
      </c>
      <c r="K62" s="19">
        <v>0</v>
      </c>
      <c r="L62" s="19">
        <v>-370.09</v>
      </c>
      <c r="M62" s="19">
        <v>628.91</v>
      </c>
      <c r="N62" s="19">
        <v>29.94</v>
      </c>
      <c r="O62" s="19">
        <v>5</v>
      </c>
      <c r="P62" s="19" t="s">
        <v>150</v>
      </c>
      <c r="Q62" s="19">
        <v>50170981</v>
      </c>
      <c r="R62" s="19" t="s">
        <v>57</v>
      </c>
      <c r="S62" s="19">
        <v>50195907</v>
      </c>
      <c r="T62" s="19"/>
      <c r="U62" s="19" t="s">
        <v>58</v>
      </c>
      <c r="V62" s="18">
        <v>0</v>
      </c>
      <c r="W62" s="17">
        <f t="shared" si="3"/>
        <v>16</v>
      </c>
      <c r="X62" s="5">
        <f t="shared" si="2"/>
        <v>0</v>
      </c>
    </row>
    <row r="63" spans="1:24" s="5" customFormat="1" x14ac:dyDescent="0.25">
      <c r="A63" s="19">
        <v>14</v>
      </c>
      <c r="B63" s="19" t="s">
        <v>55</v>
      </c>
      <c r="C63" s="19" t="s">
        <v>56</v>
      </c>
      <c r="D63" s="19" t="s">
        <v>227</v>
      </c>
      <c r="E63" s="21">
        <v>46291.68482638889</v>
      </c>
      <c r="F63" s="19">
        <v>3</v>
      </c>
      <c r="G63" s="19">
        <v>78206020016</v>
      </c>
      <c r="H63" s="19">
        <v>1</v>
      </c>
      <c r="I63" s="19">
        <v>149</v>
      </c>
      <c r="J63" s="19">
        <v>0</v>
      </c>
      <c r="K63" s="19">
        <v>0</v>
      </c>
      <c r="L63" s="19">
        <v>0</v>
      </c>
      <c r="M63" s="19">
        <v>149</v>
      </c>
      <c r="N63" s="19">
        <v>7.1</v>
      </c>
      <c r="O63" s="19">
        <v>5</v>
      </c>
      <c r="P63" s="19" t="s">
        <v>228</v>
      </c>
      <c r="Q63" s="19">
        <v>50157523</v>
      </c>
      <c r="R63" s="19" t="s">
        <v>57</v>
      </c>
      <c r="S63" s="19">
        <v>50201915</v>
      </c>
      <c r="T63" s="19"/>
      <c r="U63" s="19" t="s">
        <v>58</v>
      </c>
      <c r="V63" s="18">
        <v>0</v>
      </c>
      <c r="W63" s="17">
        <f t="shared" si="3"/>
        <v>16</v>
      </c>
      <c r="X63" s="5">
        <f t="shared" si="2"/>
        <v>1</v>
      </c>
    </row>
    <row r="64" spans="1:24" s="5" customFormat="1" x14ac:dyDescent="0.25">
      <c r="A64" s="19">
        <v>44</v>
      </c>
      <c r="B64" s="19" t="s">
        <v>55</v>
      </c>
      <c r="C64" s="19" t="s">
        <v>56</v>
      </c>
      <c r="D64" s="19" t="s">
        <v>229</v>
      </c>
      <c r="E64" s="21">
        <v>46291.686539351853</v>
      </c>
      <c r="F64" s="19">
        <v>3</v>
      </c>
      <c r="G64" s="19">
        <v>8904384330079</v>
      </c>
      <c r="H64" s="19">
        <v>1</v>
      </c>
      <c r="I64" s="19">
        <v>1999</v>
      </c>
      <c r="J64" s="19">
        <v>-571.1</v>
      </c>
      <c r="K64" s="19">
        <v>0</v>
      </c>
      <c r="L64" s="19">
        <v>-571.1</v>
      </c>
      <c r="M64" s="19">
        <v>1427.9</v>
      </c>
      <c r="N64" s="19">
        <v>217.82</v>
      </c>
      <c r="O64" s="19">
        <v>18</v>
      </c>
      <c r="P64" s="19" t="s">
        <v>230</v>
      </c>
      <c r="Q64" s="19">
        <v>50170981</v>
      </c>
      <c r="R64" s="19" t="s">
        <v>57</v>
      </c>
      <c r="S64" s="19">
        <v>50195907</v>
      </c>
      <c r="T64" s="19"/>
      <c r="U64" s="19" t="s">
        <v>58</v>
      </c>
      <c r="V64" s="18">
        <v>0</v>
      </c>
      <c r="W64" s="17">
        <f t="shared" si="3"/>
        <v>16</v>
      </c>
      <c r="X64" s="5">
        <f t="shared" si="2"/>
        <v>1</v>
      </c>
    </row>
    <row r="65" spans="1:24" s="5" customFormat="1" x14ac:dyDescent="0.25">
      <c r="A65" s="19">
        <v>44</v>
      </c>
      <c r="B65" s="19" t="s">
        <v>55</v>
      </c>
      <c r="C65" s="19" t="s">
        <v>56</v>
      </c>
      <c r="D65" s="19" t="s">
        <v>229</v>
      </c>
      <c r="E65" s="21">
        <v>46291.686539351853</v>
      </c>
      <c r="F65" s="19">
        <v>3</v>
      </c>
      <c r="G65" s="19">
        <v>494500285</v>
      </c>
      <c r="H65" s="19">
        <v>1</v>
      </c>
      <c r="I65" s="19">
        <v>1999</v>
      </c>
      <c r="J65" s="19">
        <v>-571.1</v>
      </c>
      <c r="K65" s="19">
        <v>0</v>
      </c>
      <c r="L65" s="19">
        <v>-571.1</v>
      </c>
      <c r="M65" s="19">
        <v>1427.9</v>
      </c>
      <c r="N65" s="19">
        <v>217.82</v>
      </c>
      <c r="O65" s="19">
        <v>18</v>
      </c>
      <c r="P65" s="19" t="s">
        <v>137</v>
      </c>
      <c r="Q65" s="19">
        <v>50170981</v>
      </c>
      <c r="R65" s="19" t="s">
        <v>57</v>
      </c>
      <c r="S65" s="19"/>
      <c r="T65" s="19"/>
      <c r="U65" s="19" t="s">
        <v>58</v>
      </c>
      <c r="V65" s="18">
        <v>0</v>
      </c>
      <c r="W65" s="17">
        <f t="shared" si="3"/>
        <v>16</v>
      </c>
      <c r="X65" s="5">
        <f t="shared" si="2"/>
        <v>0</v>
      </c>
    </row>
    <row r="66" spans="1:24" s="5" customFormat="1" x14ac:dyDescent="0.25">
      <c r="A66" s="19">
        <v>44</v>
      </c>
      <c r="B66" s="19" t="s">
        <v>55</v>
      </c>
      <c r="C66" s="19" t="s">
        <v>56</v>
      </c>
      <c r="D66" s="19" t="s">
        <v>229</v>
      </c>
      <c r="E66" s="21">
        <v>46291.686539351853</v>
      </c>
      <c r="F66" s="19">
        <v>3</v>
      </c>
      <c r="G66" s="19">
        <v>8904384330062</v>
      </c>
      <c r="H66" s="19">
        <v>1</v>
      </c>
      <c r="I66" s="19">
        <v>2499</v>
      </c>
      <c r="J66" s="19">
        <v>-713.95</v>
      </c>
      <c r="K66" s="19">
        <v>0</v>
      </c>
      <c r="L66" s="19">
        <v>-713.95</v>
      </c>
      <c r="M66" s="19">
        <v>1785.05</v>
      </c>
      <c r="N66" s="19">
        <v>272.3</v>
      </c>
      <c r="O66" s="19">
        <v>18</v>
      </c>
      <c r="P66" s="19" t="s">
        <v>231</v>
      </c>
      <c r="Q66" s="19">
        <v>50170981</v>
      </c>
      <c r="R66" s="19" t="s">
        <v>57</v>
      </c>
      <c r="S66" s="19">
        <v>50195907</v>
      </c>
      <c r="T66" s="19"/>
      <c r="U66" s="19" t="s">
        <v>58</v>
      </c>
      <c r="V66" s="18">
        <v>0</v>
      </c>
      <c r="W66" s="17">
        <f t="shared" si="3"/>
        <v>16</v>
      </c>
      <c r="X66" s="5">
        <f t="shared" si="2"/>
        <v>0</v>
      </c>
    </row>
    <row r="67" spans="1:24" s="5" customFormat="1" x14ac:dyDescent="0.25">
      <c r="A67" s="19">
        <v>45</v>
      </c>
      <c r="B67" s="19" t="s">
        <v>55</v>
      </c>
      <c r="C67" s="19" t="s">
        <v>56</v>
      </c>
      <c r="D67" s="19" t="s">
        <v>232</v>
      </c>
      <c r="E67" s="21">
        <v>46291.688356481478</v>
      </c>
      <c r="F67" s="19">
        <v>3</v>
      </c>
      <c r="G67" s="19">
        <v>5000394121171</v>
      </c>
      <c r="H67" s="19">
        <v>1</v>
      </c>
      <c r="I67" s="19">
        <v>120</v>
      </c>
      <c r="J67" s="19">
        <v>-34.78</v>
      </c>
      <c r="K67" s="19">
        <v>0</v>
      </c>
      <c r="L67" s="19">
        <v>-34.78</v>
      </c>
      <c r="M67" s="19">
        <v>85.22</v>
      </c>
      <c r="N67" s="19">
        <v>13</v>
      </c>
      <c r="O67" s="19">
        <v>18</v>
      </c>
      <c r="P67" s="19" t="s">
        <v>143</v>
      </c>
      <c r="Q67" s="19">
        <v>50170981</v>
      </c>
      <c r="R67" s="19" t="s">
        <v>57</v>
      </c>
      <c r="S67" s="19"/>
      <c r="T67" s="19"/>
      <c r="U67" s="19" t="s">
        <v>58</v>
      </c>
      <c r="V67" s="18">
        <v>0</v>
      </c>
      <c r="W67" s="17">
        <f t="shared" ref="W67:W130" si="4">HOUR(E67)</f>
        <v>16</v>
      </c>
      <c r="X67" s="5">
        <f t="shared" ref="X67:X130" si="5">IF(D67=D66,0,1)</f>
        <v>1</v>
      </c>
    </row>
    <row r="68" spans="1:24" s="5" customFormat="1" x14ac:dyDescent="0.25">
      <c r="A68" s="19">
        <v>45</v>
      </c>
      <c r="B68" s="19" t="s">
        <v>55</v>
      </c>
      <c r="C68" s="19" t="s">
        <v>56</v>
      </c>
      <c r="D68" s="19" t="s">
        <v>232</v>
      </c>
      <c r="E68" s="21">
        <v>46291.688356481478</v>
      </c>
      <c r="F68" s="19">
        <v>3</v>
      </c>
      <c r="G68" s="19">
        <v>5000394121171</v>
      </c>
      <c r="H68" s="19">
        <v>1</v>
      </c>
      <c r="I68" s="19">
        <v>120</v>
      </c>
      <c r="J68" s="19">
        <v>-34.78</v>
      </c>
      <c r="K68" s="19">
        <v>0</v>
      </c>
      <c r="L68" s="19">
        <v>-34.78</v>
      </c>
      <c r="M68" s="19">
        <v>85.22</v>
      </c>
      <c r="N68" s="19">
        <v>13</v>
      </c>
      <c r="O68" s="19">
        <v>18</v>
      </c>
      <c r="P68" s="19" t="s">
        <v>143</v>
      </c>
      <c r="Q68" s="19">
        <v>50170981</v>
      </c>
      <c r="R68" s="19" t="s">
        <v>57</v>
      </c>
      <c r="S68" s="19"/>
      <c r="T68" s="19"/>
      <c r="U68" s="19" t="s">
        <v>58</v>
      </c>
      <c r="V68" s="18">
        <v>0</v>
      </c>
      <c r="W68" s="17">
        <f t="shared" si="4"/>
        <v>16</v>
      </c>
      <c r="X68" s="5">
        <f t="shared" si="5"/>
        <v>0</v>
      </c>
    </row>
    <row r="69" spans="1:24" s="5" customFormat="1" x14ac:dyDescent="0.25">
      <c r="A69" s="19">
        <v>45</v>
      </c>
      <c r="B69" s="19" t="s">
        <v>55</v>
      </c>
      <c r="C69" s="19" t="s">
        <v>56</v>
      </c>
      <c r="D69" s="19" t="s">
        <v>232</v>
      </c>
      <c r="E69" s="21">
        <v>46291.688356481478</v>
      </c>
      <c r="F69" s="19">
        <v>3</v>
      </c>
      <c r="G69" s="19">
        <v>5000394121171</v>
      </c>
      <c r="H69" s="19">
        <v>1</v>
      </c>
      <c r="I69" s="19">
        <v>120</v>
      </c>
      <c r="J69" s="19">
        <v>-34.78</v>
      </c>
      <c r="K69" s="19">
        <v>0</v>
      </c>
      <c r="L69" s="19">
        <v>-34.78</v>
      </c>
      <c r="M69" s="19">
        <v>85.22</v>
      </c>
      <c r="N69" s="19">
        <v>13</v>
      </c>
      <c r="O69" s="19">
        <v>18</v>
      </c>
      <c r="P69" s="19" t="s">
        <v>143</v>
      </c>
      <c r="Q69" s="19">
        <v>50170981</v>
      </c>
      <c r="R69" s="19" t="s">
        <v>57</v>
      </c>
      <c r="S69" s="19"/>
      <c r="T69" s="19"/>
      <c r="U69" s="19" t="s">
        <v>58</v>
      </c>
      <c r="V69" s="18">
        <v>0</v>
      </c>
      <c r="W69" s="17">
        <f t="shared" si="4"/>
        <v>16</v>
      </c>
      <c r="X69" s="5">
        <f t="shared" si="5"/>
        <v>0</v>
      </c>
    </row>
    <row r="70" spans="1:24" s="5" customFormat="1" x14ac:dyDescent="0.25">
      <c r="A70" s="19">
        <v>45</v>
      </c>
      <c r="B70" s="19" t="s">
        <v>55</v>
      </c>
      <c r="C70" s="19" t="s">
        <v>56</v>
      </c>
      <c r="D70" s="19" t="s">
        <v>232</v>
      </c>
      <c r="E70" s="21">
        <v>46291.688356481478</v>
      </c>
      <c r="F70" s="19">
        <v>3</v>
      </c>
      <c r="G70" s="19">
        <v>5000394121171</v>
      </c>
      <c r="H70" s="19">
        <v>1</v>
      </c>
      <c r="I70" s="19">
        <v>120</v>
      </c>
      <c r="J70" s="19">
        <v>-34.78</v>
      </c>
      <c r="K70" s="19">
        <v>0</v>
      </c>
      <c r="L70" s="19">
        <v>-34.78</v>
      </c>
      <c r="M70" s="19">
        <v>85.22</v>
      </c>
      <c r="N70" s="19">
        <v>13</v>
      </c>
      <c r="O70" s="19">
        <v>18</v>
      </c>
      <c r="P70" s="19" t="s">
        <v>143</v>
      </c>
      <c r="Q70" s="19">
        <v>50170981</v>
      </c>
      <c r="R70" s="19" t="s">
        <v>57</v>
      </c>
      <c r="S70" s="19"/>
      <c r="T70" s="19"/>
      <c r="U70" s="19" t="s">
        <v>58</v>
      </c>
      <c r="V70" s="18">
        <v>0</v>
      </c>
      <c r="W70" s="17">
        <f t="shared" si="4"/>
        <v>16</v>
      </c>
      <c r="X70" s="5">
        <f t="shared" si="5"/>
        <v>0</v>
      </c>
    </row>
    <row r="71" spans="1:24" s="5" customFormat="1" x14ac:dyDescent="0.25">
      <c r="A71" s="19">
        <v>45</v>
      </c>
      <c r="B71" s="19" t="s">
        <v>55</v>
      </c>
      <c r="C71" s="19" t="s">
        <v>56</v>
      </c>
      <c r="D71" s="19" t="s">
        <v>232</v>
      </c>
      <c r="E71" s="21">
        <v>46291.688356481478</v>
      </c>
      <c r="F71" s="19">
        <v>3</v>
      </c>
      <c r="G71" s="19">
        <v>5000394121171</v>
      </c>
      <c r="H71" s="19">
        <v>1</v>
      </c>
      <c r="I71" s="19">
        <v>120</v>
      </c>
      <c r="J71" s="19">
        <v>-34.78</v>
      </c>
      <c r="K71" s="19">
        <v>0</v>
      </c>
      <c r="L71" s="19">
        <v>-34.78</v>
      </c>
      <c r="M71" s="19">
        <v>85.22</v>
      </c>
      <c r="N71" s="19">
        <v>13</v>
      </c>
      <c r="O71" s="19">
        <v>18</v>
      </c>
      <c r="P71" s="19" t="s">
        <v>143</v>
      </c>
      <c r="Q71" s="19">
        <v>50170981</v>
      </c>
      <c r="R71" s="19" t="s">
        <v>57</v>
      </c>
      <c r="S71" s="19"/>
      <c r="T71" s="19"/>
      <c r="U71" s="19" t="s">
        <v>58</v>
      </c>
      <c r="V71" s="18">
        <v>0</v>
      </c>
      <c r="W71" s="17">
        <f t="shared" si="4"/>
        <v>16</v>
      </c>
      <c r="X71" s="5">
        <f t="shared" si="5"/>
        <v>0</v>
      </c>
    </row>
    <row r="72" spans="1:24" s="5" customFormat="1" x14ac:dyDescent="0.25">
      <c r="A72" s="19">
        <v>45</v>
      </c>
      <c r="B72" s="19" t="s">
        <v>55</v>
      </c>
      <c r="C72" s="19" t="s">
        <v>56</v>
      </c>
      <c r="D72" s="19" t="s">
        <v>232</v>
      </c>
      <c r="E72" s="21">
        <v>46291.688356481478</v>
      </c>
      <c r="F72" s="19">
        <v>3</v>
      </c>
      <c r="G72" s="19">
        <v>494500285</v>
      </c>
      <c r="H72" s="19">
        <v>1</v>
      </c>
      <c r="I72" s="19">
        <v>1999</v>
      </c>
      <c r="J72" s="19">
        <v>-579.27</v>
      </c>
      <c r="K72" s="19">
        <v>0</v>
      </c>
      <c r="L72" s="19">
        <v>-579.27</v>
      </c>
      <c r="M72" s="19">
        <v>1419.73</v>
      </c>
      <c r="N72" s="19">
        <v>216.56</v>
      </c>
      <c r="O72" s="19">
        <v>18</v>
      </c>
      <c r="P72" s="19" t="s">
        <v>137</v>
      </c>
      <c r="Q72" s="19">
        <v>50170981</v>
      </c>
      <c r="R72" s="19" t="s">
        <v>57</v>
      </c>
      <c r="S72" s="19"/>
      <c r="T72" s="19"/>
      <c r="U72" s="19" t="s">
        <v>58</v>
      </c>
      <c r="V72" s="18">
        <v>0</v>
      </c>
      <c r="W72" s="17">
        <f t="shared" si="4"/>
        <v>16</v>
      </c>
      <c r="X72" s="5">
        <f t="shared" si="5"/>
        <v>0</v>
      </c>
    </row>
    <row r="73" spans="1:24" s="5" customFormat="1" x14ac:dyDescent="0.25">
      <c r="A73" s="19">
        <v>45</v>
      </c>
      <c r="B73" s="19" t="s">
        <v>55</v>
      </c>
      <c r="C73" s="19" t="s">
        <v>56</v>
      </c>
      <c r="D73" s="19" t="s">
        <v>232</v>
      </c>
      <c r="E73" s="21">
        <v>46291.688356481478</v>
      </c>
      <c r="F73" s="19">
        <v>3</v>
      </c>
      <c r="G73" s="19">
        <v>8904384330093</v>
      </c>
      <c r="H73" s="19">
        <v>1</v>
      </c>
      <c r="I73" s="19">
        <v>4299</v>
      </c>
      <c r="J73" s="19">
        <v>-1245.83</v>
      </c>
      <c r="K73" s="19">
        <v>0</v>
      </c>
      <c r="L73" s="19">
        <v>-1245.83</v>
      </c>
      <c r="M73" s="19">
        <v>3053.17</v>
      </c>
      <c r="N73" s="19">
        <v>465.74</v>
      </c>
      <c r="O73" s="19">
        <v>18</v>
      </c>
      <c r="P73" s="19" t="s">
        <v>233</v>
      </c>
      <c r="Q73" s="19">
        <v>50170981</v>
      </c>
      <c r="R73" s="19" t="s">
        <v>57</v>
      </c>
      <c r="S73" s="19">
        <v>50195907</v>
      </c>
      <c r="T73" s="19"/>
      <c r="U73" s="19" t="s">
        <v>58</v>
      </c>
      <c r="V73" s="18">
        <v>0</v>
      </c>
      <c r="W73" s="17">
        <f t="shared" si="4"/>
        <v>16</v>
      </c>
      <c r="X73" s="5">
        <f t="shared" si="5"/>
        <v>0</v>
      </c>
    </row>
    <row r="74" spans="1:24" s="5" customFormat="1" x14ac:dyDescent="0.25">
      <c r="A74" s="19">
        <v>17</v>
      </c>
      <c r="B74" s="19" t="s">
        <v>55</v>
      </c>
      <c r="C74" s="19" t="s">
        <v>56</v>
      </c>
      <c r="D74" s="19" t="s">
        <v>234</v>
      </c>
      <c r="E74" s="21">
        <v>46291.688506944447</v>
      </c>
      <c r="F74" s="19">
        <v>3</v>
      </c>
      <c r="G74" s="19">
        <v>5702017815268</v>
      </c>
      <c r="H74" s="19">
        <v>1</v>
      </c>
      <c r="I74" s="19">
        <v>2290</v>
      </c>
      <c r="J74" s="19">
        <v>-348.13</v>
      </c>
      <c r="K74" s="19">
        <v>0</v>
      </c>
      <c r="L74" s="19">
        <v>-348.13</v>
      </c>
      <c r="M74" s="19">
        <v>1941.87</v>
      </c>
      <c r="N74" s="19">
        <v>92.48</v>
      </c>
      <c r="O74" s="19">
        <v>5</v>
      </c>
      <c r="P74" s="19" t="s">
        <v>235</v>
      </c>
      <c r="Q74" s="19">
        <v>50157523</v>
      </c>
      <c r="R74" s="19" t="s">
        <v>57</v>
      </c>
      <c r="S74" s="19">
        <v>50195439</v>
      </c>
      <c r="T74" s="19"/>
      <c r="U74" s="19" t="s">
        <v>58</v>
      </c>
      <c r="V74" s="18">
        <v>0</v>
      </c>
      <c r="W74" s="17">
        <f t="shared" si="4"/>
        <v>16</v>
      </c>
      <c r="X74" s="5">
        <f t="shared" si="5"/>
        <v>1</v>
      </c>
    </row>
    <row r="75" spans="1:24" s="5" customFormat="1" x14ac:dyDescent="0.25">
      <c r="A75" s="19">
        <v>17</v>
      </c>
      <c r="B75" s="19" t="s">
        <v>55</v>
      </c>
      <c r="C75" s="19" t="s">
        <v>56</v>
      </c>
      <c r="D75" s="19" t="s">
        <v>234</v>
      </c>
      <c r="E75" s="21">
        <v>46291.688506944447</v>
      </c>
      <c r="F75" s="19">
        <v>3</v>
      </c>
      <c r="G75" s="19">
        <v>8906134713286</v>
      </c>
      <c r="H75" s="19">
        <v>1</v>
      </c>
      <c r="I75" s="19">
        <v>999</v>
      </c>
      <c r="J75" s="19">
        <v>-151.87</v>
      </c>
      <c r="K75" s="19">
        <v>0</v>
      </c>
      <c r="L75" s="19">
        <v>-151.87</v>
      </c>
      <c r="M75" s="19">
        <v>847.13</v>
      </c>
      <c r="N75" s="19">
        <v>40.340000000000003</v>
      </c>
      <c r="O75" s="19">
        <v>5</v>
      </c>
      <c r="P75" s="19" t="s">
        <v>236</v>
      </c>
      <c r="Q75" s="19">
        <v>50157523</v>
      </c>
      <c r="R75" s="19" t="s">
        <v>57</v>
      </c>
      <c r="S75" s="19">
        <v>50195439</v>
      </c>
      <c r="T75" s="19"/>
      <c r="U75" s="19" t="s">
        <v>58</v>
      </c>
      <c r="V75" s="18">
        <v>0</v>
      </c>
      <c r="W75" s="17">
        <f t="shared" si="4"/>
        <v>16</v>
      </c>
      <c r="X75" s="5">
        <f t="shared" si="5"/>
        <v>0</v>
      </c>
    </row>
    <row r="76" spans="1:24" s="5" customFormat="1" x14ac:dyDescent="0.25">
      <c r="A76" s="19">
        <v>47</v>
      </c>
      <c r="B76" s="19" t="s">
        <v>55</v>
      </c>
      <c r="C76" s="19" t="s">
        <v>56</v>
      </c>
      <c r="D76" s="19" t="s">
        <v>237</v>
      </c>
      <c r="E76" s="21">
        <v>46291.691655092596</v>
      </c>
      <c r="F76" s="19">
        <v>3</v>
      </c>
      <c r="G76" s="19">
        <v>27084120134</v>
      </c>
      <c r="H76" s="19">
        <v>1</v>
      </c>
      <c r="I76" s="19">
        <v>179</v>
      </c>
      <c r="J76" s="19">
        <v>0</v>
      </c>
      <c r="K76" s="19">
        <v>0</v>
      </c>
      <c r="L76" s="19">
        <v>0</v>
      </c>
      <c r="M76" s="19">
        <v>179</v>
      </c>
      <c r="N76" s="19">
        <v>8.52</v>
      </c>
      <c r="O76" s="19">
        <v>5</v>
      </c>
      <c r="P76" s="19" t="s">
        <v>139</v>
      </c>
      <c r="Q76" s="19">
        <v>50170981</v>
      </c>
      <c r="R76" s="19" t="s">
        <v>57</v>
      </c>
      <c r="S76" s="19"/>
      <c r="T76" s="19"/>
      <c r="U76" s="19" t="s">
        <v>58</v>
      </c>
      <c r="V76" s="18">
        <v>0</v>
      </c>
      <c r="W76" s="17">
        <f t="shared" si="4"/>
        <v>16</v>
      </c>
      <c r="X76" s="5">
        <f t="shared" si="5"/>
        <v>1</v>
      </c>
    </row>
    <row r="77" spans="1:24" s="5" customFormat="1" x14ac:dyDescent="0.25">
      <c r="A77" s="19">
        <v>49</v>
      </c>
      <c r="B77" s="19" t="s">
        <v>55</v>
      </c>
      <c r="C77" s="19" t="s">
        <v>56</v>
      </c>
      <c r="D77" s="19" t="s">
        <v>238</v>
      </c>
      <c r="E77" s="21">
        <v>46291.6953587963</v>
      </c>
      <c r="F77" s="19">
        <v>3</v>
      </c>
      <c r="G77" s="19">
        <v>8905672361010</v>
      </c>
      <c r="H77" s="19">
        <v>1</v>
      </c>
      <c r="I77" s="19">
        <v>179</v>
      </c>
      <c r="J77" s="19">
        <v>-80</v>
      </c>
      <c r="K77" s="19">
        <v>0</v>
      </c>
      <c r="L77" s="19">
        <v>-80</v>
      </c>
      <c r="M77" s="19">
        <v>99</v>
      </c>
      <c r="N77" s="19">
        <v>4.72</v>
      </c>
      <c r="O77" s="19">
        <v>5</v>
      </c>
      <c r="P77" s="19" t="s">
        <v>239</v>
      </c>
      <c r="Q77" s="19">
        <v>50170981</v>
      </c>
      <c r="R77" s="19" t="s">
        <v>57</v>
      </c>
      <c r="S77" s="19">
        <v>50105787</v>
      </c>
      <c r="T77" s="19"/>
      <c r="U77" s="19" t="s">
        <v>58</v>
      </c>
      <c r="V77" s="18">
        <v>0</v>
      </c>
      <c r="W77" s="17">
        <f t="shared" si="4"/>
        <v>16</v>
      </c>
      <c r="X77" s="5">
        <f t="shared" si="5"/>
        <v>1</v>
      </c>
    </row>
    <row r="78" spans="1:24" s="5" customFormat="1" x14ac:dyDescent="0.25">
      <c r="A78" s="19">
        <v>49</v>
      </c>
      <c r="B78" s="19" t="s">
        <v>55</v>
      </c>
      <c r="C78" s="19" t="s">
        <v>56</v>
      </c>
      <c r="D78" s="19" t="s">
        <v>238</v>
      </c>
      <c r="E78" s="21">
        <v>46291.6953587963</v>
      </c>
      <c r="F78" s="19">
        <v>3</v>
      </c>
      <c r="G78" s="19">
        <v>3467452062647</v>
      </c>
      <c r="H78" s="19">
        <v>1</v>
      </c>
      <c r="I78" s="19">
        <v>549</v>
      </c>
      <c r="J78" s="19">
        <v>0</v>
      </c>
      <c r="K78" s="19">
        <v>0</v>
      </c>
      <c r="L78" s="19">
        <v>0</v>
      </c>
      <c r="M78" s="19">
        <v>549</v>
      </c>
      <c r="N78" s="19">
        <v>26.14</v>
      </c>
      <c r="O78" s="19">
        <v>5</v>
      </c>
      <c r="P78" s="19" t="s">
        <v>240</v>
      </c>
      <c r="Q78" s="19">
        <v>50170981</v>
      </c>
      <c r="R78" s="19" t="s">
        <v>57</v>
      </c>
      <c r="S78" s="19">
        <v>50105787</v>
      </c>
      <c r="T78" s="19"/>
      <c r="U78" s="19" t="s">
        <v>58</v>
      </c>
      <c r="V78" s="18">
        <v>0</v>
      </c>
      <c r="W78" s="17">
        <f t="shared" si="4"/>
        <v>16</v>
      </c>
      <c r="X78" s="5">
        <f t="shared" si="5"/>
        <v>0</v>
      </c>
    </row>
    <row r="79" spans="1:24" s="5" customFormat="1" x14ac:dyDescent="0.25">
      <c r="A79" s="19">
        <v>49</v>
      </c>
      <c r="B79" s="19" t="s">
        <v>55</v>
      </c>
      <c r="C79" s="19" t="s">
        <v>56</v>
      </c>
      <c r="D79" s="19" t="s">
        <v>238</v>
      </c>
      <c r="E79" s="21">
        <v>46291.6953587963</v>
      </c>
      <c r="F79" s="19">
        <v>3</v>
      </c>
      <c r="G79" s="19">
        <v>8906067981226</v>
      </c>
      <c r="H79" s="19">
        <v>1</v>
      </c>
      <c r="I79" s="19">
        <v>799</v>
      </c>
      <c r="J79" s="19">
        <v>0</v>
      </c>
      <c r="K79" s="19">
        <v>0</v>
      </c>
      <c r="L79" s="19">
        <v>0</v>
      </c>
      <c r="M79" s="19">
        <v>799</v>
      </c>
      <c r="N79" s="19">
        <v>38.04</v>
      </c>
      <c r="O79" s="19">
        <v>5</v>
      </c>
      <c r="P79" s="19" t="s">
        <v>241</v>
      </c>
      <c r="Q79" s="19">
        <v>50170981</v>
      </c>
      <c r="R79" s="19" t="s">
        <v>57</v>
      </c>
      <c r="S79" s="19">
        <v>50105787</v>
      </c>
      <c r="T79" s="19"/>
      <c r="U79" s="19" t="s">
        <v>58</v>
      </c>
      <c r="V79" s="18">
        <v>0</v>
      </c>
      <c r="W79" s="17">
        <f t="shared" si="4"/>
        <v>16</v>
      </c>
      <c r="X79" s="5">
        <f t="shared" si="5"/>
        <v>0</v>
      </c>
    </row>
    <row r="80" spans="1:24" s="5" customFormat="1" x14ac:dyDescent="0.25">
      <c r="A80" s="19">
        <v>50</v>
      </c>
      <c r="B80" s="19" t="s">
        <v>55</v>
      </c>
      <c r="C80" s="19" t="s">
        <v>56</v>
      </c>
      <c r="D80" s="19" t="s">
        <v>242</v>
      </c>
      <c r="E80" s="21">
        <v>46291.697858796295</v>
      </c>
      <c r="F80" s="19">
        <v>3</v>
      </c>
      <c r="G80" s="19">
        <v>8909409261505</v>
      </c>
      <c r="H80" s="19">
        <v>1</v>
      </c>
      <c r="I80" s="19">
        <v>2499</v>
      </c>
      <c r="J80" s="19">
        <v>-374.85</v>
      </c>
      <c r="K80" s="19">
        <v>0</v>
      </c>
      <c r="L80" s="19">
        <v>-374.85</v>
      </c>
      <c r="M80" s="19">
        <v>2124.15</v>
      </c>
      <c r="N80" s="19">
        <v>101.16</v>
      </c>
      <c r="O80" s="19">
        <v>5</v>
      </c>
      <c r="P80" s="19" t="s">
        <v>243</v>
      </c>
      <c r="Q80" s="19">
        <v>50170981</v>
      </c>
      <c r="R80" s="19" t="s">
        <v>57</v>
      </c>
      <c r="S80" s="19">
        <v>50105787</v>
      </c>
      <c r="T80" s="19"/>
      <c r="U80" s="19" t="s">
        <v>58</v>
      </c>
      <c r="V80" s="18">
        <v>0</v>
      </c>
      <c r="W80" s="17">
        <f t="shared" si="4"/>
        <v>16</v>
      </c>
      <c r="X80" s="5">
        <f t="shared" si="5"/>
        <v>1</v>
      </c>
    </row>
    <row r="81" spans="1:24" s="5" customFormat="1" ht="26.25" x14ac:dyDescent="0.25">
      <c r="A81" s="19">
        <v>18</v>
      </c>
      <c r="B81" s="19" t="s">
        <v>55</v>
      </c>
      <c r="C81" s="19" t="s">
        <v>56</v>
      </c>
      <c r="D81" s="19" t="s">
        <v>244</v>
      </c>
      <c r="E81" s="21">
        <v>46291.698182870372</v>
      </c>
      <c r="F81" s="19">
        <v>3</v>
      </c>
      <c r="G81" s="19">
        <v>8904432220864</v>
      </c>
      <c r="H81" s="19">
        <v>1</v>
      </c>
      <c r="I81" s="19">
        <v>799</v>
      </c>
      <c r="J81" s="19">
        <v>0</v>
      </c>
      <c r="K81" s="19">
        <v>0</v>
      </c>
      <c r="L81" s="19">
        <v>0</v>
      </c>
      <c r="M81" s="19">
        <v>799</v>
      </c>
      <c r="N81" s="19">
        <v>38.04</v>
      </c>
      <c r="O81" s="19">
        <v>5</v>
      </c>
      <c r="P81" s="19" t="s">
        <v>245</v>
      </c>
      <c r="Q81" s="19">
        <v>50157523</v>
      </c>
      <c r="R81" s="19" t="s">
        <v>57</v>
      </c>
      <c r="S81" s="19">
        <v>50201915</v>
      </c>
      <c r="T81" s="19"/>
      <c r="U81" s="19" t="s">
        <v>58</v>
      </c>
      <c r="V81" s="18">
        <v>0</v>
      </c>
      <c r="W81" s="17">
        <f t="shared" si="4"/>
        <v>16</v>
      </c>
      <c r="X81" s="5">
        <f t="shared" si="5"/>
        <v>1</v>
      </c>
    </row>
    <row r="82" spans="1:24" s="5" customFormat="1" x14ac:dyDescent="0.25">
      <c r="A82" s="19">
        <v>21</v>
      </c>
      <c r="B82" s="19" t="s">
        <v>55</v>
      </c>
      <c r="C82" s="19" t="s">
        <v>56</v>
      </c>
      <c r="D82" s="19" t="s">
        <v>246</v>
      </c>
      <c r="E82" s="21">
        <v>46291.701226851852</v>
      </c>
      <c r="F82" s="19">
        <v>3</v>
      </c>
      <c r="G82" s="19">
        <v>8905672336254</v>
      </c>
      <c r="H82" s="19">
        <v>1</v>
      </c>
      <c r="I82" s="19">
        <v>249</v>
      </c>
      <c r="J82" s="19">
        <v>0</v>
      </c>
      <c r="K82" s="19">
        <v>0</v>
      </c>
      <c r="L82" s="19">
        <v>0</v>
      </c>
      <c r="M82" s="19">
        <v>249</v>
      </c>
      <c r="N82" s="19">
        <v>11.86</v>
      </c>
      <c r="O82" s="19">
        <v>5</v>
      </c>
      <c r="P82" s="19" t="s">
        <v>151</v>
      </c>
      <c r="Q82" s="19">
        <v>50157523</v>
      </c>
      <c r="R82" s="19" t="s">
        <v>57</v>
      </c>
      <c r="S82" s="19">
        <v>50105787</v>
      </c>
      <c r="T82" s="19"/>
      <c r="U82" s="19" t="s">
        <v>58</v>
      </c>
      <c r="V82" s="18">
        <v>0</v>
      </c>
      <c r="W82" s="17">
        <f t="shared" si="4"/>
        <v>16</v>
      </c>
      <c r="X82" s="5">
        <f t="shared" si="5"/>
        <v>1</v>
      </c>
    </row>
    <row r="83" spans="1:24" s="5" customFormat="1" x14ac:dyDescent="0.25">
      <c r="A83" s="19">
        <v>21</v>
      </c>
      <c r="B83" s="19" t="s">
        <v>55</v>
      </c>
      <c r="C83" s="19" t="s">
        <v>56</v>
      </c>
      <c r="D83" s="19" t="s">
        <v>246</v>
      </c>
      <c r="E83" s="21">
        <v>46291.701226851852</v>
      </c>
      <c r="F83" s="19">
        <v>3</v>
      </c>
      <c r="G83" s="19">
        <v>8905672336254</v>
      </c>
      <c r="H83" s="19">
        <v>1</v>
      </c>
      <c r="I83" s="19">
        <v>249</v>
      </c>
      <c r="J83" s="19">
        <v>0</v>
      </c>
      <c r="K83" s="19">
        <v>0</v>
      </c>
      <c r="L83" s="19">
        <v>0</v>
      </c>
      <c r="M83" s="19">
        <v>249</v>
      </c>
      <c r="N83" s="19">
        <v>11.86</v>
      </c>
      <c r="O83" s="19">
        <v>5</v>
      </c>
      <c r="P83" s="19" t="s">
        <v>151</v>
      </c>
      <c r="Q83" s="19">
        <v>50157523</v>
      </c>
      <c r="R83" s="19" t="s">
        <v>57</v>
      </c>
      <c r="S83" s="19">
        <v>50105787</v>
      </c>
      <c r="T83" s="19"/>
      <c r="U83" s="19" t="s">
        <v>58</v>
      </c>
      <c r="V83" s="18">
        <v>0</v>
      </c>
      <c r="W83" s="17">
        <f t="shared" si="4"/>
        <v>16</v>
      </c>
      <c r="X83" s="5">
        <f t="shared" si="5"/>
        <v>0</v>
      </c>
    </row>
    <row r="84" spans="1:24" s="5" customFormat="1" x14ac:dyDescent="0.25">
      <c r="A84" s="19">
        <v>21</v>
      </c>
      <c r="B84" s="19" t="s">
        <v>55</v>
      </c>
      <c r="C84" s="19" t="s">
        <v>56</v>
      </c>
      <c r="D84" s="19" t="s">
        <v>246</v>
      </c>
      <c r="E84" s="21">
        <v>46291.701226851852</v>
      </c>
      <c r="F84" s="19">
        <v>3</v>
      </c>
      <c r="G84" s="19">
        <v>887961705393</v>
      </c>
      <c r="H84" s="19">
        <v>1</v>
      </c>
      <c r="I84" s="19">
        <v>549</v>
      </c>
      <c r="J84" s="19">
        <v>0</v>
      </c>
      <c r="K84" s="19">
        <v>0</v>
      </c>
      <c r="L84" s="19">
        <v>0</v>
      </c>
      <c r="M84" s="19">
        <v>549</v>
      </c>
      <c r="N84" s="19">
        <v>26.14</v>
      </c>
      <c r="O84" s="19">
        <v>5</v>
      </c>
      <c r="P84" s="19" t="s">
        <v>152</v>
      </c>
      <c r="Q84" s="19">
        <v>50157523</v>
      </c>
      <c r="R84" s="19" t="s">
        <v>57</v>
      </c>
      <c r="S84" s="19">
        <v>50105787</v>
      </c>
      <c r="T84" s="19"/>
      <c r="U84" s="19" t="s">
        <v>58</v>
      </c>
      <c r="V84" s="18">
        <v>0</v>
      </c>
      <c r="W84" s="17">
        <f t="shared" si="4"/>
        <v>16</v>
      </c>
      <c r="X84" s="5">
        <f t="shared" si="5"/>
        <v>0</v>
      </c>
    </row>
    <row r="85" spans="1:24" s="5" customFormat="1" x14ac:dyDescent="0.25">
      <c r="A85" s="19">
        <v>51</v>
      </c>
      <c r="B85" s="19" t="s">
        <v>55</v>
      </c>
      <c r="C85" s="19" t="s">
        <v>56</v>
      </c>
      <c r="D85" s="19" t="s">
        <v>247</v>
      </c>
      <c r="E85" s="21">
        <v>46291.702615740738</v>
      </c>
      <c r="F85" s="19">
        <v>3</v>
      </c>
      <c r="G85" s="19">
        <v>5050048168892</v>
      </c>
      <c r="H85" s="19">
        <v>1</v>
      </c>
      <c r="I85" s="19">
        <v>1799</v>
      </c>
      <c r="J85" s="19">
        <v>-1349.25</v>
      </c>
      <c r="K85" s="19">
        <v>0</v>
      </c>
      <c r="L85" s="19">
        <v>-1349.25</v>
      </c>
      <c r="M85" s="19">
        <v>449.75</v>
      </c>
      <c r="N85" s="19">
        <v>21.42</v>
      </c>
      <c r="O85" s="19">
        <v>5</v>
      </c>
      <c r="P85" s="19" t="s">
        <v>248</v>
      </c>
      <c r="Q85" s="19">
        <v>50170981</v>
      </c>
      <c r="R85" s="19" t="s">
        <v>57</v>
      </c>
      <c r="S85" s="19">
        <v>50105787</v>
      </c>
      <c r="T85" s="19"/>
      <c r="U85" s="19" t="s">
        <v>58</v>
      </c>
      <c r="V85" s="18">
        <v>0</v>
      </c>
      <c r="W85" s="17">
        <f t="shared" si="4"/>
        <v>16</v>
      </c>
      <c r="X85" s="5">
        <f t="shared" si="5"/>
        <v>1</v>
      </c>
    </row>
    <row r="86" spans="1:24" s="5" customFormat="1" x14ac:dyDescent="0.25">
      <c r="A86" s="19">
        <v>51</v>
      </c>
      <c r="B86" s="19" t="s">
        <v>55</v>
      </c>
      <c r="C86" s="19" t="s">
        <v>56</v>
      </c>
      <c r="D86" s="19" t="s">
        <v>247</v>
      </c>
      <c r="E86" s="21">
        <v>46291.702615740738</v>
      </c>
      <c r="F86" s="19">
        <v>3</v>
      </c>
      <c r="G86" s="19">
        <v>630509877379</v>
      </c>
      <c r="H86" s="19">
        <v>1</v>
      </c>
      <c r="I86" s="19">
        <v>699</v>
      </c>
      <c r="J86" s="19">
        <v>-524.25</v>
      </c>
      <c r="K86" s="19">
        <v>0</v>
      </c>
      <c r="L86" s="19">
        <v>-524.25</v>
      </c>
      <c r="M86" s="19">
        <v>174.75</v>
      </c>
      <c r="N86" s="19">
        <v>8.32</v>
      </c>
      <c r="O86" s="19">
        <v>5</v>
      </c>
      <c r="P86" s="19" t="s">
        <v>249</v>
      </c>
      <c r="Q86" s="19">
        <v>50170981</v>
      </c>
      <c r="R86" s="19" t="s">
        <v>57</v>
      </c>
      <c r="S86" s="19">
        <v>50105787</v>
      </c>
      <c r="T86" s="19"/>
      <c r="U86" s="19" t="s">
        <v>58</v>
      </c>
      <c r="V86" s="18">
        <v>0</v>
      </c>
      <c r="W86" s="17">
        <f t="shared" si="4"/>
        <v>16</v>
      </c>
      <c r="X86" s="5">
        <f t="shared" si="5"/>
        <v>0</v>
      </c>
    </row>
    <row r="87" spans="1:24" s="5" customFormat="1" x14ac:dyDescent="0.25">
      <c r="A87" s="19">
        <v>51</v>
      </c>
      <c r="B87" s="19" t="s">
        <v>55</v>
      </c>
      <c r="C87" s="19" t="s">
        <v>56</v>
      </c>
      <c r="D87" s="19" t="s">
        <v>247</v>
      </c>
      <c r="E87" s="21">
        <v>46291.702615740738</v>
      </c>
      <c r="F87" s="19">
        <v>3</v>
      </c>
      <c r="G87" s="19">
        <v>8904153507305</v>
      </c>
      <c r="H87" s="19">
        <v>1</v>
      </c>
      <c r="I87" s="19">
        <v>699</v>
      </c>
      <c r="J87" s="19">
        <v>-524.25</v>
      </c>
      <c r="K87" s="19">
        <v>0</v>
      </c>
      <c r="L87" s="19">
        <v>-524.25</v>
      </c>
      <c r="M87" s="19">
        <v>174.75</v>
      </c>
      <c r="N87" s="19">
        <v>8.32</v>
      </c>
      <c r="O87" s="19">
        <v>5</v>
      </c>
      <c r="P87" s="19" t="s">
        <v>250</v>
      </c>
      <c r="Q87" s="19">
        <v>50170981</v>
      </c>
      <c r="R87" s="19" t="s">
        <v>57</v>
      </c>
      <c r="S87" s="19">
        <v>50105787</v>
      </c>
      <c r="T87" s="19"/>
      <c r="U87" s="19" t="s">
        <v>58</v>
      </c>
      <c r="V87" s="18">
        <v>0</v>
      </c>
      <c r="W87" s="17">
        <f t="shared" si="4"/>
        <v>16</v>
      </c>
      <c r="X87" s="5">
        <f t="shared" si="5"/>
        <v>0</v>
      </c>
    </row>
    <row r="88" spans="1:24" s="5" customFormat="1" x14ac:dyDescent="0.25">
      <c r="A88" s="19">
        <v>51</v>
      </c>
      <c r="B88" s="19" t="s">
        <v>55</v>
      </c>
      <c r="C88" s="19" t="s">
        <v>56</v>
      </c>
      <c r="D88" s="19" t="s">
        <v>247</v>
      </c>
      <c r="E88" s="21">
        <v>46291.702615740738</v>
      </c>
      <c r="F88" s="19">
        <v>3</v>
      </c>
      <c r="G88" s="19">
        <v>630509948079</v>
      </c>
      <c r="H88" s="19">
        <v>1</v>
      </c>
      <c r="I88" s="19">
        <v>999</v>
      </c>
      <c r="J88" s="19">
        <v>-749.25</v>
      </c>
      <c r="K88" s="19">
        <v>0</v>
      </c>
      <c r="L88" s="19">
        <v>-749.25</v>
      </c>
      <c r="M88" s="19">
        <v>249.75</v>
      </c>
      <c r="N88" s="19">
        <v>38.1</v>
      </c>
      <c r="O88" s="19">
        <v>18</v>
      </c>
      <c r="P88" s="19" t="s">
        <v>251</v>
      </c>
      <c r="Q88" s="19">
        <v>50170981</v>
      </c>
      <c r="R88" s="19" t="s">
        <v>57</v>
      </c>
      <c r="S88" s="19">
        <v>50105787</v>
      </c>
      <c r="T88" s="19"/>
      <c r="U88" s="19" t="s">
        <v>58</v>
      </c>
      <c r="V88" s="18">
        <v>0</v>
      </c>
      <c r="W88" s="17">
        <f t="shared" si="4"/>
        <v>16</v>
      </c>
      <c r="X88" s="5">
        <f t="shared" si="5"/>
        <v>0</v>
      </c>
    </row>
    <row r="89" spans="1:24" s="5" customFormat="1" x14ac:dyDescent="0.25">
      <c r="A89" s="19">
        <v>23</v>
      </c>
      <c r="B89" s="19" t="s">
        <v>55</v>
      </c>
      <c r="C89" s="19" t="s">
        <v>56</v>
      </c>
      <c r="D89" s="19" t="s">
        <v>252</v>
      </c>
      <c r="E89" s="21">
        <v>46291.707685185182</v>
      </c>
      <c r="F89" s="19">
        <v>3</v>
      </c>
      <c r="G89" s="19">
        <v>8901383959331</v>
      </c>
      <c r="H89" s="19">
        <v>1</v>
      </c>
      <c r="I89" s="19">
        <v>349</v>
      </c>
      <c r="J89" s="19">
        <v>-174.5</v>
      </c>
      <c r="K89" s="19">
        <v>0</v>
      </c>
      <c r="L89" s="19">
        <v>-174.5</v>
      </c>
      <c r="M89" s="19">
        <v>174.5</v>
      </c>
      <c r="N89" s="19">
        <v>8.3000000000000007</v>
      </c>
      <c r="O89" s="19">
        <v>5</v>
      </c>
      <c r="P89" s="19" t="s">
        <v>253</v>
      </c>
      <c r="Q89" s="19">
        <v>50157523</v>
      </c>
      <c r="R89" s="19" t="s">
        <v>57</v>
      </c>
      <c r="S89" s="19">
        <v>50000003</v>
      </c>
      <c r="T89" s="19"/>
      <c r="U89" s="19" t="s">
        <v>58</v>
      </c>
      <c r="V89" s="18">
        <v>0</v>
      </c>
      <c r="W89" s="17">
        <f t="shared" si="4"/>
        <v>16</v>
      </c>
      <c r="X89" s="5">
        <f t="shared" si="5"/>
        <v>1</v>
      </c>
    </row>
    <row r="90" spans="1:24" s="5" customFormat="1" x14ac:dyDescent="0.25">
      <c r="A90" s="19">
        <v>23</v>
      </c>
      <c r="B90" s="19" t="s">
        <v>55</v>
      </c>
      <c r="C90" s="19" t="s">
        <v>56</v>
      </c>
      <c r="D90" s="19" t="s">
        <v>252</v>
      </c>
      <c r="E90" s="21">
        <v>46291.707685185182</v>
      </c>
      <c r="F90" s="19">
        <v>3</v>
      </c>
      <c r="G90" s="19">
        <v>8905450220591</v>
      </c>
      <c r="H90" s="19">
        <v>1</v>
      </c>
      <c r="I90" s="19">
        <v>699</v>
      </c>
      <c r="J90" s="19">
        <v>-349.5</v>
      </c>
      <c r="K90" s="19">
        <v>0</v>
      </c>
      <c r="L90" s="19">
        <v>-349.5</v>
      </c>
      <c r="M90" s="19">
        <v>349.5</v>
      </c>
      <c r="N90" s="19">
        <v>0</v>
      </c>
      <c r="O90" s="19">
        <v>0</v>
      </c>
      <c r="P90" s="19" t="s">
        <v>254</v>
      </c>
      <c r="Q90" s="19">
        <v>50157523</v>
      </c>
      <c r="R90" s="19" t="s">
        <v>57</v>
      </c>
      <c r="S90" s="19">
        <v>50000003</v>
      </c>
      <c r="T90" s="19"/>
      <c r="U90" s="19" t="s">
        <v>58</v>
      </c>
      <c r="V90" s="18">
        <v>0</v>
      </c>
      <c r="W90" s="17">
        <f t="shared" si="4"/>
        <v>16</v>
      </c>
      <c r="X90" s="5">
        <f t="shared" si="5"/>
        <v>0</v>
      </c>
    </row>
    <row r="91" spans="1:24" s="5" customFormat="1" x14ac:dyDescent="0.25">
      <c r="A91" s="19">
        <v>54</v>
      </c>
      <c r="B91" s="19" t="s">
        <v>55</v>
      </c>
      <c r="C91" s="19" t="s">
        <v>56</v>
      </c>
      <c r="D91" s="19" t="s">
        <v>255</v>
      </c>
      <c r="E91" s="21">
        <v>46291.716307870367</v>
      </c>
      <c r="F91" s="19">
        <v>3</v>
      </c>
      <c r="G91" s="19">
        <v>8906057366262</v>
      </c>
      <c r="H91" s="19">
        <v>1</v>
      </c>
      <c r="I91" s="19">
        <v>1099</v>
      </c>
      <c r="J91" s="19">
        <v>0</v>
      </c>
      <c r="K91" s="19">
        <v>0</v>
      </c>
      <c r="L91" s="19">
        <v>0</v>
      </c>
      <c r="M91" s="19">
        <v>1099</v>
      </c>
      <c r="N91" s="19">
        <v>52.34</v>
      </c>
      <c r="O91" s="19">
        <v>5</v>
      </c>
      <c r="P91" s="19" t="s">
        <v>256</v>
      </c>
      <c r="Q91" s="19">
        <v>50170981</v>
      </c>
      <c r="R91" s="19" t="s">
        <v>57</v>
      </c>
      <c r="S91" s="19"/>
      <c r="T91" s="19"/>
      <c r="U91" s="19" t="s">
        <v>58</v>
      </c>
      <c r="V91" s="18">
        <v>0</v>
      </c>
      <c r="W91" s="17">
        <f t="shared" si="4"/>
        <v>17</v>
      </c>
      <c r="X91" s="5">
        <f t="shared" si="5"/>
        <v>1</v>
      </c>
    </row>
    <row r="92" spans="1:24" s="5" customFormat="1" x14ac:dyDescent="0.25">
      <c r="A92" s="19">
        <v>24</v>
      </c>
      <c r="B92" s="19" t="s">
        <v>55</v>
      </c>
      <c r="C92" s="19" t="s">
        <v>56</v>
      </c>
      <c r="D92" s="19" t="s">
        <v>257</v>
      </c>
      <c r="E92" s="21">
        <v>46291.717106481483</v>
      </c>
      <c r="F92" s="19">
        <v>3</v>
      </c>
      <c r="G92" s="19">
        <v>35995307827</v>
      </c>
      <c r="H92" s="19">
        <v>1</v>
      </c>
      <c r="I92" s="19">
        <v>179</v>
      </c>
      <c r="J92" s="19">
        <v>0</v>
      </c>
      <c r="K92" s="19">
        <v>0</v>
      </c>
      <c r="L92" s="19">
        <v>0</v>
      </c>
      <c r="M92" s="19">
        <v>179</v>
      </c>
      <c r="N92" s="19">
        <v>8.52</v>
      </c>
      <c r="O92" s="19">
        <v>5</v>
      </c>
      <c r="P92" s="19" t="s">
        <v>258</v>
      </c>
      <c r="Q92" s="19">
        <v>50157523</v>
      </c>
      <c r="R92" s="19" t="s">
        <v>57</v>
      </c>
      <c r="S92" s="19">
        <v>50151682</v>
      </c>
      <c r="T92" s="19"/>
      <c r="U92" s="19" t="s">
        <v>58</v>
      </c>
      <c r="V92" s="18">
        <v>0</v>
      </c>
      <c r="W92" s="17">
        <f t="shared" si="4"/>
        <v>17</v>
      </c>
      <c r="X92" s="5">
        <f t="shared" si="5"/>
        <v>1</v>
      </c>
    </row>
    <row r="93" spans="1:24" s="5" customFormat="1" ht="26.25" x14ac:dyDescent="0.25">
      <c r="A93" s="19">
        <v>24</v>
      </c>
      <c r="B93" s="19" t="s">
        <v>55</v>
      </c>
      <c r="C93" s="19" t="s">
        <v>56</v>
      </c>
      <c r="D93" s="19" t="s">
        <v>257</v>
      </c>
      <c r="E93" s="21">
        <v>46291.717106481483</v>
      </c>
      <c r="F93" s="19">
        <v>3</v>
      </c>
      <c r="G93" s="19">
        <v>194735358755</v>
      </c>
      <c r="H93" s="19">
        <v>1</v>
      </c>
      <c r="I93" s="19">
        <v>299</v>
      </c>
      <c r="J93" s="19">
        <v>0</v>
      </c>
      <c r="K93" s="19">
        <v>0</v>
      </c>
      <c r="L93" s="19">
        <v>0</v>
      </c>
      <c r="M93" s="19">
        <v>299</v>
      </c>
      <c r="N93" s="19">
        <v>14.24</v>
      </c>
      <c r="O93" s="19">
        <v>5</v>
      </c>
      <c r="P93" s="19" t="s">
        <v>140</v>
      </c>
      <c r="Q93" s="19">
        <v>50157523</v>
      </c>
      <c r="R93" s="19" t="s">
        <v>57</v>
      </c>
      <c r="S93" s="19">
        <v>50151682</v>
      </c>
      <c r="T93" s="19"/>
      <c r="U93" s="19" t="s">
        <v>58</v>
      </c>
      <c r="V93" s="18">
        <v>0</v>
      </c>
      <c r="W93" s="17">
        <f t="shared" si="4"/>
        <v>17</v>
      </c>
      <c r="X93" s="5">
        <f t="shared" si="5"/>
        <v>0</v>
      </c>
    </row>
    <row r="94" spans="1:24" s="5" customFormat="1" x14ac:dyDescent="0.25">
      <c r="A94" s="19">
        <v>55</v>
      </c>
      <c r="B94" s="19" t="s">
        <v>55</v>
      </c>
      <c r="C94" s="19" t="s">
        <v>56</v>
      </c>
      <c r="D94" s="19" t="s">
        <v>259</v>
      </c>
      <c r="E94" s="21">
        <v>46291.717592592591</v>
      </c>
      <c r="F94" s="19">
        <v>3</v>
      </c>
      <c r="G94" s="19">
        <v>5010993306787</v>
      </c>
      <c r="H94" s="19">
        <v>1</v>
      </c>
      <c r="I94" s="19">
        <v>3440</v>
      </c>
      <c r="J94" s="19">
        <v>0</v>
      </c>
      <c r="K94" s="19">
        <v>0</v>
      </c>
      <c r="L94" s="19">
        <v>0</v>
      </c>
      <c r="M94" s="19">
        <v>3440</v>
      </c>
      <c r="N94" s="19">
        <v>163.80000000000001</v>
      </c>
      <c r="O94" s="19">
        <v>5</v>
      </c>
      <c r="P94" s="19" t="s">
        <v>260</v>
      </c>
      <c r="Q94" s="19">
        <v>50170981</v>
      </c>
      <c r="R94" s="19" t="s">
        <v>57</v>
      </c>
      <c r="S94" s="19">
        <v>50201915</v>
      </c>
      <c r="T94" s="19"/>
      <c r="U94" s="19" t="s">
        <v>58</v>
      </c>
      <c r="V94" s="18">
        <v>0</v>
      </c>
      <c r="W94" s="17">
        <f t="shared" si="4"/>
        <v>17</v>
      </c>
      <c r="X94" s="5">
        <f t="shared" si="5"/>
        <v>1</v>
      </c>
    </row>
    <row r="95" spans="1:24" s="5" customFormat="1" x14ac:dyDescent="0.25">
      <c r="A95" s="19">
        <v>56</v>
      </c>
      <c r="B95" s="19" t="s">
        <v>55</v>
      </c>
      <c r="C95" s="19" t="s">
        <v>56</v>
      </c>
      <c r="D95" s="19" t="s">
        <v>261</v>
      </c>
      <c r="E95" s="21">
        <v>46291.718900462962</v>
      </c>
      <c r="F95" s="19">
        <v>3</v>
      </c>
      <c r="G95" s="19">
        <v>8906133255688</v>
      </c>
      <c r="H95" s="19">
        <v>1</v>
      </c>
      <c r="I95" s="19">
        <v>199</v>
      </c>
      <c r="J95" s="19">
        <v>0</v>
      </c>
      <c r="K95" s="19">
        <v>0</v>
      </c>
      <c r="L95" s="19">
        <v>0</v>
      </c>
      <c r="M95" s="19">
        <v>199</v>
      </c>
      <c r="N95" s="19">
        <v>9.48</v>
      </c>
      <c r="O95" s="19">
        <v>5</v>
      </c>
      <c r="P95" s="19" t="s">
        <v>262</v>
      </c>
      <c r="Q95" s="19">
        <v>50170981</v>
      </c>
      <c r="R95" s="19" t="s">
        <v>57</v>
      </c>
      <c r="S95" s="19">
        <v>50000000</v>
      </c>
      <c r="T95" s="19"/>
      <c r="U95" s="19" t="s">
        <v>58</v>
      </c>
      <c r="V95" s="18">
        <v>0</v>
      </c>
      <c r="W95" s="17">
        <f t="shared" si="4"/>
        <v>17</v>
      </c>
      <c r="X95" s="5">
        <f t="shared" si="5"/>
        <v>1</v>
      </c>
    </row>
    <row r="96" spans="1:24" s="5" customFormat="1" x14ac:dyDescent="0.25">
      <c r="A96" s="19">
        <v>57</v>
      </c>
      <c r="B96" s="19" t="s">
        <v>55</v>
      </c>
      <c r="C96" s="19" t="s">
        <v>56</v>
      </c>
      <c r="D96" s="19" t="s">
        <v>263</v>
      </c>
      <c r="E96" s="21">
        <v>46291.719513888886</v>
      </c>
      <c r="F96" s="19">
        <v>3</v>
      </c>
      <c r="G96" s="19">
        <v>8906133255657</v>
      </c>
      <c r="H96" s="19">
        <v>1</v>
      </c>
      <c r="I96" s="19">
        <v>199</v>
      </c>
      <c r="J96" s="19">
        <v>0</v>
      </c>
      <c r="K96" s="19">
        <v>0</v>
      </c>
      <c r="L96" s="19">
        <v>0</v>
      </c>
      <c r="M96" s="19">
        <v>199</v>
      </c>
      <c r="N96" s="19">
        <v>9.48</v>
      </c>
      <c r="O96" s="19">
        <v>5</v>
      </c>
      <c r="P96" s="19" t="s">
        <v>262</v>
      </c>
      <c r="Q96" s="19">
        <v>50170981</v>
      </c>
      <c r="R96" s="19" t="s">
        <v>57</v>
      </c>
      <c r="S96" s="19">
        <v>50195907</v>
      </c>
      <c r="T96" s="19"/>
      <c r="U96" s="19" t="s">
        <v>58</v>
      </c>
      <c r="V96" s="18">
        <v>0</v>
      </c>
      <c r="W96" s="17">
        <f t="shared" si="4"/>
        <v>17</v>
      </c>
      <c r="X96" s="5">
        <f t="shared" si="5"/>
        <v>1</v>
      </c>
    </row>
    <row r="97" spans="1:24" s="5" customFormat="1" x14ac:dyDescent="0.25">
      <c r="A97" s="19">
        <v>57</v>
      </c>
      <c r="B97" s="19" t="s">
        <v>55</v>
      </c>
      <c r="C97" s="19" t="s">
        <v>56</v>
      </c>
      <c r="D97" s="19" t="s">
        <v>263</v>
      </c>
      <c r="E97" s="21">
        <v>46291.719513888886</v>
      </c>
      <c r="F97" s="19">
        <v>3</v>
      </c>
      <c r="G97" s="19">
        <v>74299018060</v>
      </c>
      <c r="H97" s="19">
        <v>1</v>
      </c>
      <c r="I97" s="19">
        <v>899</v>
      </c>
      <c r="J97" s="19">
        <v>0</v>
      </c>
      <c r="K97" s="19">
        <v>0</v>
      </c>
      <c r="L97" s="19">
        <v>0</v>
      </c>
      <c r="M97" s="19">
        <v>899</v>
      </c>
      <c r="N97" s="19">
        <v>42.8</v>
      </c>
      <c r="O97" s="19">
        <v>5</v>
      </c>
      <c r="P97" s="19" t="s">
        <v>142</v>
      </c>
      <c r="Q97" s="19">
        <v>50170981</v>
      </c>
      <c r="R97" s="19" t="s">
        <v>57</v>
      </c>
      <c r="S97" s="19">
        <v>50157523</v>
      </c>
      <c r="T97" s="19"/>
      <c r="U97" s="19" t="s">
        <v>58</v>
      </c>
      <c r="V97" s="18">
        <v>0</v>
      </c>
      <c r="W97" s="17">
        <f t="shared" si="4"/>
        <v>17</v>
      </c>
      <c r="X97" s="5">
        <f t="shared" si="5"/>
        <v>0</v>
      </c>
    </row>
    <row r="98" spans="1:24" s="5" customFormat="1" x14ac:dyDescent="0.25">
      <c r="A98" s="19">
        <v>58</v>
      </c>
      <c r="B98" s="19" t="s">
        <v>55</v>
      </c>
      <c r="C98" s="19" t="s">
        <v>56</v>
      </c>
      <c r="D98" s="19" t="s">
        <v>264</v>
      </c>
      <c r="E98" s="21">
        <v>46291.721562500003</v>
      </c>
      <c r="F98" s="19">
        <v>3</v>
      </c>
      <c r="G98" s="19">
        <v>8906006063709</v>
      </c>
      <c r="H98" s="19">
        <v>1</v>
      </c>
      <c r="I98" s="19">
        <v>999</v>
      </c>
      <c r="J98" s="19">
        <v>0</v>
      </c>
      <c r="K98" s="19">
        <v>0</v>
      </c>
      <c r="L98" s="19">
        <v>0</v>
      </c>
      <c r="M98" s="19">
        <v>999</v>
      </c>
      <c r="N98" s="19">
        <v>47.58</v>
      </c>
      <c r="O98" s="19">
        <v>5</v>
      </c>
      <c r="P98" s="19" t="s">
        <v>265</v>
      </c>
      <c r="Q98" s="19">
        <v>50170981</v>
      </c>
      <c r="R98" s="19" t="s">
        <v>57</v>
      </c>
      <c r="S98" s="19"/>
      <c r="T98" s="19"/>
      <c r="U98" s="19" t="s">
        <v>58</v>
      </c>
      <c r="V98" s="18">
        <v>0</v>
      </c>
      <c r="W98" s="17">
        <f t="shared" si="4"/>
        <v>17</v>
      </c>
      <c r="X98" s="5">
        <f t="shared" si="5"/>
        <v>1</v>
      </c>
    </row>
    <row r="99" spans="1:24" s="5" customFormat="1" ht="26.25" x14ac:dyDescent="0.25">
      <c r="A99" s="19">
        <v>59</v>
      </c>
      <c r="B99" s="19" t="s">
        <v>55</v>
      </c>
      <c r="C99" s="19" t="s">
        <v>56</v>
      </c>
      <c r="D99" s="19" t="s">
        <v>266</v>
      </c>
      <c r="E99" s="21">
        <v>46291.722812499997</v>
      </c>
      <c r="F99" s="19">
        <v>3</v>
      </c>
      <c r="G99" s="19">
        <v>887961705430</v>
      </c>
      <c r="H99" s="19">
        <v>1</v>
      </c>
      <c r="I99" s="19">
        <v>1099</v>
      </c>
      <c r="J99" s="19">
        <v>0</v>
      </c>
      <c r="K99" s="19">
        <v>0</v>
      </c>
      <c r="L99" s="19">
        <v>0</v>
      </c>
      <c r="M99" s="19">
        <v>1099</v>
      </c>
      <c r="N99" s="19">
        <v>52.34</v>
      </c>
      <c r="O99" s="19">
        <v>5</v>
      </c>
      <c r="P99" s="19" t="s">
        <v>267</v>
      </c>
      <c r="Q99" s="19">
        <v>50170981</v>
      </c>
      <c r="R99" s="19" t="s">
        <v>57</v>
      </c>
      <c r="S99" s="19">
        <v>50195439</v>
      </c>
      <c r="T99" s="19"/>
      <c r="U99" s="19" t="s">
        <v>58</v>
      </c>
      <c r="V99" s="18">
        <v>0</v>
      </c>
      <c r="W99" s="17">
        <f t="shared" si="4"/>
        <v>17</v>
      </c>
      <c r="X99" s="5">
        <f t="shared" si="5"/>
        <v>1</v>
      </c>
    </row>
    <row r="100" spans="1:24" s="5" customFormat="1" x14ac:dyDescent="0.25">
      <c r="A100" s="19">
        <v>60</v>
      </c>
      <c r="B100" s="19" t="s">
        <v>55</v>
      </c>
      <c r="C100" s="19" t="s">
        <v>56</v>
      </c>
      <c r="D100" s="19" t="s">
        <v>268</v>
      </c>
      <c r="E100" s="21">
        <v>46291.723657407405</v>
      </c>
      <c r="F100" s="19">
        <v>3</v>
      </c>
      <c r="G100" s="19">
        <v>9789352769117</v>
      </c>
      <c r="H100" s="19">
        <v>1</v>
      </c>
      <c r="I100" s="19">
        <v>295</v>
      </c>
      <c r="J100" s="19">
        <v>-236</v>
      </c>
      <c r="K100" s="19">
        <v>0</v>
      </c>
      <c r="L100" s="19">
        <v>-236</v>
      </c>
      <c r="M100" s="19">
        <v>59</v>
      </c>
      <c r="N100" s="19">
        <v>0</v>
      </c>
      <c r="O100" s="19">
        <v>0</v>
      </c>
      <c r="P100" s="19" t="s">
        <v>269</v>
      </c>
      <c r="Q100" s="19">
        <v>50170981</v>
      </c>
      <c r="R100" s="19" t="s">
        <v>57</v>
      </c>
      <c r="S100" s="19">
        <v>50000002</v>
      </c>
      <c r="T100" s="19" t="s">
        <v>270</v>
      </c>
      <c r="U100" s="19" t="s">
        <v>58</v>
      </c>
      <c r="V100" s="18">
        <v>0</v>
      </c>
      <c r="W100" s="17">
        <f t="shared" si="4"/>
        <v>17</v>
      </c>
      <c r="X100" s="5">
        <f t="shared" si="5"/>
        <v>1</v>
      </c>
    </row>
    <row r="101" spans="1:24" s="5" customFormat="1" x14ac:dyDescent="0.25">
      <c r="A101" s="19">
        <v>60</v>
      </c>
      <c r="B101" s="19" t="s">
        <v>55</v>
      </c>
      <c r="C101" s="19" t="s">
        <v>56</v>
      </c>
      <c r="D101" s="19" t="s">
        <v>268</v>
      </c>
      <c r="E101" s="21">
        <v>46291.723657407405</v>
      </c>
      <c r="F101" s="19">
        <v>3</v>
      </c>
      <c r="G101" s="19">
        <v>8904279509726</v>
      </c>
      <c r="H101" s="19">
        <v>1</v>
      </c>
      <c r="I101" s="19">
        <v>749</v>
      </c>
      <c r="J101" s="19">
        <v>0</v>
      </c>
      <c r="K101" s="19">
        <v>0</v>
      </c>
      <c r="L101" s="19">
        <v>0</v>
      </c>
      <c r="M101" s="19">
        <v>749</v>
      </c>
      <c r="N101" s="19">
        <v>35.659999999999997</v>
      </c>
      <c r="O101" s="19">
        <v>5</v>
      </c>
      <c r="P101" s="19" t="s">
        <v>148</v>
      </c>
      <c r="Q101" s="19">
        <v>50170981</v>
      </c>
      <c r="R101" s="19" t="s">
        <v>57</v>
      </c>
      <c r="S101" s="19">
        <v>50000002</v>
      </c>
      <c r="T101" s="19" t="s">
        <v>270</v>
      </c>
      <c r="U101" s="19" t="s">
        <v>58</v>
      </c>
      <c r="V101" s="18">
        <v>0</v>
      </c>
      <c r="W101" s="17">
        <f t="shared" si="4"/>
        <v>17</v>
      </c>
      <c r="X101" s="5">
        <f t="shared" si="5"/>
        <v>0</v>
      </c>
    </row>
    <row r="102" spans="1:24" s="5" customFormat="1" x14ac:dyDescent="0.25">
      <c r="A102" s="19">
        <v>60</v>
      </c>
      <c r="B102" s="19" t="s">
        <v>55</v>
      </c>
      <c r="C102" s="19" t="s">
        <v>56</v>
      </c>
      <c r="D102" s="19" t="s">
        <v>268</v>
      </c>
      <c r="E102" s="21">
        <v>46291.723657407405</v>
      </c>
      <c r="F102" s="19">
        <v>3</v>
      </c>
      <c r="G102" s="19">
        <v>74299018060</v>
      </c>
      <c r="H102" s="19">
        <v>1</v>
      </c>
      <c r="I102" s="19">
        <v>899</v>
      </c>
      <c r="J102" s="19">
        <v>0</v>
      </c>
      <c r="K102" s="19">
        <v>0</v>
      </c>
      <c r="L102" s="19">
        <v>0</v>
      </c>
      <c r="M102" s="19">
        <v>899</v>
      </c>
      <c r="N102" s="19">
        <v>42.8</v>
      </c>
      <c r="O102" s="19">
        <v>5</v>
      </c>
      <c r="P102" s="19" t="s">
        <v>142</v>
      </c>
      <c r="Q102" s="19">
        <v>50170981</v>
      </c>
      <c r="R102" s="19" t="s">
        <v>57</v>
      </c>
      <c r="S102" s="19">
        <v>50000002</v>
      </c>
      <c r="T102" s="19" t="s">
        <v>270</v>
      </c>
      <c r="U102" s="19" t="s">
        <v>58</v>
      </c>
      <c r="V102" s="18">
        <v>0</v>
      </c>
      <c r="W102" s="17">
        <f t="shared" si="4"/>
        <v>17</v>
      </c>
      <c r="X102" s="5">
        <f t="shared" si="5"/>
        <v>0</v>
      </c>
    </row>
    <row r="103" spans="1:24" s="5" customFormat="1" x14ac:dyDescent="0.25">
      <c r="A103" s="19">
        <v>60</v>
      </c>
      <c r="B103" s="19" t="s">
        <v>55</v>
      </c>
      <c r="C103" s="19" t="s">
        <v>56</v>
      </c>
      <c r="D103" s="19" t="s">
        <v>268</v>
      </c>
      <c r="E103" s="21">
        <v>46291.723657407405</v>
      </c>
      <c r="F103" s="19">
        <v>3</v>
      </c>
      <c r="G103" s="19">
        <v>8904279518285</v>
      </c>
      <c r="H103" s="19">
        <v>1</v>
      </c>
      <c r="I103" s="19">
        <v>999</v>
      </c>
      <c r="J103" s="19">
        <v>0</v>
      </c>
      <c r="K103" s="19">
        <v>0</v>
      </c>
      <c r="L103" s="19">
        <v>0</v>
      </c>
      <c r="M103" s="19">
        <v>999</v>
      </c>
      <c r="N103" s="19">
        <v>47.58</v>
      </c>
      <c r="O103" s="19">
        <v>5</v>
      </c>
      <c r="P103" s="19" t="s">
        <v>271</v>
      </c>
      <c r="Q103" s="19">
        <v>50170981</v>
      </c>
      <c r="R103" s="19" t="s">
        <v>57</v>
      </c>
      <c r="S103" s="19">
        <v>50000002</v>
      </c>
      <c r="T103" s="19" t="s">
        <v>270</v>
      </c>
      <c r="U103" s="19" t="s">
        <v>58</v>
      </c>
      <c r="V103" s="18">
        <v>0</v>
      </c>
      <c r="W103" s="17">
        <f t="shared" si="4"/>
        <v>17</v>
      </c>
      <c r="X103" s="5">
        <f t="shared" si="5"/>
        <v>0</v>
      </c>
    </row>
    <row r="104" spans="1:24" s="5" customFormat="1" x14ac:dyDescent="0.25">
      <c r="A104" s="19">
        <v>60</v>
      </c>
      <c r="B104" s="19" t="s">
        <v>55</v>
      </c>
      <c r="C104" s="19" t="s">
        <v>56</v>
      </c>
      <c r="D104" s="19" t="s">
        <v>268</v>
      </c>
      <c r="E104" s="21">
        <v>46291.723657407405</v>
      </c>
      <c r="F104" s="19">
        <v>3</v>
      </c>
      <c r="G104" s="19">
        <v>8904279510449</v>
      </c>
      <c r="H104" s="19">
        <v>1</v>
      </c>
      <c r="I104" s="19">
        <v>999</v>
      </c>
      <c r="J104" s="19">
        <v>0</v>
      </c>
      <c r="K104" s="19">
        <v>0</v>
      </c>
      <c r="L104" s="19">
        <v>0</v>
      </c>
      <c r="M104" s="19">
        <v>999</v>
      </c>
      <c r="N104" s="19">
        <v>47.58</v>
      </c>
      <c r="O104" s="19">
        <v>5</v>
      </c>
      <c r="P104" s="19" t="s">
        <v>141</v>
      </c>
      <c r="Q104" s="19">
        <v>50170981</v>
      </c>
      <c r="R104" s="19" t="s">
        <v>57</v>
      </c>
      <c r="S104" s="19">
        <v>50000002</v>
      </c>
      <c r="T104" s="19" t="s">
        <v>270</v>
      </c>
      <c r="U104" s="19" t="s">
        <v>58</v>
      </c>
      <c r="V104" s="18">
        <v>0</v>
      </c>
      <c r="W104" s="17">
        <f t="shared" si="4"/>
        <v>17</v>
      </c>
      <c r="X104" s="5">
        <f t="shared" si="5"/>
        <v>0</v>
      </c>
    </row>
    <row r="105" spans="1:24" x14ac:dyDescent="0.25">
      <c r="A105" s="19">
        <v>25</v>
      </c>
      <c r="B105" s="19" t="s">
        <v>55</v>
      </c>
      <c r="C105" s="19" t="s">
        <v>56</v>
      </c>
      <c r="D105" s="19" t="s">
        <v>272</v>
      </c>
      <c r="E105" s="21">
        <v>46291.725416666668</v>
      </c>
      <c r="F105" s="19">
        <v>3</v>
      </c>
      <c r="G105" s="19">
        <v>195166223391</v>
      </c>
      <c r="H105" s="19">
        <v>1</v>
      </c>
      <c r="I105" s="19">
        <v>2499</v>
      </c>
      <c r="J105" s="19">
        <v>0</v>
      </c>
      <c r="K105" s="19">
        <v>0</v>
      </c>
      <c r="L105" s="19">
        <v>0</v>
      </c>
      <c r="M105" s="19">
        <v>2499</v>
      </c>
      <c r="N105" s="19">
        <v>119</v>
      </c>
      <c r="O105" s="19">
        <v>5</v>
      </c>
      <c r="P105" s="19" t="s">
        <v>273</v>
      </c>
      <c r="Q105" s="19">
        <v>50157523</v>
      </c>
      <c r="R105" s="19" t="s">
        <v>57</v>
      </c>
      <c r="S105" s="19">
        <v>50195907</v>
      </c>
      <c r="T105" s="19"/>
      <c r="U105" s="19" t="s">
        <v>58</v>
      </c>
      <c r="V105" s="18">
        <v>0</v>
      </c>
      <c r="W105" s="17">
        <f t="shared" si="4"/>
        <v>17</v>
      </c>
      <c r="X105" s="5">
        <f t="shared" si="5"/>
        <v>1</v>
      </c>
    </row>
    <row r="106" spans="1:24" x14ac:dyDescent="0.25">
      <c r="A106" s="19">
        <v>25</v>
      </c>
      <c r="B106" s="19" t="s">
        <v>55</v>
      </c>
      <c r="C106" s="19" t="s">
        <v>56</v>
      </c>
      <c r="D106" s="19" t="s">
        <v>272</v>
      </c>
      <c r="E106" s="21">
        <v>46291.725416666668</v>
      </c>
      <c r="F106" s="19">
        <v>3</v>
      </c>
      <c r="G106" s="19">
        <v>74299018060</v>
      </c>
      <c r="H106" s="19">
        <v>1</v>
      </c>
      <c r="I106" s="19">
        <v>899</v>
      </c>
      <c r="J106" s="19">
        <v>0</v>
      </c>
      <c r="K106" s="19">
        <v>0</v>
      </c>
      <c r="L106" s="19">
        <v>0</v>
      </c>
      <c r="M106" s="19">
        <v>899</v>
      </c>
      <c r="N106" s="19">
        <v>42.8</v>
      </c>
      <c r="O106" s="19">
        <v>5</v>
      </c>
      <c r="P106" s="19" t="s">
        <v>142</v>
      </c>
      <c r="Q106" s="19">
        <v>50157523</v>
      </c>
      <c r="R106" s="19" t="s">
        <v>57</v>
      </c>
      <c r="S106" s="19">
        <v>50000002</v>
      </c>
      <c r="T106" s="19"/>
      <c r="U106" s="19" t="s">
        <v>58</v>
      </c>
      <c r="V106" s="18">
        <v>0</v>
      </c>
      <c r="W106" s="17">
        <f t="shared" si="4"/>
        <v>17</v>
      </c>
      <c r="X106" s="5">
        <f t="shared" si="5"/>
        <v>0</v>
      </c>
    </row>
    <row r="107" spans="1:24" x14ac:dyDescent="0.25">
      <c r="A107" s="19">
        <v>25</v>
      </c>
      <c r="B107" s="19" t="s">
        <v>55</v>
      </c>
      <c r="C107" s="19" t="s">
        <v>56</v>
      </c>
      <c r="D107" s="19" t="s">
        <v>272</v>
      </c>
      <c r="E107" s="21">
        <v>46291.725416666668</v>
      </c>
      <c r="F107" s="19">
        <v>3</v>
      </c>
      <c r="G107" s="19">
        <v>74299018060</v>
      </c>
      <c r="H107" s="19">
        <v>1</v>
      </c>
      <c r="I107" s="19">
        <v>899</v>
      </c>
      <c r="J107" s="19">
        <v>0</v>
      </c>
      <c r="K107" s="19">
        <v>0</v>
      </c>
      <c r="L107" s="19">
        <v>0</v>
      </c>
      <c r="M107" s="19">
        <v>899</v>
      </c>
      <c r="N107" s="19">
        <v>42.8</v>
      </c>
      <c r="O107" s="19">
        <v>5</v>
      </c>
      <c r="P107" s="19" t="s">
        <v>142</v>
      </c>
      <c r="Q107" s="19">
        <v>50157523</v>
      </c>
      <c r="R107" s="19" t="s">
        <v>57</v>
      </c>
      <c r="S107" s="19">
        <v>50195907</v>
      </c>
      <c r="T107" s="19"/>
      <c r="U107" s="19" t="s">
        <v>58</v>
      </c>
      <c r="V107" s="18">
        <v>0</v>
      </c>
      <c r="W107" s="17">
        <f t="shared" si="4"/>
        <v>17</v>
      </c>
      <c r="X107" s="5">
        <f t="shared" si="5"/>
        <v>0</v>
      </c>
    </row>
    <row r="108" spans="1:24" x14ac:dyDescent="0.25">
      <c r="A108" s="19">
        <v>62</v>
      </c>
      <c r="B108" s="19" t="s">
        <v>55</v>
      </c>
      <c r="C108" s="19" t="s">
        <v>56</v>
      </c>
      <c r="D108" s="19" t="s">
        <v>274</v>
      </c>
      <c r="E108" s="21">
        <v>46291.729398148149</v>
      </c>
      <c r="F108" s="19">
        <v>3</v>
      </c>
      <c r="G108" s="19">
        <v>887961629385</v>
      </c>
      <c r="H108" s="19">
        <v>1</v>
      </c>
      <c r="I108" s="19">
        <v>199</v>
      </c>
      <c r="J108" s="19">
        <v>0</v>
      </c>
      <c r="K108" s="19">
        <v>0</v>
      </c>
      <c r="L108" s="19">
        <v>0</v>
      </c>
      <c r="M108" s="19">
        <v>199</v>
      </c>
      <c r="N108" s="19">
        <v>9.48</v>
      </c>
      <c r="O108" s="19">
        <v>5</v>
      </c>
      <c r="P108" s="19" t="s">
        <v>275</v>
      </c>
      <c r="Q108" s="19">
        <v>50170981</v>
      </c>
      <c r="R108" s="19" t="s">
        <v>57</v>
      </c>
      <c r="S108" s="19">
        <v>50170981</v>
      </c>
      <c r="T108" s="19"/>
      <c r="U108" s="19" t="s">
        <v>58</v>
      </c>
      <c r="V108" s="18">
        <v>0</v>
      </c>
      <c r="W108" s="17">
        <f t="shared" si="4"/>
        <v>17</v>
      </c>
      <c r="X108" s="5">
        <f t="shared" si="5"/>
        <v>1</v>
      </c>
    </row>
    <row r="109" spans="1:24" x14ac:dyDescent="0.25">
      <c r="A109" s="19">
        <v>62</v>
      </c>
      <c r="B109" s="19" t="s">
        <v>55</v>
      </c>
      <c r="C109" s="19" t="s">
        <v>56</v>
      </c>
      <c r="D109" s="19" t="s">
        <v>274</v>
      </c>
      <c r="E109" s="21">
        <v>46291.729398148149</v>
      </c>
      <c r="F109" s="19">
        <v>3</v>
      </c>
      <c r="G109" s="19">
        <v>74299018060</v>
      </c>
      <c r="H109" s="19">
        <v>1</v>
      </c>
      <c r="I109" s="19">
        <v>899</v>
      </c>
      <c r="J109" s="19">
        <v>0</v>
      </c>
      <c r="K109" s="19">
        <v>0</v>
      </c>
      <c r="L109" s="19">
        <v>0</v>
      </c>
      <c r="M109" s="19">
        <v>899</v>
      </c>
      <c r="N109" s="19">
        <v>42.8</v>
      </c>
      <c r="O109" s="19">
        <v>5</v>
      </c>
      <c r="P109" s="19" t="s">
        <v>142</v>
      </c>
      <c r="Q109" s="19">
        <v>50170981</v>
      </c>
      <c r="R109" s="19" t="s">
        <v>57</v>
      </c>
      <c r="S109" s="19">
        <v>50170981</v>
      </c>
      <c r="T109" s="19"/>
      <c r="U109" s="19" t="s">
        <v>58</v>
      </c>
      <c r="V109" s="18">
        <v>0</v>
      </c>
      <c r="W109" s="17">
        <f t="shared" si="4"/>
        <v>17</v>
      </c>
      <c r="X109" s="5">
        <f t="shared" si="5"/>
        <v>0</v>
      </c>
    </row>
    <row r="110" spans="1:24" x14ac:dyDescent="0.25">
      <c r="A110" s="19">
        <v>26</v>
      </c>
      <c r="B110" s="19" t="s">
        <v>55</v>
      </c>
      <c r="C110" s="19" t="s">
        <v>56</v>
      </c>
      <c r="D110" s="19" t="s">
        <v>289</v>
      </c>
      <c r="E110" s="21">
        <v>46291.72965277778</v>
      </c>
      <c r="F110" s="19">
        <v>2</v>
      </c>
      <c r="G110" s="19">
        <v>74299018060</v>
      </c>
      <c r="H110" s="19">
        <v>1</v>
      </c>
      <c r="I110" s="19">
        <v>899</v>
      </c>
      <c r="J110" s="19">
        <v>-179.8</v>
      </c>
      <c r="K110" s="19">
        <v>0</v>
      </c>
      <c r="L110" s="19">
        <v>-179.8</v>
      </c>
      <c r="M110" s="19">
        <v>719.2</v>
      </c>
      <c r="N110" s="19">
        <v>34.25</v>
      </c>
      <c r="O110" s="19">
        <v>5</v>
      </c>
      <c r="P110" s="19" t="s">
        <v>142</v>
      </c>
      <c r="Q110" s="19">
        <v>50157523</v>
      </c>
      <c r="R110" s="19" t="s">
        <v>57</v>
      </c>
      <c r="S110" s="19">
        <v>50000002</v>
      </c>
      <c r="T110" s="19"/>
      <c r="U110" s="19" t="s">
        <v>58</v>
      </c>
      <c r="V110" s="18">
        <v>0</v>
      </c>
      <c r="W110" s="17">
        <f t="shared" si="4"/>
        <v>17</v>
      </c>
      <c r="X110" s="5">
        <f t="shared" si="5"/>
        <v>1</v>
      </c>
    </row>
    <row r="111" spans="1:24" x14ac:dyDescent="0.25">
      <c r="A111" s="19">
        <v>26</v>
      </c>
      <c r="B111" s="19" t="s">
        <v>55</v>
      </c>
      <c r="C111" s="19" t="s">
        <v>56</v>
      </c>
      <c r="D111" s="19" t="s">
        <v>289</v>
      </c>
      <c r="E111" s="21">
        <v>46291.72965277778</v>
      </c>
      <c r="F111" s="19">
        <v>2</v>
      </c>
      <c r="G111" s="19">
        <v>74299018060</v>
      </c>
      <c r="H111" s="19">
        <v>1</v>
      </c>
      <c r="I111" s="19">
        <v>899</v>
      </c>
      <c r="J111" s="19">
        <v>-179.8</v>
      </c>
      <c r="K111" s="19">
        <v>0</v>
      </c>
      <c r="L111" s="19">
        <v>-179.8</v>
      </c>
      <c r="M111" s="19">
        <v>719.2</v>
      </c>
      <c r="N111" s="19">
        <v>34.25</v>
      </c>
      <c r="O111" s="19">
        <v>5</v>
      </c>
      <c r="P111" s="19" t="s">
        <v>142</v>
      </c>
      <c r="Q111" s="19">
        <v>50157523</v>
      </c>
      <c r="R111" s="19" t="s">
        <v>57</v>
      </c>
      <c r="S111" s="19">
        <v>50000002</v>
      </c>
      <c r="T111" s="19"/>
      <c r="U111" s="19" t="s">
        <v>58</v>
      </c>
      <c r="V111" s="18">
        <v>0</v>
      </c>
      <c r="W111" s="17">
        <f t="shared" si="4"/>
        <v>17</v>
      </c>
      <c r="X111" s="5">
        <f t="shared" si="5"/>
        <v>0</v>
      </c>
    </row>
    <row r="112" spans="1:24" x14ac:dyDescent="0.25">
      <c r="A112" s="19">
        <v>26</v>
      </c>
      <c r="B112" s="19" t="s">
        <v>55</v>
      </c>
      <c r="C112" s="19" t="s">
        <v>56</v>
      </c>
      <c r="D112" s="19" t="s">
        <v>289</v>
      </c>
      <c r="E112" s="21">
        <v>46291.72965277778</v>
      </c>
      <c r="F112" s="19">
        <v>2</v>
      </c>
      <c r="G112" s="19">
        <v>74299018060</v>
      </c>
      <c r="H112" s="19">
        <v>1</v>
      </c>
      <c r="I112" s="19">
        <v>899</v>
      </c>
      <c r="J112" s="19">
        <v>-179.8</v>
      </c>
      <c r="K112" s="19">
        <v>0</v>
      </c>
      <c r="L112" s="19">
        <v>-179.8</v>
      </c>
      <c r="M112" s="19">
        <v>719.2</v>
      </c>
      <c r="N112" s="19">
        <v>34.25</v>
      </c>
      <c r="O112" s="19">
        <v>5</v>
      </c>
      <c r="P112" s="19" t="s">
        <v>142</v>
      </c>
      <c r="Q112" s="19">
        <v>50157523</v>
      </c>
      <c r="R112" s="19" t="s">
        <v>57</v>
      </c>
      <c r="S112" s="19">
        <v>50000002</v>
      </c>
      <c r="T112" s="19"/>
      <c r="U112" s="19" t="s">
        <v>58</v>
      </c>
      <c r="V112" s="18">
        <v>0</v>
      </c>
      <c r="W112" s="17">
        <f t="shared" si="4"/>
        <v>17</v>
      </c>
      <c r="X112" s="5">
        <f t="shared" si="5"/>
        <v>0</v>
      </c>
    </row>
    <row r="113" spans="1:24" x14ac:dyDescent="0.25">
      <c r="A113" s="19">
        <v>26</v>
      </c>
      <c r="B113" s="19" t="s">
        <v>55</v>
      </c>
      <c r="C113" s="19" t="s">
        <v>56</v>
      </c>
      <c r="D113" s="19" t="s">
        <v>289</v>
      </c>
      <c r="E113" s="21">
        <v>46291.72965277778</v>
      </c>
      <c r="F113" s="19">
        <v>2</v>
      </c>
      <c r="G113" s="19">
        <v>74299018060</v>
      </c>
      <c r="H113" s="19">
        <v>1</v>
      </c>
      <c r="I113" s="19">
        <v>899</v>
      </c>
      <c r="J113" s="19">
        <v>-179.8</v>
      </c>
      <c r="K113" s="19">
        <v>0</v>
      </c>
      <c r="L113" s="19">
        <v>-179.8</v>
      </c>
      <c r="M113" s="19">
        <v>719.2</v>
      </c>
      <c r="N113" s="19">
        <v>34.25</v>
      </c>
      <c r="O113" s="19">
        <v>5</v>
      </c>
      <c r="P113" s="19" t="s">
        <v>142</v>
      </c>
      <c r="Q113" s="19">
        <v>50157523</v>
      </c>
      <c r="R113" s="19" t="s">
        <v>57</v>
      </c>
      <c r="S113" s="19">
        <v>50000002</v>
      </c>
      <c r="T113" s="19"/>
      <c r="U113" s="19" t="s">
        <v>58</v>
      </c>
      <c r="V113" s="18">
        <v>0</v>
      </c>
      <c r="W113" s="17">
        <f t="shared" si="4"/>
        <v>17</v>
      </c>
      <c r="X113" s="5">
        <f t="shared" si="5"/>
        <v>0</v>
      </c>
    </row>
    <row r="114" spans="1:24" x14ac:dyDescent="0.25">
      <c r="A114" s="19">
        <v>26</v>
      </c>
      <c r="B114" s="19" t="s">
        <v>55</v>
      </c>
      <c r="C114" s="19" t="s">
        <v>56</v>
      </c>
      <c r="D114" s="19" t="s">
        <v>289</v>
      </c>
      <c r="E114" s="21">
        <v>46291.72965277778</v>
      </c>
      <c r="F114" s="19">
        <v>2</v>
      </c>
      <c r="G114" s="19">
        <v>74299018060</v>
      </c>
      <c r="H114" s="19">
        <v>1</v>
      </c>
      <c r="I114" s="19">
        <v>899</v>
      </c>
      <c r="J114" s="19">
        <v>-179.8</v>
      </c>
      <c r="K114" s="19">
        <v>0</v>
      </c>
      <c r="L114" s="19">
        <v>-179.8</v>
      </c>
      <c r="M114" s="19">
        <v>719.2</v>
      </c>
      <c r="N114" s="19">
        <v>34.25</v>
      </c>
      <c r="O114" s="19">
        <v>5</v>
      </c>
      <c r="P114" s="19" t="s">
        <v>142</v>
      </c>
      <c r="Q114" s="19">
        <v>50157523</v>
      </c>
      <c r="R114" s="19" t="s">
        <v>57</v>
      </c>
      <c r="S114" s="19">
        <v>50000002</v>
      </c>
      <c r="T114" s="19"/>
      <c r="U114" s="19" t="s">
        <v>58</v>
      </c>
      <c r="V114" s="18">
        <v>0</v>
      </c>
      <c r="W114" s="17">
        <f t="shared" si="4"/>
        <v>17</v>
      </c>
      <c r="X114" s="5">
        <f t="shared" si="5"/>
        <v>0</v>
      </c>
    </row>
    <row r="115" spans="1:24" x14ac:dyDescent="0.25">
      <c r="A115" s="19">
        <v>26</v>
      </c>
      <c r="B115" s="19" t="s">
        <v>55</v>
      </c>
      <c r="C115" s="19" t="s">
        <v>56</v>
      </c>
      <c r="D115" s="19" t="s">
        <v>289</v>
      </c>
      <c r="E115" s="21">
        <v>46291.72965277778</v>
      </c>
      <c r="F115" s="19">
        <v>2</v>
      </c>
      <c r="G115" s="19">
        <v>74299018060</v>
      </c>
      <c r="H115" s="19">
        <v>1</v>
      </c>
      <c r="I115" s="19">
        <v>899</v>
      </c>
      <c r="J115" s="19">
        <v>-179.8</v>
      </c>
      <c r="K115" s="19">
        <v>0</v>
      </c>
      <c r="L115" s="19">
        <v>-179.8</v>
      </c>
      <c r="M115" s="19">
        <v>719.2</v>
      </c>
      <c r="N115" s="19">
        <v>34.25</v>
      </c>
      <c r="O115" s="19">
        <v>5</v>
      </c>
      <c r="P115" s="19" t="s">
        <v>142</v>
      </c>
      <c r="Q115" s="19">
        <v>50157523</v>
      </c>
      <c r="R115" s="19" t="s">
        <v>57</v>
      </c>
      <c r="S115" s="19">
        <v>50000002</v>
      </c>
      <c r="T115" s="19"/>
      <c r="U115" s="19" t="s">
        <v>58</v>
      </c>
      <c r="V115" s="18">
        <v>0</v>
      </c>
      <c r="W115" s="17">
        <f t="shared" si="4"/>
        <v>17</v>
      </c>
      <c r="X115" s="5">
        <f t="shared" si="5"/>
        <v>0</v>
      </c>
    </row>
    <row r="116" spans="1:24" x14ac:dyDescent="0.25">
      <c r="A116" s="19">
        <v>26</v>
      </c>
      <c r="B116" s="19" t="s">
        <v>55</v>
      </c>
      <c r="C116" s="19" t="s">
        <v>56</v>
      </c>
      <c r="D116" s="19" t="s">
        <v>289</v>
      </c>
      <c r="E116" s="21">
        <v>46291.72965277778</v>
      </c>
      <c r="F116" s="19">
        <v>2</v>
      </c>
      <c r="G116" s="19">
        <v>74299018060</v>
      </c>
      <c r="H116" s="19">
        <v>1</v>
      </c>
      <c r="I116" s="19">
        <v>899</v>
      </c>
      <c r="J116" s="19">
        <v>-179.8</v>
      </c>
      <c r="K116" s="19">
        <v>0</v>
      </c>
      <c r="L116" s="19">
        <v>-179.8</v>
      </c>
      <c r="M116" s="19">
        <v>719.2</v>
      </c>
      <c r="N116" s="19">
        <v>34.25</v>
      </c>
      <c r="O116" s="19">
        <v>5</v>
      </c>
      <c r="P116" s="19" t="s">
        <v>142</v>
      </c>
      <c r="Q116" s="19">
        <v>50157523</v>
      </c>
      <c r="R116" s="19" t="s">
        <v>57</v>
      </c>
      <c r="S116" s="19">
        <v>50000002</v>
      </c>
      <c r="T116" s="19"/>
      <c r="U116" s="19" t="s">
        <v>58</v>
      </c>
      <c r="V116" s="18">
        <v>0</v>
      </c>
      <c r="W116" s="17">
        <f t="shared" si="4"/>
        <v>17</v>
      </c>
      <c r="X116" s="5">
        <f t="shared" si="5"/>
        <v>0</v>
      </c>
    </row>
    <row r="117" spans="1:24" x14ac:dyDescent="0.25">
      <c r="A117" s="19">
        <v>26</v>
      </c>
      <c r="B117" s="19" t="s">
        <v>55</v>
      </c>
      <c r="C117" s="19" t="s">
        <v>56</v>
      </c>
      <c r="D117" s="19" t="s">
        <v>289</v>
      </c>
      <c r="E117" s="21">
        <v>46291.72965277778</v>
      </c>
      <c r="F117" s="19">
        <v>2</v>
      </c>
      <c r="G117" s="19">
        <v>74299018060</v>
      </c>
      <c r="H117" s="19">
        <v>1</v>
      </c>
      <c r="I117" s="19">
        <v>899</v>
      </c>
      <c r="J117" s="19">
        <v>-179.8</v>
      </c>
      <c r="K117" s="19">
        <v>0</v>
      </c>
      <c r="L117" s="19">
        <v>-179.8</v>
      </c>
      <c r="M117" s="19">
        <v>719.2</v>
      </c>
      <c r="N117" s="19">
        <v>34.25</v>
      </c>
      <c r="O117" s="19">
        <v>5</v>
      </c>
      <c r="P117" s="19" t="s">
        <v>142</v>
      </c>
      <c r="Q117" s="19">
        <v>50157523</v>
      </c>
      <c r="R117" s="19" t="s">
        <v>57</v>
      </c>
      <c r="S117" s="19">
        <v>50000002</v>
      </c>
      <c r="T117" s="19"/>
      <c r="U117" s="19" t="s">
        <v>58</v>
      </c>
      <c r="V117" s="18">
        <v>0</v>
      </c>
      <c r="W117" s="17">
        <f t="shared" si="4"/>
        <v>17</v>
      </c>
      <c r="X117" s="5">
        <f t="shared" si="5"/>
        <v>0</v>
      </c>
    </row>
    <row r="118" spans="1:24" x14ac:dyDescent="0.25">
      <c r="A118" s="19">
        <v>26</v>
      </c>
      <c r="B118" s="19" t="s">
        <v>55</v>
      </c>
      <c r="C118" s="19" t="s">
        <v>56</v>
      </c>
      <c r="D118" s="19" t="s">
        <v>289</v>
      </c>
      <c r="E118" s="21">
        <v>46291.72965277778</v>
      </c>
      <c r="F118" s="19">
        <v>2</v>
      </c>
      <c r="G118" s="19">
        <v>74299018060</v>
      </c>
      <c r="H118" s="19">
        <v>1</v>
      </c>
      <c r="I118" s="19">
        <v>899</v>
      </c>
      <c r="J118" s="19">
        <v>-179.8</v>
      </c>
      <c r="K118" s="19">
        <v>0</v>
      </c>
      <c r="L118" s="19">
        <v>-179.8</v>
      </c>
      <c r="M118" s="19">
        <v>719.2</v>
      </c>
      <c r="N118" s="19">
        <v>34.25</v>
      </c>
      <c r="O118" s="19">
        <v>5</v>
      </c>
      <c r="P118" s="19" t="s">
        <v>142</v>
      </c>
      <c r="Q118" s="19">
        <v>50157523</v>
      </c>
      <c r="R118" s="19" t="s">
        <v>57</v>
      </c>
      <c r="S118" s="19">
        <v>50000002</v>
      </c>
      <c r="T118" s="19"/>
      <c r="U118" s="19" t="s">
        <v>58</v>
      </c>
      <c r="V118" s="18">
        <v>0</v>
      </c>
      <c r="W118" s="17">
        <f t="shared" si="4"/>
        <v>17</v>
      </c>
      <c r="X118" s="5">
        <f t="shared" si="5"/>
        <v>0</v>
      </c>
    </row>
    <row r="119" spans="1:24" x14ac:dyDescent="0.25">
      <c r="A119" s="19">
        <v>26</v>
      </c>
      <c r="B119" s="19" t="s">
        <v>55</v>
      </c>
      <c r="C119" s="19" t="s">
        <v>56</v>
      </c>
      <c r="D119" s="19" t="s">
        <v>289</v>
      </c>
      <c r="E119" s="21">
        <v>46291.72965277778</v>
      </c>
      <c r="F119" s="19">
        <v>2</v>
      </c>
      <c r="G119" s="19">
        <v>74299018060</v>
      </c>
      <c r="H119" s="19">
        <v>1</v>
      </c>
      <c r="I119" s="19">
        <v>899</v>
      </c>
      <c r="J119" s="19">
        <v>-179.8</v>
      </c>
      <c r="K119" s="19">
        <v>0</v>
      </c>
      <c r="L119" s="19">
        <v>-179.8</v>
      </c>
      <c r="M119" s="19">
        <v>719.2</v>
      </c>
      <c r="N119" s="19">
        <v>34.25</v>
      </c>
      <c r="O119" s="19">
        <v>5</v>
      </c>
      <c r="P119" s="19" t="s">
        <v>142</v>
      </c>
      <c r="Q119" s="19">
        <v>50157523</v>
      </c>
      <c r="R119" s="19" t="s">
        <v>57</v>
      </c>
      <c r="S119" s="19">
        <v>50000002</v>
      </c>
      <c r="T119" s="19"/>
      <c r="U119" s="19" t="s">
        <v>58</v>
      </c>
      <c r="V119" s="18">
        <v>0</v>
      </c>
      <c r="W119" s="17">
        <f t="shared" si="4"/>
        <v>17</v>
      </c>
      <c r="X119" s="5">
        <f t="shared" si="5"/>
        <v>0</v>
      </c>
    </row>
    <row r="120" spans="1:24" x14ac:dyDescent="0.25">
      <c r="A120" s="19">
        <v>26</v>
      </c>
      <c r="B120" s="19" t="s">
        <v>55</v>
      </c>
      <c r="C120" s="19" t="s">
        <v>56</v>
      </c>
      <c r="D120" s="19" t="s">
        <v>289</v>
      </c>
      <c r="E120" s="21">
        <v>46291.72965277778</v>
      </c>
      <c r="F120" s="19">
        <v>2</v>
      </c>
      <c r="G120" s="19">
        <v>74299018060</v>
      </c>
      <c r="H120" s="19">
        <v>1</v>
      </c>
      <c r="I120" s="19">
        <v>899</v>
      </c>
      <c r="J120" s="19">
        <v>-179.8</v>
      </c>
      <c r="K120" s="19">
        <v>0</v>
      </c>
      <c r="L120" s="19">
        <v>-179.8</v>
      </c>
      <c r="M120" s="19">
        <v>719.2</v>
      </c>
      <c r="N120" s="19">
        <v>34.25</v>
      </c>
      <c r="O120" s="19">
        <v>5</v>
      </c>
      <c r="P120" s="19" t="s">
        <v>142</v>
      </c>
      <c r="Q120" s="19">
        <v>50157523</v>
      </c>
      <c r="R120" s="19" t="s">
        <v>57</v>
      </c>
      <c r="S120" s="19">
        <v>50000002</v>
      </c>
      <c r="T120" s="19"/>
      <c r="U120" s="19" t="s">
        <v>58</v>
      </c>
      <c r="V120" s="18">
        <v>0</v>
      </c>
      <c r="W120" s="17">
        <f t="shared" si="4"/>
        <v>17</v>
      </c>
      <c r="X120" s="5">
        <f t="shared" si="5"/>
        <v>0</v>
      </c>
    </row>
    <row r="121" spans="1:24" x14ac:dyDescent="0.25">
      <c r="A121" s="19">
        <v>26</v>
      </c>
      <c r="B121" s="19" t="s">
        <v>55</v>
      </c>
      <c r="C121" s="19" t="s">
        <v>56</v>
      </c>
      <c r="D121" s="19" t="s">
        <v>289</v>
      </c>
      <c r="E121" s="21">
        <v>46291.72965277778</v>
      </c>
      <c r="F121" s="19">
        <v>2</v>
      </c>
      <c r="G121" s="19">
        <v>74299018060</v>
      </c>
      <c r="H121" s="19">
        <v>1</v>
      </c>
      <c r="I121" s="19">
        <v>899</v>
      </c>
      <c r="J121" s="19">
        <v>-179.8</v>
      </c>
      <c r="K121" s="19">
        <v>0</v>
      </c>
      <c r="L121" s="19">
        <v>-179.8</v>
      </c>
      <c r="M121" s="19">
        <v>719.2</v>
      </c>
      <c r="N121" s="19">
        <v>34.25</v>
      </c>
      <c r="O121" s="19">
        <v>5</v>
      </c>
      <c r="P121" s="19" t="s">
        <v>142</v>
      </c>
      <c r="Q121" s="19">
        <v>50157523</v>
      </c>
      <c r="R121" s="19" t="s">
        <v>57</v>
      </c>
      <c r="S121" s="19">
        <v>50000002</v>
      </c>
      <c r="T121" s="19"/>
      <c r="U121" s="19" t="s">
        <v>58</v>
      </c>
      <c r="V121" s="18">
        <v>0</v>
      </c>
      <c r="W121" s="17">
        <f t="shared" si="4"/>
        <v>17</v>
      </c>
      <c r="X121" s="5">
        <f t="shared" si="5"/>
        <v>0</v>
      </c>
    </row>
    <row r="122" spans="1:24" x14ac:dyDescent="0.25">
      <c r="A122" s="19">
        <v>26</v>
      </c>
      <c r="B122" s="19" t="s">
        <v>55</v>
      </c>
      <c r="C122" s="19" t="s">
        <v>56</v>
      </c>
      <c r="D122" s="19" t="s">
        <v>289</v>
      </c>
      <c r="E122" s="21">
        <v>46291.72965277778</v>
      </c>
      <c r="F122" s="19">
        <v>2</v>
      </c>
      <c r="G122" s="19">
        <v>74299018060</v>
      </c>
      <c r="H122" s="19">
        <v>1</v>
      </c>
      <c r="I122" s="19">
        <v>899</v>
      </c>
      <c r="J122" s="19">
        <v>-179.8</v>
      </c>
      <c r="K122" s="19">
        <v>0</v>
      </c>
      <c r="L122" s="19">
        <v>-179.8</v>
      </c>
      <c r="M122" s="19">
        <v>719.2</v>
      </c>
      <c r="N122" s="19">
        <v>34.25</v>
      </c>
      <c r="O122" s="19">
        <v>5</v>
      </c>
      <c r="P122" s="19" t="s">
        <v>142</v>
      </c>
      <c r="Q122" s="19">
        <v>50157523</v>
      </c>
      <c r="R122" s="19" t="s">
        <v>57</v>
      </c>
      <c r="S122" s="19">
        <v>50000002</v>
      </c>
      <c r="T122" s="19"/>
      <c r="U122" s="19" t="s">
        <v>58</v>
      </c>
      <c r="V122" s="18">
        <v>0</v>
      </c>
      <c r="W122" s="17">
        <f t="shared" si="4"/>
        <v>17</v>
      </c>
      <c r="X122" s="5">
        <f t="shared" si="5"/>
        <v>0</v>
      </c>
    </row>
    <row r="123" spans="1:24" x14ac:dyDescent="0.25">
      <c r="A123" s="19">
        <v>26</v>
      </c>
      <c r="B123" s="19" t="s">
        <v>55</v>
      </c>
      <c r="C123" s="19" t="s">
        <v>56</v>
      </c>
      <c r="D123" s="19" t="s">
        <v>289</v>
      </c>
      <c r="E123" s="21">
        <v>46291.72965277778</v>
      </c>
      <c r="F123" s="19">
        <v>2</v>
      </c>
      <c r="G123" s="19">
        <v>74299018060</v>
      </c>
      <c r="H123" s="19">
        <v>1</v>
      </c>
      <c r="I123" s="19">
        <v>899</v>
      </c>
      <c r="J123" s="19">
        <v>-179.8</v>
      </c>
      <c r="K123" s="19">
        <v>0</v>
      </c>
      <c r="L123" s="19">
        <v>-179.8</v>
      </c>
      <c r="M123" s="19">
        <v>719.2</v>
      </c>
      <c r="N123" s="19">
        <v>34.25</v>
      </c>
      <c r="O123" s="19">
        <v>5</v>
      </c>
      <c r="P123" s="19" t="s">
        <v>142</v>
      </c>
      <c r="Q123" s="19">
        <v>50157523</v>
      </c>
      <c r="R123" s="19" t="s">
        <v>57</v>
      </c>
      <c r="S123" s="19">
        <v>50000002</v>
      </c>
      <c r="T123" s="19"/>
      <c r="U123" s="19" t="s">
        <v>58</v>
      </c>
      <c r="V123" s="18">
        <v>0</v>
      </c>
      <c r="W123" s="17">
        <f t="shared" si="4"/>
        <v>17</v>
      </c>
      <c r="X123" s="5">
        <f t="shared" si="5"/>
        <v>0</v>
      </c>
    </row>
    <row r="124" spans="1:24" x14ac:dyDescent="0.25">
      <c r="A124" s="19">
        <v>26</v>
      </c>
      <c r="B124" s="19" t="s">
        <v>55</v>
      </c>
      <c r="C124" s="19" t="s">
        <v>56</v>
      </c>
      <c r="D124" s="19" t="s">
        <v>289</v>
      </c>
      <c r="E124" s="21">
        <v>46291.72965277778</v>
      </c>
      <c r="F124" s="19">
        <v>2</v>
      </c>
      <c r="G124" s="19">
        <v>74299018060</v>
      </c>
      <c r="H124" s="19">
        <v>1</v>
      </c>
      <c r="I124" s="19">
        <v>899</v>
      </c>
      <c r="J124" s="19">
        <v>-179.8</v>
      </c>
      <c r="K124" s="19">
        <v>0</v>
      </c>
      <c r="L124" s="19">
        <v>-179.8</v>
      </c>
      <c r="M124" s="19">
        <v>719.2</v>
      </c>
      <c r="N124" s="19">
        <v>34.25</v>
      </c>
      <c r="O124" s="19">
        <v>5</v>
      </c>
      <c r="P124" s="19" t="s">
        <v>142</v>
      </c>
      <c r="Q124" s="19">
        <v>50157523</v>
      </c>
      <c r="R124" s="19" t="s">
        <v>57</v>
      </c>
      <c r="S124" s="19">
        <v>50000002</v>
      </c>
      <c r="T124" s="19"/>
      <c r="U124" s="19" t="s">
        <v>58</v>
      </c>
      <c r="V124" s="18">
        <v>0</v>
      </c>
      <c r="W124" s="17">
        <f t="shared" si="4"/>
        <v>17</v>
      </c>
      <c r="X124" s="5">
        <f t="shared" si="5"/>
        <v>0</v>
      </c>
    </row>
    <row r="125" spans="1:24" x14ac:dyDescent="0.25">
      <c r="A125" s="19">
        <v>26</v>
      </c>
      <c r="B125" s="19" t="s">
        <v>55</v>
      </c>
      <c r="C125" s="19" t="s">
        <v>56</v>
      </c>
      <c r="D125" s="19" t="s">
        <v>289</v>
      </c>
      <c r="E125" s="21">
        <v>46291.72965277778</v>
      </c>
      <c r="F125" s="19">
        <v>2</v>
      </c>
      <c r="G125" s="19">
        <v>74299018060</v>
      </c>
      <c r="H125" s="19">
        <v>1</v>
      </c>
      <c r="I125" s="19">
        <v>899</v>
      </c>
      <c r="J125" s="19">
        <v>-179.8</v>
      </c>
      <c r="K125" s="19">
        <v>0</v>
      </c>
      <c r="L125" s="19">
        <v>-179.8</v>
      </c>
      <c r="M125" s="19">
        <v>719.2</v>
      </c>
      <c r="N125" s="19">
        <v>34.25</v>
      </c>
      <c r="O125" s="19">
        <v>5</v>
      </c>
      <c r="P125" s="19" t="s">
        <v>142</v>
      </c>
      <c r="Q125" s="19">
        <v>50157523</v>
      </c>
      <c r="R125" s="19" t="s">
        <v>57</v>
      </c>
      <c r="S125" s="19">
        <v>50000002</v>
      </c>
      <c r="T125" s="19"/>
      <c r="U125" s="19" t="s">
        <v>58</v>
      </c>
      <c r="V125" s="18">
        <v>0</v>
      </c>
      <c r="W125" s="17">
        <f t="shared" si="4"/>
        <v>17</v>
      </c>
      <c r="X125" s="5">
        <f t="shared" si="5"/>
        <v>0</v>
      </c>
    </row>
    <row r="126" spans="1:24" x14ac:dyDescent="0.25">
      <c r="A126" s="19">
        <v>26</v>
      </c>
      <c r="B126" s="19" t="s">
        <v>55</v>
      </c>
      <c r="C126" s="19" t="s">
        <v>56</v>
      </c>
      <c r="D126" s="19" t="s">
        <v>289</v>
      </c>
      <c r="E126" s="21">
        <v>46291.72965277778</v>
      </c>
      <c r="F126" s="19">
        <v>2</v>
      </c>
      <c r="G126" s="19">
        <v>74299018060</v>
      </c>
      <c r="H126" s="19">
        <v>1</v>
      </c>
      <c r="I126" s="19">
        <v>899</v>
      </c>
      <c r="J126" s="19">
        <v>-179.8</v>
      </c>
      <c r="K126" s="19">
        <v>0</v>
      </c>
      <c r="L126" s="19">
        <v>-179.8</v>
      </c>
      <c r="M126" s="19">
        <v>719.2</v>
      </c>
      <c r="N126" s="19">
        <v>34.25</v>
      </c>
      <c r="O126" s="19">
        <v>5</v>
      </c>
      <c r="P126" s="19" t="s">
        <v>142</v>
      </c>
      <c r="Q126" s="19">
        <v>50157523</v>
      </c>
      <c r="R126" s="19" t="s">
        <v>57</v>
      </c>
      <c r="S126" s="19">
        <v>50000002</v>
      </c>
      <c r="T126" s="19"/>
      <c r="U126" s="19" t="s">
        <v>58</v>
      </c>
      <c r="V126" s="18">
        <v>0</v>
      </c>
      <c r="W126" s="17">
        <f t="shared" si="4"/>
        <v>17</v>
      </c>
      <c r="X126" s="5">
        <f t="shared" si="5"/>
        <v>0</v>
      </c>
    </row>
    <row r="127" spans="1:24" x14ac:dyDescent="0.25">
      <c r="A127" s="19">
        <v>26</v>
      </c>
      <c r="B127" s="19" t="s">
        <v>55</v>
      </c>
      <c r="C127" s="19" t="s">
        <v>56</v>
      </c>
      <c r="D127" s="19" t="s">
        <v>289</v>
      </c>
      <c r="E127" s="21">
        <v>46291.72965277778</v>
      </c>
      <c r="F127" s="19">
        <v>2</v>
      </c>
      <c r="G127" s="19">
        <v>74299018060</v>
      </c>
      <c r="H127" s="19">
        <v>1</v>
      </c>
      <c r="I127" s="19">
        <v>899</v>
      </c>
      <c r="J127" s="19">
        <v>-179.8</v>
      </c>
      <c r="K127" s="19">
        <v>0</v>
      </c>
      <c r="L127" s="19">
        <v>-179.8</v>
      </c>
      <c r="M127" s="19">
        <v>719.2</v>
      </c>
      <c r="N127" s="19">
        <v>34.25</v>
      </c>
      <c r="O127" s="19">
        <v>5</v>
      </c>
      <c r="P127" s="19" t="s">
        <v>142</v>
      </c>
      <c r="Q127" s="19">
        <v>50157523</v>
      </c>
      <c r="R127" s="19" t="s">
        <v>57</v>
      </c>
      <c r="S127" s="19">
        <v>50105787</v>
      </c>
      <c r="T127" s="19"/>
      <c r="U127" s="19" t="s">
        <v>58</v>
      </c>
      <c r="V127" s="18">
        <v>0</v>
      </c>
      <c r="W127" s="17">
        <f t="shared" si="4"/>
        <v>17</v>
      </c>
      <c r="X127" s="5">
        <f t="shared" si="5"/>
        <v>0</v>
      </c>
    </row>
    <row r="128" spans="1:24" x14ac:dyDescent="0.25">
      <c r="A128" s="19">
        <v>26</v>
      </c>
      <c r="B128" s="19" t="s">
        <v>55</v>
      </c>
      <c r="C128" s="19" t="s">
        <v>56</v>
      </c>
      <c r="D128" s="19" t="s">
        <v>289</v>
      </c>
      <c r="E128" s="21">
        <v>46291.72965277778</v>
      </c>
      <c r="F128" s="19">
        <v>2</v>
      </c>
      <c r="G128" s="19">
        <v>74299018060</v>
      </c>
      <c r="H128" s="19">
        <v>1</v>
      </c>
      <c r="I128" s="19">
        <v>899</v>
      </c>
      <c r="J128" s="19">
        <v>-179.8</v>
      </c>
      <c r="K128" s="19">
        <v>0</v>
      </c>
      <c r="L128" s="19">
        <v>-179.8</v>
      </c>
      <c r="M128" s="19">
        <v>719.2</v>
      </c>
      <c r="N128" s="19">
        <v>34.25</v>
      </c>
      <c r="O128" s="19">
        <v>5</v>
      </c>
      <c r="P128" s="19" t="s">
        <v>142</v>
      </c>
      <c r="Q128" s="19">
        <v>50157523</v>
      </c>
      <c r="R128" s="19" t="s">
        <v>57</v>
      </c>
      <c r="S128" s="19">
        <v>50105787</v>
      </c>
      <c r="T128" s="19"/>
      <c r="U128" s="19" t="s">
        <v>58</v>
      </c>
      <c r="V128" s="18">
        <v>0</v>
      </c>
      <c r="W128" s="17">
        <f t="shared" si="4"/>
        <v>17</v>
      </c>
      <c r="X128" s="5">
        <f t="shared" si="5"/>
        <v>0</v>
      </c>
    </row>
    <row r="129" spans="1:24" x14ac:dyDescent="0.25">
      <c r="A129" s="19">
        <v>26</v>
      </c>
      <c r="B129" s="19" t="s">
        <v>55</v>
      </c>
      <c r="C129" s="19" t="s">
        <v>56</v>
      </c>
      <c r="D129" s="19" t="s">
        <v>289</v>
      </c>
      <c r="E129" s="21">
        <v>46291.72965277778</v>
      </c>
      <c r="F129" s="19">
        <v>2</v>
      </c>
      <c r="G129" s="19">
        <v>74299018060</v>
      </c>
      <c r="H129" s="19">
        <v>1</v>
      </c>
      <c r="I129" s="19">
        <v>899</v>
      </c>
      <c r="J129" s="19">
        <v>-179.8</v>
      </c>
      <c r="K129" s="19">
        <v>0</v>
      </c>
      <c r="L129" s="19">
        <v>-179.8</v>
      </c>
      <c r="M129" s="19">
        <v>719.2</v>
      </c>
      <c r="N129" s="19">
        <v>34.25</v>
      </c>
      <c r="O129" s="19">
        <v>5</v>
      </c>
      <c r="P129" s="19" t="s">
        <v>142</v>
      </c>
      <c r="Q129" s="19">
        <v>50157523</v>
      </c>
      <c r="R129" s="19" t="s">
        <v>57</v>
      </c>
      <c r="S129" s="19">
        <v>50105787</v>
      </c>
      <c r="T129" s="19"/>
      <c r="U129" s="19" t="s">
        <v>58</v>
      </c>
      <c r="V129" s="18">
        <v>0</v>
      </c>
      <c r="W129" s="17">
        <f t="shared" si="4"/>
        <v>17</v>
      </c>
      <c r="X129" s="5">
        <f t="shared" si="5"/>
        <v>0</v>
      </c>
    </row>
    <row r="130" spans="1:24" x14ac:dyDescent="0.25">
      <c r="A130" s="19">
        <v>26</v>
      </c>
      <c r="B130" s="19" t="s">
        <v>55</v>
      </c>
      <c r="C130" s="19" t="s">
        <v>56</v>
      </c>
      <c r="D130" s="19" t="s">
        <v>289</v>
      </c>
      <c r="E130" s="21">
        <v>46291.72965277778</v>
      </c>
      <c r="F130" s="19">
        <v>2</v>
      </c>
      <c r="G130" s="19">
        <v>74299018060</v>
      </c>
      <c r="H130" s="19">
        <v>1</v>
      </c>
      <c r="I130" s="19">
        <v>899</v>
      </c>
      <c r="J130" s="19">
        <v>-179.8</v>
      </c>
      <c r="K130" s="19">
        <v>0</v>
      </c>
      <c r="L130" s="19">
        <v>-179.8</v>
      </c>
      <c r="M130" s="19">
        <v>719.2</v>
      </c>
      <c r="N130" s="19">
        <v>34.25</v>
      </c>
      <c r="O130" s="19">
        <v>5</v>
      </c>
      <c r="P130" s="19" t="s">
        <v>142</v>
      </c>
      <c r="Q130" s="19">
        <v>50157523</v>
      </c>
      <c r="R130" s="19" t="s">
        <v>57</v>
      </c>
      <c r="S130" s="19">
        <v>50105787</v>
      </c>
      <c r="T130" s="19"/>
      <c r="U130" s="19" t="s">
        <v>58</v>
      </c>
      <c r="V130" s="18">
        <v>0</v>
      </c>
      <c r="W130" s="17">
        <f t="shared" si="4"/>
        <v>17</v>
      </c>
      <c r="X130" s="5">
        <f t="shared" si="5"/>
        <v>0</v>
      </c>
    </row>
    <row r="131" spans="1:24" x14ac:dyDescent="0.25">
      <c r="A131" s="19">
        <v>26</v>
      </c>
      <c r="B131" s="19" t="s">
        <v>55</v>
      </c>
      <c r="C131" s="19" t="s">
        <v>56</v>
      </c>
      <c r="D131" s="19" t="s">
        <v>289</v>
      </c>
      <c r="E131" s="21">
        <v>46291.72965277778</v>
      </c>
      <c r="F131" s="19">
        <v>2</v>
      </c>
      <c r="G131" s="19">
        <v>74299018060</v>
      </c>
      <c r="H131" s="19">
        <v>1</v>
      </c>
      <c r="I131" s="19">
        <v>899</v>
      </c>
      <c r="J131" s="19">
        <v>-179.8</v>
      </c>
      <c r="K131" s="19">
        <v>0</v>
      </c>
      <c r="L131" s="19">
        <v>-179.8</v>
      </c>
      <c r="M131" s="19">
        <v>719.2</v>
      </c>
      <c r="N131" s="19">
        <v>34.25</v>
      </c>
      <c r="O131" s="19">
        <v>5</v>
      </c>
      <c r="P131" s="19" t="s">
        <v>142</v>
      </c>
      <c r="Q131" s="19">
        <v>50157523</v>
      </c>
      <c r="R131" s="19" t="s">
        <v>57</v>
      </c>
      <c r="S131" s="19">
        <v>50105787</v>
      </c>
      <c r="T131" s="19"/>
      <c r="U131" s="19" t="s">
        <v>58</v>
      </c>
      <c r="V131" s="18">
        <v>0</v>
      </c>
      <c r="W131" s="17">
        <f t="shared" ref="W131:W194" si="6">HOUR(E131)</f>
        <v>17</v>
      </c>
      <c r="X131" s="5">
        <f t="shared" ref="X131:X194" si="7">IF(D131=D130,0,1)</f>
        <v>0</v>
      </c>
    </row>
    <row r="132" spans="1:24" x14ac:dyDescent="0.25">
      <c r="A132" s="19">
        <v>26</v>
      </c>
      <c r="B132" s="19" t="s">
        <v>55</v>
      </c>
      <c r="C132" s="19" t="s">
        <v>56</v>
      </c>
      <c r="D132" s="19" t="s">
        <v>289</v>
      </c>
      <c r="E132" s="21">
        <v>46291.72965277778</v>
      </c>
      <c r="F132" s="19">
        <v>2</v>
      </c>
      <c r="G132" s="19">
        <v>74299018060</v>
      </c>
      <c r="H132" s="19">
        <v>1</v>
      </c>
      <c r="I132" s="19">
        <v>899</v>
      </c>
      <c r="J132" s="19">
        <v>-179.8</v>
      </c>
      <c r="K132" s="19">
        <v>0</v>
      </c>
      <c r="L132" s="19">
        <v>-179.8</v>
      </c>
      <c r="M132" s="19">
        <v>719.2</v>
      </c>
      <c r="N132" s="19">
        <v>34.25</v>
      </c>
      <c r="O132" s="19">
        <v>5</v>
      </c>
      <c r="P132" s="19" t="s">
        <v>142</v>
      </c>
      <c r="Q132" s="19">
        <v>50157523</v>
      </c>
      <c r="R132" s="19" t="s">
        <v>57</v>
      </c>
      <c r="S132" s="19">
        <v>50105787</v>
      </c>
      <c r="T132" s="19"/>
      <c r="U132" s="19" t="s">
        <v>58</v>
      </c>
      <c r="V132" s="18">
        <v>0</v>
      </c>
      <c r="W132" s="17">
        <f t="shared" si="6"/>
        <v>17</v>
      </c>
      <c r="X132" s="5">
        <f t="shared" si="7"/>
        <v>0</v>
      </c>
    </row>
    <row r="133" spans="1:24" x14ac:dyDescent="0.25">
      <c r="A133" s="19">
        <v>26</v>
      </c>
      <c r="B133" s="19" t="s">
        <v>55</v>
      </c>
      <c r="C133" s="19" t="s">
        <v>56</v>
      </c>
      <c r="D133" s="19" t="s">
        <v>289</v>
      </c>
      <c r="E133" s="21">
        <v>46291.72965277778</v>
      </c>
      <c r="F133" s="19">
        <v>2</v>
      </c>
      <c r="G133" s="19">
        <v>74299018060</v>
      </c>
      <c r="H133" s="19">
        <v>1</v>
      </c>
      <c r="I133" s="19">
        <v>899</v>
      </c>
      <c r="J133" s="19">
        <v>-179.8</v>
      </c>
      <c r="K133" s="19">
        <v>0</v>
      </c>
      <c r="L133" s="19">
        <v>-179.8</v>
      </c>
      <c r="M133" s="19">
        <v>719.2</v>
      </c>
      <c r="N133" s="19">
        <v>34.25</v>
      </c>
      <c r="O133" s="19">
        <v>5</v>
      </c>
      <c r="P133" s="19" t="s">
        <v>142</v>
      </c>
      <c r="Q133" s="19">
        <v>50157523</v>
      </c>
      <c r="R133" s="19" t="s">
        <v>57</v>
      </c>
      <c r="S133" s="19">
        <v>50105787</v>
      </c>
      <c r="T133" s="19"/>
      <c r="U133" s="19" t="s">
        <v>58</v>
      </c>
      <c r="V133" s="18">
        <v>0</v>
      </c>
      <c r="W133" s="17">
        <f t="shared" si="6"/>
        <v>17</v>
      </c>
      <c r="X133" s="5">
        <f t="shared" si="7"/>
        <v>0</v>
      </c>
    </row>
    <row r="134" spans="1:24" x14ac:dyDescent="0.25">
      <c r="A134" s="19">
        <v>26</v>
      </c>
      <c r="B134" s="19" t="s">
        <v>55</v>
      </c>
      <c r="C134" s="19" t="s">
        <v>56</v>
      </c>
      <c r="D134" s="19" t="s">
        <v>289</v>
      </c>
      <c r="E134" s="21">
        <v>46291.72965277778</v>
      </c>
      <c r="F134" s="19">
        <v>2</v>
      </c>
      <c r="G134" s="19">
        <v>74299018060</v>
      </c>
      <c r="H134" s="19">
        <v>1</v>
      </c>
      <c r="I134" s="19">
        <v>899</v>
      </c>
      <c r="J134" s="19">
        <v>-179.8</v>
      </c>
      <c r="K134" s="19">
        <v>0</v>
      </c>
      <c r="L134" s="19">
        <v>-179.8</v>
      </c>
      <c r="M134" s="19">
        <v>719.2</v>
      </c>
      <c r="N134" s="19">
        <v>34.25</v>
      </c>
      <c r="O134" s="19">
        <v>5</v>
      </c>
      <c r="P134" s="19" t="s">
        <v>142</v>
      </c>
      <c r="Q134" s="19">
        <v>50157523</v>
      </c>
      <c r="R134" s="19" t="s">
        <v>57</v>
      </c>
      <c r="S134" s="19">
        <v>50105787</v>
      </c>
      <c r="T134" s="19"/>
      <c r="U134" s="19" t="s">
        <v>58</v>
      </c>
      <c r="V134" s="18">
        <v>0</v>
      </c>
      <c r="W134" s="17">
        <f t="shared" si="6"/>
        <v>17</v>
      </c>
      <c r="X134" s="5">
        <f t="shared" si="7"/>
        <v>0</v>
      </c>
    </row>
    <row r="135" spans="1:24" x14ac:dyDescent="0.25">
      <c r="A135" s="19">
        <v>26</v>
      </c>
      <c r="B135" s="19" t="s">
        <v>55</v>
      </c>
      <c r="C135" s="19" t="s">
        <v>56</v>
      </c>
      <c r="D135" s="19" t="s">
        <v>289</v>
      </c>
      <c r="E135" s="21">
        <v>46291.72965277778</v>
      </c>
      <c r="F135" s="19">
        <v>2</v>
      </c>
      <c r="G135" s="19">
        <v>74299018060</v>
      </c>
      <c r="H135" s="19">
        <v>1</v>
      </c>
      <c r="I135" s="19">
        <v>899</v>
      </c>
      <c r="J135" s="19">
        <v>-179.8</v>
      </c>
      <c r="K135" s="19">
        <v>0</v>
      </c>
      <c r="L135" s="19">
        <v>-179.8</v>
      </c>
      <c r="M135" s="19">
        <v>719.2</v>
      </c>
      <c r="N135" s="19">
        <v>34.25</v>
      </c>
      <c r="O135" s="19">
        <v>5</v>
      </c>
      <c r="P135" s="19" t="s">
        <v>142</v>
      </c>
      <c r="Q135" s="19">
        <v>50157523</v>
      </c>
      <c r="R135" s="19" t="s">
        <v>57</v>
      </c>
      <c r="S135" s="19">
        <v>50105787</v>
      </c>
      <c r="T135" s="19"/>
      <c r="U135" s="19" t="s">
        <v>58</v>
      </c>
      <c r="V135" s="18">
        <v>0</v>
      </c>
      <c r="W135" s="17">
        <f t="shared" si="6"/>
        <v>17</v>
      </c>
      <c r="X135" s="5">
        <f t="shared" si="7"/>
        <v>0</v>
      </c>
    </row>
    <row r="136" spans="1:24" x14ac:dyDescent="0.25">
      <c r="A136" s="19">
        <v>26</v>
      </c>
      <c r="B136" s="19" t="s">
        <v>55</v>
      </c>
      <c r="C136" s="19" t="s">
        <v>56</v>
      </c>
      <c r="D136" s="19" t="s">
        <v>289</v>
      </c>
      <c r="E136" s="21">
        <v>46291.72965277778</v>
      </c>
      <c r="F136" s="19">
        <v>2</v>
      </c>
      <c r="G136" s="19">
        <v>74299018060</v>
      </c>
      <c r="H136" s="19">
        <v>1</v>
      </c>
      <c r="I136" s="19">
        <v>899</v>
      </c>
      <c r="J136" s="19">
        <v>-179.8</v>
      </c>
      <c r="K136" s="19">
        <v>0</v>
      </c>
      <c r="L136" s="19">
        <v>-179.8</v>
      </c>
      <c r="M136" s="19">
        <v>719.2</v>
      </c>
      <c r="N136" s="19">
        <v>34.25</v>
      </c>
      <c r="O136" s="19">
        <v>5</v>
      </c>
      <c r="P136" s="19" t="s">
        <v>142</v>
      </c>
      <c r="Q136" s="19">
        <v>50157523</v>
      </c>
      <c r="R136" s="19" t="s">
        <v>57</v>
      </c>
      <c r="S136" s="19">
        <v>50105787</v>
      </c>
      <c r="T136" s="19"/>
      <c r="U136" s="19" t="s">
        <v>58</v>
      </c>
      <c r="V136" s="18">
        <v>0</v>
      </c>
      <c r="W136" s="17">
        <f t="shared" si="6"/>
        <v>17</v>
      </c>
      <c r="X136" s="5">
        <f t="shared" si="7"/>
        <v>0</v>
      </c>
    </row>
    <row r="137" spans="1:24" x14ac:dyDescent="0.25">
      <c r="A137" s="19">
        <v>26</v>
      </c>
      <c r="B137" s="19" t="s">
        <v>55</v>
      </c>
      <c r="C137" s="19" t="s">
        <v>56</v>
      </c>
      <c r="D137" s="19" t="s">
        <v>289</v>
      </c>
      <c r="E137" s="21">
        <v>46291.72965277778</v>
      </c>
      <c r="F137" s="19">
        <v>2</v>
      </c>
      <c r="G137" s="19">
        <v>74299018060</v>
      </c>
      <c r="H137" s="19">
        <v>1</v>
      </c>
      <c r="I137" s="19">
        <v>899</v>
      </c>
      <c r="J137" s="19">
        <v>-179.8</v>
      </c>
      <c r="K137" s="19">
        <v>0</v>
      </c>
      <c r="L137" s="19">
        <v>-179.8</v>
      </c>
      <c r="M137" s="19">
        <v>719.2</v>
      </c>
      <c r="N137" s="19">
        <v>34.25</v>
      </c>
      <c r="O137" s="19">
        <v>5</v>
      </c>
      <c r="P137" s="19" t="s">
        <v>142</v>
      </c>
      <c r="Q137" s="19">
        <v>50157523</v>
      </c>
      <c r="R137" s="19" t="s">
        <v>57</v>
      </c>
      <c r="S137" s="19">
        <v>50105787</v>
      </c>
      <c r="T137" s="19"/>
      <c r="U137" s="19" t="s">
        <v>58</v>
      </c>
      <c r="V137" s="18">
        <v>0</v>
      </c>
      <c r="W137" s="17">
        <f t="shared" si="6"/>
        <v>17</v>
      </c>
      <c r="X137" s="5">
        <f t="shared" si="7"/>
        <v>0</v>
      </c>
    </row>
    <row r="138" spans="1:24" x14ac:dyDescent="0.25">
      <c r="A138" s="19">
        <v>26</v>
      </c>
      <c r="B138" s="19" t="s">
        <v>55</v>
      </c>
      <c r="C138" s="19" t="s">
        <v>56</v>
      </c>
      <c r="D138" s="19" t="s">
        <v>289</v>
      </c>
      <c r="E138" s="21">
        <v>46291.72965277778</v>
      </c>
      <c r="F138" s="19">
        <v>2</v>
      </c>
      <c r="G138" s="19">
        <v>74299018060</v>
      </c>
      <c r="H138" s="19">
        <v>1</v>
      </c>
      <c r="I138" s="19">
        <v>899</v>
      </c>
      <c r="J138" s="19">
        <v>-179.8</v>
      </c>
      <c r="K138" s="19">
        <v>0</v>
      </c>
      <c r="L138" s="19">
        <v>-179.8</v>
      </c>
      <c r="M138" s="19">
        <v>719.2</v>
      </c>
      <c r="N138" s="19">
        <v>34.25</v>
      </c>
      <c r="O138" s="19">
        <v>5</v>
      </c>
      <c r="P138" s="19" t="s">
        <v>142</v>
      </c>
      <c r="Q138" s="19">
        <v>50157523</v>
      </c>
      <c r="R138" s="19" t="s">
        <v>57</v>
      </c>
      <c r="S138" s="19">
        <v>50105787</v>
      </c>
      <c r="T138" s="19"/>
      <c r="U138" s="19" t="s">
        <v>58</v>
      </c>
      <c r="V138" s="18">
        <v>0</v>
      </c>
      <c r="W138" s="17">
        <f t="shared" si="6"/>
        <v>17</v>
      </c>
      <c r="X138" s="5">
        <f t="shared" si="7"/>
        <v>0</v>
      </c>
    </row>
    <row r="139" spans="1:24" x14ac:dyDescent="0.25">
      <c r="A139" s="19">
        <v>26</v>
      </c>
      <c r="B139" s="19" t="s">
        <v>55</v>
      </c>
      <c r="C139" s="19" t="s">
        <v>56</v>
      </c>
      <c r="D139" s="19" t="s">
        <v>289</v>
      </c>
      <c r="E139" s="21">
        <v>46291.72965277778</v>
      </c>
      <c r="F139" s="19">
        <v>2</v>
      </c>
      <c r="G139" s="19">
        <v>74299018060</v>
      </c>
      <c r="H139" s="19">
        <v>1</v>
      </c>
      <c r="I139" s="19">
        <v>899</v>
      </c>
      <c r="J139" s="19">
        <v>-179.8</v>
      </c>
      <c r="K139" s="19">
        <v>0</v>
      </c>
      <c r="L139" s="19">
        <v>-179.8</v>
      </c>
      <c r="M139" s="19">
        <v>719.2</v>
      </c>
      <c r="N139" s="19">
        <v>34.25</v>
      </c>
      <c r="O139" s="19">
        <v>5</v>
      </c>
      <c r="P139" s="19" t="s">
        <v>142</v>
      </c>
      <c r="Q139" s="19">
        <v>50157523</v>
      </c>
      <c r="R139" s="19" t="s">
        <v>57</v>
      </c>
      <c r="S139" s="19">
        <v>50105787</v>
      </c>
      <c r="T139" s="19"/>
      <c r="U139" s="19" t="s">
        <v>58</v>
      </c>
      <c r="V139" s="18">
        <v>0</v>
      </c>
      <c r="W139" s="17">
        <f t="shared" si="6"/>
        <v>17</v>
      </c>
      <c r="X139" s="5">
        <f t="shared" si="7"/>
        <v>0</v>
      </c>
    </row>
    <row r="140" spans="1:24" x14ac:dyDescent="0.25">
      <c r="A140" s="19">
        <v>26</v>
      </c>
      <c r="B140" s="19" t="s">
        <v>55</v>
      </c>
      <c r="C140" s="19" t="s">
        <v>56</v>
      </c>
      <c r="D140" s="19" t="s">
        <v>289</v>
      </c>
      <c r="E140" s="21">
        <v>46291.72965277778</v>
      </c>
      <c r="F140" s="19">
        <v>2</v>
      </c>
      <c r="G140" s="19">
        <v>74299018060</v>
      </c>
      <c r="H140" s="19">
        <v>1</v>
      </c>
      <c r="I140" s="19">
        <v>899</v>
      </c>
      <c r="J140" s="19">
        <v>-179.8</v>
      </c>
      <c r="K140" s="19">
        <v>0</v>
      </c>
      <c r="L140" s="19">
        <v>-179.8</v>
      </c>
      <c r="M140" s="19">
        <v>719.2</v>
      </c>
      <c r="N140" s="19">
        <v>34.25</v>
      </c>
      <c r="O140" s="19">
        <v>5</v>
      </c>
      <c r="P140" s="19" t="s">
        <v>142</v>
      </c>
      <c r="Q140" s="19">
        <v>50157523</v>
      </c>
      <c r="R140" s="19" t="s">
        <v>57</v>
      </c>
      <c r="S140" s="19">
        <v>50157523</v>
      </c>
      <c r="T140" s="19"/>
      <c r="U140" s="19" t="s">
        <v>58</v>
      </c>
      <c r="V140" s="18">
        <v>0</v>
      </c>
      <c r="W140" s="17">
        <f t="shared" si="6"/>
        <v>17</v>
      </c>
      <c r="X140" s="5">
        <f t="shared" si="7"/>
        <v>0</v>
      </c>
    </row>
    <row r="141" spans="1:24" x14ac:dyDescent="0.25">
      <c r="A141" s="19">
        <v>26</v>
      </c>
      <c r="B141" s="19" t="s">
        <v>55</v>
      </c>
      <c r="C141" s="19" t="s">
        <v>56</v>
      </c>
      <c r="D141" s="19" t="s">
        <v>289</v>
      </c>
      <c r="E141" s="21">
        <v>46291.72965277778</v>
      </c>
      <c r="F141" s="19">
        <v>2</v>
      </c>
      <c r="G141" s="19">
        <v>74299018060</v>
      </c>
      <c r="H141" s="19">
        <v>1</v>
      </c>
      <c r="I141" s="19">
        <v>899</v>
      </c>
      <c r="J141" s="19">
        <v>-179.8</v>
      </c>
      <c r="K141" s="19">
        <v>0</v>
      </c>
      <c r="L141" s="19">
        <v>-179.8</v>
      </c>
      <c r="M141" s="19">
        <v>719.2</v>
      </c>
      <c r="N141" s="19">
        <v>34.25</v>
      </c>
      <c r="O141" s="19">
        <v>5</v>
      </c>
      <c r="P141" s="19" t="s">
        <v>142</v>
      </c>
      <c r="Q141" s="19">
        <v>50157523</v>
      </c>
      <c r="R141" s="19" t="s">
        <v>57</v>
      </c>
      <c r="S141" s="19">
        <v>50157523</v>
      </c>
      <c r="T141" s="19"/>
      <c r="U141" s="19" t="s">
        <v>58</v>
      </c>
      <c r="V141" s="18">
        <v>0</v>
      </c>
      <c r="W141" s="17">
        <f t="shared" si="6"/>
        <v>17</v>
      </c>
      <c r="X141" s="5">
        <f t="shared" si="7"/>
        <v>0</v>
      </c>
    </row>
    <row r="142" spans="1:24" x14ac:dyDescent="0.25">
      <c r="A142" s="19">
        <v>26</v>
      </c>
      <c r="B142" s="19" t="s">
        <v>55</v>
      </c>
      <c r="C142" s="19" t="s">
        <v>56</v>
      </c>
      <c r="D142" s="19" t="s">
        <v>289</v>
      </c>
      <c r="E142" s="21">
        <v>46291.72965277778</v>
      </c>
      <c r="F142" s="19">
        <v>2</v>
      </c>
      <c r="G142" s="19">
        <v>74299018060</v>
      </c>
      <c r="H142" s="19">
        <v>1</v>
      </c>
      <c r="I142" s="19">
        <v>899</v>
      </c>
      <c r="J142" s="19">
        <v>-179.8</v>
      </c>
      <c r="K142" s="19">
        <v>0</v>
      </c>
      <c r="L142" s="19">
        <v>-179.8</v>
      </c>
      <c r="M142" s="19">
        <v>719.2</v>
      </c>
      <c r="N142" s="19">
        <v>34.25</v>
      </c>
      <c r="O142" s="19">
        <v>5</v>
      </c>
      <c r="P142" s="19" t="s">
        <v>142</v>
      </c>
      <c r="Q142" s="19">
        <v>50157523</v>
      </c>
      <c r="R142" s="19" t="s">
        <v>57</v>
      </c>
      <c r="S142" s="19">
        <v>50157523</v>
      </c>
      <c r="T142" s="19"/>
      <c r="U142" s="19" t="s">
        <v>58</v>
      </c>
      <c r="V142" s="18">
        <v>0</v>
      </c>
      <c r="W142" s="17">
        <f t="shared" si="6"/>
        <v>17</v>
      </c>
      <c r="X142" s="5">
        <f t="shared" si="7"/>
        <v>0</v>
      </c>
    </row>
    <row r="143" spans="1:24" x14ac:dyDescent="0.25">
      <c r="A143" s="19">
        <v>26</v>
      </c>
      <c r="B143" s="19" t="s">
        <v>55</v>
      </c>
      <c r="C143" s="19" t="s">
        <v>56</v>
      </c>
      <c r="D143" s="19" t="s">
        <v>289</v>
      </c>
      <c r="E143" s="21">
        <v>46291.72965277778</v>
      </c>
      <c r="F143" s="19">
        <v>2</v>
      </c>
      <c r="G143" s="19">
        <v>74299018060</v>
      </c>
      <c r="H143" s="19">
        <v>1</v>
      </c>
      <c r="I143" s="19">
        <v>899</v>
      </c>
      <c r="J143" s="19">
        <v>-179.8</v>
      </c>
      <c r="K143" s="19">
        <v>0</v>
      </c>
      <c r="L143" s="19">
        <v>-179.8</v>
      </c>
      <c r="M143" s="19">
        <v>719.2</v>
      </c>
      <c r="N143" s="19">
        <v>34.25</v>
      </c>
      <c r="O143" s="19">
        <v>5</v>
      </c>
      <c r="P143" s="19" t="s">
        <v>142</v>
      </c>
      <c r="Q143" s="19">
        <v>50157523</v>
      </c>
      <c r="R143" s="19" t="s">
        <v>57</v>
      </c>
      <c r="S143" s="19">
        <v>50157523</v>
      </c>
      <c r="T143" s="19"/>
      <c r="U143" s="19" t="s">
        <v>58</v>
      </c>
      <c r="V143" s="18">
        <v>0</v>
      </c>
      <c r="W143" s="17">
        <f t="shared" si="6"/>
        <v>17</v>
      </c>
      <c r="X143" s="5">
        <f t="shared" si="7"/>
        <v>0</v>
      </c>
    </row>
    <row r="144" spans="1:24" x14ac:dyDescent="0.25">
      <c r="A144" s="19">
        <v>26</v>
      </c>
      <c r="B144" s="19" t="s">
        <v>55</v>
      </c>
      <c r="C144" s="19" t="s">
        <v>56</v>
      </c>
      <c r="D144" s="19" t="s">
        <v>289</v>
      </c>
      <c r="E144" s="21">
        <v>46291.72965277778</v>
      </c>
      <c r="F144" s="19">
        <v>2</v>
      </c>
      <c r="G144" s="19">
        <v>74299018060</v>
      </c>
      <c r="H144" s="19">
        <v>1</v>
      </c>
      <c r="I144" s="19">
        <v>899</v>
      </c>
      <c r="J144" s="19">
        <v>-179.8</v>
      </c>
      <c r="K144" s="19">
        <v>0</v>
      </c>
      <c r="L144" s="19">
        <v>-179.8</v>
      </c>
      <c r="M144" s="19">
        <v>719.2</v>
      </c>
      <c r="N144" s="19">
        <v>34.25</v>
      </c>
      <c r="O144" s="19">
        <v>5</v>
      </c>
      <c r="P144" s="19" t="s">
        <v>142</v>
      </c>
      <c r="Q144" s="19">
        <v>50157523</v>
      </c>
      <c r="R144" s="19" t="s">
        <v>57</v>
      </c>
      <c r="S144" s="19">
        <v>50157523</v>
      </c>
      <c r="T144" s="19"/>
      <c r="U144" s="19" t="s">
        <v>58</v>
      </c>
      <c r="V144" s="18">
        <v>0</v>
      </c>
      <c r="W144" s="17">
        <f t="shared" si="6"/>
        <v>17</v>
      </c>
      <c r="X144" s="5">
        <f t="shared" si="7"/>
        <v>0</v>
      </c>
    </row>
    <row r="145" spans="1:24" x14ac:dyDescent="0.25">
      <c r="A145" s="19">
        <v>26</v>
      </c>
      <c r="B145" s="19" t="s">
        <v>55</v>
      </c>
      <c r="C145" s="19" t="s">
        <v>56</v>
      </c>
      <c r="D145" s="19" t="s">
        <v>289</v>
      </c>
      <c r="E145" s="21">
        <v>46291.72965277778</v>
      </c>
      <c r="F145" s="19">
        <v>2</v>
      </c>
      <c r="G145" s="19">
        <v>74299018060</v>
      </c>
      <c r="H145" s="19">
        <v>1</v>
      </c>
      <c r="I145" s="19">
        <v>899</v>
      </c>
      <c r="J145" s="19">
        <v>-179.8</v>
      </c>
      <c r="K145" s="19">
        <v>0</v>
      </c>
      <c r="L145" s="19">
        <v>-179.8</v>
      </c>
      <c r="M145" s="19">
        <v>719.2</v>
      </c>
      <c r="N145" s="19">
        <v>34.25</v>
      </c>
      <c r="O145" s="19">
        <v>5</v>
      </c>
      <c r="P145" s="19" t="s">
        <v>142</v>
      </c>
      <c r="Q145" s="19">
        <v>50157523</v>
      </c>
      <c r="R145" s="19" t="s">
        <v>57</v>
      </c>
      <c r="S145" s="19">
        <v>50157523</v>
      </c>
      <c r="T145" s="19"/>
      <c r="U145" s="19" t="s">
        <v>58</v>
      </c>
      <c r="V145" s="18">
        <v>0</v>
      </c>
      <c r="W145" s="17">
        <f t="shared" si="6"/>
        <v>17</v>
      </c>
      <c r="X145" s="5">
        <f t="shared" si="7"/>
        <v>0</v>
      </c>
    </row>
    <row r="146" spans="1:24" x14ac:dyDescent="0.25">
      <c r="A146" s="19">
        <v>26</v>
      </c>
      <c r="B146" s="19" t="s">
        <v>55</v>
      </c>
      <c r="C146" s="19" t="s">
        <v>56</v>
      </c>
      <c r="D146" s="19" t="s">
        <v>289</v>
      </c>
      <c r="E146" s="21">
        <v>46291.72965277778</v>
      </c>
      <c r="F146" s="19">
        <v>2</v>
      </c>
      <c r="G146" s="19">
        <v>74299018060</v>
      </c>
      <c r="H146" s="19">
        <v>1</v>
      </c>
      <c r="I146" s="19">
        <v>899</v>
      </c>
      <c r="J146" s="19">
        <v>-179.8</v>
      </c>
      <c r="K146" s="19">
        <v>0</v>
      </c>
      <c r="L146" s="19">
        <v>-179.8</v>
      </c>
      <c r="M146" s="19">
        <v>719.2</v>
      </c>
      <c r="N146" s="19">
        <v>34.25</v>
      </c>
      <c r="O146" s="19">
        <v>5</v>
      </c>
      <c r="P146" s="19" t="s">
        <v>142</v>
      </c>
      <c r="Q146" s="19">
        <v>50157523</v>
      </c>
      <c r="R146" s="19" t="s">
        <v>57</v>
      </c>
      <c r="S146" s="19">
        <v>50157523</v>
      </c>
      <c r="T146" s="19"/>
      <c r="U146" s="19" t="s">
        <v>58</v>
      </c>
      <c r="V146" s="18">
        <v>0</v>
      </c>
      <c r="W146" s="17">
        <f t="shared" si="6"/>
        <v>17</v>
      </c>
      <c r="X146" s="5">
        <f t="shared" si="7"/>
        <v>0</v>
      </c>
    </row>
    <row r="147" spans="1:24" x14ac:dyDescent="0.25">
      <c r="A147" s="19">
        <v>26</v>
      </c>
      <c r="B147" s="19" t="s">
        <v>55</v>
      </c>
      <c r="C147" s="19" t="s">
        <v>56</v>
      </c>
      <c r="D147" s="19" t="s">
        <v>289</v>
      </c>
      <c r="E147" s="21">
        <v>46291.72965277778</v>
      </c>
      <c r="F147" s="19">
        <v>2</v>
      </c>
      <c r="G147" s="19">
        <v>74299018060</v>
      </c>
      <c r="H147" s="19">
        <v>1</v>
      </c>
      <c r="I147" s="19">
        <v>899</v>
      </c>
      <c r="J147" s="19">
        <v>-179.8</v>
      </c>
      <c r="K147" s="19">
        <v>0</v>
      </c>
      <c r="L147" s="19">
        <v>-179.8</v>
      </c>
      <c r="M147" s="19">
        <v>719.2</v>
      </c>
      <c r="N147" s="19">
        <v>34.25</v>
      </c>
      <c r="O147" s="19">
        <v>5</v>
      </c>
      <c r="P147" s="19" t="s">
        <v>142</v>
      </c>
      <c r="Q147" s="19">
        <v>50157523</v>
      </c>
      <c r="R147" s="19" t="s">
        <v>57</v>
      </c>
      <c r="S147" s="19">
        <v>50157523</v>
      </c>
      <c r="T147" s="19"/>
      <c r="U147" s="19" t="s">
        <v>58</v>
      </c>
      <c r="V147" s="18">
        <v>0</v>
      </c>
      <c r="W147" s="17">
        <f t="shared" si="6"/>
        <v>17</v>
      </c>
      <c r="X147" s="5">
        <f t="shared" si="7"/>
        <v>0</v>
      </c>
    </row>
    <row r="148" spans="1:24" x14ac:dyDescent="0.25">
      <c r="A148" s="19">
        <v>26</v>
      </c>
      <c r="B148" s="19" t="s">
        <v>55</v>
      </c>
      <c r="C148" s="19" t="s">
        <v>56</v>
      </c>
      <c r="D148" s="19" t="s">
        <v>289</v>
      </c>
      <c r="E148" s="21">
        <v>46291.72965277778</v>
      </c>
      <c r="F148" s="19">
        <v>2</v>
      </c>
      <c r="G148" s="19">
        <v>74299018060</v>
      </c>
      <c r="H148" s="19">
        <v>1</v>
      </c>
      <c r="I148" s="19">
        <v>899</v>
      </c>
      <c r="J148" s="19">
        <v>-179.8</v>
      </c>
      <c r="K148" s="19">
        <v>0</v>
      </c>
      <c r="L148" s="19">
        <v>-179.8</v>
      </c>
      <c r="M148" s="19">
        <v>719.2</v>
      </c>
      <c r="N148" s="19">
        <v>34.25</v>
      </c>
      <c r="O148" s="19">
        <v>5</v>
      </c>
      <c r="P148" s="19" t="s">
        <v>142</v>
      </c>
      <c r="Q148" s="19">
        <v>50157523</v>
      </c>
      <c r="R148" s="19" t="s">
        <v>57</v>
      </c>
      <c r="S148" s="19">
        <v>50157523</v>
      </c>
      <c r="T148" s="19"/>
      <c r="U148" s="19" t="s">
        <v>58</v>
      </c>
      <c r="V148" s="18">
        <v>0</v>
      </c>
      <c r="W148" s="17">
        <f t="shared" si="6"/>
        <v>17</v>
      </c>
      <c r="X148" s="5">
        <f t="shared" si="7"/>
        <v>0</v>
      </c>
    </row>
    <row r="149" spans="1:24" x14ac:dyDescent="0.25">
      <c r="A149" s="19">
        <v>26</v>
      </c>
      <c r="B149" s="19" t="s">
        <v>55</v>
      </c>
      <c r="C149" s="19" t="s">
        <v>56</v>
      </c>
      <c r="D149" s="19" t="s">
        <v>289</v>
      </c>
      <c r="E149" s="21">
        <v>46291.72965277778</v>
      </c>
      <c r="F149" s="19">
        <v>2</v>
      </c>
      <c r="G149" s="19">
        <v>74299018060</v>
      </c>
      <c r="H149" s="19">
        <v>1</v>
      </c>
      <c r="I149" s="19">
        <v>899</v>
      </c>
      <c r="J149" s="19">
        <v>-179.8</v>
      </c>
      <c r="K149" s="19">
        <v>0</v>
      </c>
      <c r="L149" s="19">
        <v>-179.8</v>
      </c>
      <c r="M149" s="19">
        <v>719.2</v>
      </c>
      <c r="N149" s="19">
        <v>34.25</v>
      </c>
      <c r="O149" s="19">
        <v>5</v>
      </c>
      <c r="P149" s="19" t="s">
        <v>142</v>
      </c>
      <c r="Q149" s="19">
        <v>50157523</v>
      </c>
      <c r="R149" s="19" t="s">
        <v>57</v>
      </c>
      <c r="S149" s="19">
        <v>50157523</v>
      </c>
      <c r="T149" s="19"/>
      <c r="U149" s="19" t="s">
        <v>58</v>
      </c>
      <c r="V149" s="18">
        <v>0</v>
      </c>
      <c r="W149" s="17">
        <f t="shared" si="6"/>
        <v>17</v>
      </c>
      <c r="X149" s="5">
        <f t="shared" si="7"/>
        <v>0</v>
      </c>
    </row>
    <row r="150" spans="1:24" x14ac:dyDescent="0.25">
      <c r="A150" s="19">
        <v>26</v>
      </c>
      <c r="B150" s="19" t="s">
        <v>55</v>
      </c>
      <c r="C150" s="19" t="s">
        <v>56</v>
      </c>
      <c r="D150" s="19" t="s">
        <v>289</v>
      </c>
      <c r="E150" s="21">
        <v>46291.72965277778</v>
      </c>
      <c r="F150" s="19">
        <v>2</v>
      </c>
      <c r="G150" s="19">
        <v>74299018060</v>
      </c>
      <c r="H150" s="19">
        <v>1</v>
      </c>
      <c r="I150" s="19">
        <v>899</v>
      </c>
      <c r="J150" s="19">
        <v>-179.8</v>
      </c>
      <c r="K150" s="19">
        <v>0</v>
      </c>
      <c r="L150" s="19">
        <v>-179.8</v>
      </c>
      <c r="M150" s="19">
        <v>719.2</v>
      </c>
      <c r="N150" s="19">
        <v>34.25</v>
      </c>
      <c r="O150" s="19">
        <v>5</v>
      </c>
      <c r="P150" s="19" t="s">
        <v>142</v>
      </c>
      <c r="Q150" s="19">
        <v>50157523</v>
      </c>
      <c r="R150" s="19" t="s">
        <v>57</v>
      </c>
      <c r="S150" s="19">
        <v>50157523</v>
      </c>
      <c r="T150" s="19"/>
      <c r="U150" s="19" t="s">
        <v>58</v>
      </c>
      <c r="V150" s="18">
        <v>0</v>
      </c>
      <c r="W150" s="17">
        <f t="shared" si="6"/>
        <v>17</v>
      </c>
      <c r="X150" s="5">
        <f t="shared" si="7"/>
        <v>0</v>
      </c>
    </row>
    <row r="151" spans="1:24" x14ac:dyDescent="0.25">
      <c r="A151" s="19">
        <v>26</v>
      </c>
      <c r="B151" s="19" t="s">
        <v>55</v>
      </c>
      <c r="C151" s="19" t="s">
        <v>56</v>
      </c>
      <c r="D151" s="19" t="s">
        <v>289</v>
      </c>
      <c r="E151" s="21">
        <v>46291.72965277778</v>
      </c>
      <c r="F151" s="19">
        <v>2</v>
      </c>
      <c r="G151" s="19">
        <v>74299018060</v>
      </c>
      <c r="H151" s="19">
        <v>1</v>
      </c>
      <c r="I151" s="19">
        <v>899</v>
      </c>
      <c r="J151" s="19">
        <v>-179.8</v>
      </c>
      <c r="K151" s="19">
        <v>0</v>
      </c>
      <c r="L151" s="19">
        <v>-179.8</v>
      </c>
      <c r="M151" s="19">
        <v>719.2</v>
      </c>
      <c r="N151" s="19">
        <v>34.25</v>
      </c>
      <c r="O151" s="19">
        <v>5</v>
      </c>
      <c r="P151" s="19" t="s">
        <v>142</v>
      </c>
      <c r="Q151" s="19">
        <v>50157523</v>
      </c>
      <c r="R151" s="19" t="s">
        <v>57</v>
      </c>
      <c r="S151" s="19">
        <v>50170981</v>
      </c>
      <c r="T151" s="19"/>
      <c r="U151" s="19" t="s">
        <v>58</v>
      </c>
      <c r="V151" s="18">
        <v>0</v>
      </c>
      <c r="W151" s="17">
        <f t="shared" si="6"/>
        <v>17</v>
      </c>
      <c r="X151" s="5">
        <f t="shared" si="7"/>
        <v>0</v>
      </c>
    </row>
    <row r="152" spans="1:24" x14ac:dyDescent="0.25">
      <c r="A152" s="19">
        <v>26</v>
      </c>
      <c r="B152" s="19" t="s">
        <v>55</v>
      </c>
      <c r="C152" s="19" t="s">
        <v>56</v>
      </c>
      <c r="D152" s="19" t="s">
        <v>289</v>
      </c>
      <c r="E152" s="21">
        <v>46291.72965277778</v>
      </c>
      <c r="F152" s="19">
        <v>2</v>
      </c>
      <c r="G152" s="19">
        <v>74299018060</v>
      </c>
      <c r="H152" s="19">
        <v>1</v>
      </c>
      <c r="I152" s="19">
        <v>899</v>
      </c>
      <c r="J152" s="19">
        <v>-179.8</v>
      </c>
      <c r="K152" s="19">
        <v>0</v>
      </c>
      <c r="L152" s="19">
        <v>-179.8</v>
      </c>
      <c r="M152" s="19">
        <v>719.2</v>
      </c>
      <c r="N152" s="19">
        <v>34.25</v>
      </c>
      <c r="O152" s="19">
        <v>5</v>
      </c>
      <c r="P152" s="19" t="s">
        <v>142</v>
      </c>
      <c r="Q152" s="19">
        <v>50157523</v>
      </c>
      <c r="R152" s="19" t="s">
        <v>57</v>
      </c>
      <c r="S152" s="19">
        <v>50170981</v>
      </c>
      <c r="T152" s="19"/>
      <c r="U152" s="19" t="s">
        <v>58</v>
      </c>
      <c r="V152" s="18">
        <v>0</v>
      </c>
      <c r="W152" s="17">
        <f t="shared" si="6"/>
        <v>17</v>
      </c>
      <c r="X152" s="5">
        <f t="shared" si="7"/>
        <v>0</v>
      </c>
    </row>
    <row r="153" spans="1:24" x14ac:dyDescent="0.25">
      <c r="A153" s="19">
        <v>26</v>
      </c>
      <c r="B153" s="19" t="s">
        <v>55</v>
      </c>
      <c r="C153" s="19" t="s">
        <v>56</v>
      </c>
      <c r="D153" s="19" t="s">
        <v>289</v>
      </c>
      <c r="E153" s="21">
        <v>46291.72965277778</v>
      </c>
      <c r="F153" s="19">
        <v>2</v>
      </c>
      <c r="G153" s="19">
        <v>74299018060</v>
      </c>
      <c r="H153" s="19">
        <v>1</v>
      </c>
      <c r="I153" s="19">
        <v>899</v>
      </c>
      <c r="J153" s="19">
        <v>-179.8</v>
      </c>
      <c r="K153" s="19">
        <v>0</v>
      </c>
      <c r="L153" s="19">
        <v>-179.8</v>
      </c>
      <c r="M153" s="19">
        <v>719.2</v>
      </c>
      <c r="N153" s="19">
        <v>34.25</v>
      </c>
      <c r="O153" s="19">
        <v>5</v>
      </c>
      <c r="P153" s="19" t="s">
        <v>142</v>
      </c>
      <c r="Q153" s="19">
        <v>50157523</v>
      </c>
      <c r="R153" s="19" t="s">
        <v>57</v>
      </c>
      <c r="S153" s="19">
        <v>50170981</v>
      </c>
      <c r="T153" s="19"/>
      <c r="U153" s="19" t="s">
        <v>58</v>
      </c>
      <c r="V153" s="18">
        <v>0</v>
      </c>
      <c r="W153" s="17">
        <f t="shared" si="6"/>
        <v>17</v>
      </c>
      <c r="X153" s="5">
        <f t="shared" si="7"/>
        <v>0</v>
      </c>
    </row>
    <row r="154" spans="1:24" x14ac:dyDescent="0.25">
      <c r="A154" s="19">
        <v>26</v>
      </c>
      <c r="B154" s="19" t="s">
        <v>55</v>
      </c>
      <c r="C154" s="19" t="s">
        <v>56</v>
      </c>
      <c r="D154" s="19" t="s">
        <v>289</v>
      </c>
      <c r="E154" s="21">
        <v>46291.72965277778</v>
      </c>
      <c r="F154" s="19">
        <v>2</v>
      </c>
      <c r="G154" s="19">
        <v>74299018060</v>
      </c>
      <c r="H154" s="19">
        <v>1</v>
      </c>
      <c r="I154" s="19">
        <v>899</v>
      </c>
      <c r="J154" s="19">
        <v>-179.8</v>
      </c>
      <c r="K154" s="19">
        <v>0</v>
      </c>
      <c r="L154" s="19">
        <v>-179.8</v>
      </c>
      <c r="M154" s="19">
        <v>719.2</v>
      </c>
      <c r="N154" s="19">
        <v>34.25</v>
      </c>
      <c r="O154" s="19">
        <v>5</v>
      </c>
      <c r="P154" s="19" t="s">
        <v>142</v>
      </c>
      <c r="Q154" s="19">
        <v>50157523</v>
      </c>
      <c r="R154" s="19" t="s">
        <v>57</v>
      </c>
      <c r="S154" s="19">
        <v>50170981</v>
      </c>
      <c r="T154" s="19"/>
      <c r="U154" s="19" t="s">
        <v>58</v>
      </c>
      <c r="V154" s="18">
        <v>0</v>
      </c>
      <c r="W154" s="17">
        <f t="shared" si="6"/>
        <v>17</v>
      </c>
      <c r="X154" s="5">
        <f t="shared" si="7"/>
        <v>0</v>
      </c>
    </row>
    <row r="155" spans="1:24" x14ac:dyDescent="0.25">
      <c r="A155" s="19">
        <v>26</v>
      </c>
      <c r="B155" s="19" t="s">
        <v>55</v>
      </c>
      <c r="C155" s="19" t="s">
        <v>56</v>
      </c>
      <c r="D155" s="19" t="s">
        <v>289</v>
      </c>
      <c r="E155" s="21">
        <v>46291.72965277778</v>
      </c>
      <c r="F155" s="19">
        <v>2</v>
      </c>
      <c r="G155" s="19">
        <v>74299018060</v>
      </c>
      <c r="H155" s="19">
        <v>1</v>
      </c>
      <c r="I155" s="19">
        <v>899</v>
      </c>
      <c r="J155" s="19">
        <v>-179.8</v>
      </c>
      <c r="K155" s="19">
        <v>0</v>
      </c>
      <c r="L155" s="19">
        <v>-179.8</v>
      </c>
      <c r="M155" s="19">
        <v>719.2</v>
      </c>
      <c r="N155" s="19">
        <v>34.25</v>
      </c>
      <c r="O155" s="19">
        <v>5</v>
      </c>
      <c r="P155" s="19" t="s">
        <v>142</v>
      </c>
      <c r="Q155" s="19">
        <v>50157523</v>
      </c>
      <c r="R155" s="19" t="s">
        <v>57</v>
      </c>
      <c r="S155" s="19">
        <v>50170981</v>
      </c>
      <c r="T155" s="19"/>
      <c r="U155" s="19" t="s">
        <v>58</v>
      </c>
      <c r="V155" s="18">
        <v>0</v>
      </c>
      <c r="W155" s="17">
        <f t="shared" si="6"/>
        <v>17</v>
      </c>
      <c r="X155" s="5">
        <f t="shared" si="7"/>
        <v>0</v>
      </c>
    </row>
    <row r="156" spans="1:24" x14ac:dyDescent="0.25">
      <c r="A156" s="19">
        <v>26</v>
      </c>
      <c r="B156" s="19" t="s">
        <v>55</v>
      </c>
      <c r="C156" s="19" t="s">
        <v>56</v>
      </c>
      <c r="D156" s="19" t="s">
        <v>289</v>
      </c>
      <c r="E156" s="21">
        <v>46291.72965277778</v>
      </c>
      <c r="F156" s="19">
        <v>2</v>
      </c>
      <c r="G156" s="19">
        <v>74299018060</v>
      </c>
      <c r="H156" s="19">
        <v>1</v>
      </c>
      <c r="I156" s="19">
        <v>899</v>
      </c>
      <c r="J156" s="19">
        <v>-179.8</v>
      </c>
      <c r="K156" s="19">
        <v>0</v>
      </c>
      <c r="L156" s="19">
        <v>-179.8</v>
      </c>
      <c r="M156" s="19">
        <v>719.2</v>
      </c>
      <c r="N156" s="19">
        <v>34.25</v>
      </c>
      <c r="O156" s="19">
        <v>5</v>
      </c>
      <c r="P156" s="19" t="s">
        <v>142</v>
      </c>
      <c r="Q156" s="19">
        <v>50157523</v>
      </c>
      <c r="R156" s="19" t="s">
        <v>57</v>
      </c>
      <c r="S156" s="19">
        <v>50170981</v>
      </c>
      <c r="T156" s="19"/>
      <c r="U156" s="19" t="s">
        <v>58</v>
      </c>
      <c r="V156" s="18">
        <v>0</v>
      </c>
      <c r="W156" s="17">
        <f t="shared" si="6"/>
        <v>17</v>
      </c>
      <c r="X156" s="5">
        <f t="shared" si="7"/>
        <v>0</v>
      </c>
    </row>
    <row r="157" spans="1:24" x14ac:dyDescent="0.25">
      <c r="A157" s="19">
        <v>26</v>
      </c>
      <c r="B157" s="19" t="s">
        <v>55</v>
      </c>
      <c r="C157" s="19" t="s">
        <v>56</v>
      </c>
      <c r="D157" s="19" t="s">
        <v>289</v>
      </c>
      <c r="E157" s="21">
        <v>46291.72965277778</v>
      </c>
      <c r="F157" s="19">
        <v>2</v>
      </c>
      <c r="G157" s="19">
        <v>74299018060</v>
      </c>
      <c r="H157" s="19">
        <v>1</v>
      </c>
      <c r="I157" s="19">
        <v>899</v>
      </c>
      <c r="J157" s="19">
        <v>-179.8</v>
      </c>
      <c r="K157" s="19">
        <v>0</v>
      </c>
      <c r="L157" s="19">
        <v>-179.8</v>
      </c>
      <c r="M157" s="19">
        <v>719.2</v>
      </c>
      <c r="N157" s="19">
        <v>34.25</v>
      </c>
      <c r="O157" s="19">
        <v>5</v>
      </c>
      <c r="P157" s="19" t="s">
        <v>142</v>
      </c>
      <c r="Q157" s="19">
        <v>50157523</v>
      </c>
      <c r="R157" s="19" t="s">
        <v>57</v>
      </c>
      <c r="S157" s="19">
        <v>50170981</v>
      </c>
      <c r="T157" s="19"/>
      <c r="U157" s="19" t="s">
        <v>58</v>
      </c>
      <c r="V157" s="18">
        <v>0</v>
      </c>
      <c r="W157" s="17">
        <f t="shared" si="6"/>
        <v>17</v>
      </c>
      <c r="X157" s="5">
        <f t="shared" si="7"/>
        <v>0</v>
      </c>
    </row>
    <row r="158" spans="1:24" x14ac:dyDescent="0.25">
      <c r="A158" s="19">
        <v>26</v>
      </c>
      <c r="B158" s="19" t="s">
        <v>55</v>
      </c>
      <c r="C158" s="19" t="s">
        <v>56</v>
      </c>
      <c r="D158" s="19" t="s">
        <v>289</v>
      </c>
      <c r="E158" s="21">
        <v>46291.72965277778</v>
      </c>
      <c r="F158" s="19">
        <v>2</v>
      </c>
      <c r="G158" s="19">
        <v>74299018060</v>
      </c>
      <c r="H158" s="19">
        <v>1</v>
      </c>
      <c r="I158" s="19">
        <v>899</v>
      </c>
      <c r="J158" s="19">
        <v>-179.8</v>
      </c>
      <c r="K158" s="19">
        <v>0</v>
      </c>
      <c r="L158" s="19">
        <v>-179.8</v>
      </c>
      <c r="M158" s="19">
        <v>719.2</v>
      </c>
      <c r="N158" s="19">
        <v>34.25</v>
      </c>
      <c r="O158" s="19">
        <v>5</v>
      </c>
      <c r="P158" s="19" t="s">
        <v>142</v>
      </c>
      <c r="Q158" s="19">
        <v>50157523</v>
      </c>
      <c r="R158" s="19" t="s">
        <v>57</v>
      </c>
      <c r="S158" s="19">
        <v>50170981</v>
      </c>
      <c r="T158" s="19"/>
      <c r="U158" s="19" t="s">
        <v>58</v>
      </c>
      <c r="V158" s="18">
        <v>0</v>
      </c>
      <c r="W158" s="17">
        <f t="shared" si="6"/>
        <v>17</v>
      </c>
      <c r="X158" s="5">
        <f t="shared" si="7"/>
        <v>0</v>
      </c>
    </row>
    <row r="159" spans="1:24" x14ac:dyDescent="0.25">
      <c r="A159" s="19">
        <v>26</v>
      </c>
      <c r="B159" s="19" t="s">
        <v>55</v>
      </c>
      <c r="C159" s="19" t="s">
        <v>56</v>
      </c>
      <c r="D159" s="19" t="s">
        <v>289</v>
      </c>
      <c r="E159" s="21">
        <v>46291.72965277778</v>
      </c>
      <c r="F159" s="19">
        <v>2</v>
      </c>
      <c r="G159" s="19">
        <v>74299018060</v>
      </c>
      <c r="H159" s="19">
        <v>1</v>
      </c>
      <c r="I159" s="19">
        <v>899</v>
      </c>
      <c r="J159" s="19">
        <v>-179.8</v>
      </c>
      <c r="K159" s="19">
        <v>0</v>
      </c>
      <c r="L159" s="19">
        <v>-179.8</v>
      </c>
      <c r="M159" s="19">
        <v>719.2</v>
      </c>
      <c r="N159" s="19">
        <v>34.25</v>
      </c>
      <c r="O159" s="19">
        <v>5</v>
      </c>
      <c r="P159" s="19" t="s">
        <v>142</v>
      </c>
      <c r="Q159" s="19">
        <v>50157523</v>
      </c>
      <c r="R159" s="19" t="s">
        <v>57</v>
      </c>
      <c r="S159" s="19">
        <v>50170981</v>
      </c>
      <c r="T159" s="19"/>
      <c r="U159" s="19" t="s">
        <v>58</v>
      </c>
      <c r="V159" s="18">
        <v>0</v>
      </c>
      <c r="W159" s="17">
        <f t="shared" si="6"/>
        <v>17</v>
      </c>
      <c r="X159" s="5">
        <f t="shared" si="7"/>
        <v>0</v>
      </c>
    </row>
    <row r="160" spans="1:24" x14ac:dyDescent="0.25">
      <c r="A160" s="19">
        <v>26</v>
      </c>
      <c r="B160" s="19" t="s">
        <v>55</v>
      </c>
      <c r="C160" s="19" t="s">
        <v>56</v>
      </c>
      <c r="D160" s="19" t="s">
        <v>289</v>
      </c>
      <c r="E160" s="21">
        <v>46291.72965277778</v>
      </c>
      <c r="F160" s="19">
        <v>2</v>
      </c>
      <c r="G160" s="19">
        <v>74299018060</v>
      </c>
      <c r="H160" s="19">
        <v>1</v>
      </c>
      <c r="I160" s="19">
        <v>899</v>
      </c>
      <c r="J160" s="19">
        <v>-179.8</v>
      </c>
      <c r="K160" s="19">
        <v>0</v>
      </c>
      <c r="L160" s="19">
        <v>-179.8</v>
      </c>
      <c r="M160" s="19">
        <v>719.2</v>
      </c>
      <c r="N160" s="19">
        <v>34.25</v>
      </c>
      <c r="O160" s="19">
        <v>5</v>
      </c>
      <c r="P160" s="19" t="s">
        <v>142</v>
      </c>
      <c r="Q160" s="19">
        <v>50157523</v>
      </c>
      <c r="R160" s="19" t="s">
        <v>57</v>
      </c>
      <c r="S160" s="19">
        <v>50170981</v>
      </c>
      <c r="T160" s="19"/>
      <c r="U160" s="19" t="s">
        <v>58</v>
      </c>
      <c r="V160" s="18">
        <v>0</v>
      </c>
      <c r="W160" s="17">
        <f t="shared" si="6"/>
        <v>17</v>
      </c>
      <c r="X160" s="5">
        <f t="shared" si="7"/>
        <v>0</v>
      </c>
    </row>
    <row r="161" spans="1:24" x14ac:dyDescent="0.25">
      <c r="A161" s="19">
        <v>26</v>
      </c>
      <c r="B161" s="19" t="s">
        <v>55</v>
      </c>
      <c r="C161" s="19" t="s">
        <v>56</v>
      </c>
      <c r="D161" s="19" t="s">
        <v>289</v>
      </c>
      <c r="E161" s="21">
        <v>46291.72965277778</v>
      </c>
      <c r="F161" s="19">
        <v>2</v>
      </c>
      <c r="G161" s="19">
        <v>74299018060</v>
      </c>
      <c r="H161" s="19">
        <v>1</v>
      </c>
      <c r="I161" s="19">
        <v>899</v>
      </c>
      <c r="J161" s="19">
        <v>-179.8</v>
      </c>
      <c r="K161" s="19">
        <v>0</v>
      </c>
      <c r="L161" s="19">
        <v>-179.8</v>
      </c>
      <c r="M161" s="19">
        <v>719.2</v>
      </c>
      <c r="N161" s="19">
        <v>34.25</v>
      </c>
      <c r="O161" s="19">
        <v>5</v>
      </c>
      <c r="P161" s="19" t="s">
        <v>142</v>
      </c>
      <c r="Q161" s="19">
        <v>50157523</v>
      </c>
      <c r="R161" s="19" t="s">
        <v>57</v>
      </c>
      <c r="S161" s="19">
        <v>50170981</v>
      </c>
      <c r="T161" s="19"/>
      <c r="U161" s="19" t="s">
        <v>58</v>
      </c>
      <c r="V161" s="18">
        <v>0</v>
      </c>
      <c r="W161" s="17">
        <f t="shared" si="6"/>
        <v>17</v>
      </c>
      <c r="X161" s="5">
        <f t="shared" si="7"/>
        <v>0</v>
      </c>
    </row>
    <row r="162" spans="1:24" x14ac:dyDescent="0.25">
      <c r="A162" s="19">
        <v>26</v>
      </c>
      <c r="B162" s="19" t="s">
        <v>55</v>
      </c>
      <c r="C162" s="19" t="s">
        <v>56</v>
      </c>
      <c r="D162" s="19" t="s">
        <v>289</v>
      </c>
      <c r="E162" s="21">
        <v>46291.72965277778</v>
      </c>
      <c r="F162" s="19">
        <v>2</v>
      </c>
      <c r="G162" s="19">
        <v>74299018060</v>
      </c>
      <c r="H162" s="19">
        <v>1</v>
      </c>
      <c r="I162" s="19">
        <v>899</v>
      </c>
      <c r="J162" s="19">
        <v>-179.8</v>
      </c>
      <c r="K162" s="19">
        <v>0</v>
      </c>
      <c r="L162" s="19">
        <v>-179.8</v>
      </c>
      <c r="M162" s="19">
        <v>719.2</v>
      </c>
      <c r="N162" s="19">
        <v>34.25</v>
      </c>
      <c r="O162" s="19">
        <v>5</v>
      </c>
      <c r="P162" s="19" t="s">
        <v>142</v>
      </c>
      <c r="Q162" s="19">
        <v>50157523</v>
      </c>
      <c r="R162" s="19" t="s">
        <v>57</v>
      </c>
      <c r="S162" s="19">
        <v>50170981</v>
      </c>
      <c r="T162" s="19"/>
      <c r="U162" s="19" t="s">
        <v>58</v>
      </c>
      <c r="V162" s="18">
        <v>0</v>
      </c>
      <c r="W162" s="17">
        <f t="shared" si="6"/>
        <v>17</v>
      </c>
      <c r="X162" s="5">
        <f t="shared" si="7"/>
        <v>0</v>
      </c>
    </row>
    <row r="163" spans="1:24" x14ac:dyDescent="0.25">
      <c r="A163" s="19">
        <v>26</v>
      </c>
      <c r="B163" s="19" t="s">
        <v>55</v>
      </c>
      <c r="C163" s="19" t="s">
        <v>56</v>
      </c>
      <c r="D163" s="19" t="s">
        <v>289</v>
      </c>
      <c r="E163" s="21">
        <v>46291.72965277778</v>
      </c>
      <c r="F163" s="19">
        <v>2</v>
      </c>
      <c r="G163" s="19">
        <v>74299018060</v>
      </c>
      <c r="H163" s="19">
        <v>1</v>
      </c>
      <c r="I163" s="19">
        <v>899</v>
      </c>
      <c r="J163" s="19">
        <v>-179.8</v>
      </c>
      <c r="K163" s="19">
        <v>0</v>
      </c>
      <c r="L163" s="19">
        <v>-179.8</v>
      </c>
      <c r="M163" s="19">
        <v>719.2</v>
      </c>
      <c r="N163" s="19">
        <v>34.25</v>
      </c>
      <c r="O163" s="19">
        <v>5</v>
      </c>
      <c r="P163" s="19" t="s">
        <v>142</v>
      </c>
      <c r="Q163" s="19">
        <v>50157523</v>
      </c>
      <c r="R163" s="19" t="s">
        <v>57</v>
      </c>
      <c r="S163" s="19">
        <v>50170981</v>
      </c>
      <c r="T163" s="19"/>
      <c r="U163" s="19" t="s">
        <v>58</v>
      </c>
      <c r="V163" s="18">
        <v>0</v>
      </c>
      <c r="W163" s="17">
        <f t="shared" si="6"/>
        <v>17</v>
      </c>
      <c r="X163" s="5">
        <f t="shared" si="7"/>
        <v>0</v>
      </c>
    </row>
    <row r="164" spans="1:24" x14ac:dyDescent="0.25">
      <c r="A164" s="19">
        <v>26</v>
      </c>
      <c r="B164" s="19" t="s">
        <v>55</v>
      </c>
      <c r="C164" s="19" t="s">
        <v>56</v>
      </c>
      <c r="D164" s="19" t="s">
        <v>289</v>
      </c>
      <c r="E164" s="21">
        <v>46291.72965277778</v>
      </c>
      <c r="F164" s="19">
        <v>2</v>
      </c>
      <c r="G164" s="19">
        <v>74299018060</v>
      </c>
      <c r="H164" s="19">
        <v>1</v>
      </c>
      <c r="I164" s="19">
        <v>899</v>
      </c>
      <c r="J164" s="19">
        <v>-179.8</v>
      </c>
      <c r="K164" s="19">
        <v>0</v>
      </c>
      <c r="L164" s="19">
        <v>-179.8</v>
      </c>
      <c r="M164" s="19">
        <v>719.2</v>
      </c>
      <c r="N164" s="19">
        <v>34.25</v>
      </c>
      <c r="O164" s="19">
        <v>5</v>
      </c>
      <c r="P164" s="19" t="s">
        <v>142</v>
      </c>
      <c r="Q164" s="19">
        <v>50157523</v>
      </c>
      <c r="R164" s="19" t="s">
        <v>57</v>
      </c>
      <c r="S164" s="19">
        <v>50170981</v>
      </c>
      <c r="T164" s="19"/>
      <c r="U164" s="19" t="s">
        <v>58</v>
      </c>
      <c r="V164" s="18">
        <v>0</v>
      </c>
      <c r="W164" s="17">
        <f t="shared" si="6"/>
        <v>17</v>
      </c>
      <c r="X164" s="5">
        <f t="shared" si="7"/>
        <v>0</v>
      </c>
    </row>
    <row r="165" spans="1:24" x14ac:dyDescent="0.25">
      <c r="A165" s="19">
        <v>26</v>
      </c>
      <c r="B165" s="19" t="s">
        <v>55</v>
      </c>
      <c r="C165" s="19" t="s">
        <v>56</v>
      </c>
      <c r="D165" s="19" t="s">
        <v>289</v>
      </c>
      <c r="E165" s="21">
        <v>46291.72965277778</v>
      </c>
      <c r="F165" s="19">
        <v>2</v>
      </c>
      <c r="G165" s="19">
        <v>74299018060</v>
      </c>
      <c r="H165" s="19">
        <v>1</v>
      </c>
      <c r="I165" s="19">
        <v>899</v>
      </c>
      <c r="J165" s="19">
        <v>-179.8</v>
      </c>
      <c r="K165" s="19">
        <v>0</v>
      </c>
      <c r="L165" s="19">
        <v>-179.8</v>
      </c>
      <c r="M165" s="19">
        <v>719.2</v>
      </c>
      <c r="N165" s="19">
        <v>34.25</v>
      </c>
      <c r="O165" s="19">
        <v>5</v>
      </c>
      <c r="P165" s="19" t="s">
        <v>142</v>
      </c>
      <c r="Q165" s="19">
        <v>50157523</v>
      </c>
      <c r="R165" s="19" t="s">
        <v>57</v>
      </c>
      <c r="S165" s="19">
        <v>50170981</v>
      </c>
      <c r="T165" s="19"/>
      <c r="U165" s="19" t="s">
        <v>58</v>
      </c>
      <c r="V165" s="18">
        <v>0</v>
      </c>
      <c r="W165" s="17">
        <f t="shared" si="6"/>
        <v>17</v>
      </c>
      <c r="X165" s="5">
        <f t="shared" si="7"/>
        <v>0</v>
      </c>
    </row>
    <row r="166" spans="1:24" x14ac:dyDescent="0.25">
      <c r="A166" s="19">
        <v>26</v>
      </c>
      <c r="B166" s="19" t="s">
        <v>55</v>
      </c>
      <c r="C166" s="19" t="s">
        <v>56</v>
      </c>
      <c r="D166" s="19" t="s">
        <v>289</v>
      </c>
      <c r="E166" s="21">
        <v>46291.72965277778</v>
      </c>
      <c r="F166" s="19">
        <v>2</v>
      </c>
      <c r="G166" s="19">
        <v>74299018060</v>
      </c>
      <c r="H166" s="19">
        <v>1</v>
      </c>
      <c r="I166" s="19">
        <v>899</v>
      </c>
      <c r="J166" s="19">
        <v>-179.8</v>
      </c>
      <c r="K166" s="19">
        <v>0</v>
      </c>
      <c r="L166" s="19">
        <v>-179.8</v>
      </c>
      <c r="M166" s="19">
        <v>719.2</v>
      </c>
      <c r="N166" s="19">
        <v>34.25</v>
      </c>
      <c r="O166" s="19">
        <v>5</v>
      </c>
      <c r="P166" s="19" t="s">
        <v>142</v>
      </c>
      <c r="Q166" s="19">
        <v>50157523</v>
      </c>
      <c r="R166" s="19" t="s">
        <v>57</v>
      </c>
      <c r="S166" s="19">
        <v>50170981</v>
      </c>
      <c r="T166" s="19"/>
      <c r="U166" s="19" t="s">
        <v>58</v>
      </c>
      <c r="V166" s="18">
        <v>0</v>
      </c>
      <c r="W166" s="17">
        <f t="shared" si="6"/>
        <v>17</v>
      </c>
      <c r="X166" s="5">
        <f t="shared" si="7"/>
        <v>0</v>
      </c>
    </row>
    <row r="167" spans="1:24" x14ac:dyDescent="0.25">
      <c r="A167" s="19">
        <v>26</v>
      </c>
      <c r="B167" s="19" t="s">
        <v>55</v>
      </c>
      <c r="C167" s="19" t="s">
        <v>56</v>
      </c>
      <c r="D167" s="19" t="s">
        <v>289</v>
      </c>
      <c r="E167" s="21">
        <v>46291.72965277778</v>
      </c>
      <c r="F167" s="19">
        <v>2</v>
      </c>
      <c r="G167" s="19">
        <v>74299018060</v>
      </c>
      <c r="H167" s="19">
        <v>1</v>
      </c>
      <c r="I167" s="19">
        <v>899</v>
      </c>
      <c r="J167" s="19">
        <v>-179.8</v>
      </c>
      <c r="K167" s="19">
        <v>0</v>
      </c>
      <c r="L167" s="19">
        <v>-179.8</v>
      </c>
      <c r="M167" s="19">
        <v>719.2</v>
      </c>
      <c r="N167" s="19">
        <v>34.25</v>
      </c>
      <c r="O167" s="19">
        <v>5</v>
      </c>
      <c r="P167" s="19" t="s">
        <v>142</v>
      </c>
      <c r="Q167" s="19">
        <v>50157523</v>
      </c>
      <c r="R167" s="19" t="s">
        <v>57</v>
      </c>
      <c r="S167" s="19">
        <v>50170981</v>
      </c>
      <c r="T167" s="19"/>
      <c r="U167" s="19" t="s">
        <v>58</v>
      </c>
      <c r="V167" s="18">
        <v>0</v>
      </c>
      <c r="W167" s="17">
        <f t="shared" si="6"/>
        <v>17</v>
      </c>
      <c r="X167" s="5">
        <f t="shared" si="7"/>
        <v>0</v>
      </c>
    </row>
    <row r="168" spans="1:24" x14ac:dyDescent="0.25">
      <c r="A168" s="19">
        <v>26</v>
      </c>
      <c r="B168" s="19" t="s">
        <v>55</v>
      </c>
      <c r="C168" s="19" t="s">
        <v>56</v>
      </c>
      <c r="D168" s="19" t="s">
        <v>289</v>
      </c>
      <c r="E168" s="21">
        <v>46291.72965277778</v>
      </c>
      <c r="F168" s="19">
        <v>2</v>
      </c>
      <c r="G168" s="19">
        <v>74299018060</v>
      </c>
      <c r="H168" s="19">
        <v>1</v>
      </c>
      <c r="I168" s="19">
        <v>899</v>
      </c>
      <c r="J168" s="19">
        <v>-179.8</v>
      </c>
      <c r="K168" s="19">
        <v>0</v>
      </c>
      <c r="L168" s="19">
        <v>-179.8</v>
      </c>
      <c r="M168" s="19">
        <v>719.2</v>
      </c>
      <c r="N168" s="19">
        <v>34.25</v>
      </c>
      <c r="O168" s="19">
        <v>5</v>
      </c>
      <c r="P168" s="19" t="s">
        <v>142</v>
      </c>
      <c r="Q168" s="19">
        <v>50157523</v>
      </c>
      <c r="R168" s="19" t="s">
        <v>57</v>
      </c>
      <c r="S168" s="19">
        <v>50170981</v>
      </c>
      <c r="T168" s="19"/>
      <c r="U168" s="19" t="s">
        <v>58</v>
      </c>
      <c r="V168" s="18">
        <v>0</v>
      </c>
      <c r="W168" s="17">
        <f t="shared" si="6"/>
        <v>17</v>
      </c>
      <c r="X168" s="5">
        <f t="shared" si="7"/>
        <v>0</v>
      </c>
    </row>
    <row r="169" spans="1:24" x14ac:dyDescent="0.25">
      <c r="A169" s="19">
        <v>26</v>
      </c>
      <c r="B169" s="19" t="s">
        <v>55</v>
      </c>
      <c r="C169" s="19" t="s">
        <v>56</v>
      </c>
      <c r="D169" s="19" t="s">
        <v>289</v>
      </c>
      <c r="E169" s="21">
        <v>46291.72965277778</v>
      </c>
      <c r="F169" s="19">
        <v>2</v>
      </c>
      <c r="G169" s="19">
        <v>74299018060</v>
      </c>
      <c r="H169" s="19">
        <v>1</v>
      </c>
      <c r="I169" s="19">
        <v>899</v>
      </c>
      <c r="J169" s="19">
        <v>-179.8</v>
      </c>
      <c r="K169" s="19">
        <v>0</v>
      </c>
      <c r="L169" s="19">
        <v>-179.8</v>
      </c>
      <c r="M169" s="19">
        <v>719.2</v>
      </c>
      <c r="N169" s="19">
        <v>34.25</v>
      </c>
      <c r="O169" s="19">
        <v>5</v>
      </c>
      <c r="P169" s="19" t="s">
        <v>142</v>
      </c>
      <c r="Q169" s="19">
        <v>50157523</v>
      </c>
      <c r="R169" s="19" t="s">
        <v>57</v>
      </c>
      <c r="S169" s="19">
        <v>50170981</v>
      </c>
      <c r="T169" s="19"/>
      <c r="U169" s="19" t="s">
        <v>58</v>
      </c>
      <c r="V169" s="18">
        <v>0</v>
      </c>
      <c r="W169" s="17">
        <f t="shared" si="6"/>
        <v>17</v>
      </c>
      <c r="X169" s="5">
        <f t="shared" si="7"/>
        <v>0</v>
      </c>
    </row>
    <row r="170" spans="1:24" x14ac:dyDescent="0.25">
      <c r="A170" s="19">
        <v>26</v>
      </c>
      <c r="B170" s="19" t="s">
        <v>55</v>
      </c>
      <c r="C170" s="19" t="s">
        <v>56</v>
      </c>
      <c r="D170" s="19" t="s">
        <v>289</v>
      </c>
      <c r="E170" s="21">
        <v>46291.72965277778</v>
      </c>
      <c r="F170" s="19">
        <v>2</v>
      </c>
      <c r="G170" s="19">
        <v>74299018060</v>
      </c>
      <c r="H170" s="19">
        <v>1</v>
      </c>
      <c r="I170" s="19">
        <v>899</v>
      </c>
      <c r="J170" s="19">
        <v>-179.8</v>
      </c>
      <c r="K170" s="19">
        <v>0</v>
      </c>
      <c r="L170" s="19">
        <v>-179.8</v>
      </c>
      <c r="M170" s="19">
        <v>719.2</v>
      </c>
      <c r="N170" s="19">
        <v>34.25</v>
      </c>
      <c r="O170" s="19">
        <v>5</v>
      </c>
      <c r="P170" s="19" t="s">
        <v>142</v>
      </c>
      <c r="Q170" s="19">
        <v>50157523</v>
      </c>
      <c r="R170" s="19" t="s">
        <v>57</v>
      </c>
      <c r="S170" s="19">
        <v>50188930</v>
      </c>
      <c r="T170" s="19"/>
      <c r="U170" s="19" t="s">
        <v>58</v>
      </c>
      <c r="V170" s="18">
        <v>0</v>
      </c>
      <c r="W170" s="17">
        <f t="shared" si="6"/>
        <v>17</v>
      </c>
      <c r="X170" s="5">
        <f t="shared" si="7"/>
        <v>0</v>
      </c>
    </row>
    <row r="171" spans="1:24" x14ac:dyDescent="0.25">
      <c r="A171" s="19">
        <v>26</v>
      </c>
      <c r="B171" s="19" t="s">
        <v>55</v>
      </c>
      <c r="C171" s="19" t="s">
        <v>56</v>
      </c>
      <c r="D171" s="19" t="s">
        <v>289</v>
      </c>
      <c r="E171" s="21">
        <v>46291.72965277778</v>
      </c>
      <c r="F171" s="19">
        <v>2</v>
      </c>
      <c r="G171" s="19">
        <v>74299018060</v>
      </c>
      <c r="H171" s="19">
        <v>1</v>
      </c>
      <c r="I171" s="19">
        <v>899</v>
      </c>
      <c r="J171" s="19">
        <v>-179.8</v>
      </c>
      <c r="K171" s="19">
        <v>0</v>
      </c>
      <c r="L171" s="19">
        <v>-179.8</v>
      </c>
      <c r="M171" s="19">
        <v>719.2</v>
      </c>
      <c r="N171" s="19">
        <v>34.25</v>
      </c>
      <c r="O171" s="19">
        <v>5</v>
      </c>
      <c r="P171" s="19" t="s">
        <v>142</v>
      </c>
      <c r="Q171" s="19">
        <v>50157523</v>
      </c>
      <c r="R171" s="19" t="s">
        <v>57</v>
      </c>
      <c r="S171" s="19">
        <v>50188930</v>
      </c>
      <c r="T171" s="19"/>
      <c r="U171" s="19" t="s">
        <v>58</v>
      </c>
      <c r="V171" s="18">
        <v>0</v>
      </c>
      <c r="W171" s="17">
        <f t="shared" si="6"/>
        <v>17</v>
      </c>
      <c r="X171" s="5">
        <f t="shared" si="7"/>
        <v>0</v>
      </c>
    </row>
    <row r="172" spans="1:24" x14ac:dyDescent="0.25">
      <c r="A172" s="19">
        <v>26</v>
      </c>
      <c r="B172" s="19" t="s">
        <v>55</v>
      </c>
      <c r="C172" s="19" t="s">
        <v>56</v>
      </c>
      <c r="D172" s="19" t="s">
        <v>289</v>
      </c>
      <c r="E172" s="21">
        <v>46291.72965277778</v>
      </c>
      <c r="F172" s="19">
        <v>2</v>
      </c>
      <c r="G172" s="19">
        <v>74299018060</v>
      </c>
      <c r="H172" s="19">
        <v>1</v>
      </c>
      <c r="I172" s="19">
        <v>899</v>
      </c>
      <c r="J172" s="19">
        <v>-179.8</v>
      </c>
      <c r="K172" s="19">
        <v>0</v>
      </c>
      <c r="L172" s="19">
        <v>-179.8</v>
      </c>
      <c r="M172" s="19">
        <v>719.2</v>
      </c>
      <c r="N172" s="19">
        <v>34.25</v>
      </c>
      <c r="O172" s="19">
        <v>5</v>
      </c>
      <c r="P172" s="19" t="s">
        <v>142</v>
      </c>
      <c r="Q172" s="19">
        <v>50157523</v>
      </c>
      <c r="R172" s="19" t="s">
        <v>57</v>
      </c>
      <c r="S172" s="19">
        <v>50188930</v>
      </c>
      <c r="T172" s="19"/>
      <c r="U172" s="19" t="s">
        <v>58</v>
      </c>
      <c r="V172" s="18">
        <v>0</v>
      </c>
      <c r="W172" s="17">
        <f t="shared" si="6"/>
        <v>17</v>
      </c>
      <c r="X172" s="5">
        <f t="shared" si="7"/>
        <v>0</v>
      </c>
    </row>
    <row r="173" spans="1:24" x14ac:dyDescent="0.25">
      <c r="A173" s="19">
        <v>26</v>
      </c>
      <c r="B173" s="19" t="s">
        <v>55</v>
      </c>
      <c r="C173" s="19" t="s">
        <v>56</v>
      </c>
      <c r="D173" s="19" t="s">
        <v>289</v>
      </c>
      <c r="E173" s="21">
        <v>46291.72965277778</v>
      </c>
      <c r="F173" s="19">
        <v>2</v>
      </c>
      <c r="G173" s="19">
        <v>74299018060</v>
      </c>
      <c r="H173" s="19">
        <v>1</v>
      </c>
      <c r="I173" s="19">
        <v>899</v>
      </c>
      <c r="J173" s="19">
        <v>-179.8</v>
      </c>
      <c r="K173" s="19">
        <v>0</v>
      </c>
      <c r="L173" s="19">
        <v>-179.8</v>
      </c>
      <c r="M173" s="19">
        <v>719.2</v>
      </c>
      <c r="N173" s="19">
        <v>34.25</v>
      </c>
      <c r="O173" s="19">
        <v>5</v>
      </c>
      <c r="P173" s="19" t="s">
        <v>142</v>
      </c>
      <c r="Q173" s="19">
        <v>50157523</v>
      </c>
      <c r="R173" s="19" t="s">
        <v>57</v>
      </c>
      <c r="S173" s="19">
        <v>50188930</v>
      </c>
      <c r="T173" s="19"/>
      <c r="U173" s="19" t="s">
        <v>58</v>
      </c>
      <c r="V173" s="18">
        <v>0</v>
      </c>
      <c r="W173" s="17">
        <f t="shared" si="6"/>
        <v>17</v>
      </c>
      <c r="X173" s="5">
        <f t="shared" si="7"/>
        <v>0</v>
      </c>
    </row>
    <row r="174" spans="1:24" x14ac:dyDescent="0.25">
      <c r="A174" s="19">
        <v>26</v>
      </c>
      <c r="B174" s="19" t="s">
        <v>55</v>
      </c>
      <c r="C174" s="19" t="s">
        <v>56</v>
      </c>
      <c r="D174" s="19" t="s">
        <v>289</v>
      </c>
      <c r="E174" s="21">
        <v>46291.72965277778</v>
      </c>
      <c r="F174" s="19">
        <v>2</v>
      </c>
      <c r="G174" s="19">
        <v>74299018060</v>
      </c>
      <c r="H174" s="19">
        <v>1</v>
      </c>
      <c r="I174" s="19">
        <v>899</v>
      </c>
      <c r="J174" s="19">
        <v>-179.8</v>
      </c>
      <c r="K174" s="19">
        <v>0</v>
      </c>
      <c r="L174" s="19">
        <v>-179.8</v>
      </c>
      <c r="M174" s="19">
        <v>719.2</v>
      </c>
      <c r="N174" s="19">
        <v>34.25</v>
      </c>
      <c r="O174" s="19">
        <v>5</v>
      </c>
      <c r="P174" s="19" t="s">
        <v>142</v>
      </c>
      <c r="Q174" s="19">
        <v>50157523</v>
      </c>
      <c r="R174" s="19" t="s">
        <v>57</v>
      </c>
      <c r="S174" s="19">
        <v>50188930</v>
      </c>
      <c r="T174" s="19"/>
      <c r="U174" s="19" t="s">
        <v>58</v>
      </c>
      <c r="V174" s="18">
        <v>0</v>
      </c>
      <c r="W174" s="17">
        <f t="shared" si="6"/>
        <v>17</v>
      </c>
      <c r="X174" s="5">
        <f t="shared" si="7"/>
        <v>0</v>
      </c>
    </row>
    <row r="175" spans="1:24" x14ac:dyDescent="0.25">
      <c r="A175" s="19">
        <v>26</v>
      </c>
      <c r="B175" s="19" t="s">
        <v>55</v>
      </c>
      <c r="C175" s="19" t="s">
        <v>56</v>
      </c>
      <c r="D175" s="19" t="s">
        <v>289</v>
      </c>
      <c r="E175" s="21">
        <v>46291.72965277778</v>
      </c>
      <c r="F175" s="19">
        <v>2</v>
      </c>
      <c r="G175" s="19">
        <v>74299018060</v>
      </c>
      <c r="H175" s="19">
        <v>1</v>
      </c>
      <c r="I175" s="19">
        <v>899</v>
      </c>
      <c r="J175" s="19">
        <v>-179.8</v>
      </c>
      <c r="K175" s="19">
        <v>0</v>
      </c>
      <c r="L175" s="19">
        <v>-179.8</v>
      </c>
      <c r="M175" s="19">
        <v>719.2</v>
      </c>
      <c r="N175" s="19">
        <v>34.25</v>
      </c>
      <c r="O175" s="19">
        <v>5</v>
      </c>
      <c r="P175" s="19" t="s">
        <v>142</v>
      </c>
      <c r="Q175" s="19">
        <v>50157523</v>
      </c>
      <c r="R175" s="19" t="s">
        <v>57</v>
      </c>
      <c r="S175" s="19">
        <v>50188930</v>
      </c>
      <c r="T175" s="19"/>
      <c r="U175" s="19" t="s">
        <v>58</v>
      </c>
      <c r="V175" s="18">
        <v>0</v>
      </c>
      <c r="W175" s="17">
        <f t="shared" si="6"/>
        <v>17</v>
      </c>
      <c r="X175" s="5">
        <f t="shared" si="7"/>
        <v>0</v>
      </c>
    </row>
    <row r="176" spans="1:24" x14ac:dyDescent="0.25">
      <c r="A176" s="19">
        <v>26</v>
      </c>
      <c r="B176" s="19" t="s">
        <v>55</v>
      </c>
      <c r="C176" s="19" t="s">
        <v>56</v>
      </c>
      <c r="D176" s="19" t="s">
        <v>289</v>
      </c>
      <c r="E176" s="21">
        <v>46291.72965277778</v>
      </c>
      <c r="F176" s="19">
        <v>2</v>
      </c>
      <c r="G176" s="19">
        <v>74299018060</v>
      </c>
      <c r="H176" s="19">
        <v>1</v>
      </c>
      <c r="I176" s="19">
        <v>899</v>
      </c>
      <c r="J176" s="19">
        <v>-179.8</v>
      </c>
      <c r="K176" s="19">
        <v>0</v>
      </c>
      <c r="L176" s="19">
        <v>-179.8</v>
      </c>
      <c r="M176" s="19">
        <v>719.2</v>
      </c>
      <c r="N176" s="19">
        <v>34.25</v>
      </c>
      <c r="O176" s="19">
        <v>5</v>
      </c>
      <c r="P176" s="19" t="s">
        <v>142</v>
      </c>
      <c r="Q176" s="19">
        <v>50157523</v>
      </c>
      <c r="R176" s="19" t="s">
        <v>57</v>
      </c>
      <c r="S176" s="19">
        <v>50188930</v>
      </c>
      <c r="T176" s="19"/>
      <c r="U176" s="19" t="s">
        <v>58</v>
      </c>
      <c r="V176" s="18">
        <v>0</v>
      </c>
      <c r="W176" s="17">
        <f t="shared" si="6"/>
        <v>17</v>
      </c>
      <c r="X176" s="5">
        <f t="shared" si="7"/>
        <v>0</v>
      </c>
    </row>
    <row r="177" spans="1:24" x14ac:dyDescent="0.25">
      <c r="A177" s="19">
        <v>26</v>
      </c>
      <c r="B177" s="19" t="s">
        <v>55</v>
      </c>
      <c r="C177" s="19" t="s">
        <v>56</v>
      </c>
      <c r="D177" s="19" t="s">
        <v>289</v>
      </c>
      <c r="E177" s="21">
        <v>46291.72965277778</v>
      </c>
      <c r="F177" s="19">
        <v>2</v>
      </c>
      <c r="G177" s="19">
        <v>74299018060</v>
      </c>
      <c r="H177" s="19">
        <v>1</v>
      </c>
      <c r="I177" s="19">
        <v>899</v>
      </c>
      <c r="J177" s="19">
        <v>-179.8</v>
      </c>
      <c r="K177" s="19">
        <v>0</v>
      </c>
      <c r="L177" s="19">
        <v>-179.8</v>
      </c>
      <c r="M177" s="19">
        <v>719.2</v>
      </c>
      <c r="N177" s="19">
        <v>34.25</v>
      </c>
      <c r="O177" s="19">
        <v>5</v>
      </c>
      <c r="P177" s="19" t="s">
        <v>142</v>
      </c>
      <c r="Q177" s="19">
        <v>50157523</v>
      </c>
      <c r="R177" s="19" t="s">
        <v>57</v>
      </c>
      <c r="S177" s="19">
        <v>50188930</v>
      </c>
      <c r="T177" s="19"/>
      <c r="U177" s="19" t="s">
        <v>58</v>
      </c>
      <c r="V177" s="18">
        <v>0</v>
      </c>
      <c r="W177" s="17">
        <f t="shared" si="6"/>
        <v>17</v>
      </c>
      <c r="X177" s="5">
        <f t="shared" si="7"/>
        <v>0</v>
      </c>
    </row>
    <row r="178" spans="1:24" x14ac:dyDescent="0.25">
      <c r="A178" s="19">
        <v>26</v>
      </c>
      <c r="B178" s="19" t="s">
        <v>55</v>
      </c>
      <c r="C178" s="19" t="s">
        <v>56</v>
      </c>
      <c r="D178" s="19" t="s">
        <v>289</v>
      </c>
      <c r="E178" s="21">
        <v>46291.72965277778</v>
      </c>
      <c r="F178" s="19">
        <v>2</v>
      </c>
      <c r="G178" s="19">
        <v>74299018060</v>
      </c>
      <c r="H178" s="19">
        <v>1</v>
      </c>
      <c r="I178" s="19">
        <v>899</v>
      </c>
      <c r="J178" s="19">
        <v>-179.8</v>
      </c>
      <c r="K178" s="19">
        <v>0</v>
      </c>
      <c r="L178" s="19">
        <v>-179.8</v>
      </c>
      <c r="M178" s="19">
        <v>719.2</v>
      </c>
      <c r="N178" s="19">
        <v>34.25</v>
      </c>
      <c r="O178" s="19">
        <v>5</v>
      </c>
      <c r="P178" s="19" t="s">
        <v>142</v>
      </c>
      <c r="Q178" s="19">
        <v>50157523</v>
      </c>
      <c r="R178" s="19" t="s">
        <v>57</v>
      </c>
      <c r="S178" s="19">
        <v>50188930</v>
      </c>
      <c r="T178" s="19"/>
      <c r="U178" s="19" t="s">
        <v>58</v>
      </c>
      <c r="V178" s="18">
        <v>0</v>
      </c>
      <c r="W178" s="17">
        <f t="shared" si="6"/>
        <v>17</v>
      </c>
      <c r="X178" s="5">
        <f t="shared" si="7"/>
        <v>0</v>
      </c>
    </row>
    <row r="179" spans="1:24" x14ac:dyDescent="0.25">
      <c r="A179" s="19">
        <v>26</v>
      </c>
      <c r="B179" s="19" t="s">
        <v>55</v>
      </c>
      <c r="C179" s="19" t="s">
        <v>56</v>
      </c>
      <c r="D179" s="19" t="s">
        <v>289</v>
      </c>
      <c r="E179" s="21">
        <v>46291.72965277778</v>
      </c>
      <c r="F179" s="19">
        <v>2</v>
      </c>
      <c r="G179" s="19">
        <v>74299018060</v>
      </c>
      <c r="H179" s="19">
        <v>1</v>
      </c>
      <c r="I179" s="19">
        <v>899</v>
      </c>
      <c r="J179" s="19">
        <v>-179.8</v>
      </c>
      <c r="K179" s="19">
        <v>0</v>
      </c>
      <c r="L179" s="19">
        <v>-179.8</v>
      </c>
      <c r="M179" s="19">
        <v>719.2</v>
      </c>
      <c r="N179" s="19">
        <v>34.25</v>
      </c>
      <c r="O179" s="19">
        <v>5</v>
      </c>
      <c r="P179" s="19" t="s">
        <v>142</v>
      </c>
      <c r="Q179" s="19">
        <v>50157523</v>
      </c>
      <c r="R179" s="19" t="s">
        <v>57</v>
      </c>
      <c r="S179" s="19">
        <v>50188930</v>
      </c>
      <c r="T179" s="19"/>
      <c r="U179" s="19" t="s">
        <v>58</v>
      </c>
      <c r="V179" s="18">
        <v>0</v>
      </c>
      <c r="W179" s="17">
        <f t="shared" si="6"/>
        <v>17</v>
      </c>
      <c r="X179" s="5">
        <f t="shared" si="7"/>
        <v>0</v>
      </c>
    </row>
    <row r="180" spans="1:24" x14ac:dyDescent="0.25">
      <c r="A180" s="19">
        <v>26</v>
      </c>
      <c r="B180" s="19" t="s">
        <v>55</v>
      </c>
      <c r="C180" s="19" t="s">
        <v>56</v>
      </c>
      <c r="D180" s="19" t="s">
        <v>289</v>
      </c>
      <c r="E180" s="21">
        <v>46291.72965277778</v>
      </c>
      <c r="F180" s="19">
        <v>2</v>
      </c>
      <c r="G180" s="19">
        <v>74299018060</v>
      </c>
      <c r="H180" s="19">
        <v>1</v>
      </c>
      <c r="I180" s="19">
        <v>899</v>
      </c>
      <c r="J180" s="19">
        <v>-179.8</v>
      </c>
      <c r="K180" s="19">
        <v>0</v>
      </c>
      <c r="L180" s="19">
        <v>-179.8</v>
      </c>
      <c r="M180" s="19">
        <v>719.2</v>
      </c>
      <c r="N180" s="19">
        <v>34.25</v>
      </c>
      <c r="O180" s="19">
        <v>5</v>
      </c>
      <c r="P180" s="19" t="s">
        <v>142</v>
      </c>
      <c r="Q180" s="19">
        <v>50157523</v>
      </c>
      <c r="R180" s="19" t="s">
        <v>57</v>
      </c>
      <c r="S180" s="19">
        <v>50188930</v>
      </c>
      <c r="T180" s="19"/>
      <c r="U180" s="19" t="s">
        <v>58</v>
      </c>
      <c r="V180" s="18">
        <v>0</v>
      </c>
      <c r="W180" s="17">
        <f t="shared" si="6"/>
        <v>17</v>
      </c>
      <c r="X180" s="5">
        <f t="shared" si="7"/>
        <v>0</v>
      </c>
    </row>
    <row r="181" spans="1:24" x14ac:dyDescent="0.25">
      <c r="A181" s="19">
        <v>26</v>
      </c>
      <c r="B181" s="19" t="s">
        <v>55</v>
      </c>
      <c r="C181" s="19" t="s">
        <v>56</v>
      </c>
      <c r="D181" s="19" t="s">
        <v>289</v>
      </c>
      <c r="E181" s="21">
        <v>46291.72965277778</v>
      </c>
      <c r="F181" s="19">
        <v>2</v>
      </c>
      <c r="G181" s="19">
        <v>74299018060</v>
      </c>
      <c r="H181" s="19">
        <v>1</v>
      </c>
      <c r="I181" s="19">
        <v>899</v>
      </c>
      <c r="J181" s="19">
        <v>-179.8</v>
      </c>
      <c r="K181" s="19">
        <v>0</v>
      </c>
      <c r="L181" s="19">
        <v>-179.8</v>
      </c>
      <c r="M181" s="19">
        <v>719.2</v>
      </c>
      <c r="N181" s="19">
        <v>34.25</v>
      </c>
      <c r="O181" s="19">
        <v>5</v>
      </c>
      <c r="P181" s="19" t="s">
        <v>142</v>
      </c>
      <c r="Q181" s="19">
        <v>50157523</v>
      </c>
      <c r="R181" s="19" t="s">
        <v>57</v>
      </c>
      <c r="S181" s="19">
        <v>50188930</v>
      </c>
      <c r="T181" s="19"/>
      <c r="U181" s="19" t="s">
        <v>58</v>
      </c>
      <c r="V181" s="18">
        <v>0</v>
      </c>
      <c r="W181" s="17">
        <f t="shared" si="6"/>
        <v>17</v>
      </c>
      <c r="X181" s="5">
        <f t="shared" si="7"/>
        <v>0</v>
      </c>
    </row>
    <row r="182" spans="1:24" x14ac:dyDescent="0.25">
      <c r="A182" s="19">
        <v>26</v>
      </c>
      <c r="B182" s="19" t="s">
        <v>55</v>
      </c>
      <c r="C182" s="19" t="s">
        <v>56</v>
      </c>
      <c r="D182" s="19" t="s">
        <v>289</v>
      </c>
      <c r="E182" s="21">
        <v>46291.72965277778</v>
      </c>
      <c r="F182" s="19">
        <v>2</v>
      </c>
      <c r="G182" s="19">
        <v>74299018060</v>
      </c>
      <c r="H182" s="19">
        <v>1</v>
      </c>
      <c r="I182" s="19">
        <v>899</v>
      </c>
      <c r="J182" s="19">
        <v>-179.8</v>
      </c>
      <c r="K182" s="19">
        <v>0</v>
      </c>
      <c r="L182" s="19">
        <v>-179.8</v>
      </c>
      <c r="M182" s="19">
        <v>719.2</v>
      </c>
      <c r="N182" s="19">
        <v>34.25</v>
      </c>
      <c r="O182" s="19">
        <v>5</v>
      </c>
      <c r="P182" s="19" t="s">
        <v>142</v>
      </c>
      <c r="Q182" s="19">
        <v>50157523</v>
      </c>
      <c r="R182" s="19" t="s">
        <v>57</v>
      </c>
      <c r="S182" s="19">
        <v>50188930</v>
      </c>
      <c r="T182" s="19"/>
      <c r="U182" s="19" t="s">
        <v>58</v>
      </c>
      <c r="V182" s="18">
        <v>0</v>
      </c>
      <c r="W182" s="17">
        <f t="shared" si="6"/>
        <v>17</v>
      </c>
      <c r="X182" s="5">
        <f t="shared" si="7"/>
        <v>0</v>
      </c>
    </row>
    <row r="183" spans="1:24" x14ac:dyDescent="0.25">
      <c r="A183" s="19">
        <v>26</v>
      </c>
      <c r="B183" s="19" t="s">
        <v>55</v>
      </c>
      <c r="C183" s="19" t="s">
        <v>56</v>
      </c>
      <c r="D183" s="19" t="s">
        <v>289</v>
      </c>
      <c r="E183" s="21">
        <v>46291.72965277778</v>
      </c>
      <c r="F183" s="19">
        <v>2</v>
      </c>
      <c r="G183" s="19">
        <v>74299018060</v>
      </c>
      <c r="H183" s="19">
        <v>1</v>
      </c>
      <c r="I183" s="19">
        <v>899</v>
      </c>
      <c r="J183" s="19">
        <v>-179.8</v>
      </c>
      <c r="K183" s="19">
        <v>0</v>
      </c>
      <c r="L183" s="19">
        <v>-179.8</v>
      </c>
      <c r="M183" s="19">
        <v>719.2</v>
      </c>
      <c r="N183" s="19">
        <v>34.25</v>
      </c>
      <c r="O183" s="19">
        <v>5</v>
      </c>
      <c r="P183" s="19" t="s">
        <v>142</v>
      </c>
      <c r="Q183" s="19">
        <v>50157523</v>
      </c>
      <c r="R183" s="19" t="s">
        <v>57</v>
      </c>
      <c r="S183" s="19">
        <v>50195439</v>
      </c>
      <c r="T183" s="19"/>
      <c r="U183" s="19" t="s">
        <v>58</v>
      </c>
      <c r="V183" s="18">
        <v>0</v>
      </c>
      <c r="W183" s="17">
        <f t="shared" si="6"/>
        <v>17</v>
      </c>
      <c r="X183" s="5">
        <f t="shared" si="7"/>
        <v>0</v>
      </c>
    </row>
    <row r="184" spans="1:24" x14ac:dyDescent="0.25">
      <c r="A184" s="19">
        <v>26</v>
      </c>
      <c r="B184" s="19" t="s">
        <v>55</v>
      </c>
      <c r="C184" s="19" t="s">
        <v>56</v>
      </c>
      <c r="D184" s="19" t="s">
        <v>289</v>
      </c>
      <c r="E184" s="21">
        <v>46291.72965277778</v>
      </c>
      <c r="F184" s="19">
        <v>2</v>
      </c>
      <c r="G184" s="19">
        <v>74299018060</v>
      </c>
      <c r="H184" s="19">
        <v>1</v>
      </c>
      <c r="I184" s="19">
        <v>899</v>
      </c>
      <c r="J184" s="19">
        <v>-179.8</v>
      </c>
      <c r="K184" s="19">
        <v>0</v>
      </c>
      <c r="L184" s="19">
        <v>-179.8</v>
      </c>
      <c r="M184" s="19">
        <v>719.2</v>
      </c>
      <c r="N184" s="19">
        <v>34.25</v>
      </c>
      <c r="O184" s="19">
        <v>5</v>
      </c>
      <c r="P184" s="19" t="s">
        <v>142</v>
      </c>
      <c r="Q184" s="19">
        <v>50157523</v>
      </c>
      <c r="R184" s="19" t="s">
        <v>57</v>
      </c>
      <c r="S184" s="19">
        <v>50195439</v>
      </c>
      <c r="T184" s="19"/>
      <c r="U184" s="19" t="s">
        <v>58</v>
      </c>
      <c r="V184" s="18">
        <v>0</v>
      </c>
      <c r="W184" s="17">
        <f t="shared" si="6"/>
        <v>17</v>
      </c>
      <c r="X184" s="5">
        <f t="shared" si="7"/>
        <v>0</v>
      </c>
    </row>
    <row r="185" spans="1:24" x14ac:dyDescent="0.25">
      <c r="A185" s="19">
        <v>26</v>
      </c>
      <c r="B185" s="19" t="s">
        <v>55</v>
      </c>
      <c r="C185" s="19" t="s">
        <v>56</v>
      </c>
      <c r="D185" s="19" t="s">
        <v>289</v>
      </c>
      <c r="E185" s="21">
        <v>46291.72965277778</v>
      </c>
      <c r="F185" s="19">
        <v>2</v>
      </c>
      <c r="G185" s="19">
        <v>74299018060</v>
      </c>
      <c r="H185" s="19">
        <v>1</v>
      </c>
      <c r="I185" s="19">
        <v>899</v>
      </c>
      <c r="J185" s="19">
        <v>-179.8</v>
      </c>
      <c r="K185" s="19">
        <v>0</v>
      </c>
      <c r="L185" s="19">
        <v>-179.8</v>
      </c>
      <c r="M185" s="19">
        <v>719.2</v>
      </c>
      <c r="N185" s="19">
        <v>34.25</v>
      </c>
      <c r="O185" s="19">
        <v>5</v>
      </c>
      <c r="P185" s="19" t="s">
        <v>142</v>
      </c>
      <c r="Q185" s="19">
        <v>50157523</v>
      </c>
      <c r="R185" s="19" t="s">
        <v>57</v>
      </c>
      <c r="S185" s="19">
        <v>50195439</v>
      </c>
      <c r="T185" s="19"/>
      <c r="U185" s="19" t="s">
        <v>58</v>
      </c>
      <c r="V185" s="18">
        <v>0</v>
      </c>
      <c r="W185" s="17">
        <f t="shared" si="6"/>
        <v>17</v>
      </c>
      <c r="X185" s="5">
        <f t="shared" si="7"/>
        <v>0</v>
      </c>
    </row>
    <row r="186" spans="1:24" x14ac:dyDescent="0.25">
      <c r="A186" s="19">
        <v>26</v>
      </c>
      <c r="B186" s="19" t="s">
        <v>55</v>
      </c>
      <c r="C186" s="19" t="s">
        <v>56</v>
      </c>
      <c r="D186" s="19" t="s">
        <v>289</v>
      </c>
      <c r="E186" s="21">
        <v>46291.72965277778</v>
      </c>
      <c r="F186" s="19">
        <v>2</v>
      </c>
      <c r="G186" s="19">
        <v>74299018060</v>
      </c>
      <c r="H186" s="19">
        <v>1</v>
      </c>
      <c r="I186" s="19">
        <v>899</v>
      </c>
      <c r="J186" s="19">
        <v>-179.8</v>
      </c>
      <c r="K186" s="19">
        <v>0</v>
      </c>
      <c r="L186" s="19">
        <v>-179.8</v>
      </c>
      <c r="M186" s="19">
        <v>719.2</v>
      </c>
      <c r="N186" s="19">
        <v>34.25</v>
      </c>
      <c r="O186" s="19">
        <v>5</v>
      </c>
      <c r="P186" s="19" t="s">
        <v>142</v>
      </c>
      <c r="Q186" s="19">
        <v>50157523</v>
      </c>
      <c r="R186" s="19" t="s">
        <v>57</v>
      </c>
      <c r="S186" s="19">
        <v>50195439</v>
      </c>
      <c r="T186" s="19"/>
      <c r="U186" s="19" t="s">
        <v>58</v>
      </c>
      <c r="V186" s="18">
        <v>0</v>
      </c>
      <c r="W186" s="17">
        <f t="shared" si="6"/>
        <v>17</v>
      </c>
      <c r="X186" s="5">
        <f t="shared" si="7"/>
        <v>0</v>
      </c>
    </row>
    <row r="187" spans="1:24" x14ac:dyDescent="0.25">
      <c r="A187" s="19">
        <v>26</v>
      </c>
      <c r="B187" s="19" t="s">
        <v>55</v>
      </c>
      <c r="C187" s="19" t="s">
        <v>56</v>
      </c>
      <c r="D187" s="19" t="s">
        <v>289</v>
      </c>
      <c r="E187" s="21">
        <v>46291.72965277778</v>
      </c>
      <c r="F187" s="19">
        <v>2</v>
      </c>
      <c r="G187" s="19">
        <v>74299018060</v>
      </c>
      <c r="H187" s="19">
        <v>1</v>
      </c>
      <c r="I187" s="19">
        <v>899</v>
      </c>
      <c r="J187" s="19">
        <v>-179.8</v>
      </c>
      <c r="K187" s="19">
        <v>0</v>
      </c>
      <c r="L187" s="19">
        <v>-179.8</v>
      </c>
      <c r="M187" s="19">
        <v>719.2</v>
      </c>
      <c r="N187" s="19">
        <v>34.25</v>
      </c>
      <c r="O187" s="19">
        <v>5</v>
      </c>
      <c r="P187" s="19" t="s">
        <v>142</v>
      </c>
      <c r="Q187" s="19">
        <v>50157523</v>
      </c>
      <c r="R187" s="19" t="s">
        <v>57</v>
      </c>
      <c r="S187" s="19">
        <v>50195439</v>
      </c>
      <c r="T187" s="19"/>
      <c r="U187" s="19" t="s">
        <v>58</v>
      </c>
      <c r="V187" s="18">
        <v>0</v>
      </c>
      <c r="W187" s="17">
        <f t="shared" si="6"/>
        <v>17</v>
      </c>
      <c r="X187" s="5">
        <f t="shared" si="7"/>
        <v>0</v>
      </c>
    </row>
    <row r="188" spans="1:24" x14ac:dyDescent="0.25">
      <c r="A188" s="19">
        <v>26</v>
      </c>
      <c r="B188" s="19" t="s">
        <v>55</v>
      </c>
      <c r="C188" s="19" t="s">
        <v>56</v>
      </c>
      <c r="D188" s="19" t="s">
        <v>289</v>
      </c>
      <c r="E188" s="21">
        <v>46291.72965277778</v>
      </c>
      <c r="F188" s="19">
        <v>2</v>
      </c>
      <c r="G188" s="19">
        <v>74299018060</v>
      </c>
      <c r="H188" s="19">
        <v>1</v>
      </c>
      <c r="I188" s="19">
        <v>899</v>
      </c>
      <c r="J188" s="19">
        <v>-179.8</v>
      </c>
      <c r="K188" s="19">
        <v>0</v>
      </c>
      <c r="L188" s="19">
        <v>-179.8</v>
      </c>
      <c r="M188" s="19">
        <v>719.2</v>
      </c>
      <c r="N188" s="19">
        <v>34.25</v>
      </c>
      <c r="O188" s="19">
        <v>5</v>
      </c>
      <c r="P188" s="19" t="s">
        <v>142</v>
      </c>
      <c r="Q188" s="19">
        <v>50157523</v>
      </c>
      <c r="R188" s="19" t="s">
        <v>57</v>
      </c>
      <c r="S188" s="19">
        <v>50195439</v>
      </c>
      <c r="T188" s="19"/>
      <c r="U188" s="19" t="s">
        <v>58</v>
      </c>
      <c r="V188" s="18">
        <v>0</v>
      </c>
      <c r="W188" s="17">
        <f t="shared" si="6"/>
        <v>17</v>
      </c>
      <c r="X188" s="5">
        <f t="shared" si="7"/>
        <v>0</v>
      </c>
    </row>
    <row r="189" spans="1:24" x14ac:dyDescent="0.25">
      <c r="A189" s="19">
        <v>26</v>
      </c>
      <c r="B189" s="19" t="s">
        <v>55</v>
      </c>
      <c r="C189" s="19" t="s">
        <v>56</v>
      </c>
      <c r="D189" s="19" t="s">
        <v>289</v>
      </c>
      <c r="E189" s="21">
        <v>46291.72965277778</v>
      </c>
      <c r="F189" s="19">
        <v>2</v>
      </c>
      <c r="G189" s="19">
        <v>74299018060</v>
      </c>
      <c r="H189" s="19">
        <v>1</v>
      </c>
      <c r="I189" s="19">
        <v>899</v>
      </c>
      <c r="J189" s="19">
        <v>-179.8</v>
      </c>
      <c r="K189" s="19">
        <v>0</v>
      </c>
      <c r="L189" s="19">
        <v>-179.8</v>
      </c>
      <c r="M189" s="19">
        <v>719.2</v>
      </c>
      <c r="N189" s="19">
        <v>34.25</v>
      </c>
      <c r="O189" s="19">
        <v>5</v>
      </c>
      <c r="P189" s="19" t="s">
        <v>142</v>
      </c>
      <c r="Q189" s="19">
        <v>50157523</v>
      </c>
      <c r="R189" s="19" t="s">
        <v>57</v>
      </c>
      <c r="S189" s="19">
        <v>50195439</v>
      </c>
      <c r="T189" s="19"/>
      <c r="U189" s="19" t="s">
        <v>58</v>
      </c>
      <c r="V189" s="18">
        <v>0</v>
      </c>
      <c r="W189" s="17">
        <f t="shared" si="6"/>
        <v>17</v>
      </c>
      <c r="X189" s="5">
        <f t="shared" si="7"/>
        <v>0</v>
      </c>
    </row>
    <row r="190" spans="1:24" x14ac:dyDescent="0.25">
      <c r="A190" s="19">
        <v>26</v>
      </c>
      <c r="B190" s="19" t="s">
        <v>55</v>
      </c>
      <c r="C190" s="19" t="s">
        <v>56</v>
      </c>
      <c r="D190" s="19" t="s">
        <v>289</v>
      </c>
      <c r="E190" s="21">
        <v>46291.72965277778</v>
      </c>
      <c r="F190" s="19">
        <v>2</v>
      </c>
      <c r="G190" s="19">
        <v>74299018060</v>
      </c>
      <c r="H190" s="19">
        <v>1</v>
      </c>
      <c r="I190" s="19">
        <v>899</v>
      </c>
      <c r="J190" s="19">
        <v>-179.8</v>
      </c>
      <c r="K190" s="19">
        <v>0</v>
      </c>
      <c r="L190" s="19">
        <v>-179.8</v>
      </c>
      <c r="M190" s="19">
        <v>719.2</v>
      </c>
      <c r="N190" s="19">
        <v>34.25</v>
      </c>
      <c r="O190" s="19">
        <v>5</v>
      </c>
      <c r="P190" s="19" t="s">
        <v>142</v>
      </c>
      <c r="Q190" s="19">
        <v>50157523</v>
      </c>
      <c r="R190" s="19" t="s">
        <v>57</v>
      </c>
      <c r="S190" s="19">
        <v>50195439</v>
      </c>
      <c r="T190" s="19"/>
      <c r="U190" s="19" t="s">
        <v>58</v>
      </c>
      <c r="V190" s="18">
        <v>0</v>
      </c>
      <c r="W190" s="17">
        <f t="shared" si="6"/>
        <v>17</v>
      </c>
      <c r="X190" s="5">
        <f t="shared" si="7"/>
        <v>0</v>
      </c>
    </row>
    <row r="191" spans="1:24" x14ac:dyDescent="0.25">
      <c r="A191" s="19">
        <v>26</v>
      </c>
      <c r="B191" s="19" t="s">
        <v>55</v>
      </c>
      <c r="C191" s="19" t="s">
        <v>56</v>
      </c>
      <c r="D191" s="19" t="s">
        <v>289</v>
      </c>
      <c r="E191" s="21">
        <v>46291.72965277778</v>
      </c>
      <c r="F191" s="19">
        <v>2</v>
      </c>
      <c r="G191" s="19">
        <v>74299018060</v>
      </c>
      <c r="H191" s="19">
        <v>1</v>
      </c>
      <c r="I191" s="19">
        <v>899</v>
      </c>
      <c r="J191" s="19">
        <v>-179.8</v>
      </c>
      <c r="K191" s="19">
        <v>0</v>
      </c>
      <c r="L191" s="19">
        <v>-179.8</v>
      </c>
      <c r="M191" s="19">
        <v>719.2</v>
      </c>
      <c r="N191" s="19">
        <v>34.25</v>
      </c>
      <c r="O191" s="19">
        <v>5</v>
      </c>
      <c r="P191" s="19" t="s">
        <v>142</v>
      </c>
      <c r="Q191" s="19">
        <v>50157523</v>
      </c>
      <c r="R191" s="19" t="s">
        <v>57</v>
      </c>
      <c r="S191" s="19">
        <v>50195439</v>
      </c>
      <c r="T191" s="19"/>
      <c r="U191" s="19" t="s">
        <v>58</v>
      </c>
      <c r="V191" s="18">
        <v>0</v>
      </c>
      <c r="W191" s="17">
        <f t="shared" si="6"/>
        <v>17</v>
      </c>
      <c r="X191" s="5">
        <f t="shared" si="7"/>
        <v>0</v>
      </c>
    </row>
    <row r="192" spans="1:24" x14ac:dyDescent="0.25">
      <c r="A192" s="19">
        <v>26</v>
      </c>
      <c r="B192" s="19" t="s">
        <v>55</v>
      </c>
      <c r="C192" s="19" t="s">
        <v>56</v>
      </c>
      <c r="D192" s="19" t="s">
        <v>289</v>
      </c>
      <c r="E192" s="21">
        <v>46291.72965277778</v>
      </c>
      <c r="F192" s="19">
        <v>2</v>
      </c>
      <c r="G192" s="19">
        <v>74299018060</v>
      </c>
      <c r="H192" s="19">
        <v>1</v>
      </c>
      <c r="I192" s="19">
        <v>899</v>
      </c>
      <c r="J192" s="19">
        <v>-179.8</v>
      </c>
      <c r="K192" s="19">
        <v>0</v>
      </c>
      <c r="L192" s="19">
        <v>-179.8</v>
      </c>
      <c r="M192" s="19">
        <v>719.2</v>
      </c>
      <c r="N192" s="19">
        <v>34.25</v>
      </c>
      <c r="O192" s="19">
        <v>5</v>
      </c>
      <c r="P192" s="19" t="s">
        <v>142</v>
      </c>
      <c r="Q192" s="19">
        <v>50157523</v>
      </c>
      <c r="R192" s="19" t="s">
        <v>57</v>
      </c>
      <c r="S192" s="19">
        <v>50195439</v>
      </c>
      <c r="T192" s="19"/>
      <c r="U192" s="19" t="s">
        <v>58</v>
      </c>
      <c r="V192" s="18">
        <v>0</v>
      </c>
      <c r="W192" s="17">
        <f t="shared" si="6"/>
        <v>17</v>
      </c>
      <c r="X192" s="5">
        <f t="shared" si="7"/>
        <v>0</v>
      </c>
    </row>
    <row r="193" spans="1:24" x14ac:dyDescent="0.25">
      <c r="A193" s="19">
        <v>26</v>
      </c>
      <c r="B193" s="19" t="s">
        <v>55</v>
      </c>
      <c r="C193" s="19" t="s">
        <v>56</v>
      </c>
      <c r="D193" s="19" t="s">
        <v>289</v>
      </c>
      <c r="E193" s="21">
        <v>46291.72965277778</v>
      </c>
      <c r="F193" s="19">
        <v>2</v>
      </c>
      <c r="G193" s="19">
        <v>74299018060</v>
      </c>
      <c r="H193" s="19">
        <v>1</v>
      </c>
      <c r="I193" s="19">
        <v>899</v>
      </c>
      <c r="J193" s="19">
        <v>-179.8</v>
      </c>
      <c r="K193" s="19">
        <v>0</v>
      </c>
      <c r="L193" s="19">
        <v>-179.8</v>
      </c>
      <c r="M193" s="19">
        <v>719.2</v>
      </c>
      <c r="N193" s="19">
        <v>34.25</v>
      </c>
      <c r="O193" s="19">
        <v>5</v>
      </c>
      <c r="P193" s="19" t="s">
        <v>142</v>
      </c>
      <c r="Q193" s="19">
        <v>50157523</v>
      </c>
      <c r="R193" s="19" t="s">
        <v>57</v>
      </c>
      <c r="S193" s="19">
        <v>50195439</v>
      </c>
      <c r="T193" s="19"/>
      <c r="U193" s="19" t="s">
        <v>58</v>
      </c>
      <c r="V193" s="18">
        <v>0</v>
      </c>
      <c r="W193" s="17">
        <f t="shared" si="6"/>
        <v>17</v>
      </c>
      <c r="X193" s="5">
        <f t="shared" si="7"/>
        <v>0</v>
      </c>
    </row>
    <row r="194" spans="1:24" x14ac:dyDescent="0.25">
      <c r="A194" s="19">
        <v>26</v>
      </c>
      <c r="B194" s="19" t="s">
        <v>55</v>
      </c>
      <c r="C194" s="19" t="s">
        <v>56</v>
      </c>
      <c r="D194" s="19" t="s">
        <v>289</v>
      </c>
      <c r="E194" s="21">
        <v>46291.72965277778</v>
      </c>
      <c r="F194" s="19">
        <v>2</v>
      </c>
      <c r="G194" s="19">
        <v>74299018060</v>
      </c>
      <c r="H194" s="19">
        <v>1</v>
      </c>
      <c r="I194" s="19">
        <v>899</v>
      </c>
      <c r="J194" s="19">
        <v>-179.8</v>
      </c>
      <c r="K194" s="19">
        <v>0</v>
      </c>
      <c r="L194" s="19">
        <v>-179.8</v>
      </c>
      <c r="M194" s="19">
        <v>719.2</v>
      </c>
      <c r="N194" s="19">
        <v>34.25</v>
      </c>
      <c r="O194" s="19">
        <v>5</v>
      </c>
      <c r="P194" s="19" t="s">
        <v>142</v>
      </c>
      <c r="Q194" s="19">
        <v>50157523</v>
      </c>
      <c r="R194" s="19" t="s">
        <v>57</v>
      </c>
      <c r="S194" s="19">
        <v>50195439</v>
      </c>
      <c r="T194" s="19"/>
      <c r="U194" s="19" t="s">
        <v>58</v>
      </c>
      <c r="V194" s="18">
        <v>0</v>
      </c>
      <c r="W194" s="17">
        <f t="shared" si="6"/>
        <v>17</v>
      </c>
      <c r="X194" s="5">
        <f t="shared" si="7"/>
        <v>0</v>
      </c>
    </row>
    <row r="195" spans="1:24" x14ac:dyDescent="0.25">
      <c r="A195" s="19">
        <v>26</v>
      </c>
      <c r="B195" s="19" t="s">
        <v>55</v>
      </c>
      <c r="C195" s="19" t="s">
        <v>56</v>
      </c>
      <c r="D195" s="19" t="s">
        <v>289</v>
      </c>
      <c r="E195" s="21">
        <v>46291.72965277778</v>
      </c>
      <c r="F195" s="19">
        <v>2</v>
      </c>
      <c r="G195" s="19">
        <v>74299018060</v>
      </c>
      <c r="H195" s="19">
        <v>1</v>
      </c>
      <c r="I195" s="19">
        <v>899</v>
      </c>
      <c r="J195" s="19">
        <v>-179.8</v>
      </c>
      <c r="K195" s="19">
        <v>0</v>
      </c>
      <c r="L195" s="19">
        <v>-179.8</v>
      </c>
      <c r="M195" s="19">
        <v>719.2</v>
      </c>
      <c r="N195" s="19">
        <v>34.25</v>
      </c>
      <c r="O195" s="19">
        <v>5</v>
      </c>
      <c r="P195" s="19" t="s">
        <v>142</v>
      </c>
      <c r="Q195" s="19">
        <v>50157523</v>
      </c>
      <c r="R195" s="19" t="s">
        <v>57</v>
      </c>
      <c r="S195" s="19">
        <v>50195439</v>
      </c>
      <c r="T195" s="19"/>
      <c r="U195" s="19" t="s">
        <v>58</v>
      </c>
      <c r="V195" s="18">
        <v>0</v>
      </c>
      <c r="W195" s="17">
        <f t="shared" ref="W195:W258" si="8">HOUR(E195)</f>
        <v>17</v>
      </c>
      <c r="X195" s="5">
        <f t="shared" ref="X195:X258" si="9">IF(D195=D194,0,1)</f>
        <v>0</v>
      </c>
    </row>
    <row r="196" spans="1:24" x14ac:dyDescent="0.25">
      <c r="A196" s="19">
        <v>26</v>
      </c>
      <c r="B196" s="19" t="s">
        <v>55</v>
      </c>
      <c r="C196" s="19" t="s">
        <v>56</v>
      </c>
      <c r="D196" s="19" t="s">
        <v>289</v>
      </c>
      <c r="E196" s="21">
        <v>46291.72965277778</v>
      </c>
      <c r="F196" s="19">
        <v>2</v>
      </c>
      <c r="G196" s="19">
        <v>74299018060</v>
      </c>
      <c r="H196" s="19">
        <v>1</v>
      </c>
      <c r="I196" s="19">
        <v>899</v>
      </c>
      <c r="J196" s="19">
        <v>-179.8</v>
      </c>
      <c r="K196" s="19">
        <v>0</v>
      </c>
      <c r="L196" s="19">
        <v>-179.8</v>
      </c>
      <c r="M196" s="19">
        <v>719.2</v>
      </c>
      <c r="N196" s="19">
        <v>34.25</v>
      </c>
      <c r="O196" s="19">
        <v>5</v>
      </c>
      <c r="P196" s="19" t="s">
        <v>142</v>
      </c>
      <c r="Q196" s="19">
        <v>50157523</v>
      </c>
      <c r="R196" s="19" t="s">
        <v>57</v>
      </c>
      <c r="S196" s="19">
        <v>50195439</v>
      </c>
      <c r="T196" s="19"/>
      <c r="U196" s="19" t="s">
        <v>58</v>
      </c>
      <c r="V196" s="18">
        <v>0</v>
      </c>
      <c r="W196" s="17">
        <f t="shared" si="8"/>
        <v>17</v>
      </c>
      <c r="X196" s="5">
        <f t="shared" si="9"/>
        <v>0</v>
      </c>
    </row>
    <row r="197" spans="1:24" x14ac:dyDescent="0.25">
      <c r="A197" s="19">
        <v>26</v>
      </c>
      <c r="B197" s="19" t="s">
        <v>55</v>
      </c>
      <c r="C197" s="19" t="s">
        <v>56</v>
      </c>
      <c r="D197" s="19" t="s">
        <v>289</v>
      </c>
      <c r="E197" s="21">
        <v>46291.72965277778</v>
      </c>
      <c r="F197" s="19">
        <v>2</v>
      </c>
      <c r="G197" s="19">
        <v>74299018060</v>
      </c>
      <c r="H197" s="19">
        <v>1</v>
      </c>
      <c r="I197" s="19">
        <v>899</v>
      </c>
      <c r="J197" s="19">
        <v>-179.8</v>
      </c>
      <c r="K197" s="19">
        <v>0</v>
      </c>
      <c r="L197" s="19">
        <v>-179.8</v>
      </c>
      <c r="M197" s="19">
        <v>719.2</v>
      </c>
      <c r="N197" s="19">
        <v>34.25</v>
      </c>
      <c r="O197" s="19">
        <v>5</v>
      </c>
      <c r="P197" s="19" t="s">
        <v>142</v>
      </c>
      <c r="Q197" s="19">
        <v>50157523</v>
      </c>
      <c r="R197" s="19" t="s">
        <v>57</v>
      </c>
      <c r="S197" s="19">
        <v>50195439</v>
      </c>
      <c r="T197" s="19"/>
      <c r="U197" s="19" t="s">
        <v>58</v>
      </c>
      <c r="V197" s="18">
        <v>0</v>
      </c>
      <c r="W197" s="17">
        <f t="shared" si="8"/>
        <v>17</v>
      </c>
      <c r="X197" s="5">
        <f t="shared" si="9"/>
        <v>0</v>
      </c>
    </row>
    <row r="198" spans="1:24" x14ac:dyDescent="0.25">
      <c r="A198" s="19">
        <v>26</v>
      </c>
      <c r="B198" s="19" t="s">
        <v>55</v>
      </c>
      <c r="C198" s="19" t="s">
        <v>56</v>
      </c>
      <c r="D198" s="19" t="s">
        <v>289</v>
      </c>
      <c r="E198" s="21">
        <v>46291.72965277778</v>
      </c>
      <c r="F198" s="19">
        <v>2</v>
      </c>
      <c r="G198" s="19">
        <v>74299018060</v>
      </c>
      <c r="H198" s="19">
        <v>1</v>
      </c>
      <c r="I198" s="19">
        <v>899</v>
      </c>
      <c r="J198" s="19">
        <v>-179.8</v>
      </c>
      <c r="K198" s="19">
        <v>0</v>
      </c>
      <c r="L198" s="19">
        <v>-179.8</v>
      </c>
      <c r="M198" s="19">
        <v>719.2</v>
      </c>
      <c r="N198" s="19">
        <v>34.25</v>
      </c>
      <c r="O198" s="19">
        <v>5</v>
      </c>
      <c r="P198" s="19" t="s">
        <v>142</v>
      </c>
      <c r="Q198" s="19">
        <v>50157523</v>
      </c>
      <c r="R198" s="19" t="s">
        <v>57</v>
      </c>
      <c r="S198" s="19">
        <v>50195439</v>
      </c>
      <c r="T198" s="19"/>
      <c r="U198" s="19" t="s">
        <v>58</v>
      </c>
      <c r="V198" s="18">
        <v>0</v>
      </c>
      <c r="W198" s="17">
        <f t="shared" si="8"/>
        <v>17</v>
      </c>
      <c r="X198" s="5">
        <f t="shared" si="9"/>
        <v>0</v>
      </c>
    </row>
    <row r="199" spans="1:24" x14ac:dyDescent="0.25">
      <c r="A199" s="19">
        <v>26</v>
      </c>
      <c r="B199" s="19" t="s">
        <v>55</v>
      </c>
      <c r="C199" s="19" t="s">
        <v>56</v>
      </c>
      <c r="D199" s="19" t="s">
        <v>289</v>
      </c>
      <c r="E199" s="21">
        <v>46291.72965277778</v>
      </c>
      <c r="F199" s="19">
        <v>2</v>
      </c>
      <c r="G199" s="19">
        <v>74299018060</v>
      </c>
      <c r="H199" s="19">
        <v>1</v>
      </c>
      <c r="I199" s="19">
        <v>899</v>
      </c>
      <c r="J199" s="19">
        <v>-179.8</v>
      </c>
      <c r="K199" s="19">
        <v>0</v>
      </c>
      <c r="L199" s="19">
        <v>-179.8</v>
      </c>
      <c r="M199" s="19">
        <v>719.2</v>
      </c>
      <c r="N199" s="19">
        <v>34.25</v>
      </c>
      <c r="O199" s="19">
        <v>5</v>
      </c>
      <c r="P199" s="19" t="s">
        <v>142</v>
      </c>
      <c r="Q199" s="19">
        <v>50157523</v>
      </c>
      <c r="R199" s="19" t="s">
        <v>57</v>
      </c>
      <c r="S199" s="19">
        <v>50195439</v>
      </c>
      <c r="T199" s="19"/>
      <c r="U199" s="19" t="s">
        <v>58</v>
      </c>
      <c r="V199" s="18">
        <v>0</v>
      </c>
      <c r="W199" s="17">
        <f t="shared" si="8"/>
        <v>17</v>
      </c>
      <c r="X199" s="5">
        <f t="shared" si="9"/>
        <v>0</v>
      </c>
    </row>
    <row r="200" spans="1:24" x14ac:dyDescent="0.25">
      <c r="A200" s="19">
        <v>26</v>
      </c>
      <c r="B200" s="19" t="s">
        <v>55</v>
      </c>
      <c r="C200" s="19" t="s">
        <v>56</v>
      </c>
      <c r="D200" s="19" t="s">
        <v>289</v>
      </c>
      <c r="E200" s="21">
        <v>46291.72965277778</v>
      </c>
      <c r="F200" s="19">
        <v>2</v>
      </c>
      <c r="G200" s="19">
        <v>74299018060</v>
      </c>
      <c r="H200" s="19">
        <v>1</v>
      </c>
      <c r="I200" s="19">
        <v>899</v>
      </c>
      <c r="J200" s="19">
        <v>-179.8</v>
      </c>
      <c r="K200" s="19">
        <v>0</v>
      </c>
      <c r="L200" s="19">
        <v>-179.8</v>
      </c>
      <c r="M200" s="19">
        <v>719.2</v>
      </c>
      <c r="N200" s="19">
        <v>34.25</v>
      </c>
      <c r="O200" s="19">
        <v>5</v>
      </c>
      <c r="P200" s="19" t="s">
        <v>142</v>
      </c>
      <c r="Q200" s="19">
        <v>50157523</v>
      </c>
      <c r="R200" s="19" t="s">
        <v>57</v>
      </c>
      <c r="S200" s="19">
        <v>50195439</v>
      </c>
      <c r="T200" s="19"/>
      <c r="U200" s="19" t="s">
        <v>58</v>
      </c>
      <c r="V200" s="18">
        <v>0</v>
      </c>
      <c r="W200" s="17">
        <f t="shared" si="8"/>
        <v>17</v>
      </c>
      <c r="X200" s="5">
        <f t="shared" si="9"/>
        <v>0</v>
      </c>
    </row>
    <row r="201" spans="1:24" x14ac:dyDescent="0.25">
      <c r="A201" s="19">
        <v>26</v>
      </c>
      <c r="B201" s="19" t="s">
        <v>55</v>
      </c>
      <c r="C201" s="19" t="s">
        <v>56</v>
      </c>
      <c r="D201" s="19" t="s">
        <v>289</v>
      </c>
      <c r="E201" s="21">
        <v>46291.72965277778</v>
      </c>
      <c r="F201" s="19">
        <v>2</v>
      </c>
      <c r="G201" s="19">
        <v>74299018060</v>
      </c>
      <c r="H201" s="19">
        <v>1</v>
      </c>
      <c r="I201" s="19">
        <v>899</v>
      </c>
      <c r="J201" s="19">
        <v>-179.8</v>
      </c>
      <c r="K201" s="19">
        <v>0</v>
      </c>
      <c r="L201" s="19">
        <v>-179.8</v>
      </c>
      <c r="M201" s="19">
        <v>719.2</v>
      </c>
      <c r="N201" s="19">
        <v>34.25</v>
      </c>
      <c r="O201" s="19">
        <v>5</v>
      </c>
      <c r="P201" s="19" t="s">
        <v>142</v>
      </c>
      <c r="Q201" s="19">
        <v>50157523</v>
      </c>
      <c r="R201" s="19" t="s">
        <v>57</v>
      </c>
      <c r="S201" s="19">
        <v>50195439</v>
      </c>
      <c r="T201" s="19"/>
      <c r="U201" s="19" t="s">
        <v>58</v>
      </c>
      <c r="V201" s="18">
        <v>0</v>
      </c>
      <c r="W201" s="17">
        <f t="shared" si="8"/>
        <v>17</v>
      </c>
      <c r="X201" s="5">
        <f t="shared" si="9"/>
        <v>0</v>
      </c>
    </row>
    <row r="202" spans="1:24" x14ac:dyDescent="0.25">
      <c r="A202" s="19">
        <v>26</v>
      </c>
      <c r="B202" s="19" t="s">
        <v>55</v>
      </c>
      <c r="C202" s="19" t="s">
        <v>56</v>
      </c>
      <c r="D202" s="19" t="s">
        <v>289</v>
      </c>
      <c r="E202" s="21">
        <v>46291.72965277778</v>
      </c>
      <c r="F202" s="19">
        <v>2</v>
      </c>
      <c r="G202" s="19">
        <v>74299018060</v>
      </c>
      <c r="H202" s="19">
        <v>1</v>
      </c>
      <c r="I202" s="19">
        <v>899</v>
      </c>
      <c r="J202" s="19">
        <v>-179.8</v>
      </c>
      <c r="K202" s="19">
        <v>0</v>
      </c>
      <c r="L202" s="19">
        <v>-179.8</v>
      </c>
      <c r="M202" s="19">
        <v>719.2</v>
      </c>
      <c r="N202" s="19">
        <v>34.25</v>
      </c>
      <c r="O202" s="19">
        <v>5</v>
      </c>
      <c r="P202" s="19" t="s">
        <v>142</v>
      </c>
      <c r="Q202" s="19">
        <v>50157523</v>
      </c>
      <c r="R202" s="19" t="s">
        <v>57</v>
      </c>
      <c r="S202" s="19">
        <v>50195439</v>
      </c>
      <c r="T202" s="19"/>
      <c r="U202" s="19" t="s">
        <v>58</v>
      </c>
      <c r="V202" s="18">
        <v>0</v>
      </c>
      <c r="W202" s="17">
        <f t="shared" si="8"/>
        <v>17</v>
      </c>
      <c r="X202" s="5">
        <f t="shared" si="9"/>
        <v>0</v>
      </c>
    </row>
    <row r="203" spans="1:24" x14ac:dyDescent="0.25">
      <c r="A203" s="19">
        <v>26</v>
      </c>
      <c r="B203" s="19" t="s">
        <v>55</v>
      </c>
      <c r="C203" s="19" t="s">
        <v>56</v>
      </c>
      <c r="D203" s="19" t="s">
        <v>289</v>
      </c>
      <c r="E203" s="21">
        <v>46291.72965277778</v>
      </c>
      <c r="F203" s="19">
        <v>2</v>
      </c>
      <c r="G203" s="19">
        <v>74299018060</v>
      </c>
      <c r="H203" s="19">
        <v>1</v>
      </c>
      <c r="I203" s="19">
        <v>899</v>
      </c>
      <c r="J203" s="19">
        <v>-179.8</v>
      </c>
      <c r="K203" s="19">
        <v>0</v>
      </c>
      <c r="L203" s="19">
        <v>-179.8</v>
      </c>
      <c r="M203" s="19">
        <v>719.2</v>
      </c>
      <c r="N203" s="19">
        <v>34.25</v>
      </c>
      <c r="O203" s="19">
        <v>5</v>
      </c>
      <c r="P203" s="19" t="s">
        <v>142</v>
      </c>
      <c r="Q203" s="19">
        <v>50157523</v>
      </c>
      <c r="R203" s="19" t="s">
        <v>57</v>
      </c>
      <c r="S203" s="19">
        <v>50195439</v>
      </c>
      <c r="T203" s="19"/>
      <c r="U203" s="19" t="s">
        <v>58</v>
      </c>
      <c r="V203" s="18">
        <v>0</v>
      </c>
      <c r="W203" s="17">
        <f t="shared" si="8"/>
        <v>17</v>
      </c>
      <c r="X203" s="5">
        <f t="shared" si="9"/>
        <v>0</v>
      </c>
    </row>
    <row r="204" spans="1:24" x14ac:dyDescent="0.25">
      <c r="A204" s="19">
        <v>26</v>
      </c>
      <c r="B204" s="19" t="s">
        <v>55</v>
      </c>
      <c r="C204" s="19" t="s">
        <v>56</v>
      </c>
      <c r="D204" s="19" t="s">
        <v>289</v>
      </c>
      <c r="E204" s="21">
        <v>46291.72965277778</v>
      </c>
      <c r="F204" s="19">
        <v>2</v>
      </c>
      <c r="G204" s="19">
        <v>74299018060</v>
      </c>
      <c r="H204" s="19">
        <v>1</v>
      </c>
      <c r="I204" s="19">
        <v>899</v>
      </c>
      <c r="J204" s="19">
        <v>-179.8</v>
      </c>
      <c r="K204" s="19">
        <v>0</v>
      </c>
      <c r="L204" s="19">
        <v>-179.8</v>
      </c>
      <c r="M204" s="19">
        <v>719.2</v>
      </c>
      <c r="N204" s="19">
        <v>34.25</v>
      </c>
      <c r="O204" s="19">
        <v>5</v>
      </c>
      <c r="P204" s="19" t="s">
        <v>142</v>
      </c>
      <c r="Q204" s="19">
        <v>50157523</v>
      </c>
      <c r="R204" s="19" t="s">
        <v>57</v>
      </c>
      <c r="S204" s="19">
        <v>50195439</v>
      </c>
      <c r="T204" s="19"/>
      <c r="U204" s="19" t="s">
        <v>58</v>
      </c>
      <c r="V204" s="18">
        <v>0</v>
      </c>
      <c r="W204" s="17">
        <f t="shared" si="8"/>
        <v>17</v>
      </c>
      <c r="X204" s="5">
        <f t="shared" si="9"/>
        <v>0</v>
      </c>
    </row>
    <row r="205" spans="1:24" x14ac:dyDescent="0.25">
      <c r="A205" s="19">
        <v>26</v>
      </c>
      <c r="B205" s="19" t="s">
        <v>55</v>
      </c>
      <c r="C205" s="19" t="s">
        <v>56</v>
      </c>
      <c r="D205" s="19" t="s">
        <v>289</v>
      </c>
      <c r="E205" s="21">
        <v>46291.72965277778</v>
      </c>
      <c r="F205" s="19">
        <v>2</v>
      </c>
      <c r="G205" s="19">
        <v>74299018060</v>
      </c>
      <c r="H205" s="19">
        <v>1</v>
      </c>
      <c r="I205" s="19">
        <v>899</v>
      </c>
      <c r="J205" s="19">
        <v>-179.8</v>
      </c>
      <c r="K205" s="19">
        <v>0</v>
      </c>
      <c r="L205" s="19">
        <v>-179.8</v>
      </c>
      <c r="M205" s="19">
        <v>719.2</v>
      </c>
      <c r="N205" s="19">
        <v>34.25</v>
      </c>
      <c r="O205" s="19">
        <v>5</v>
      </c>
      <c r="P205" s="19" t="s">
        <v>142</v>
      </c>
      <c r="Q205" s="19">
        <v>50157523</v>
      </c>
      <c r="R205" s="19" t="s">
        <v>57</v>
      </c>
      <c r="S205" s="19">
        <v>50195439</v>
      </c>
      <c r="T205" s="19"/>
      <c r="U205" s="19" t="s">
        <v>58</v>
      </c>
      <c r="V205" s="18">
        <v>0</v>
      </c>
      <c r="W205" s="17">
        <f t="shared" si="8"/>
        <v>17</v>
      </c>
      <c r="X205" s="5">
        <f t="shared" si="9"/>
        <v>0</v>
      </c>
    </row>
    <row r="206" spans="1:24" x14ac:dyDescent="0.25">
      <c r="A206" s="19">
        <v>26</v>
      </c>
      <c r="B206" s="19" t="s">
        <v>55</v>
      </c>
      <c r="C206" s="19" t="s">
        <v>56</v>
      </c>
      <c r="D206" s="19" t="s">
        <v>289</v>
      </c>
      <c r="E206" s="21">
        <v>46291.72965277778</v>
      </c>
      <c r="F206" s="19">
        <v>2</v>
      </c>
      <c r="G206" s="19">
        <v>74299018060</v>
      </c>
      <c r="H206" s="19">
        <v>1</v>
      </c>
      <c r="I206" s="19">
        <v>899</v>
      </c>
      <c r="J206" s="19">
        <v>-179.8</v>
      </c>
      <c r="K206" s="19">
        <v>0</v>
      </c>
      <c r="L206" s="19">
        <v>-179.8</v>
      </c>
      <c r="M206" s="19">
        <v>719.2</v>
      </c>
      <c r="N206" s="19">
        <v>34.25</v>
      </c>
      <c r="O206" s="19">
        <v>5</v>
      </c>
      <c r="P206" s="19" t="s">
        <v>142</v>
      </c>
      <c r="Q206" s="19">
        <v>50157523</v>
      </c>
      <c r="R206" s="19" t="s">
        <v>57</v>
      </c>
      <c r="S206" s="19">
        <v>50195439</v>
      </c>
      <c r="T206" s="19"/>
      <c r="U206" s="19" t="s">
        <v>58</v>
      </c>
      <c r="V206" s="18">
        <v>0</v>
      </c>
      <c r="W206" s="17">
        <f t="shared" si="8"/>
        <v>17</v>
      </c>
      <c r="X206" s="5">
        <f t="shared" si="9"/>
        <v>0</v>
      </c>
    </row>
    <row r="207" spans="1:24" x14ac:dyDescent="0.25">
      <c r="A207" s="19">
        <v>26</v>
      </c>
      <c r="B207" s="19" t="s">
        <v>55</v>
      </c>
      <c r="C207" s="19" t="s">
        <v>56</v>
      </c>
      <c r="D207" s="19" t="s">
        <v>289</v>
      </c>
      <c r="E207" s="21">
        <v>46291.72965277778</v>
      </c>
      <c r="F207" s="19">
        <v>2</v>
      </c>
      <c r="G207" s="19">
        <v>74299018060</v>
      </c>
      <c r="H207" s="19">
        <v>1</v>
      </c>
      <c r="I207" s="19">
        <v>899</v>
      </c>
      <c r="J207" s="19">
        <v>-179.8</v>
      </c>
      <c r="K207" s="19">
        <v>0</v>
      </c>
      <c r="L207" s="19">
        <v>-179.8</v>
      </c>
      <c r="M207" s="19">
        <v>719.2</v>
      </c>
      <c r="N207" s="19">
        <v>34.25</v>
      </c>
      <c r="O207" s="19">
        <v>5</v>
      </c>
      <c r="P207" s="19" t="s">
        <v>142</v>
      </c>
      <c r="Q207" s="19">
        <v>50157523</v>
      </c>
      <c r="R207" s="19" t="s">
        <v>57</v>
      </c>
      <c r="S207" s="19">
        <v>50195439</v>
      </c>
      <c r="T207" s="19"/>
      <c r="U207" s="19" t="s">
        <v>58</v>
      </c>
      <c r="V207" s="18">
        <v>0</v>
      </c>
      <c r="W207" s="17">
        <f t="shared" si="8"/>
        <v>17</v>
      </c>
      <c r="X207" s="5">
        <f t="shared" si="9"/>
        <v>0</v>
      </c>
    </row>
    <row r="208" spans="1:24" x14ac:dyDescent="0.25">
      <c r="A208" s="19">
        <v>26</v>
      </c>
      <c r="B208" s="19" t="s">
        <v>55</v>
      </c>
      <c r="C208" s="19" t="s">
        <v>56</v>
      </c>
      <c r="D208" s="19" t="s">
        <v>289</v>
      </c>
      <c r="E208" s="21">
        <v>46291.72965277778</v>
      </c>
      <c r="F208" s="19">
        <v>2</v>
      </c>
      <c r="G208" s="19">
        <v>74299018060</v>
      </c>
      <c r="H208" s="19">
        <v>1</v>
      </c>
      <c r="I208" s="19">
        <v>899</v>
      </c>
      <c r="J208" s="19">
        <v>-179.8</v>
      </c>
      <c r="K208" s="19">
        <v>0</v>
      </c>
      <c r="L208" s="19">
        <v>-179.8</v>
      </c>
      <c r="M208" s="19">
        <v>719.2</v>
      </c>
      <c r="N208" s="19">
        <v>34.25</v>
      </c>
      <c r="O208" s="19">
        <v>5</v>
      </c>
      <c r="P208" s="19" t="s">
        <v>142</v>
      </c>
      <c r="Q208" s="19">
        <v>50157523</v>
      </c>
      <c r="R208" s="19" t="s">
        <v>57</v>
      </c>
      <c r="S208" s="19">
        <v>50195439</v>
      </c>
      <c r="T208" s="19"/>
      <c r="U208" s="19" t="s">
        <v>58</v>
      </c>
      <c r="V208" s="18">
        <v>0</v>
      </c>
      <c r="W208" s="17">
        <f t="shared" si="8"/>
        <v>17</v>
      </c>
      <c r="X208" s="5">
        <f t="shared" si="9"/>
        <v>0</v>
      </c>
    </row>
    <row r="209" spans="1:24" x14ac:dyDescent="0.25">
      <c r="A209" s="19">
        <v>26</v>
      </c>
      <c r="B209" s="19" t="s">
        <v>55</v>
      </c>
      <c r="C209" s="19" t="s">
        <v>56</v>
      </c>
      <c r="D209" s="19" t="s">
        <v>289</v>
      </c>
      <c r="E209" s="21">
        <v>46291.72965277778</v>
      </c>
      <c r="F209" s="19">
        <v>2</v>
      </c>
      <c r="G209" s="19">
        <v>74299018060</v>
      </c>
      <c r="H209" s="19">
        <v>1</v>
      </c>
      <c r="I209" s="19">
        <v>899</v>
      </c>
      <c r="J209" s="19">
        <v>-179.8</v>
      </c>
      <c r="K209" s="19">
        <v>0</v>
      </c>
      <c r="L209" s="19">
        <v>-179.8</v>
      </c>
      <c r="M209" s="19">
        <v>719.2</v>
      </c>
      <c r="N209" s="19">
        <v>34.25</v>
      </c>
      <c r="O209" s="19">
        <v>5</v>
      </c>
      <c r="P209" s="19" t="s">
        <v>142</v>
      </c>
      <c r="Q209" s="19">
        <v>50157523</v>
      </c>
      <c r="R209" s="19" t="s">
        <v>57</v>
      </c>
      <c r="S209" s="19">
        <v>50195439</v>
      </c>
      <c r="T209" s="19"/>
      <c r="U209" s="19" t="s">
        <v>58</v>
      </c>
      <c r="V209" s="18">
        <v>0</v>
      </c>
      <c r="W209" s="17">
        <f t="shared" si="8"/>
        <v>17</v>
      </c>
      <c r="X209" s="5">
        <f t="shared" si="9"/>
        <v>0</v>
      </c>
    </row>
    <row r="210" spans="1:24" x14ac:dyDescent="0.25">
      <c r="A210" s="19">
        <v>26</v>
      </c>
      <c r="B210" s="19" t="s">
        <v>55</v>
      </c>
      <c r="C210" s="19" t="s">
        <v>56</v>
      </c>
      <c r="D210" s="19" t="s">
        <v>289</v>
      </c>
      <c r="E210" s="21">
        <v>46291.72965277778</v>
      </c>
      <c r="F210" s="19">
        <v>2</v>
      </c>
      <c r="G210" s="19">
        <v>74299018060</v>
      </c>
      <c r="H210" s="19">
        <v>1</v>
      </c>
      <c r="I210" s="19">
        <v>899</v>
      </c>
      <c r="J210" s="19">
        <v>-179.8</v>
      </c>
      <c r="K210" s="19">
        <v>0</v>
      </c>
      <c r="L210" s="19">
        <v>-179.8</v>
      </c>
      <c r="M210" s="19">
        <v>719.2</v>
      </c>
      <c r="N210" s="19">
        <v>34.25</v>
      </c>
      <c r="O210" s="19">
        <v>5</v>
      </c>
      <c r="P210" s="19" t="s">
        <v>142</v>
      </c>
      <c r="Q210" s="19">
        <v>50157523</v>
      </c>
      <c r="R210" s="19" t="s">
        <v>57</v>
      </c>
      <c r="S210" s="19">
        <v>50195439</v>
      </c>
      <c r="T210" s="19"/>
      <c r="U210" s="19" t="s">
        <v>58</v>
      </c>
      <c r="V210" s="18">
        <v>0</v>
      </c>
      <c r="W210" s="17">
        <f t="shared" si="8"/>
        <v>17</v>
      </c>
      <c r="X210" s="5">
        <f t="shared" si="9"/>
        <v>0</v>
      </c>
    </row>
    <row r="211" spans="1:24" x14ac:dyDescent="0.25">
      <c r="A211" s="19">
        <v>26</v>
      </c>
      <c r="B211" s="19" t="s">
        <v>55</v>
      </c>
      <c r="C211" s="19" t="s">
        <v>56</v>
      </c>
      <c r="D211" s="19" t="s">
        <v>289</v>
      </c>
      <c r="E211" s="21">
        <v>46291.72965277778</v>
      </c>
      <c r="F211" s="19">
        <v>2</v>
      </c>
      <c r="G211" s="19">
        <v>74299018060</v>
      </c>
      <c r="H211" s="19">
        <v>1</v>
      </c>
      <c r="I211" s="19">
        <v>899</v>
      </c>
      <c r="J211" s="19">
        <v>-179.8</v>
      </c>
      <c r="K211" s="19">
        <v>0</v>
      </c>
      <c r="L211" s="19">
        <v>-179.8</v>
      </c>
      <c r="M211" s="19">
        <v>719.2</v>
      </c>
      <c r="N211" s="19">
        <v>34.25</v>
      </c>
      <c r="O211" s="19">
        <v>5</v>
      </c>
      <c r="P211" s="19" t="s">
        <v>142</v>
      </c>
      <c r="Q211" s="19">
        <v>50157523</v>
      </c>
      <c r="R211" s="19" t="s">
        <v>57</v>
      </c>
      <c r="S211" s="19">
        <v>50195439</v>
      </c>
      <c r="T211" s="19"/>
      <c r="U211" s="19" t="s">
        <v>58</v>
      </c>
      <c r="V211" s="18">
        <v>0</v>
      </c>
      <c r="W211" s="17">
        <f t="shared" si="8"/>
        <v>17</v>
      </c>
      <c r="X211" s="5">
        <f t="shared" si="9"/>
        <v>0</v>
      </c>
    </row>
    <row r="212" spans="1:24" x14ac:dyDescent="0.25">
      <c r="A212" s="19">
        <v>26</v>
      </c>
      <c r="B212" s="19" t="s">
        <v>55</v>
      </c>
      <c r="C212" s="19" t="s">
        <v>56</v>
      </c>
      <c r="D212" s="19" t="s">
        <v>289</v>
      </c>
      <c r="E212" s="21">
        <v>46291.72965277778</v>
      </c>
      <c r="F212" s="19">
        <v>2</v>
      </c>
      <c r="G212" s="19">
        <v>74299018060</v>
      </c>
      <c r="H212" s="19">
        <v>1</v>
      </c>
      <c r="I212" s="19">
        <v>899</v>
      </c>
      <c r="J212" s="19">
        <v>-179.8</v>
      </c>
      <c r="K212" s="19">
        <v>0</v>
      </c>
      <c r="L212" s="19">
        <v>-179.8</v>
      </c>
      <c r="M212" s="19">
        <v>719.2</v>
      </c>
      <c r="N212" s="19">
        <v>34.25</v>
      </c>
      <c r="O212" s="19">
        <v>5</v>
      </c>
      <c r="P212" s="19" t="s">
        <v>142</v>
      </c>
      <c r="Q212" s="19">
        <v>50157523</v>
      </c>
      <c r="R212" s="19" t="s">
        <v>57</v>
      </c>
      <c r="S212" s="19">
        <v>50195439</v>
      </c>
      <c r="T212" s="19"/>
      <c r="U212" s="19" t="s">
        <v>58</v>
      </c>
      <c r="V212" s="18">
        <v>0</v>
      </c>
      <c r="W212" s="17">
        <f t="shared" si="8"/>
        <v>17</v>
      </c>
      <c r="X212" s="5">
        <f t="shared" si="9"/>
        <v>0</v>
      </c>
    </row>
    <row r="213" spans="1:24" x14ac:dyDescent="0.25">
      <c r="A213" s="19">
        <v>26</v>
      </c>
      <c r="B213" s="19" t="s">
        <v>55</v>
      </c>
      <c r="C213" s="19" t="s">
        <v>56</v>
      </c>
      <c r="D213" s="19" t="s">
        <v>289</v>
      </c>
      <c r="E213" s="21">
        <v>46291.72965277778</v>
      </c>
      <c r="F213" s="19">
        <v>2</v>
      </c>
      <c r="G213" s="19">
        <v>74299018060</v>
      </c>
      <c r="H213" s="19">
        <v>1</v>
      </c>
      <c r="I213" s="19">
        <v>899</v>
      </c>
      <c r="J213" s="19">
        <v>-179.8</v>
      </c>
      <c r="K213" s="19">
        <v>0</v>
      </c>
      <c r="L213" s="19">
        <v>-179.8</v>
      </c>
      <c r="M213" s="19">
        <v>719.2</v>
      </c>
      <c r="N213" s="19">
        <v>34.25</v>
      </c>
      <c r="O213" s="19">
        <v>5</v>
      </c>
      <c r="P213" s="19" t="s">
        <v>142</v>
      </c>
      <c r="Q213" s="19">
        <v>50157523</v>
      </c>
      <c r="R213" s="19" t="s">
        <v>57</v>
      </c>
      <c r="S213" s="19">
        <v>50195439</v>
      </c>
      <c r="T213" s="19"/>
      <c r="U213" s="19" t="s">
        <v>58</v>
      </c>
      <c r="V213" s="18">
        <v>0</v>
      </c>
      <c r="W213" s="17">
        <f t="shared" si="8"/>
        <v>17</v>
      </c>
      <c r="X213" s="5">
        <f t="shared" si="9"/>
        <v>0</v>
      </c>
    </row>
    <row r="214" spans="1:24" x14ac:dyDescent="0.25">
      <c r="A214" s="19">
        <v>26</v>
      </c>
      <c r="B214" s="19" t="s">
        <v>55</v>
      </c>
      <c r="C214" s="19" t="s">
        <v>56</v>
      </c>
      <c r="D214" s="19" t="s">
        <v>289</v>
      </c>
      <c r="E214" s="21">
        <v>46291.72965277778</v>
      </c>
      <c r="F214" s="19">
        <v>2</v>
      </c>
      <c r="G214" s="19">
        <v>74299018060</v>
      </c>
      <c r="H214" s="19">
        <v>1</v>
      </c>
      <c r="I214" s="19">
        <v>899</v>
      </c>
      <c r="J214" s="19">
        <v>-179.8</v>
      </c>
      <c r="K214" s="19">
        <v>0</v>
      </c>
      <c r="L214" s="19">
        <v>-179.8</v>
      </c>
      <c r="M214" s="19">
        <v>719.2</v>
      </c>
      <c r="N214" s="19">
        <v>34.25</v>
      </c>
      <c r="O214" s="19">
        <v>5</v>
      </c>
      <c r="P214" s="19" t="s">
        <v>142</v>
      </c>
      <c r="Q214" s="19">
        <v>50157523</v>
      </c>
      <c r="R214" s="19" t="s">
        <v>57</v>
      </c>
      <c r="S214" s="19">
        <v>50195439</v>
      </c>
      <c r="T214" s="19"/>
      <c r="U214" s="19" t="s">
        <v>58</v>
      </c>
      <c r="V214" s="18">
        <v>0</v>
      </c>
      <c r="W214" s="17">
        <f t="shared" si="8"/>
        <v>17</v>
      </c>
      <c r="X214" s="5">
        <f t="shared" si="9"/>
        <v>0</v>
      </c>
    </row>
    <row r="215" spans="1:24" x14ac:dyDescent="0.25">
      <c r="A215" s="19">
        <v>26</v>
      </c>
      <c r="B215" s="19" t="s">
        <v>55</v>
      </c>
      <c r="C215" s="19" t="s">
        <v>56</v>
      </c>
      <c r="D215" s="19" t="s">
        <v>289</v>
      </c>
      <c r="E215" s="21">
        <v>46291.72965277778</v>
      </c>
      <c r="F215" s="19">
        <v>2</v>
      </c>
      <c r="G215" s="19">
        <v>74299018060</v>
      </c>
      <c r="H215" s="19">
        <v>1</v>
      </c>
      <c r="I215" s="19">
        <v>899</v>
      </c>
      <c r="J215" s="19">
        <v>-179.8</v>
      </c>
      <c r="K215" s="19">
        <v>0</v>
      </c>
      <c r="L215" s="19">
        <v>-179.8</v>
      </c>
      <c r="M215" s="19">
        <v>719.2</v>
      </c>
      <c r="N215" s="19">
        <v>34.25</v>
      </c>
      <c r="O215" s="19">
        <v>5</v>
      </c>
      <c r="P215" s="19" t="s">
        <v>142</v>
      </c>
      <c r="Q215" s="19">
        <v>50157523</v>
      </c>
      <c r="R215" s="19" t="s">
        <v>57</v>
      </c>
      <c r="S215" s="19">
        <v>50195439</v>
      </c>
      <c r="T215" s="19"/>
      <c r="U215" s="19" t="s">
        <v>58</v>
      </c>
      <c r="V215" s="18">
        <v>0</v>
      </c>
      <c r="W215" s="17">
        <f t="shared" si="8"/>
        <v>17</v>
      </c>
      <c r="X215" s="5">
        <f t="shared" si="9"/>
        <v>0</v>
      </c>
    </row>
    <row r="216" spans="1:24" x14ac:dyDescent="0.25">
      <c r="A216" s="19">
        <v>26</v>
      </c>
      <c r="B216" s="19" t="s">
        <v>55</v>
      </c>
      <c r="C216" s="19" t="s">
        <v>56</v>
      </c>
      <c r="D216" s="19" t="s">
        <v>289</v>
      </c>
      <c r="E216" s="21">
        <v>46291.72965277778</v>
      </c>
      <c r="F216" s="19">
        <v>2</v>
      </c>
      <c r="G216" s="19">
        <v>74299018060</v>
      </c>
      <c r="H216" s="19">
        <v>1</v>
      </c>
      <c r="I216" s="19">
        <v>899</v>
      </c>
      <c r="J216" s="19">
        <v>-179.8</v>
      </c>
      <c r="K216" s="19">
        <v>0</v>
      </c>
      <c r="L216" s="19">
        <v>-179.8</v>
      </c>
      <c r="M216" s="19">
        <v>719.2</v>
      </c>
      <c r="N216" s="19">
        <v>34.25</v>
      </c>
      <c r="O216" s="19">
        <v>5</v>
      </c>
      <c r="P216" s="19" t="s">
        <v>142</v>
      </c>
      <c r="Q216" s="19">
        <v>50157523</v>
      </c>
      <c r="R216" s="19" t="s">
        <v>57</v>
      </c>
      <c r="S216" s="19">
        <v>50195907</v>
      </c>
      <c r="T216" s="19"/>
      <c r="U216" s="19" t="s">
        <v>58</v>
      </c>
      <c r="V216" s="18">
        <v>0</v>
      </c>
      <c r="W216" s="17">
        <f t="shared" si="8"/>
        <v>17</v>
      </c>
      <c r="X216" s="5">
        <f t="shared" si="9"/>
        <v>0</v>
      </c>
    </row>
    <row r="217" spans="1:24" x14ac:dyDescent="0.25">
      <c r="A217" s="19">
        <v>26</v>
      </c>
      <c r="B217" s="19" t="s">
        <v>55</v>
      </c>
      <c r="C217" s="19" t="s">
        <v>56</v>
      </c>
      <c r="D217" s="19" t="s">
        <v>289</v>
      </c>
      <c r="E217" s="21">
        <v>46291.72965277778</v>
      </c>
      <c r="F217" s="19">
        <v>2</v>
      </c>
      <c r="G217" s="19">
        <v>74299018060</v>
      </c>
      <c r="H217" s="19">
        <v>1</v>
      </c>
      <c r="I217" s="19">
        <v>899</v>
      </c>
      <c r="J217" s="19">
        <v>-179.8</v>
      </c>
      <c r="K217" s="19">
        <v>0</v>
      </c>
      <c r="L217" s="19">
        <v>-179.8</v>
      </c>
      <c r="M217" s="19">
        <v>719.2</v>
      </c>
      <c r="N217" s="19">
        <v>34.25</v>
      </c>
      <c r="O217" s="19">
        <v>5</v>
      </c>
      <c r="P217" s="19" t="s">
        <v>142</v>
      </c>
      <c r="Q217" s="19">
        <v>50157523</v>
      </c>
      <c r="R217" s="19" t="s">
        <v>57</v>
      </c>
      <c r="S217" s="19">
        <v>50195907</v>
      </c>
      <c r="T217" s="19"/>
      <c r="U217" s="19" t="s">
        <v>58</v>
      </c>
      <c r="V217" s="18">
        <v>0</v>
      </c>
      <c r="W217" s="17">
        <f t="shared" si="8"/>
        <v>17</v>
      </c>
      <c r="X217" s="5">
        <f t="shared" si="9"/>
        <v>0</v>
      </c>
    </row>
    <row r="218" spans="1:24" x14ac:dyDescent="0.25">
      <c r="A218" s="19">
        <v>26</v>
      </c>
      <c r="B218" s="19" t="s">
        <v>55</v>
      </c>
      <c r="C218" s="19" t="s">
        <v>56</v>
      </c>
      <c r="D218" s="19" t="s">
        <v>289</v>
      </c>
      <c r="E218" s="21">
        <v>46291.72965277778</v>
      </c>
      <c r="F218" s="19">
        <v>2</v>
      </c>
      <c r="G218" s="19">
        <v>74299018060</v>
      </c>
      <c r="H218" s="19">
        <v>1</v>
      </c>
      <c r="I218" s="19">
        <v>899</v>
      </c>
      <c r="J218" s="19">
        <v>-179.8</v>
      </c>
      <c r="K218" s="19">
        <v>0</v>
      </c>
      <c r="L218" s="19">
        <v>-179.8</v>
      </c>
      <c r="M218" s="19">
        <v>719.2</v>
      </c>
      <c r="N218" s="19">
        <v>34.25</v>
      </c>
      <c r="O218" s="19">
        <v>5</v>
      </c>
      <c r="P218" s="19" t="s">
        <v>142</v>
      </c>
      <c r="Q218" s="19">
        <v>50157523</v>
      </c>
      <c r="R218" s="19" t="s">
        <v>57</v>
      </c>
      <c r="S218" s="19">
        <v>50195907</v>
      </c>
      <c r="T218" s="19"/>
      <c r="U218" s="19" t="s">
        <v>58</v>
      </c>
      <c r="V218" s="18">
        <v>0</v>
      </c>
      <c r="W218" s="17">
        <f t="shared" si="8"/>
        <v>17</v>
      </c>
      <c r="X218" s="5">
        <f t="shared" si="9"/>
        <v>0</v>
      </c>
    </row>
    <row r="219" spans="1:24" x14ac:dyDescent="0.25">
      <c r="A219" s="19">
        <v>26</v>
      </c>
      <c r="B219" s="19" t="s">
        <v>55</v>
      </c>
      <c r="C219" s="19" t="s">
        <v>56</v>
      </c>
      <c r="D219" s="19" t="s">
        <v>289</v>
      </c>
      <c r="E219" s="21">
        <v>46291.72965277778</v>
      </c>
      <c r="F219" s="19">
        <v>2</v>
      </c>
      <c r="G219" s="19">
        <v>74299018060</v>
      </c>
      <c r="H219" s="19">
        <v>1</v>
      </c>
      <c r="I219" s="19">
        <v>899</v>
      </c>
      <c r="J219" s="19">
        <v>-179.8</v>
      </c>
      <c r="K219" s="19">
        <v>0</v>
      </c>
      <c r="L219" s="19">
        <v>-179.8</v>
      </c>
      <c r="M219" s="19">
        <v>719.2</v>
      </c>
      <c r="N219" s="19">
        <v>34.25</v>
      </c>
      <c r="O219" s="19">
        <v>5</v>
      </c>
      <c r="P219" s="19" t="s">
        <v>142</v>
      </c>
      <c r="Q219" s="19">
        <v>50157523</v>
      </c>
      <c r="R219" s="19" t="s">
        <v>57</v>
      </c>
      <c r="S219" s="19">
        <v>50201915</v>
      </c>
      <c r="T219" s="19"/>
      <c r="U219" s="19" t="s">
        <v>58</v>
      </c>
      <c r="V219" s="18">
        <v>0</v>
      </c>
      <c r="W219" s="17">
        <f t="shared" si="8"/>
        <v>17</v>
      </c>
      <c r="X219" s="5">
        <f t="shared" si="9"/>
        <v>0</v>
      </c>
    </row>
    <row r="220" spans="1:24" x14ac:dyDescent="0.25">
      <c r="A220" s="19">
        <v>26</v>
      </c>
      <c r="B220" s="19" t="s">
        <v>55</v>
      </c>
      <c r="C220" s="19" t="s">
        <v>56</v>
      </c>
      <c r="D220" s="19" t="s">
        <v>289</v>
      </c>
      <c r="E220" s="21">
        <v>46291.72965277778</v>
      </c>
      <c r="F220" s="19">
        <v>2</v>
      </c>
      <c r="G220" s="19">
        <v>74299018060</v>
      </c>
      <c r="H220" s="19">
        <v>1</v>
      </c>
      <c r="I220" s="19">
        <v>899</v>
      </c>
      <c r="J220" s="19">
        <v>-179.8</v>
      </c>
      <c r="K220" s="19">
        <v>0</v>
      </c>
      <c r="L220" s="19">
        <v>-179.8</v>
      </c>
      <c r="M220" s="19">
        <v>719.2</v>
      </c>
      <c r="N220" s="19">
        <v>34.25</v>
      </c>
      <c r="O220" s="19">
        <v>5</v>
      </c>
      <c r="P220" s="19" t="s">
        <v>142</v>
      </c>
      <c r="Q220" s="19">
        <v>50157523</v>
      </c>
      <c r="R220" s="19" t="s">
        <v>57</v>
      </c>
      <c r="S220" s="19">
        <v>50201915</v>
      </c>
      <c r="T220" s="19"/>
      <c r="U220" s="19" t="s">
        <v>58</v>
      </c>
      <c r="V220" s="18">
        <v>0</v>
      </c>
      <c r="W220" s="17">
        <f t="shared" si="8"/>
        <v>17</v>
      </c>
      <c r="X220" s="5">
        <f t="shared" si="9"/>
        <v>0</v>
      </c>
    </row>
    <row r="221" spans="1:24" x14ac:dyDescent="0.25">
      <c r="A221" s="19">
        <v>26</v>
      </c>
      <c r="B221" s="19" t="s">
        <v>55</v>
      </c>
      <c r="C221" s="19" t="s">
        <v>56</v>
      </c>
      <c r="D221" s="19" t="s">
        <v>289</v>
      </c>
      <c r="E221" s="21">
        <v>46291.72965277778</v>
      </c>
      <c r="F221" s="19">
        <v>2</v>
      </c>
      <c r="G221" s="19">
        <v>74299018060</v>
      </c>
      <c r="H221" s="19">
        <v>1</v>
      </c>
      <c r="I221" s="19">
        <v>899</v>
      </c>
      <c r="J221" s="19">
        <v>-179.8</v>
      </c>
      <c r="K221" s="19">
        <v>0</v>
      </c>
      <c r="L221" s="19">
        <v>-179.8</v>
      </c>
      <c r="M221" s="19">
        <v>719.2</v>
      </c>
      <c r="N221" s="19">
        <v>34.25</v>
      </c>
      <c r="O221" s="19">
        <v>5</v>
      </c>
      <c r="P221" s="19" t="s">
        <v>142</v>
      </c>
      <c r="Q221" s="19">
        <v>50157523</v>
      </c>
      <c r="R221" s="19" t="s">
        <v>57</v>
      </c>
      <c r="S221" s="19">
        <v>50201915</v>
      </c>
      <c r="T221" s="19"/>
      <c r="U221" s="19" t="s">
        <v>58</v>
      </c>
      <c r="V221" s="18">
        <v>0</v>
      </c>
      <c r="W221" s="17">
        <f t="shared" si="8"/>
        <v>17</v>
      </c>
      <c r="X221" s="5">
        <f t="shared" si="9"/>
        <v>0</v>
      </c>
    </row>
    <row r="222" spans="1:24" x14ac:dyDescent="0.25">
      <c r="A222" s="19">
        <v>26</v>
      </c>
      <c r="B222" s="19" t="s">
        <v>55</v>
      </c>
      <c r="C222" s="19" t="s">
        <v>56</v>
      </c>
      <c r="D222" s="19" t="s">
        <v>289</v>
      </c>
      <c r="E222" s="21">
        <v>46291.72965277778</v>
      </c>
      <c r="F222" s="19">
        <v>2</v>
      </c>
      <c r="G222" s="19">
        <v>74299018060</v>
      </c>
      <c r="H222" s="19">
        <v>1</v>
      </c>
      <c r="I222" s="19">
        <v>899</v>
      </c>
      <c r="J222" s="19">
        <v>-179.8</v>
      </c>
      <c r="K222" s="19">
        <v>0</v>
      </c>
      <c r="L222" s="19">
        <v>-179.8</v>
      </c>
      <c r="M222" s="19">
        <v>719.2</v>
      </c>
      <c r="N222" s="19">
        <v>34.25</v>
      </c>
      <c r="O222" s="19">
        <v>5</v>
      </c>
      <c r="P222" s="19" t="s">
        <v>142</v>
      </c>
      <c r="Q222" s="19">
        <v>50157523</v>
      </c>
      <c r="R222" s="19" t="s">
        <v>57</v>
      </c>
      <c r="S222" s="19">
        <v>50201915</v>
      </c>
      <c r="T222" s="19"/>
      <c r="U222" s="19" t="s">
        <v>58</v>
      </c>
      <c r="V222" s="18">
        <v>0</v>
      </c>
      <c r="W222" s="17">
        <f t="shared" si="8"/>
        <v>17</v>
      </c>
      <c r="X222" s="5">
        <f t="shared" si="9"/>
        <v>0</v>
      </c>
    </row>
    <row r="223" spans="1:24" x14ac:dyDescent="0.25">
      <c r="A223" s="19">
        <v>26</v>
      </c>
      <c r="B223" s="19" t="s">
        <v>55</v>
      </c>
      <c r="C223" s="19" t="s">
        <v>56</v>
      </c>
      <c r="D223" s="19" t="s">
        <v>289</v>
      </c>
      <c r="E223" s="21">
        <v>46291.72965277778</v>
      </c>
      <c r="F223" s="19">
        <v>2</v>
      </c>
      <c r="G223" s="19">
        <v>74299018060</v>
      </c>
      <c r="H223" s="19">
        <v>1</v>
      </c>
      <c r="I223" s="19">
        <v>899</v>
      </c>
      <c r="J223" s="19">
        <v>-179.8</v>
      </c>
      <c r="K223" s="19">
        <v>0</v>
      </c>
      <c r="L223" s="19">
        <v>-179.8</v>
      </c>
      <c r="M223" s="19">
        <v>719.2</v>
      </c>
      <c r="N223" s="19">
        <v>34.25</v>
      </c>
      <c r="O223" s="19">
        <v>5</v>
      </c>
      <c r="P223" s="19" t="s">
        <v>142</v>
      </c>
      <c r="Q223" s="19">
        <v>50157523</v>
      </c>
      <c r="R223" s="19" t="s">
        <v>57</v>
      </c>
      <c r="S223" s="19">
        <v>50201915</v>
      </c>
      <c r="T223" s="19"/>
      <c r="U223" s="19" t="s">
        <v>58</v>
      </c>
      <c r="V223" s="18">
        <v>0</v>
      </c>
      <c r="W223" s="17">
        <f t="shared" si="8"/>
        <v>17</v>
      </c>
      <c r="X223" s="5">
        <f t="shared" si="9"/>
        <v>0</v>
      </c>
    </row>
    <row r="224" spans="1:24" x14ac:dyDescent="0.25">
      <c r="A224" s="19">
        <v>26</v>
      </c>
      <c r="B224" s="19" t="s">
        <v>55</v>
      </c>
      <c r="C224" s="19" t="s">
        <v>56</v>
      </c>
      <c r="D224" s="19" t="s">
        <v>289</v>
      </c>
      <c r="E224" s="21">
        <v>46291.72965277778</v>
      </c>
      <c r="F224" s="19">
        <v>2</v>
      </c>
      <c r="G224" s="19">
        <v>74299018060</v>
      </c>
      <c r="H224" s="19">
        <v>1</v>
      </c>
      <c r="I224" s="19">
        <v>899</v>
      </c>
      <c r="J224" s="19">
        <v>-179.8</v>
      </c>
      <c r="K224" s="19">
        <v>0</v>
      </c>
      <c r="L224" s="19">
        <v>-179.8</v>
      </c>
      <c r="M224" s="19">
        <v>719.2</v>
      </c>
      <c r="N224" s="19">
        <v>34.25</v>
      </c>
      <c r="O224" s="19">
        <v>5</v>
      </c>
      <c r="P224" s="19" t="s">
        <v>142</v>
      </c>
      <c r="Q224" s="19">
        <v>50157523</v>
      </c>
      <c r="R224" s="19" t="s">
        <v>57</v>
      </c>
      <c r="S224" s="19">
        <v>50201915</v>
      </c>
      <c r="T224" s="19"/>
      <c r="U224" s="19" t="s">
        <v>58</v>
      </c>
      <c r="V224" s="18">
        <v>0</v>
      </c>
      <c r="W224" s="17">
        <f t="shared" si="8"/>
        <v>17</v>
      </c>
      <c r="X224" s="5">
        <f t="shared" si="9"/>
        <v>0</v>
      </c>
    </row>
    <row r="225" spans="1:24" x14ac:dyDescent="0.25">
      <c r="A225" s="19">
        <v>26</v>
      </c>
      <c r="B225" s="19" t="s">
        <v>55</v>
      </c>
      <c r="C225" s="19" t="s">
        <v>56</v>
      </c>
      <c r="D225" s="19" t="s">
        <v>289</v>
      </c>
      <c r="E225" s="21">
        <v>46291.72965277778</v>
      </c>
      <c r="F225" s="19">
        <v>2</v>
      </c>
      <c r="G225" s="19">
        <v>74299018060</v>
      </c>
      <c r="H225" s="19">
        <v>1</v>
      </c>
      <c r="I225" s="19">
        <v>899</v>
      </c>
      <c r="J225" s="19">
        <v>-179.8</v>
      </c>
      <c r="K225" s="19">
        <v>0</v>
      </c>
      <c r="L225" s="19">
        <v>-179.8</v>
      </c>
      <c r="M225" s="19">
        <v>719.2</v>
      </c>
      <c r="N225" s="19">
        <v>34.25</v>
      </c>
      <c r="O225" s="19">
        <v>5</v>
      </c>
      <c r="P225" s="19" t="s">
        <v>142</v>
      </c>
      <c r="Q225" s="19">
        <v>50157523</v>
      </c>
      <c r="R225" s="19" t="s">
        <v>57</v>
      </c>
      <c r="S225" s="19">
        <v>50201915</v>
      </c>
      <c r="T225" s="19"/>
      <c r="U225" s="19" t="s">
        <v>58</v>
      </c>
      <c r="V225" s="18">
        <v>0</v>
      </c>
      <c r="W225" s="17">
        <f t="shared" si="8"/>
        <v>17</v>
      </c>
      <c r="X225" s="5">
        <f t="shared" si="9"/>
        <v>0</v>
      </c>
    </row>
    <row r="226" spans="1:24" x14ac:dyDescent="0.25">
      <c r="A226" s="19">
        <v>26</v>
      </c>
      <c r="B226" s="19" t="s">
        <v>55</v>
      </c>
      <c r="C226" s="19" t="s">
        <v>56</v>
      </c>
      <c r="D226" s="19" t="s">
        <v>289</v>
      </c>
      <c r="E226" s="21">
        <v>46291.72965277778</v>
      </c>
      <c r="F226" s="19">
        <v>2</v>
      </c>
      <c r="G226" s="19">
        <v>74299018060</v>
      </c>
      <c r="H226" s="19">
        <v>1</v>
      </c>
      <c r="I226" s="19">
        <v>899</v>
      </c>
      <c r="J226" s="19">
        <v>-179.8</v>
      </c>
      <c r="K226" s="19">
        <v>0</v>
      </c>
      <c r="L226" s="19">
        <v>-179.8</v>
      </c>
      <c r="M226" s="19">
        <v>719.2</v>
      </c>
      <c r="N226" s="19">
        <v>34.25</v>
      </c>
      <c r="O226" s="19">
        <v>5</v>
      </c>
      <c r="P226" s="19" t="s">
        <v>142</v>
      </c>
      <c r="Q226" s="19">
        <v>50157523</v>
      </c>
      <c r="R226" s="19" t="s">
        <v>57</v>
      </c>
      <c r="S226" s="19">
        <v>50201915</v>
      </c>
      <c r="T226" s="19"/>
      <c r="U226" s="19" t="s">
        <v>58</v>
      </c>
      <c r="V226" s="18">
        <v>0</v>
      </c>
      <c r="W226" s="17">
        <f t="shared" si="8"/>
        <v>17</v>
      </c>
      <c r="X226" s="5">
        <f t="shared" si="9"/>
        <v>0</v>
      </c>
    </row>
    <row r="227" spans="1:24" x14ac:dyDescent="0.25">
      <c r="A227" s="19">
        <v>26</v>
      </c>
      <c r="B227" s="19" t="s">
        <v>55</v>
      </c>
      <c r="C227" s="19" t="s">
        <v>56</v>
      </c>
      <c r="D227" s="19" t="s">
        <v>289</v>
      </c>
      <c r="E227" s="21">
        <v>46291.72965277778</v>
      </c>
      <c r="F227" s="19">
        <v>2</v>
      </c>
      <c r="G227" s="19">
        <v>74299018060</v>
      </c>
      <c r="H227" s="19">
        <v>1</v>
      </c>
      <c r="I227" s="19">
        <v>899</v>
      </c>
      <c r="J227" s="19">
        <v>-179.8</v>
      </c>
      <c r="K227" s="19">
        <v>0</v>
      </c>
      <c r="L227" s="19">
        <v>-179.8</v>
      </c>
      <c r="M227" s="19">
        <v>719.2</v>
      </c>
      <c r="N227" s="19">
        <v>34.25</v>
      </c>
      <c r="O227" s="19">
        <v>5</v>
      </c>
      <c r="P227" s="19" t="s">
        <v>142</v>
      </c>
      <c r="Q227" s="19">
        <v>50157523</v>
      </c>
      <c r="R227" s="19" t="s">
        <v>57</v>
      </c>
      <c r="S227" s="19">
        <v>50201915</v>
      </c>
      <c r="T227" s="19"/>
      <c r="U227" s="19" t="s">
        <v>58</v>
      </c>
      <c r="V227" s="18">
        <v>0</v>
      </c>
      <c r="W227" s="17">
        <f t="shared" si="8"/>
        <v>17</v>
      </c>
      <c r="X227" s="5">
        <f t="shared" si="9"/>
        <v>0</v>
      </c>
    </row>
    <row r="228" spans="1:24" x14ac:dyDescent="0.25">
      <c r="A228" s="19">
        <v>26</v>
      </c>
      <c r="B228" s="19" t="s">
        <v>55</v>
      </c>
      <c r="C228" s="19" t="s">
        <v>56</v>
      </c>
      <c r="D228" s="19" t="s">
        <v>289</v>
      </c>
      <c r="E228" s="21">
        <v>46291.72965277778</v>
      </c>
      <c r="F228" s="19">
        <v>2</v>
      </c>
      <c r="G228" s="19">
        <v>74299018060</v>
      </c>
      <c r="H228" s="19">
        <v>1</v>
      </c>
      <c r="I228" s="19">
        <v>899</v>
      </c>
      <c r="J228" s="19">
        <v>-179.8</v>
      </c>
      <c r="K228" s="19">
        <v>0</v>
      </c>
      <c r="L228" s="19">
        <v>-179.8</v>
      </c>
      <c r="M228" s="19">
        <v>719.2</v>
      </c>
      <c r="N228" s="19">
        <v>34.25</v>
      </c>
      <c r="O228" s="19">
        <v>5</v>
      </c>
      <c r="P228" s="19" t="s">
        <v>142</v>
      </c>
      <c r="Q228" s="19">
        <v>50157523</v>
      </c>
      <c r="R228" s="19" t="s">
        <v>57</v>
      </c>
      <c r="S228" s="19">
        <v>50201915</v>
      </c>
      <c r="T228" s="19"/>
      <c r="U228" s="19" t="s">
        <v>58</v>
      </c>
      <c r="V228" s="18">
        <v>0</v>
      </c>
      <c r="W228" s="17">
        <f t="shared" si="8"/>
        <v>17</v>
      </c>
      <c r="X228" s="5">
        <f t="shared" si="9"/>
        <v>0</v>
      </c>
    </row>
    <row r="229" spans="1:24" x14ac:dyDescent="0.25">
      <c r="A229" s="19">
        <v>26</v>
      </c>
      <c r="B229" s="19" t="s">
        <v>55</v>
      </c>
      <c r="C229" s="19" t="s">
        <v>56</v>
      </c>
      <c r="D229" s="19" t="s">
        <v>289</v>
      </c>
      <c r="E229" s="21">
        <v>46291.72965277778</v>
      </c>
      <c r="F229" s="19">
        <v>2</v>
      </c>
      <c r="G229" s="19">
        <v>74299018060</v>
      </c>
      <c r="H229" s="19">
        <v>1</v>
      </c>
      <c r="I229" s="19">
        <v>899</v>
      </c>
      <c r="J229" s="19">
        <v>-179.8</v>
      </c>
      <c r="K229" s="19">
        <v>0</v>
      </c>
      <c r="L229" s="19">
        <v>-179.8</v>
      </c>
      <c r="M229" s="19">
        <v>719.2</v>
      </c>
      <c r="N229" s="19">
        <v>34.25</v>
      </c>
      <c r="O229" s="19">
        <v>5</v>
      </c>
      <c r="P229" s="19" t="s">
        <v>142</v>
      </c>
      <c r="Q229" s="19">
        <v>50157523</v>
      </c>
      <c r="R229" s="19" t="s">
        <v>57</v>
      </c>
      <c r="S229" s="19">
        <v>50201915</v>
      </c>
      <c r="T229" s="19"/>
      <c r="U229" s="19" t="s">
        <v>58</v>
      </c>
      <c r="V229" s="18">
        <v>0</v>
      </c>
      <c r="W229" s="17">
        <f t="shared" si="8"/>
        <v>17</v>
      </c>
      <c r="X229" s="5">
        <f t="shared" si="9"/>
        <v>0</v>
      </c>
    </row>
    <row r="230" spans="1:24" x14ac:dyDescent="0.25">
      <c r="A230" s="19">
        <v>26</v>
      </c>
      <c r="B230" s="19" t="s">
        <v>55</v>
      </c>
      <c r="C230" s="19" t="s">
        <v>56</v>
      </c>
      <c r="D230" s="19" t="s">
        <v>289</v>
      </c>
      <c r="E230" s="21">
        <v>46291.72965277778</v>
      </c>
      <c r="F230" s="19">
        <v>2</v>
      </c>
      <c r="G230" s="19">
        <v>74299018060</v>
      </c>
      <c r="H230" s="19">
        <v>1</v>
      </c>
      <c r="I230" s="19">
        <v>899</v>
      </c>
      <c r="J230" s="19">
        <v>-179.8</v>
      </c>
      <c r="K230" s="19">
        <v>0</v>
      </c>
      <c r="L230" s="19">
        <v>-179.8</v>
      </c>
      <c r="M230" s="19">
        <v>719.2</v>
      </c>
      <c r="N230" s="19">
        <v>34.25</v>
      </c>
      <c r="O230" s="19">
        <v>5</v>
      </c>
      <c r="P230" s="19" t="s">
        <v>142</v>
      </c>
      <c r="Q230" s="19">
        <v>50157523</v>
      </c>
      <c r="R230" s="19" t="s">
        <v>57</v>
      </c>
      <c r="S230" s="19">
        <v>50201915</v>
      </c>
      <c r="T230" s="19"/>
      <c r="U230" s="19" t="s">
        <v>58</v>
      </c>
      <c r="V230" s="18">
        <v>0</v>
      </c>
      <c r="W230" s="17">
        <f t="shared" si="8"/>
        <v>17</v>
      </c>
      <c r="X230" s="5">
        <f t="shared" si="9"/>
        <v>0</v>
      </c>
    </row>
    <row r="231" spans="1:24" x14ac:dyDescent="0.25">
      <c r="A231" s="19">
        <v>26</v>
      </c>
      <c r="B231" s="19" t="s">
        <v>55</v>
      </c>
      <c r="C231" s="19" t="s">
        <v>56</v>
      </c>
      <c r="D231" s="19" t="s">
        <v>289</v>
      </c>
      <c r="E231" s="21">
        <v>46291.72965277778</v>
      </c>
      <c r="F231" s="19">
        <v>2</v>
      </c>
      <c r="G231" s="19">
        <v>74299018060</v>
      </c>
      <c r="H231" s="19">
        <v>1</v>
      </c>
      <c r="I231" s="19">
        <v>899</v>
      </c>
      <c r="J231" s="19">
        <v>-179.8</v>
      </c>
      <c r="K231" s="19">
        <v>0</v>
      </c>
      <c r="L231" s="19">
        <v>-179.8</v>
      </c>
      <c r="M231" s="19">
        <v>719.2</v>
      </c>
      <c r="N231" s="19">
        <v>34.25</v>
      </c>
      <c r="O231" s="19">
        <v>5</v>
      </c>
      <c r="P231" s="19" t="s">
        <v>142</v>
      </c>
      <c r="Q231" s="19">
        <v>50157523</v>
      </c>
      <c r="R231" s="19" t="s">
        <v>57</v>
      </c>
      <c r="S231" s="19">
        <v>50201915</v>
      </c>
      <c r="T231" s="19"/>
      <c r="U231" s="19" t="s">
        <v>58</v>
      </c>
      <c r="V231" s="18">
        <v>0</v>
      </c>
      <c r="W231" s="17">
        <f t="shared" si="8"/>
        <v>17</v>
      </c>
      <c r="X231" s="5">
        <f t="shared" si="9"/>
        <v>0</v>
      </c>
    </row>
    <row r="232" spans="1:24" x14ac:dyDescent="0.25">
      <c r="A232" s="19">
        <v>26</v>
      </c>
      <c r="B232" s="19" t="s">
        <v>55</v>
      </c>
      <c r="C232" s="19" t="s">
        <v>56</v>
      </c>
      <c r="D232" s="19" t="s">
        <v>289</v>
      </c>
      <c r="E232" s="21">
        <v>46291.72965277778</v>
      </c>
      <c r="F232" s="19">
        <v>2</v>
      </c>
      <c r="G232" s="19">
        <v>74299018060</v>
      </c>
      <c r="H232" s="19">
        <v>1</v>
      </c>
      <c r="I232" s="19">
        <v>899</v>
      </c>
      <c r="J232" s="19">
        <v>-179.8</v>
      </c>
      <c r="K232" s="19">
        <v>0</v>
      </c>
      <c r="L232" s="19">
        <v>-179.8</v>
      </c>
      <c r="M232" s="19">
        <v>719.2</v>
      </c>
      <c r="N232" s="19">
        <v>34.25</v>
      </c>
      <c r="O232" s="19">
        <v>5</v>
      </c>
      <c r="P232" s="19" t="s">
        <v>142</v>
      </c>
      <c r="Q232" s="19">
        <v>50157523</v>
      </c>
      <c r="R232" s="19" t="s">
        <v>57</v>
      </c>
      <c r="S232" s="19">
        <v>50201915</v>
      </c>
      <c r="T232" s="19"/>
      <c r="U232" s="19" t="s">
        <v>58</v>
      </c>
      <c r="V232" s="18">
        <v>0</v>
      </c>
      <c r="W232" s="17">
        <f t="shared" si="8"/>
        <v>17</v>
      </c>
      <c r="X232" s="5">
        <f t="shared" si="9"/>
        <v>0</v>
      </c>
    </row>
    <row r="233" spans="1:24" x14ac:dyDescent="0.25">
      <c r="A233" s="19">
        <v>26</v>
      </c>
      <c r="B233" s="19" t="s">
        <v>55</v>
      </c>
      <c r="C233" s="19" t="s">
        <v>56</v>
      </c>
      <c r="D233" s="19" t="s">
        <v>289</v>
      </c>
      <c r="E233" s="21">
        <v>46291.72965277778</v>
      </c>
      <c r="F233" s="19">
        <v>2</v>
      </c>
      <c r="G233" s="19">
        <v>74299018060</v>
      </c>
      <c r="H233" s="19">
        <v>1</v>
      </c>
      <c r="I233" s="19">
        <v>899</v>
      </c>
      <c r="J233" s="19">
        <v>-179.8</v>
      </c>
      <c r="K233" s="19">
        <v>0</v>
      </c>
      <c r="L233" s="19">
        <v>-179.8</v>
      </c>
      <c r="M233" s="19">
        <v>719.2</v>
      </c>
      <c r="N233" s="19">
        <v>34.25</v>
      </c>
      <c r="O233" s="19">
        <v>5</v>
      </c>
      <c r="P233" s="19" t="s">
        <v>142</v>
      </c>
      <c r="Q233" s="19">
        <v>50157523</v>
      </c>
      <c r="R233" s="19" t="s">
        <v>57</v>
      </c>
      <c r="S233" s="19">
        <v>50201915</v>
      </c>
      <c r="T233" s="19"/>
      <c r="U233" s="19" t="s">
        <v>58</v>
      </c>
      <c r="V233" s="18">
        <v>0</v>
      </c>
      <c r="W233" s="17">
        <f t="shared" si="8"/>
        <v>17</v>
      </c>
      <c r="X233" s="5">
        <f t="shared" si="9"/>
        <v>0</v>
      </c>
    </row>
    <row r="234" spans="1:24" x14ac:dyDescent="0.25">
      <c r="A234" s="19">
        <v>26</v>
      </c>
      <c r="B234" s="19" t="s">
        <v>55</v>
      </c>
      <c r="C234" s="19" t="s">
        <v>56</v>
      </c>
      <c r="D234" s="19" t="s">
        <v>289</v>
      </c>
      <c r="E234" s="21">
        <v>46291.72965277778</v>
      </c>
      <c r="F234" s="19">
        <v>2</v>
      </c>
      <c r="G234" s="19">
        <v>74299018060</v>
      </c>
      <c r="H234" s="19">
        <v>1</v>
      </c>
      <c r="I234" s="19">
        <v>899</v>
      </c>
      <c r="J234" s="19">
        <v>-179.8</v>
      </c>
      <c r="K234" s="19">
        <v>0</v>
      </c>
      <c r="L234" s="19">
        <v>-179.8</v>
      </c>
      <c r="M234" s="19">
        <v>719.2</v>
      </c>
      <c r="N234" s="19">
        <v>34.25</v>
      </c>
      <c r="O234" s="19">
        <v>5</v>
      </c>
      <c r="P234" s="19" t="s">
        <v>142</v>
      </c>
      <c r="Q234" s="19">
        <v>50157523</v>
      </c>
      <c r="R234" s="19" t="s">
        <v>57</v>
      </c>
      <c r="S234" s="19">
        <v>74299018060</v>
      </c>
      <c r="T234" s="19"/>
      <c r="U234" s="19" t="s">
        <v>58</v>
      </c>
      <c r="V234" s="18">
        <v>0</v>
      </c>
      <c r="W234" s="17">
        <f t="shared" si="8"/>
        <v>17</v>
      </c>
      <c r="X234" s="5">
        <f t="shared" si="9"/>
        <v>0</v>
      </c>
    </row>
    <row r="235" spans="1:24" x14ac:dyDescent="0.25">
      <c r="A235" s="19">
        <v>26</v>
      </c>
      <c r="B235" s="19" t="s">
        <v>55</v>
      </c>
      <c r="C235" s="19" t="s">
        <v>56</v>
      </c>
      <c r="D235" s="19" t="s">
        <v>289</v>
      </c>
      <c r="E235" s="21">
        <v>46291.72965277778</v>
      </c>
      <c r="F235" s="19">
        <v>2</v>
      </c>
      <c r="G235" s="19">
        <v>74299018060</v>
      </c>
      <c r="H235" s="19">
        <v>1</v>
      </c>
      <c r="I235" s="19">
        <v>899</v>
      </c>
      <c r="J235" s="19">
        <v>-179.8</v>
      </c>
      <c r="K235" s="19">
        <v>0</v>
      </c>
      <c r="L235" s="19">
        <v>-179.8</v>
      </c>
      <c r="M235" s="19">
        <v>719.2</v>
      </c>
      <c r="N235" s="19">
        <v>34.25</v>
      </c>
      <c r="O235" s="19">
        <v>5</v>
      </c>
      <c r="P235" s="19" t="s">
        <v>142</v>
      </c>
      <c r="Q235" s="19">
        <v>50157523</v>
      </c>
      <c r="R235" s="19" t="s">
        <v>57</v>
      </c>
      <c r="S235" s="19">
        <v>74299018060</v>
      </c>
      <c r="T235" s="19"/>
      <c r="U235" s="19" t="s">
        <v>58</v>
      </c>
      <c r="V235" s="18">
        <v>0</v>
      </c>
      <c r="W235" s="17">
        <f t="shared" si="8"/>
        <v>17</v>
      </c>
      <c r="X235" s="5">
        <f t="shared" si="9"/>
        <v>0</v>
      </c>
    </row>
    <row r="236" spans="1:24" x14ac:dyDescent="0.25">
      <c r="A236" s="19">
        <v>26</v>
      </c>
      <c r="B236" s="19" t="s">
        <v>55</v>
      </c>
      <c r="C236" s="19" t="s">
        <v>56</v>
      </c>
      <c r="D236" s="19" t="s">
        <v>289</v>
      </c>
      <c r="E236" s="21">
        <v>46291.72965277778</v>
      </c>
      <c r="F236" s="19">
        <v>2</v>
      </c>
      <c r="G236" s="19">
        <v>74299018060</v>
      </c>
      <c r="H236" s="19">
        <v>1</v>
      </c>
      <c r="I236" s="19">
        <v>899</v>
      </c>
      <c r="J236" s="19">
        <v>-179.8</v>
      </c>
      <c r="K236" s="19">
        <v>0</v>
      </c>
      <c r="L236" s="19">
        <v>-179.8</v>
      </c>
      <c r="M236" s="19">
        <v>719.2</v>
      </c>
      <c r="N236" s="19">
        <v>34.25</v>
      </c>
      <c r="O236" s="19">
        <v>5</v>
      </c>
      <c r="P236" s="19" t="s">
        <v>142</v>
      </c>
      <c r="Q236" s="19">
        <v>50157523</v>
      </c>
      <c r="R236" s="19" t="s">
        <v>57</v>
      </c>
      <c r="S236" s="19">
        <v>74299018060</v>
      </c>
      <c r="T236" s="19"/>
      <c r="U236" s="19" t="s">
        <v>58</v>
      </c>
      <c r="V236" s="18">
        <v>0</v>
      </c>
      <c r="W236" s="17">
        <f t="shared" si="8"/>
        <v>17</v>
      </c>
      <c r="X236" s="5">
        <f t="shared" si="9"/>
        <v>0</v>
      </c>
    </row>
    <row r="237" spans="1:24" x14ac:dyDescent="0.25">
      <c r="A237" s="19">
        <v>26</v>
      </c>
      <c r="B237" s="19" t="s">
        <v>55</v>
      </c>
      <c r="C237" s="19" t="s">
        <v>56</v>
      </c>
      <c r="D237" s="19" t="s">
        <v>289</v>
      </c>
      <c r="E237" s="21">
        <v>46291.72965277778</v>
      </c>
      <c r="F237" s="19">
        <v>2</v>
      </c>
      <c r="G237" s="19">
        <v>74299018060</v>
      </c>
      <c r="H237" s="19">
        <v>1</v>
      </c>
      <c r="I237" s="19">
        <v>899</v>
      </c>
      <c r="J237" s="19">
        <v>-179.8</v>
      </c>
      <c r="K237" s="19">
        <v>0</v>
      </c>
      <c r="L237" s="19">
        <v>-179.8</v>
      </c>
      <c r="M237" s="19">
        <v>719.2</v>
      </c>
      <c r="N237" s="19">
        <v>34.25</v>
      </c>
      <c r="O237" s="19">
        <v>5</v>
      </c>
      <c r="P237" s="19" t="s">
        <v>142</v>
      </c>
      <c r="Q237" s="19">
        <v>50157523</v>
      </c>
      <c r="R237" s="19" t="s">
        <v>57</v>
      </c>
      <c r="S237" s="19">
        <v>74299018060</v>
      </c>
      <c r="T237" s="19"/>
      <c r="U237" s="19" t="s">
        <v>58</v>
      </c>
      <c r="V237" s="18">
        <v>0</v>
      </c>
      <c r="W237" s="17">
        <f t="shared" si="8"/>
        <v>17</v>
      </c>
      <c r="X237" s="5">
        <f t="shared" si="9"/>
        <v>0</v>
      </c>
    </row>
    <row r="238" spans="1:24" x14ac:dyDescent="0.25">
      <c r="A238" s="19">
        <v>26</v>
      </c>
      <c r="B238" s="19" t="s">
        <v>55</v>
      </c>
      <c r="C238" s="19" t="s">
        <v>56</v>
      </c>
      <c r="D238" s="19" t="s">
        <v>289</v>
      </c>
      <c r="E238" s="21">
        <v>46291.72965277778</v>
      </c>
      <c r="F238" s="19">
        <v>2</v>
      </c>
      <c r="G238" s="19">
        <v>74299018060</v>
      </c>
      <c r="H238" s="19">
        <v>1</v>
      </c>
      <c r="I238" s="19">
        <v>899</v>
      </c>
      <c r="J238" s="19">
        <v>-179.8</v>
      </c>
      <c r="K238" s="19">
        <v>0</v>
      </c>
      <c r="L238" s="19">
        <v>-179.8</v>
      </c>
      <c r="M238" s="19">
        <v>719.2</v>
      </c>
      <c r="N238" s="19">
        <v>34.25</v>
      </c>
      <c r="O238" s="19">
        <v>5</v>
      </c>
      <c r="P238" s="19" t="s">
        <v>142</v>
      </c>
      <c r="Q238" s="19">
        <v>50157523</v>
      </c>
      <c r="R238" s="19" t="s">
        <v>57</v>
      </c>
      <c r="S238" s="19">
        <v>74299018060</v>
      </c>
      <c r="T238" s="19"/>
      <c r="U238" s="19" t="s">
        <v>58</v>
      </c>
      <c r="V238" s="18">
        <v>0</v>
      </c>
      <c r="W238" s="17">
        <f t="shared" si="8"/>
        <v>17</v>
      </c>
      <c r="X238" s="5">
        <f t="shared" si="9"/>
        <v>0</v>
      </c>
    </row>
    <row r="239" spans="1:24" x14ac:dyDescent="0.25">
      <c r="A239" s="19">
        <v>26</v>
      </c>
      <c r="B239" s="19" t="s">
        <v>55</v>
      </c>
      <c r="C239" s="19" t="s">
        <v>56</v>
      </c>
      <c r="D239" s="19" t="s">
        <v>289</v>
      </c>
      <c r="E239" s="21">
        <v>46291.72965277778</v>
      </c>
      <c r="F239" s="19">
        <v>2</v>
      </c>
      <c r="G239" s="19">
        <v>194735367870</v>
      </c>
      <c r="H239" s="19">
        <v>1</v>
      </c>
      <c r="I239" s="19">
        <v>899</v>
      </c>
      <c r="J239" s="19">
        <v>-179.8</v>
      </c>
      <c r="K239" s="19">
        <v>0</v>
      </c>
      <c r="L239" s="19">
        <v>-179.8</v>
      </c>
      <c r="M239" s="19">
        <v>719.2</v>
      </c>
      <c r="N239" s="19">
        <v>34.25</v>
      </c>
      <c r="O239" s="19">
        <v>5</v>
      </c>
      <c r="P239" s="19" t="s">
        <v>290</v>
      </c>
      <c r="Q239" s="19">
        <v>50157523</v>
      </c>
      <c r="R239" s="19" t="s">
        <v>57</v>
      </c>
      <c r="S239" s="19">
        <v>50000003</v>
      </c>
      <c r="T239" s="19"/>
      <c r="U239" s="19" t="s">
        <v>58</v>
      </c>
      <c r="V239" s="18">
        <v>0</v>
      </c>
      <c r="W239" s="17">
        <f t="shared" si="8"/>
        <v>17</v>
      </c>
      <c r="X239" s="5">
        <f t="shared" si="9"/>
        <v>0</v>
      </c>
    </row>
    <row r="240" spans="1:24" x14ac:dyDescent="0.25">
      <c r="A240" s="19">
        <v>26</v>
      </c>
      <c r="B240" s="19" t="s">
        <v>55</v>
      </c>
      <c r="C240" s="19" t="s">
        <v>56</v>
      </c>
      <c r="D240" s="19" t="s">
        <v>289</v>
      </c>
      <c r="E240" s="21">
        <v>46291.72965277778</v>
      </c>
      <c r="F240" s="19">
        <v>2</v>
      </c>
      <c r="G240" s="19">
        <v>194735367870</v>
      </c>
      <c r="H240" s="19">
        <v>1</v>
      </c>
      <c r="I240" s="19">
        <v>899</v>
      </c>
      <c r="J240" s="19">
        <v>-179.8</v>
      </c>
      <c r="K240" s="19">
        <v>0</v>
      </c>
      <c r="L240" s="19">
        <v>-179.8</v>
      </c>
      <c r="M240" s="19">
        <v>719.2</v>
      </c>
      <c r="N240" s="19">
        <v>34.25</v>
      </c>
      <c r="O240" s="19">
        <v>5</v>
      </c>
      <c r="P240" s="19" t="s">
        <v>290</v>
      </c>
      <c r="Q240" s="19">
        <v>50157523</v>
      </c>
      <c r="R240" s="19" t="s">
        <v>57</v>
      </c>
      <c r="S240" s="19">
        <v>50000003</v>
      </c>
      <c r="T240" s="19"/>
      <c r="U240" s="19" t="s">
        <v>58</v>
      </c>
      <c r="V240" s="18">
        <v>0</v>
      </c>
      <c r="W240" s="17">
        <f t="shared" si="8"/>
        <v>17</v>
      </c>
      <c r="X240" s="5">
        <f t="shared" si="9"/>
        <v>0</v>
      </c>
    </row>
    <row r="241" spans="1:24" x14ac:dyDescent="0.25">
      <c r="A241" s="19">
        <v>26</v>
      </c>
      <c r="B241" s="19" t="s">
        <v>55</v>
      </c>
      <c r="C241" s="19" t="s">
        <v>56</v>
      </c>
      <c r="D241" s="19" t="s">
        <v>289</v>
      </c>
      <c r="E241" s="21">
        <v>46291.72965277778</v>
      </c>
      <c r="F241" s="19">
        <v>2</v>
      </c>
      <c r="G241" s="19">
        <v>194735367870</v>
      </c>
      <c r="H241" s="19">
        <v>1</v>
      </c>
      <c r="I241" s="19">
        <v>899</v>
      </c>
      <c r="J241" s="19">
        <v>-179.8</v>
      </c>
      <c r="K241" s="19">
        <v>0</v>
      </c>
      <c r="L241" s="19">
        <v>-179.8</v>
      </c>
      <c r="M241" s="19">
        <v>719.2</v>
      </c>
      <c r="N241" s="19">
        <v>34.25</v>
      </c>
      <c r="O241" s="19">
        <v>5</v>
      </c>
      <c r="P241" s="19" t="s">
        <v>290</v>
      </c>
      <c r="Q241" s="19">
        <v>50157523</v>
      </c>
      <c r="R241" s="19" t="s">
        <v>57</v>
      </c>
      <c r="S241" s="19">
        <v>50000003</v>
      </c>
      <c r="T241" s="19"/>
      <c r="U241" s="19" t="s">
        <v>58</v>
      </c>
      <c r="V241" s="18">
        <v>0</v>
      </c>
      <c r="W241" s="17">
        <f t="shared" si="8"/>
        <v>17</v>
      </c>
      <c r="X241" s="5">
        <f t="shared" si="9"/>
        <v>0</v>
      </c>
    </row>
    <row r="242" spans="1:24" x14ac:dyDescent="0.25">
      <c r="A242" s="19">
        <v>26</v>
      </c>
      <c r="B242" s="19" t="s">
        <v>55</v>
      </c>
      <c r="C242" s="19" t="s">
        <v>56</v>
      </c>
      <c r="D242" s="19" t="s">
        <v>289</v>
      </c>
      <c r="E242" s="21">
        <v>46291.72965277778</v>
      </c>
      <c r="F242" s="19">
        <v>2</v>
      </c>
      <c r="G242" s="19">
        <v>194735367870</v>
      </c>
      <c r="H242" s="19">
        <v>1</v>
      </c>
      <c r="I242" s="19">
        <v>899</v>
      </c>
      <c r="J242" s="19">
        <v>-179.8</v>
      </c>
      <c r="K242" s="19">
        <v>0</v>
      </c>
      <c r="L242" s="19">
        <v>-179.8</v>
      </c>
      <c r="M242" s="19">
        <v>719.2</v>
      </c>
      <c r="N242" s="19">
        <v>34.25</v>
      </c>
      <c r="O242" s="19">
        <v>5</v>
      </c>
      <c r="P242" s="19" t="s">
        <v>290</v>
      </c>
      <c r="Q242" s="19">
        <v>50157523</v>
      </c>
      <c r="R242" s="19" t="s">
        <v>57</v>
      </c>
      <c r="S242" s="19">
        <v>50000003</v>
      </c>
      <c r="T242" s="19"/>
      <c r="U242" s="19" t="s">
        <v>58</v>
      </c>
      <c r="V242" s="18">
        <v>0</v>
      </c>
      <c r="W242" s="17">
        <f t="shared" si="8"/>
        <v>17</v>
      </c>
      <c r="X242" s="5">
        <f t="shared" si="9"/>
        <v>0</v>
      </c>
    </row>
    <row r="243" spans="1:24" x14ac:dyDescent="0.25">
      <c r="A243" s="19">
        <v>26</v>
      </c>
      <c r="B243" s="19" t="s">
        <v>55</v>
      </c>
      <c r="C243" s="19" t="s">
        <v>56</v>
      </c>
      <c r="D243" s="19" t="s">
        <v>289</v>
      </c>
      <c r="E243" s="21">
        <v>46291.72965277778</v>
      </c>
      <c r="F243" s="19">
        <v>2</v>
      </c>
      <c r="G243" s="19">
        <v>194735367870</v>
      </c>
      <c r="H243" s="19">
        <v>1</v>
      </c>
      <c r="I243" s="19">
        <v>899</v>
      </c>
      <c r="J243" s="19">
        <v>-179.8</v>
      </c>
      <c r="K243" s="19">
        <v>0</v>
      </c>
      <c r="L243" s="19">
        <v>-179.8</v>
      </c>
      <c r="M243" s="19">
        <v>719.2</v>
      </c>
      <c r="N243" s="19">
        <v>34.25</v>
      </c>
      <c r="O243" s="19">
        <v>5</v>
      </c>
      <c r="P243" s="19" t="s">
        <v>290</v>
      </c>
      <c r="Q243" s="19">
        <v>50157523</v>
      </c>
      <c r="R243" s="19" t="s">
        <v>57</v>
      </c>
      <c r="S243" s="19">
        <v>50000003</v>
      </c>
      <c r="T243" s="19"/>
      <c r="U243" s="19" t="s">
        <v>58</v>
      </c>
      <c r="V243" s="18">
        <v>0</v>
      </c>
      <c r="W243" s="17">
        <f t="shared" si="8"/>
        <v>17</v>
      </c>
      <c r="X243" s="5">
        <f t="shared" si="9"/>
        <v>0</v>
      </c>
    </row>
    <row r="244" spans="1:24" x14ac:dyDescent="0.25">
      <c r="A244" s="19">
        <v>26</v>
      </c>
      <c r="B244" s="19" t="s">
        <v>55</v>
      </c>
      <c r="C244" s="19" t="s">
        <v>56</v>
      </c>
      <c r="D244" s="19" t="s">
        <v>289</v>
      </c>
      <c r="E244" s="21">
        <v>46291.72965277778</v>
      </c>
      <c r="F244" s="19">
        <v>2</v>
      </c>
      <c r="G244" s="19">
        <v>194735367870</v>
      </c>
      <c r="H244" s="19">
        <v>1</v>
      </c>
      <c r="I244" s="19">
        <v>899</v>
      </c>
      <c r="J244" s="19">
        <v>-179.8</v>
      </c>
      <c r="K244" s="19">
        <v>0</v>
      </c>
      <c r="L244" s="19">
        <v>-179.8</v>
      </c>
      <c r="M244" s="19">
        <v>719.2</v>
      </c>
      <c r="N244" s="19">
        <v>34.25</v>
      </c>
      <c r="O244" s="19">
        <v>5</v>
      </c>
      <c r="P244" s="19" t="s">
        <v>290</v>
      </c>
      <c r="Q244" s="19">
        <v>50157523</v>
      </c>
      <c r="R244" s="19" t="s">
        <v>57</v>
      </c>
      <c r="S244" s="19">
        <v>50000003</v>
      </c>
      <c r="T244" s="19"/>
      <c r="U244" s="19" t="s">
        <v>58</v>
      </c>
      <c r="V244" s="18">
        <v>0</v>
      </c>
      <c r="W244" s="17">
        <f t="shared" si="8"/>
        <v>17</v>
      </c>
      <c r="X244" s="5">
        <f t="shared" si="9"/>
        <v>0</v>
      </c>
    </row>
    <row r="245" spans="1:24" x14ac:dyDescent="0.25">
      <c r="A245" s="19">
        <v>26</v>
      </c>
      <c r="B245" s="19" t="s">
        <v>55</v>
      </c>
      <c r="C245" s="19" t="s">
        <v>56</v>
      </c>
      <c r="D245" s="19" t="s">
        <v>289</v>
      </c>
      <c r="E245" s="21">
        <v>46291.72965277778</v>
      </c>
      <c r="F245" s="19">
        <v>2</v>
      </c>
      <c r="G245" s="19">
        <v>194735367870</v>
      </c>
      <c r="H245" s="19">
        <v>1</v>
      </c>
      <c r="I245" s="19">
        <v>899</v>
      </c>
      <c r="J245" s="19">
        <v>-179.8</v>
      </c>
      <c r="K245" s="19">
        <v>0</v>
      </c>
      <c r="L245" s="19">
        <v>-179.8</v>
      </c>
      <c r="M245" s="19">
        <v>719.2</v>
      </c>
      <c r="N245" s="19">
        <v>34.25</v>
      </c>
      <c r="O245" s="19">
        <v>5</v>
      </c>
      <c r="P245" s="19" t="s">
        <v>290</v>
      </c>
      <c r="Q245" s="19">
        <v>50157523</v>
      </c>
      <c r="R245" s="19" t="s">
        <v>57</v>
      </c>
      <c r="S245" s="19">
        <v>50000003</v>
      </c>
      <c r="T245" s="19"/>
      <c r="U245" s="19" t="s">
        <v>58</v>
      </c>
      <c r="V245" s="18">
        <v>0</v>
      </c>
      <c r="W245" s="17">
        <f t="shared" si="8"/>
        <v>17</v>
      </c>
      <c r="X245" s="5">
        <f t="shared" si="9"/>
        <v>0</v>
      </c>
    </row>
    <row r="246" spans="1:24" x14ac:dyDescent="0.25">
      <c r="A246" s="19">
        <v>26</v>
      </c>
      <c r="B246" s="19" t="s">
        <v>55</v>
      </c>
      <c r="C246" s="19" t="s">
        <v>56</v>
      </c>
      <c r="D246" s="19" t="s">
        <v>289</v>
      </c>
      <c r="E246" s="21">
        <v>46291.72965277778</v>
      </c>
      <c r="F246" s="19">
        <v>2</v>
      </c>
      <c r="G246" s="19">
        <v>194735367870</v>
      </c>
      <c r="H246" s="19">
        <v>1</v>
      </c>
      <c r="I246" s="19">
        <v>899</v>
      </c>
      <c r="J246" s="19">
        <v>-179.8</v>
      </c>
      <c r="K246" s="19">
        <v>0</v>
      </c>
      <c r="L246" s="19">
        <v>-179.8</v>
      </c>
      <c r="M246" s="19">
        <v>719.2</v>
      </c>
      <c r="N246" s="19">
        <v>34.25</v>
      </c>
      <c r="O246" s="19">
        <v>5</v>
      </c>
      <c r="P246" s="19" t="s">
        <v>290</v>
      </c>
      <c r="Q246" s="19">
        <v>50157523</v>
      </c>
      <c r="R246" s="19" t="s">
        <v>57</v>
      </c>
      <c r="S246" s="19">
        <v>50000003</v>
      </c>
      <c r="T246" s="19"/>
      <c r="U246" s="19" t="s">
        <v>58</v>
      </c>
      <c r="V246" s="18">
        <v>0</v>
      </c>
      <c r="W246" s="17">
        <f t="shared" si="8"/>
        <v>17</v>
      </c>
      <c r="X246" s="5">
        <f t="shared" si="9"/>
        <v>0</v>
      </c>
    </row>
    <row r="247" spans="1:24" x14ac:dyDescent="0.25">
      <c r="A247" s="19">
        <v>26</v>
      </c>
      <c r="B247" s="19" t="s">
        <v>55</v>
      </c>
      <c r="C247" s="19" t="s">
        <v>56</v>
      </c>
      <c r="D247" s="19" t="s">
        <v>289</v>
      </c>
      <c r="E247" s="21">
        <v>46291.72965277778</v>
      </c>
      <c r="F247" s="19">
        <v>2</v>
      </c>
      <c r="G247" s="19">
        <v>194735367870</v>
      </c>
      <c r="H247" s="19">
        <v>1</v>
      </c>
      <c r="I247" s="19">
        <v>899</v>
      </c>
      <c r="J247" s="19">
        <v>-179.8</v>
      </c>
      <c r="K247" s="19">
        <v>0</v>
      </c>
      <c r="L247" s="19">
        <v>-179.8</v>
      </c>
      <c r="M247" s="19">
        <v>719.2</v>
      </c>
      <c r="N247" s="19">
        <v>34.25</v>
      </c>
      <c r="O247" s="19">
        <v>5</v>
      </c>
      <c r="P247" s="19" t="s">
        <v>290</v>
      </c>
      <c r="Q247" s="19">
        <v>50157523</v>
      </c>
      <c r="R247" s="19" t="s">
        <v>57</v>
      </c>
      <c r="S247" s="19">
        <v>50000003</v>
      </c>
      <c r="T247" s="19"/>
      <c r="U247" s="19" t="s">
        <v>58</v>
      </c>
      <c r="V247" s="18">
        <v>0</v>
      </c>
      <c r="W247" s="17">
        <f t="shared" si="8"/>
        <v>17</v>
      </c>
      <c r="X247" s="5">
        <f t="shared" si="9"/>
        <v>0</v>
      </c>
    </row>
    <row r="248" spans="1:24" x14ac:dyDescent="0.25">
      <c r="A248" s="19">
        <v>26</v>
      </c>
      <c r="B248" s="19" t="s">
        <v>55</v>
      </c>
      <c r="C248" s="19" t="s">
        <v>56</v>
      </c>
      <c r="D248" s="19" t="s">
        <v>289</v>
      </c>
      <c r="E248" s="21">
        <v>46291.72965277778</v>
      </c>
      <c r="F248" s="19">
        <v>2</v>
      </c>
      <c r="G248" s="19">
        <v>194735367870</v>
      </c>
      <c r="H248" s="19">
        <v>1</v>
      </c>
      <c r="I248" s="19">
        <v>899</v>
      </c>
      <c r="J248" s="19">
        <v>-179.8</v>
      </c>
      <c r="K248" s="19">
        <v>0</v>
      </c>
      <c r="L248" s="19">
        <v>-179.8</v>
      </c>
      <c r="M248" s="19">
        <v>719.2</v>
      </c>
      <c r="N248" s="19">
        <v>34.25</v>
      </c>
      <c r="O248" s="19">
        <v>5</v>
      </c>
      <c r="P248" s="19" t="s">
        <v>290</v>
      </c>
      <c r="Q248" s="19">
        <v>50157523</v>
      </c>
      <c r="R248" s="19" t="s">
        <v>57</v>
      </c>
      <c r="S248" s="19">
        <v>50000003</v>
      </c>
      <c r="T248" s="19"/>
      <c r="U248" s="19" t="s">
        <v>58</v>
      </c>
      <c r="V248" s="18">
        <v>0</v>
      </c>
      <c r="W248" s="17">
        <f t="shared" si="8"/>
        <v>17</v>
      </c>
      <c r="X248" s="5">
        <f t="shared" si="9"/>
        <v>0</v>
      </c>
    </row>
    <row r="249" spans="1:24" x14ac:dyDescent="0.25">
      <c r="A249" s="19">
        <v>26</v>
      </c>
      <c r="B249" s="19" t="s">
        <v>55</v>
      </c>
      <c r="C249" s="19" t="s">
        <v>56</v>
      </c>
      <c r="D249" s="19" t="s">
        <v>289</v>
      </c>
      <c r="E249" s="21">
        <v>46291.72965277778</v>
      </c>
      <c r="F249" s="19">
        <v>2</v>
      </c>
      <c r="G249" s="19">
        <v>194735367870</v>
      </c>
      <c r="H249" s="19">
        <v>1</v>
      </c>
      <c r="I249" s="19">
        <v>899</v>
      </c>
      <c r="J249" s="19">
        <v>-179.8</v>
      </c>
      <c r="K249" s="19">
        <v>0</v>
      </c>
      <c r="L249" s="19">
        <v>-179.8</v>
      </c>
      <c r="M249" s="19">
        <v>719.2</v>
      </c>
      <c r="N249" s="19">
        <v>34.25</v>
      </c>
      <c r="O249" s="19">
        <v>5</v>
      </c>
      <c r="P249" s="19" t="s">
        <v>290</v>
      </c>
      <c r="Q249" s="19">
        <v>50157523</v>
      </c>
      <c r="R249" s="19" t="s">
        <v>57</v>
      </c>
      <c r="S249" s="19">
        <v>50000003</v>
      </c>
      <c r="T249" s="19"/>
      <c r="U249" s="19" t="s">
        <v>58</v>
      </c>
      <c r="V249" s="18">
        <v>0</v>
      </c>
      <c r="W249" s="17">
        <f t="shared" si="8"/>
        <v>17</v>
      </c>
      <c r="X249" s="5">
        <f t="shared" si="9"/>
        <v>0</v>
      </c>
    </row>
    <row r="250" spans="1:24" x14ac:dyDescent="0.25">
      <c r="A250" s="19">
        <v>26</v>
      </c>
      <c r="B250" s="19" t="s">
        <v>55</v>
      </c>
      <c r="C250" s="19" t="s">
        <v>56</v>
      </c>
      <c r="D250" s="19" t="s">
        <v>289</v>
      </c>
      <c r="E250" s="21">
        <v>46291.72965277778</v>
      </c>
      <c r="F250" s="19">
        <v>2</v>
      </c>
      <c r="G250" s="19">
        <v>194735367870</v>
      </c>
      <c r="H250" s="19">
        <v>1</v>
      </c>
      <c r="I250" s="19">
        <v>899</v>
      </c>
      <c r="J250" s="19">
        <v>-179.8</v>
      </c>
      <c r="K250" s="19">
        <v>0</v>
      </c>
      <c r="L250" s="19">
        <v>-179.8</v>
      </c>
      <c r="M250" s="19">
        <v>719.2</v>
      </c>
      <c r="N250" s="19">
        <v>34.25</v>
      </c>
      <c r="O250" s="19">
        <v>5</v>
      </c>
      <c r="P250" s="19" t="s">
        <v>290</v>
      </c>
      <c r="Q250" s="19">
        <v>50157523</v>
      </c>
      <c r="R250" s="19" t="s">
        <v>57</v>
      </c>
      <c r="S250" s="19">
        <v>50000003</v>
      </c>
      <c r="T250" s="19"/>
      <c r="U250" s="19" t="s">
        <v>58</v>
      </c>
      <c r="V250" s="18">
        <v>0</v>
      </c>
      <c r="W250" s="17">
        <f t="shared" si="8"/>
        <v>17</v>
      </c>
      <c r="X250" s="5">
        <f t="shared" si="9"/>
        <v>0</v>
      </c>
    </row>
    <row r="251" spans="1:24" x14ac:dyDescent="0.25">
      <c r="A251" s="19">
        <v>26</v>
      </c>
      <c r="B251" s="19" t="s">
        <v>55</v>
      </c>
      <c r="C251" s="19" t="s">
        <v>56</v>
      </c>
      <c r="D251" s="19" t="s">
        <v>289</v>
      </c>
      <c r="E251" s="21">
        <v>46291.72965277778</v>
      </c>
      <c r="F251" s="19">
        <v>2</v>
      </c>
      <c r="G251" s="19">
        <v>194735367870</v>
      </c>
      <c r="H251" s="19">
        <v>1</v>
      </c>
      <c r="I251" s="19">
        <v>899</v>
      </c>
      <c r="J251" s="19">
        <v>-179.8</v>
      </c>
      <c r="K251" s="19">
        <v>0</v>
      </c>
      <c r="L251" s="19">
        <v>-179.8</v>
      </c>
      <c r="M251" s="19">
        <v>719.2</v>
      </c>
      <c r="N251" s="19">
        <v>34.25</v>
      </c>
      <c r="O251" s="19">
        <v>5</v>
      </c>
      <c r="P251" s="19" t="s">
        <v>290</v>
      </c>
      <c r="Q251" s="19">
        <v>50157523</v>
      </c>
      <c r="R251" s="19" t="s">
        <v>57</v>
      </c>
      <c r="S251" s="19">
        <v>50000003</v>
      </c>
      <c r="T251" s="19"/>
      <c r="U251" s="19" t="s">
        <v>58</v>
      </c>
      <c r="V251" s="18">
        <v>0</v>
      </c>
      <c r="W251" s="17">
        <f t="shared" si="8"/>
        <v>17</v>
      </c>
      <c r="X251" s="5">
        <f t="shared" si="9"/>
        <v>0</v>
      </c>
    </row>
    <row r="252" spans="1:24" x14ac:dyDescent="0.25">
      <c r="A252" s="19">
        <v>26</v>
      </c>
      <c r="B252" s="19" t="s">
        <v>55</v>
      </c>
      <c r="C252" s="19" t="s">
        <v>56</v>
      </c>
      <c r="D252" s="19" t="s">
        <v>289</v>
      </c>
      <c r="E252" s="21">
        <v>46291.72965277778</v>
      </c>
      <c r="F252" s="19">
        <v>2</v>
      </c>
      <c r="G252" s="19">
        <v>194735367870</v>
      </c>
      <c r="H252" s="19">
        <v>1</v>
      </c>
      <c r="I252" s="19">
        <v>899</v>
      </c>
      <c r="J252" s="19">
        <v>-179.8</v>
      </c>
      <c r="K252" s="19">
        <v>0</v>
      </c>
      <c r="L252" s="19">
        <v>-179.8</v>
      </c>
      <c r="M252" s="19">
        <v>719.2</v>
      </c>
      <c r="N252" s="19">
        <v>34.25</v>
      </c>
      <c r="O252" s="19">
        <v>5</v>
      </c>
      <c r="P252" s="19" t="s">
        <v>290</v>
      </c>
      <c r="Q252" s="19">
        <v>50157523</v>
      </c>
      <c r="R252" s="19" t="s">
        <v>57</v>
      </c>
      <c r="S252" s="19">
        <v>50000003</v>
      </c>
      <c r="T252" s="19"/>
      <c r="U252" s="19" t="s">
        <v>58</v>
      </c>
      <c r="V252" s="18">
        <v>0</v>
      </c>
      <c r="W252" s="17">
        <f t="shared" si="8"/>
        <v>17</v>
      </c>
      <c r="X252" s="5">
        <f t="shared" si="9"/>
        <v>0</v>
      </c>
    </row>
    <row r="253" spans="1:24" x14ac:dyDescent="0.25">
      <c r="A253" s="19">
        <v>26</v>
      </c>
      <c r="B253" s="19" t="s">
        <v>55</v>
      </c>
      <c r="C253" s="19" t="s">
        <v>56</v>
      </c>
      <c r="D253" s="19" t="s">
        <v>289</v>
      </c>
      <c r="E253" s="21">
        <v>46291.72965277778</v>
      </c>
      <c r="F253" s="19">
        <v>2</v>
      </c>
      <c r="G253" s="19">
        <v>194735367870</v>
      </c>
      <c r="H253" s="19">
        <v>1</v>
      </c>
      <c r="I253" s="19">
        <v>899</v>
      </c>
      <c r="J253" s="19">
        <v>-179.8</v>
      </c>
      <c r="K253" s="19">
        <v>0</v>
      </c>
      <c r="L253" s="19">
        <v>-179.8</v>
      </c>
      <c r="M253" s="19">
        <v>719.2</v>
      </c>
      <c r="N253" s="19">
        <v>34.25</v>
      </c>
      <c r="O253" s="19">
        <v>5</v>
      </c>
      <c r="P253" s="19" t="s">
        <v>290</v>
      </c>
      <c r="Q253" s="19">
        <v>50157523</v>
      </c>
      <c r="R253" s="19" t="s">
        <v>57</v>
      </c>
      <c r="S253" s="19">
        <v>50000003</v>
      </c>
      <c r="T253" s="19"/>
      <c r="U253" s="19" t="s">
        <v>58</v>
      </c>
      <c r="V253" s="18">
        <v>0</v>
      </c>
      <c r="W253" s="17">
        <f t="shared" si="8"/>
        <v>17</v>
      </c>
      <c r="X253" s="5">
        <f t="shared" si="9"/>
        <v>0</v>
      </c>
    </row>
    <row r="254" spans="1:24" x14ac:dyDescent="0.25">
      <c r="A254" s="19">
        <v>26</v>
      </c>
      <c r="B254" s="19" t="s">
        <v>55</v>
      </c>
      <c r="C254" s="19" t="s">
        <v>56</v>
      </c>
      <c r="D254" s="19" t="s">
        <v>289</v>
      </c>
      <c r="E254" s="21">
        <v>46291.72965277778</v>
      </c>
      <c r="F254" s="19">
        <v>2</v>
      </c>
      <c r="G254" s="19">
        <v>194735367870</v>
      </c>
      <c r="H254" s="19">
        <v>1</v>
      </c>
      <c r="I254" s="19">
        <v>899</v>
      </c>
      <c r="J254" s="19">
        <v>-179.8</v>
      </c>
      <c r="K254" s="19">
        <v>0</v>
      </c>
      <c r="L254" s="19">
        <v>-179.8</v>
      </c>
      <c r="M254" s="19">
        <v>719.2</v>
      </c>
      <c r="N254" s="19">
        <v>34.25</v>
      </c>
      <c r="O254" s="19">
        <v>5</v>
      </c>
      <c r="P254" s="19" t="s">
        <v>290</v>
      </c>
      <c r="Q254" s="19">
        <v>50157523</v>
      </c>
      <c r="R254" s="19" t="s">
        <v>57</v>
      </c>
      <c r="S254" s="19">
        <v>50000003</v>
      </c>
      <c r="T254" s="19"/>
      <c r="U254" s="19" t="s">
        <v>58</v>
      </c>
      <c r="V254" s="18">
        <v>0</v>
      </c>
      <c r="W254" s="17">
        <f t="shared" si="8"/>
        <v>17</v>
      </c>
      <c r="X254" s="5">
        <f t="shared" si="9"/>
        <v>0</v>
      </c>
    </row>
    <row r="255" spans="1:24" x14ac:dyDescent="0.25">
      <c r="A255" s="19">
        <v>26</v>
      </c>
      <c r="B255" s="19" t="s">
        <v>55</v>
      </c>
      <c r="C255" s="19" t="s">
        <v>56</v>
      </c>
      <c r="D255" s="19" t="s">
        <v>289</v>
      </c>
      <c r="E255" s="21">
        <v>46291.72965277778</v>
      </c>
      <c r="F255" s="19">
        <v>2</v>
      </c>
      <c r="G255" s="19">
        <v>194735367870</v>
      </c>
      <c r="H255" s="19">
        <v>1</v>
      </c>
      <c r="I255" s="19">
        <v>899</v>
      </c>
      <c r="J255" s="19">
        <v>-179.8</v>
      </c>
      <c r="K255" s="19">
        <v>0</v>
      </c>
      <c r="L255" s="19">
        <v>-179.8</v>
      </c>
      <c r="M255" s="19">
        <v>719.2</v>
      </c>
      <c r="N255" s="19">
        <v>34.25</v>
      </c>
      <c r="O255" s="19">
        <v>5</v>
      </c>
      <c r="P255" s="19" t="s">
        <v>290</v>
      </c>
      <c r="Q255" s="19">
        <v>50157523</v>
      </c>
      <c r="R255" s="19" t="s">
        <v>57</v>
      </c>
      <c r="S255" s="19">
        <v>50000003</v>
      </c>
      <c r="T255" s="19"/>
      <c r="U255" s="19" t="s">
        <v>58</v>
      </c>
      <c r="V255" s="18">
        <v>0</v>
      </c>
      <c r="W255" s="17">
        <f t="shared" si="8"/>
        <v>17</v>
      </c>
      <c r="X255" s="5">
        <f t="shared" si="9"/>
        <v>0</v>
      </c>
    </row>
    <row r="256" spans="1:24" x14ac:dyDescent="0.25">
      <c r="A256" s="19">
        <v>26</v>
      </c>
      <c r="B256" s="19" t="s">
        <v>55</v>
      </c>
      <c r="C256" s="19" t="s">
        <v>56</v>
      </c>
      <c r="D256" s="19" t="s">
        <v>289</v>
      </c>
      <c r="E256" s="21">
        <v>46291.72965277778</v>
      </c>
      <c r="F256" s="19">
        <v>2</v>
      </c>
      <c r="G256" s="19">
        <v>194735367870</v>
      </c>
      <c r="H256" s="19">
        <v>1</v>
      </c>
      <c r="I256" s="19">
        <v>899</v>
      </c>
      <c r="J256" s="19">
        <v>-179.8</v>
      </c>
      <c r="K256" s="19">
        <v>0</v>
      </c>
      <c r="L256" s="19">
        <v>-179.8</v>
      </c>
      <c r="M256" s="19">
        <v>719.2</v>
      </c>
      <c r="N256" s="19">
        <v>34.25</v>
      </c>
      <c r="O256" s="19">
        <v>5</v>
      </c>
      <c r="P256" s="19" t="s">
        <v>290</v>
      </c>
      <c r="Q256" s="19">
        <v>50157523</v>
      </c>
      <c r="R256" s="19" t="s">
        <v>57</v>
      </c>
      <c r="S256" s="19">
        <v>50000003</v>
      </c>
      <c r="T256" s="19"/>
      <c r="U256" s="19" t="s">
        <v>58</v>
      </c>
      <c r="V256" s="18">
        <v>0</v>
      </c>
      <c r="W256" s="17">
        <f t="shared" si="8"/>
        <v>17</v>
      </c>
      <c r="X256" s="5">
        <f t="shared" si="9"/>
        <v>0</v>
      </c>
    </row>
    <row r="257" spans="1:24" x14ac:dyDescent="0.25">
      <c r="A257" s="19">
        <v>26</v>
      </c>
      <c r="B257" s="19" t="s">
        <v>55</v>
      </c>
      <c r="C257" s="19" t="s">
        <v>56</v>
      </c>
      <c r="D257" s="19" t="s">
        <v>289</v>
      </c>
      <c r="E257" s="21">
        <v>46291.72965277778</v>
      </c>
      <c r="F257" s="19">
        <v>2</v>
      </c>
      <c r="G257" s="19">
        <v>194735367870</v>
      </c>
      <c r="H257" s="19">
        <v>1</v>
      </c>
      <c r="I257" s="19">
        <v>899</v>
      </c>
      <c r="J257" s="19">
        <v>-179.8</v>
      </c>
      <c r="K257" s="19">
        <v>0</v>
      </c>
      <c r="L257" s="19">
        <v>-179.8</v>
      </c>
      <c r="M257" s="19">
        <v>719.2</v>
      </c>
      <c r="N257" s="19">
        <v>34.25</v>
      </c>
      <c r="O257" s="19">
        <v>5</v>
      </c>
      <c r="P257" s="19" t="s">
        <v>290</v>
      </c>
      <c r="Q257" s="19">
        <v>50157523</v>
      </c>
      <c r="R257" s="19" t="s">
        <v>57</v>
      </c>
      <c r="S257" s="19">
        <v>50000003</v>
      </c>
      <c r="T257" s="19"/>
      <c r="U257" s="19" t="s">
        <v>58</v>
      </c>
      <c r="V257" s="18">
        <v>0</v>
      </c>
      <c r="W257" s="17">
        <f t="shared" si="8"/>
        <v>17</v>
      </c>
      <c r="X257" s="5">
        <f t="shared" si="9"/>
        <v>0</v>
      </c>
    </row>
    <row r="258" spans="1:24" x14ac:dyDescent="0.25">
      <c r="A258" s="19">
        <v>26</v>
      </c>
      <c r="B258" s="19" t="s">
        <v>55</v>
      </c>
      <c r="C258" s="19" t="s">
        <v>56</v>
      </c>
      <c r="D258" s="19" t="s">
        <v>289</v>
      </c>
      <c r="E258" s="21">
        <v>46291.72965277778</v>
      </c>
      <c r="F258" s="19">
        <v>2</v>
      </c>
      <c r="G258" s="19">
        <v>194735367870</v>
      </c>
      <c r="H258" s="19">
        <v>1</v>
      </c>
      <c r="I258" s="19">
        <v>899</v>
      </c>
      <c r="J258" s="19">
        <v>-179.8</v>
      </c>
      <c r="K258" s="19">
        <v>0</v>
      </c>
      <c r="L258" s="19">
        <v>-179.8</v>
      </c>
      <c r="M258" s="19">
        <v>719.2</v>
      </c>
      <c r="N258" s="19">
        <v>34.25</v>
      </c>
      <c r="O258" s="19">
        <v>5</v>
      </c>
      <c r="P258" s="19" t="s">
        <v>290</v>
      </c>
      <c r="Q258" s="19">
        <v>50157523</v>
      </c>
      <c r="R258" s="19" t="s">
        <v>57</v>
      </c>
      <c r="S258" s="19">
        <v>50000003</v>
      </c>
      <c r="T258" s="19"/>
      <c r="U258" s="19" t="s">
        <v>58</v>
      </c>
      <c r="V258" s="18">
        <v>0</v>
      </c>
      <c r="W258" s="17">
        <f t="shared" si="8"/>
        <v>17</v>
      </c>
      <c r="X258" s="5">
        <f t="shared" si="9"/>
        <v>0</v>
      </c>
    </row>
    <row r="259" spans="1:24" x14ac:dyDescent="0.25">
      <c r="A259" s="19">
        <v>26</v>
      </c>
      <c r="B259" s="19" t="s">
        <v>55</v>
      </c>
      <c r="C259" s="19" t="s">
        <v>56</v>
      </c>
      <c r="D259" s="19" t="s">
        <v>289</v>
      </c>
      <c r="E259" s="21">
        <v>46291.72965277778</v>
      </c>
      <c r="F259" s="19">
        <v>2</v>
      </c>
      <c r="G259" s="19">
        <v>194735367870</v>
      </c>
      <c r="H259" s="19">
        <v>1</v>
      </c>
      <c r="I259" s="19">
        <v>899</v>
      </c>
      <c r="J259" s="19">
        <v>-179.8</v>
      </c>
      <c r="K259" s="19">
        <v>0</v>
      </c>
      <c r="L259" s="19">
        <v>-179.8</v>
      </c>
      <c r="M259" s="19">
        <v>719.2</v>
      </c>
      <c r="N259" s="19">
        <v>34.25</v>
      </c>
      <c r="O259" s="19">
        <v>5</v>
      </c>
      <c r="P259" s="19" t="s">
        <v>290</v>
      </c>
      <c r="Q259" s="19">
        <v>50157523</v>
      </c>
      <c r="R259" s="19" t="s">
        <v>57</v>
      </c>
      <c r="S259" s="19">
        <v>50000003</v>
      </c>
      <c r="T259" s="19"/>
      <c r="U259" s="19" t="s">
        <v>58</v>
      </c>
      <c r="V259" s="18">
        <v>0</v>
      </c>
      <c r="W259" s="17">
        <f t="shared" ref="W259:W322" si="10">HOUR(E259)</f>
        <v>17</v>
      </c>
      <c r="X259" s="5">
        <f t="shared" ref="X259:X322" si="11">IF(D259=D258,0,1)</f>
        <v>0</v>
      </c>
    </row>
    <row r="260" spans="1:24" x14ac:dyDescent="0.25">
      <c r="A260" s="19">
        <v>26</v>
      </c>
      <c r="B260" s="19" t="s">
        <v>55</v>
      </c>
      <c r="C260" s="19" t="s">
        <v>56</v>
      </c>
      <c r="D260" s="19" t="s">
        <v>289</v>
      </c>
      <c r="E260" s="21">
        <v>46291.72965277778</v>
      </c>
      <c r="F260" s="19">
        <v>2</v>
      </c>
      <c r="G260" s="19">
        <v>194735367870</v>
      </c>
      <c r="H260" s="19">
        <v>1</v>
      </c>
      <c r="I260" s="19">
        <v>899</v>
      </c>
      <c r="J260" s="19">
        <v>-179.8</v>
      </c>
      <c r="K260" s="19">
        <v>0</v>
      </c>
      <c r="L260" s="19">
        <v>-179.8</v>
      </c>
      <c r="M260" s="19">
        <v>719.2</v>
      </c>
      <c r="N260" s="19">
        <v>34.25</v>
      </c>
      <c r="O260" s="19">
        <v>5</v>
      </c>
      <c r="P260" s="19" t="s">
        <v>290</v>
      </c>
      <c r="Q260" s="19">
        <v>50157523</v>
      </c>
      <c r="R260" s="19" t="s">
        <v>57</v>
      </c>
      <c r="S260" s="19">
        <v>50000003</v>
      </c>
      <c r="T260" s="19"/>
      <c r="U260" s="19" t="s">
        <v>58</v>
      </c>
      <c r="V260" s="18">
        <v>0</v>
      </c>
      <c r="W260" s="17">
        <f t="shared" si="10"/>
        <v>17</v>
      </c>
      <c r="X260" s="5">
        <f t="shared" si="11"/>
        <v>0</v>
      </c>
    </row>
    <row r="261" spans="1:24" x14ac:dyDescent="0.25">
      <c r="A261" s="19">
        <v>26</v>
      </c>
      <c r="B261" s="19" t="s">
        <v>55</v>
      </c>
      <c r="C261" s="19" t="s">
        <v>56</v>
      </c>
      <c r="D261" s="19" t="s">
        <v>289</v>
      </c>
      <c r="E261" s="21">
        <v>46291.72965277778</v>
      </c>
      <c r="F261" s="19">
        <v>2</v>
      </c>
      <c r="G261" s="19">
        <v>194735367870</v>
      </c>
      <c r="H261" s="19">
        <v>1</v>
      </c>
      <c r="I261" s="19">
        <v>899</v>
      </c>
      <c r="J261" s="19">
        <v>-179.8</v>
      </c>
      <c r="K261" s="19">
        <v>0</v>
      </c>
      <c r="L261" s="19">
        <v>-179.8</v>
      </c>
      <c r="M261" s="19">
        <v>719.2</v>
      </c>
      <c r="N261" s="19">
        <v>34.25</v>
      </c>
      <c r="O261" s="19">
        <v>5</v>
      </c>
      <c r="P261" s="19" t="s">
        <v>290</v>
      </c>
      <c r="Q261" s="19">
        <v>50157523</v>
      </c>
      <c r="R261" s="19" t="s">
        <v>57</v>
      </c>
      <c r="S261" s="19">
        <v>50000003</v>
      </c>
      <c r="T261" s="19"/>
      <c r="U261" s="19" t="s">
        <v>58</v>
      </c>
      <c r="V261" s="18">
        <v>0</v>
      </c>
      <c r="W261" s="17">
        <f t="shared" si="10"/>
        <v>17</v>
      </c>
      <c r="X261" s="5">
        <f t="shared" si="11"/>
        <v>0</v>
      </c>
    </row>
    <row r="262" spans="1:24" x14ac:dyDescent="0.25">
      <c r="A262" s="19">
        <v>26</v>
      </c>
      <c r="B262" s="19" t="s">
        <v>55</v>
      </c>
      <c r="C262" s="19" t="s">
        <v>56</v>
      </c>
      <c r="D262" s="19" t="s">
        <v>289</v>
      </c>
      <c r="E262" s="21">
        <v>46291.72965277778</v>
      </c>
      <c r="F262" s="19">
        <v>2</v>
      </c>
      <c r="G262" s="19">
        <v>194735367870</v>
      </c>
      <c r="H262" s="19">
        <v>1</v>
      </c>
      <c r="I262" s="19">
        <v>899</v>
      </c>
      <c r="J262" s="19">
        <v>-179.8</v>
      </c>
      <c r="K262" s="19">
        <v>0</v>
      </c>
      <c r="L262" s="19">
        <v>-179.8</v>
      </c>
      <c r="M262" s="19">
        <v>719.2</v>
      </c>
      <c r="N262" s="19">
        <v>34.25</v>
      </c>
      <c r="O262" s="19">
        <v>5</v>
      </c>
      <c r="P262" s="19" t="s">
        <v>290</v>
      </c>
      <c r="Q262" s="19">
        <v>50157523</v>
      </c>
      <c r="R262" s="19" t="s">
        <v>57</v>
      </c>
      <c r="S262" s="19">
        <v>50000003</v>
      </c>
      <c r="T262" s="19"/>
      <c r="U262" s="19" t="s">
        <v>58</v>
      </c>
      <c r="V262" s="18">
        <v>0</v>
      </c>
      <c r="W262" s="17">
        <f t="shared" si="10"/>
        <v>17</v>
      </c>
      <c r="X262" s="5">
        <f t="shared" si="11"/>
        <v>0</v>
      </c>
    </row>
    <row r="263" spans="1:24" x14ac:dyDescent="0.25">
      <c r="A263" s="19">
        <v>26</v>
      </c>
      <c r="B263" s="19" t="s">
        <v>55</v>
      </c>
      <c r="C263" s="19" t="s">
        <v>56</v>
      </c>
      <c r="D263" s="19" t="s">
        <v>289</v>
      </c>
      <c r="E263" s="21">
        <v>46291.72965277778</v>
      </c>
      <c r="F263" s="19">
        <v>2</v>
      </c>
      <c r="G263" s="19">
        <v>194735367870</v>
      </c>
      <c r="H263" s="19">
        <v>1</v>
      </c>
      <c r="I263" s="19">
        <v>899</v>
      </c>
      <c r="J263" s="19">
        <v>-179.8</v>
      </c>
      <c r="K263" s="19">
        <v>0</v>
      </c>
      <c r="L263" s="19">
        <v>-179.8</v>
      </c>
      <c r="M263" s="19">
        <v>719.2</v>
      </c>
      <c r="N263" s="19">
        <v>34.25</v>
      </c>
      <c r="O263" s="19">
        <v>5</v>
      </c>
      <c r="P263" s="19" t="s">
        <v>290</v>
      </c>
      <c r="Q263" s="19">
        <v>50157523</v>
      </c>
      <c r="R263" s="19" t="s">
        <v>57</v>
      </c>
      <c r="S263" s="19">
        <v>50000003</v>
      </c>
      <c r="T263" s="19"/>
      <c r="U263" s="19" t="s">
        <v>58</v>
      </c>
      <c r="V263" s="18">
        <v>0</v>
      </c>
      <c r="W263" s="17">
        <f t="shared" si="10"/>
        <v>17</v>
      </c>
      <c r="X263" s="5">
        <f t="shared" si="11"/>
        <v>0</v>
      </c>
    </row>
    <row r="264" spans="1:24" x14ac:dyDescent="0.25">
      <c r="A264" s="19">
        <v>26</v>
      </c>
      <c r="B264" s="19" t="s">
        <v>55</v>
      </c>
      <c r="C264" s="19" t="s">
        <v>56</v>
      </c>
      <c r="D264" s="19" t="s">
        <v>289</v>
      </c>
      <c r="E264" s="21">
        <v>46291.72965277778</v>
      </c>
      <c r="F264" s="19">
        <v>2</v>
      </c>
      <c r="G264" s="19">
        <v>194735367870</v>
      </c>
      <c r="H264" s="19">
        <v>1</v>
      </c>
      <c r="I264" s="19">
        <v>899</v>
      </c>
      <c r="J264" s="19">
        <v>-179.8</v>
      </c>
      <c r="K264" s="19">
        <v>0</v>
      </c>
      <c r="L264" s="19">
        <v>-179.8</v>
      </c>
      <c r="M264" s="19">
        <v>719.2</v>
      </c>
      <c r="N264" s="19">
        <v>34.25</v>
      </c>
      <c r="O264" s="19">
        <v>5</v>
      </c>
      <c r="P264" s="19" t="s">
        <v>290</v>
      </c>
      <c r="Q264" s="19">
        <v>50157523</v>
      </c>
      <c r="R264" s="19" t="s">
        <v>57</v>
      </c>
      <c r="S264" s="19">
        <v>50000003</v>
      </c>
      <c r="T264" s="19"/>
      <c r="U264" s="19" t="s">
        <v>58</v>
      </c>
      <c r="V264" s="18">
        <v>0</v>
      </c>
      <c r="W264" s="17">
        <f t="shared" si="10"/>
        <v>17</v>
      </c>
      <c r="X264" s="5">
        <f t="shared" si="11"/>
        <v>0</v>
      </c>
    </row>
    <row r="265" spans="1:24" x14ac:dyDescent="0.25">
      <c r="A265" s="19">
        <v>26</v>
      </c>
      <c r="B265" s="19" t="s">
        <v>55</v>
      </c>
      <c r="C265" s="19" t="s">
        <v>56</v>
      </c>
      <c r="D265" s="19" t="s">
        <v>289</v>
      </c>
      <c r="E265" s="21">
        <v>46291.72965277778</v>
      </c>
      <c r="F265" s="19">
        <v>2</v>
      </c>
      <c r="G265" s="19">
        <v>194735367870</v>
      </c>
      <c r="H265" s="19">
        <v>1</v>
      </c>
      <c r="I265" s="19">
        <v>899</v>
      </c>
      <c r="J265" s="19">
        <v>-179.8</v>
      </c>
      <c r="K265" s="19">
        <v>0</v>
      </c>
      <c r="L265" s="19">
        <v>-179.8</v>
      </c>
      <c r="M265" s="19">
        <v>719.2</v>
      </c>
      <c r="N265" s="19">
        <v>34.25</v>
      </c>
      <c r="O265" s="19">
        <v>5</v>
      </c>
      <c r="P265" s="19" t="s">
        <v>290</v>
      </c>
      <c r="Q265" s="19">
        <v>50157523</v>
      </c>
      <c r="R265" s="19" t="s">
        <v>57</v>
      </c>
      <c r="S265" s="19">
        <v>50000003</v>
      </c>
      <c r="T265" s="19"/>
      <c r="U265" s="19" t="s">
        <v>58</v>
      </c>
      <c r="V265" s="18">
        <v>0</v>
      </c>
      <c r="W265" s="17">
        <f t="shared" si="10"/>
        <v>17</v>
      </c>
      <c r="X265" s="5">
        <f t="shared" si="11"/>
        <v>0</v>
      </c>
    </row>
    <row r="266" spans="1:24" x14ac:dyDescent="0.25">
      <c r="A266" s="19">
        <v>26</v>
      </c>
      <c r="B266" s="19" t="s">
        <v>55</v>
      </c>
      <c r="C266" s="19" t="s">
        <v>56</v>
      </c>
      <c r="D266" s="19" t="s">
        <v>289</v>
      </c>
      <c r="E266" s="21">
        <v>46291.72965277778</v>
      </c>
      <c r="F266" s="19">
        <v>2</v>
      </c>
      <c r="G266" s="19">
        <v>194735367870</v>
      </c>
      <c r="H266" s="19">
        <v>1</v>
      </c>
      <c r="I266" s="19">
        <v>899</v>
      </c>
      <c r="J266" s="19">
        <v>-179.8</v>
      </c>
      <c r="K266" s="19">
        <v>0</v>
      </c>
      <c r="L266" s="19">
        <v>-179.8</v>
      </c>
      <c r="M266" s="19">
        <v>719.2</v>
      </c>
      <c r="N266" s="19">
        <v>34.25</v>
      </c>
      <c r="O266" s="19">
        <v>5</v>
      </c>
      <c r="P266" s="19" t="s">
        <v>290</v>
      </c>
      <c r="Q266" s="19">
        <v>50157523</v>
      </c>
      <c r="R266" s="19" t="s">
        <v>57</v>
      </c>
      <c r="S266" s="19">
        <v>50000003</v>
      </c>
      <c r="T266" s="19"/>
      <c r="U266" s="19" t="s">
        <v>58</v>
      </c>
      <c r="V266" s="18">
        <v>0</v>
      </c>
      <c r="W266" s="17">
        <f t="shared" si="10"/>
        <v>17</v>
      </c>
      <c r="X266" s="5">
        <f t="shared" si="11"/>
        <v>0</v>
      </c>
    </row>
    <row r="267" spans="1:24" x14ac:dyDescent="0.25">
      <c r="A267" s="19">
        <v>26</v>
      </c>
      <c r="B267" s="19" t="s">
        <v>55</v>
      </c>
      <c r="C267" s="19" t="s">
        <v>56</v>
      </c>
      <c r="D267" s="19" t="s">
        <v>289</v>
      </c>
      <c r="E267" s="21">
        <v>46291.72965277778</v>
      </c>
      <c r="F267" s="19">
        <v>2</v>
      </c>
      <c r="G267" s="19">
        <v>194735367870</v>
      </c>
      <c r="H267" s="19">
        <v>1</v>
      </c>
      <c r="I267" s="19">
        <v>899</v>
      </c>
      <c r="J267" s="19">
        <v>-179.8</v>
      </c>
      <c r="K267" s="19">
        <v>0</v>
      </c>
      <c r="L267" s="19">
        <v>-179.8</v>
      </c>
      <c r="M267" s="19">
        <v>719.2</v>
      </c>
      <c r="N267" s="19">
        <v>34.25</v>
      </c>
      <c r="O267" s="19">
        <v>5</v>
      </c>
      <c r="P267" s="19" t="s">
        <v>290</v>
      </c>
      <c r="Q267" s="19">
        <v>50157523</v>
      </c>
      <c r="R267" s="19" t="s">
        <v>57</v>
      </c>
      <c r="S267" s="19">
        <v>50000003</v>
      </c>
      <c r="T267" s="19"/>
      <c r="U267" s="19" t="s">
        <v>58</v>
      </c>
      <c r="V267" s="18">
        <v>0</v>
      </c>
      <c r="W267" s="17">
        <f t="shared" si="10"/>
        <v>17</v>
      </c>
      <c r="X267" s="5">
        <f t="shared" si="11"/>
        <v>0</v>
      </c>
    </row>
    <row r="268" spans="1:24" x14ac:dyDescent="0.25">
      <c r="A268" s="19">
        <v>26</v>
      </c>
      <c r="B268" s="19" t="s">
        <v>55</v>
      </c>
      <c r="C268" s="19" t="s">
        <v>56</v>
      </c>
      <c r="D268" s="19" t="s">
        <v>289</v>
      </c>
      <c r="E268" s="21">
        <v>46291.72965277778</v>
      </c>
      <c r="F268" s="19">
        <v>2</v>
      </c>
      <c r="G268" s="19">
        <v>194735367870</v>
      </c>
      <c r="H268" s="19">
        <v>1</v>
      </c>
      <c r="I268" s="19">
        <v>899</v>
      </c>
      <c r="J268" s="19">
        <v>-179.8</v>
      </c>
      <c r="K268" s="19">
        <v>0</v>
      </c>
      <c r="L268" s="19">
        <v>-179.8</v>
      </c>
      <c r="M268" s="19">
        <v>719.2</v>
      </c>
      <c r="N268" s="19">
        <v>34.25</v>
      </c>
      <c r="O268" s="19">
        <v>5</v>
      </c>
      <c r="P268" s="19" t="s">
        <v>290</v>
      </c>
      <c r="Q268" s="19">
        <v>50157523</v>
      </c>
      <c r="R268" s="19" t="s">
        <v>57</v>
      </c>
      <c r="S268" s="19">
        <v>50000003</v>
      </c>
      <c r="T268" s="19"/>
      <c r="U268" s="19" t="s">
        <v>58</v>
      </c>
      <c r="V268" s="18">
        <v>0</v>
      </c>
      <c r="W268" s="17">
        <f t="shared" si="10"/>
        <v>17</v>
      </c>
      <c r="X268" s="5">
        <f t="shared" si="11"/>
        <v>0</v>
      </c>
    </row>
    <row r="269" spans="1:24" x14ac:dyDescent="0.25">
      <c r="A269" s="19">
        <v>26</v>
      </c>
      <c r="B269" s="19" t="s">
        <v>55</v>
      </c>
      <c r="C269" s="19" t="s">
        <v>56</v>
      </c>
      <c r="D269" s="19" t="s">
        <v>289</v>
      </c>
      <c r="E269" s="21">
        <v>46291.72965277778</v>
      </c>
      <c r="F269" s="19">
        <v>2</v>
      </c>
      <c r="G269" s="19">
        <v>194735367870</v>
      </c>
      <c r="H269" s="19">
        <v>1</v>
      </c>
      <c r="I269" s="19">
        <v>899</v>
      </c>
      <c r="J269" s="19">
        <v>-179.8</v>
      </c>
      <c r="K269" s="19">
        <v>0</v>
      </c>
      <c r="L269" s="19">
        <v>-179.8</v>
      </c>
      <c r="M269" s="19">
        <v>719.2</v>
      </c>
      <c r="N269" s="19">
        <v>34.25</v>
      </c>
      <c r="O269" s="19">
        <v>5</v>
      </c>
      <c r="P269" s="19" t="s">
        <v>290</v>
      </c>
      <c r="Q269" s="19">
        <v>50157523</v>
      </c>
      <c r="R269" s="19" t="s">
        <v>57</v>
      </c>
      <c r="S269" s="19">
        <v>50000003</v>
      </c>
      <c r="T269" s="19"/>
      <c r="U269" s="19" t="s">
        <v>58</v>
      </c>
      <c r="V269" s="18">
        <v>0</v>
      </c>
      <c r="W269" s="17">
        <f t="shared" si="10"/>
        <v>17</v>
      </c>
      <c r="X269" s="5">
        <f t="shared" si="11"/>
        <v>0</v>
      </c>
    </row>
    <row r="270" spans="1:24" x14ac:dyDescent="0.25">
      <c r="A270" s="19">
        <v>26</v>
      </c>
      <c r="B270" s="19" t="s">
        <v>55</v>
      </c>
      <c r="C270" s="19" t="s">
        <v>56</v>
      </c>
      <c r="D270" s="19" t="s">
        <v>289</v>
      </c>
      <c r="E270" s="21">
        <v>46291.72965277778</v>
      </c>
      <c r="F270" s="19">
        <v>2</v>
      </c>
      <c r="G270" s="19">
        <v>194735367870</v>
      </c>
      <c r="H270" s="19">
        <v>1</v>
      </c>
      <c r="I270" s="19">
        <v>899</v>
      </c>
      <c r="J270" s="19">
        <v>-179.8</v>
      </c>
      <c r="K270" s="19">
        <v>0</v>
      </c>
      <c r="L270" s="19">
        <v>-179.8</v>
      </c>
      <c r="M270" s="19">
        <v>719.2</v>
      </c>
      <c r="N270" s="19">
        <v>34.25</v>
      </c>
      <c r="O270" s="19">
        <v>5</v>
      </c>
      <c r="P270" s="19" t="s">
        <v>290</v>
      </c>
      <c r="Q270" s="19">
        <v>50157523</v>
      </c>
      <c r="R270" s="19" t="s">
        <v>57</v>
      </c>
      <c r="S270" s="19">
        <v>50000003</v>
      </c>
      <c r="T270" s="19"/>
      <c r="U270" s="19" t="s">
        <v>58</v>
      </c>
      <c r="V270" s="18">
        <v>0</v>
      </c>
      <c r="W270" s="17">
        <f t="shared" si="10"/>
        <v>17</v>
      </c>
      <c r="X270" s="5">
        <f t="shared" si="11"/>
        <v>0</v>
      </c>
    </row>
    <row r="271" spans="1:24" x14ac:dyDescent="0.25">
      <c r="A271" s="19">
        <v>26</v>
      </c>
      <c r="B271" s="19" t="s">
        <v>55</v>
      </c>
      <c r="C271" s="19" t="s">
        <v>56</v>
      </c>
      <c r="D271" s="19" t="s">
        <v>289</v>
      </c>
      <c r="E271" s="21">
        <v>46291.72965277778</v>
      </c>
      <c r="F271" s="19">
        <v>2</v>
      </c>
      <c r="G271" s="19">
        <v>194735367870</v>
      </c>
      <c r="H271" s="19">
        <v>1</v>
      </c>
      <c r="I271" s="19">
        <v>899</v>
      </c>
      <c r="J271" s="19">
        <v>-179.8</v>
      </c>
      <c r="K271" s="19">
        <v>0</v>
      </c>
      <c r="L271" s="19">
        <v>-179.8</v>
      </c>
      <c r="M271" s="19">
        <v>719.2</v>
      </c>
      <c r="N271" s="19">
        <v>34.25</v>
      </c>
      <c r="O271" s="19">
        <v>5</v>
      </c>
      <c r="P271" s="19" t="s">
        <v>290</v>
      </c>
      <c r="Q271" s="19">
        <v>50157523</v>
      </c>
      <c r="R271" s="19" t="s">
        <v>57</v>
      </c>
      <c r="S271" s="19">
        <v>50000003</v>
      </c>
      <c r="T271" s="19"/>
      <c r="U271" s="19" t="s">
        <v>58</v>
      </c>
      <c r="V271" s="18">
        <v>0</v>
      </c>
      <c r="W271" s="17">
        <f t="shared" si="10"/>
        <v>17</v>
      </c>
      <c r="X271" s="5">
        <f t="shared" si="11"/>
        <v>0</v>
      </c>
    </row>
    <row r="272" spans="1:24" x14ac:dyDescent="0.25">
      <c r="A272" s="19">
        <v>26</v>
      </c>
      <c r="B272" s="19" t="s">
        <v>55</v>
      </c>
      <c r="C272" s="19" t="s">
        <v>56</v>
      </c>
      <c r="D272" s="19" t="s">
        <v>289</v>
      </c>
      <c r="E272" s="21">
        <v>46291.72965277778</v>
      </c>
      <c r="F272" s="19">
        <v>2</v>
      </c>
      <c r="G272" s="19">
        <v>194735367870</v>
      </c>
      <c r="H272" s="19">
        <v>1</v>
      </c>
      <c r="I272" s="19">
        <v>899</v>
      </c>
      <c r="J272" s="19">
        <v>-179.8</v>
      </c>
      <c r="K272" s="19">
        <v>0</v>
      </c>
      <c r="L272" s="19">
        <v>-179.8</v>
      </c>
      <c r="M272" s="19">
        <v>719.2</v>
      </c>
      <c r="N272" s="19">
        <v>34.25</v>
      </c>
      <c r="O272" s="19">
        <v>5</v>
      </c>
      <c r="P272" s="19" t="s">
        <v>290</v>
      </c>
      <c r="Q272" s="19">
        <v>50157523</v>
      </c>
      <c r="R272" s="19" t="s">
        <v>57</v>
      </c>
      <c r="S272" s="19">
        <v>50000003</v>
      </c>
      <c r="T272" s="19"/>
      <c r="U272" s="19" t="s">
        <v>58</v>
      </c>
      <c r="V272" s="18">
        <v>0</v>
      </c>
      <c r="W272" s="17">
        <f t="shared" si="10"/>
        <v>17</v>
      </c>
      <c r="X272" s="5">
        <f t="shared" si="11"/>
        <v>0</v>
      </c>
    </row>
    <row r="273" spans="1:24" x14ac:dyDescent="0.25">
      <c r="A273" s="19">
        <v>26</v>
      </c>
      <c r="B273" s="19" t="s">
        <v>55</v>
      </c>
      <c r="C273" s="19" t="s">
        <v>56</v>
      </c>
      <c r="D273" s="19" t="s">
        <v>289</v>
      </c>
      <c r="E273" s="21">
        <v>46291.72965277778</v>
      </c>
      <c r="F273" s="19">
        <v>2</v>
      </c>
      <c r="G273" s="19">
        <v>194735367870</v>
      </c>
      <c r="H273" s="19">
        <v>1</v>
      </c>
      <c r="I273" s="19">
        <v>899</v>
      </c>
      <c r="J273" s="19">
        <v>-179.8</v>
      </c>
      <c r="K273" s="19">
        <v>0</v>
      </c>
      <c r="L273" s="19">
        <v>-179.8</v>
      </c>
      <c r="M273" s="19">
        <v>719.2</v>
      </c>
      <c r="N273" s="19">
        <v>34.25</v>
      </c>
      <c r="O273" s="19">
        <v>5</v>
      </c>
      <c r="P273" s="19" t="s">
        <v>290</v>
      </c>
      <c r="Q273" s="19">
        <v>50157523</v>
      </c>
      <c r="R273" s="19" t="s">
        <v>57</v>
      </c>
      <c r="S273" s="19">
        <v>50000003</v>
      </c>
      <c r="T273" s="19"/>
      <c r="U273" s="19" t="s">
        <v>58</v>
      </c>
      <c r="V273" s="18">
        <v>0</v>
      </c>
      <c r="W273" s="17">
        <f t="shared" si="10"/>
        <v>17</v>
      </c>
      <c r="X273" s="5">
        <f t="shared" si="11"/>
        <v>0</v>
      </c>
    </row>
    <row r="274" spans="1:24" x14ac:dyDescent="0.25">
      <c r="A274" s="19">
        <v>26</v>
      </c>
      <c r="B274" s="19" t="s">
        <v>55</v>
      </c>
      <c r="C274" s="19" t="s">
        <v>56</v>
      </c>
      <c r="D274" s="19" t="s">
        <v>289</v>
      </c>
      <c r="E274" s="21">
        <v>46291.72965277778</v>
      </c>
      <c r="F274" s="19">
        <v>2</v>
      </c>
      <c r="G274" s="19">
        <v>194735367870</v>
      </c>
      <c r="H274" s="19">
        <v>1</v>
      </c>
      <c r="I274" s="19">
        <v>899</v>
      </c>
      <c r="J274" s="19">
        <v>-179.8</v>
      </c>
      <c r="K274" s="19">
        <v>0</v>
      </c>
      <c r="L274" s="19">
        <v>-179.8</v>
      </c>
      <c r="M274" s="19">
        <v>719.2</v>
      </c>
      <c r="N274" s="19">
        <v>34.25</v>
      </c>
      <c r="O274" s="19">
        <v>5</v>
      </c>
      <c r="P274" s="19" t="s">
        <v>290</v>
      </c>
      <c r="Q274" s="19">
        <v>50157523</v>
      </c>
      <c r="R274" s="19" t="s">
        <v>57</v>
      </c>
      <c r="S274" s="19">
        <v>50000003</v>
      </c>
      <c r="T274" s="19"/>
      <c r="U274" s="19" t="s">
        <v>58</v>
      </c>
      <c r="V274" s="18">
        <v>0</v>
      </c>
      <c r="W274" s="17">
        <f t="shared" si="10"/>
        <v>17</v>
      </c>
      <c r="X274" s="5">
        <f t="shared" si="11"/>
        <v>0</v>
      </c>
    </row>
    <row r="275" spans="1:24" x14ac:dyDescent="0.25">
      <c r="A275" s="19">
        <v>26</v>
      </c>
      <c r="B275" s="19" t="s">
        <v>55</v>
      </c>
      <c r="C275" s="19" t="s">
        <v>56</v>
      </c>
      <c r="D275" s="19" t="s">
        <v>289</v>
      </c>
      <c r="E275" s="21">
        <v>46291.72965277778</v>
      </c>
      <c r="F275" s="19">
        <v>2</v>
      </c>
      <c r="G275" s="19">
        <v>194735367870</v>
      </c>
      <c r="H275" s="19">
        <v>1</v>
      </c>
      <c r="I275" s="19">
        <v>899</v>
      </c>
      <c r="J275" s="19">
        <v>-179.8</v>
      </c>
      <c r="K275" s="19">
        <v>0</v>
      </c>
      <c r="L275" s="19">
        <v>-179.8</v>
      </c>
      <c r="M275" s="19">
        <v>719.2</v>
      </c>
      <c r="N275" s="19">
        <v>34.25</v>
      </c>
      <c r="O275" s="19">
        <v>5</v>
      </c>
      <c r="P275" s="19" t="s">
        <v>290</v>
      </c>
      <c r="Q275" s="19">
        <v>50157523</v>
      </c>
      <c r="R275" s="19" t="s">
        <v>57</v>
      </c>
      <c r="S275" s="19">
        <v>50000003</v>
      </c>
      <c r="T275" s="19"/>
      <c r="U275" s="19" t="s">
        <v>58</v>
      </c>
      <c r="V275" s="18">
        <v>0</v>
      </c>
      <c r="W275" s="17">
        <f t="shared" si="10"/>
        <v>17</v>
      </c>
      <c r="X275" s="5">
        <f t="shared" si="11"/>
        <v>0</v>
      </c>
    </row>
    <row r="276" spans="1:24" x14ac:dyDescent="0.25">
      <c r="A276" s="19">
        <v>26</v>
      </c>
      <c r="B276" s="19" t="s">
        <v>55</v>
      </c>
      <c r="C276" s="19" t="s">
        <v>56</v>
      </c>
      <c r="D276" s="19" t="s">
        <v>289</v>
      </c>
      <c r="E276" s="21">
        <v>46291.72965277778</v>
      </c>
      <c r="F276" s="19">
        <v>2</v>
      </c>
      <c r="G276" s="19">
        <v>194735367870</v>
      </c>
      <c r="H276" s="19">
        <v>1</v>
      </c>
      <c r="I276" s="19">
        <v>899</v>
      </c>
      <c r="J276" s="19">
        <v>-179.8</v>
      </c>
      <c r="K276" s="19">
        <v>0</v>
      </c>
      <c r="L276" s="19">
        <v>-179.8</v>
      </c>
      <c r="M276" s="19">
        <v>719.2</v>
      </c>
      <c r="N276" s="19">
        <v>34.25</v>
      </c>
      <c r="O276" s="19">
        <v>5</v>
      </c>
      <c r="P276" s="19" t="s">
        <v>290</v>
      </c>
      <c r="Q276" s="19">
        <v>50157523</v>
      </c>
      <c r="R276" s="19" t="s">
        <v>57</v>
      </c>
      <c r="S276" s="19">
        <v>50000003</v>
      </c>
      <c r="T276" s="19"/>
      <c r="U276" s="19" t="s">
        <v>58</v>
      </c>
      <c r="V276" s="18">
        <v>0</v>
      </c>
      <c r="W276" s="17">
        <f t="shared" si="10"/>
        <v>17</v>
      </c>
      <c r="X276" s="5">
        <f t="shared" si="11"/>
        <v>0</v>
      </c>
    </row>
    <row r="277" spans="1:24" x14ac:dyDescent="0.25">
      <c r="A277" s="19">
        <v>26</v>
      </c>
      <c r="B277" s="19" t="s">
        <v>55</v>
      </c>
      <c r="C277" s="19" t="s">
        <v>56</v>
      </c>
      <c r="D277" s="19" t="s">
        <v>289</v>
      </c>
      <c r="E277" s="21">
        <v>46291.72965277778</v>
      </c>
      <c r="F277" s="19">
        <v>2</v>
      </c>
      <c r="G277" s="19">
        <v>194735367870</v>
      </c>
      <c r="H277" s="19">
        <v>1</v>
      </c>
      <c r="I277" s="19">
        <v>899</v>
      </c>
      <c r="J277" s="19">
        <v>-179.8</v>
      </c>
      <c r="K277" s="19">
        <v>0</v>
      </c>
      <c r="L277" s="19">
        <v>-179.8</v>
      </c>
      <c r="M277" s="19">
        <v>719.2</v>
      </c>
      <c r="N277" s="19">
        <v>34.25</v>
      </c>
      <c r="O277" s="19">
        <v>5</v>
      </c>
      <c r="P277" s="19" t="s">
        <v>290</v>
      </c>
      <c r="Q277" s="19">
        <v>50157523</v>
      </c>
      <c r="R277" s="19" t="s">
        <v>57</v>
      </c>
      <c r="S277" s="19">
        <v>50000003</v>
      </c>
      <c r="T277" s="19"/>
      <c r="U277" s="19" t="s">
        <v>58</v>
      </c>
      <c r="V277" s="18">
        <v>0</v>
      </c>
      <c r="W277" s="17">
        <f t="shared" si="10"/>
        <v>17</v>
      </c>
      <c r="X277" s="5">
        <f t="shared" si="11"/>
        <v>0</v>
      </c>
    </row>
    <row r="278" spans="1:24" x14ac:dyDescent="0.25">
      <c r="A278" s="19">
        <v>26</v>
      </c>
      <c r="B278" s="19" t="s">
        <v>55</v>
      </c>
      <c r="C278" s="19" t="s">
        <v>56</v>
      </c>
      <c r="D278" s="19" t="s">
        <v>289</v>
      </c>
      <c r="E278" s="21">
        <v>46291.72965277778</v>
      </c>
      <c r="F278" s="19">
        <v>2</v>
      </c>
      <c r="G278" s="19">
        <v>194735367870</v>
      </c>
      <c r="H278" s="19">
        <v>1</v>
      </c>
      <c r="I278" s="19">
        <v>899</v>
      </c>
      <c r="J278" s="19">
        <v>-179.8</v>
      </c>
      <c r="K278" s="19">
        <v>0</v>
      </c>
      <c r="L278" s="19">
        <v>-179.8</v>
      </c>
      <c r="M278" s="19">
        <v>719.2</v>
      </c>
      <c r="N278" s="19">
        <v>34.25</v>
      </c>
      <c r="O278" s="19">
        <v>5</v>
      </c>
      <c r="P278" s="19" t="s">
        <v>290</v>
      </c>
      <c r="Q278" s="19">
        <v>50157523</v>
      </c>
      <c r="R278" s="19" t="s">
        <v>57</v>
      </c>
      <c r="S278" s="19">
        <v>50000003</v>
      </c>
      <c r="T278" s="19"/>
      <c r="U278" s="19" t="s">
        <v>58</v>
      </c>
      <c r="V278" s="18">
        <v>0</v>
      </c>
      <c r="W278" s="17">
        <f t="shared" si="10"/>
        <v>17</v>
      </c>
      <c r="X278" s="5">
        <f t="shared" si="11"/>
        <v>0</v>
      </c>
    </row>
    <row r="279" spans="1:24" x14ac:dyDescent="0.25">
      <c r="A279" s="19">
        <v>26</v>
      </c>
      <c r="B279" s="19" t="s">
        <v>55</v>
      </c>
      <c r="C279" s="19" t="s">
        <v>56</v>
      </c>
      <c r="D279" s="19" t="s">
        <v>289</v>
      </c>
      <c r="E279" s="21">
        <v>46291.72965277778</v>
      </c>
      <c r="F279" s="19">
        <v>2</v>
      </c>
      <c r="G279" s="19">
        <v>194735367870</v>
      </c>
      <c r="H279" s="19">
        <v>1</v>
      </c>
      <c r="I279" s="19">
        <v>899</v>
      </c>
      <c r="J279" s="19">
        <v>-179.8</v>
      </c>
      <c r="K279" s="19">
        <v>0</v>
      </c>
      <c r="L279" s="19">
        <v>-179.8</v>
      </c>
      <c r="M279" s="19">
        <v>719.2</v>
      </c>
      <c r="N279" s="19">
        <v>34.25</v>
      </c>
      <c r="O279" s="19">
        <v>5</v>
      </c>
      <c r="P279" s="19" t="s">
        <v>290</v>
      </c>
      <c r="Q279" s="19">
        <v>50157523</v>
      </c>
      <c r="R279" s="19" t="s">
        <v>57</v>
      </c>
      <c r="S279" s="19">
        <v>50000003</v>
      </c>
      <c r="T279" s="19"/>
      <c r="U279" s="19" t="s">
        <v>58</v>
      </c>
      <c r="V279" s="18">
        <v>0</v>
      </c>
      <c r="W279" s="17">
        <f t="shared" si="10"/>
        <v>17</v>
      </c>
      <c r="X279" s="5">
        <f t="shared" si="11"/>
        <v>0</v>
      </c>
    </row>
    <row r="280" spans="1:24" x14ac:dyDescent="0.25">
      <c r="A280" s="19">
        <v>26</v>
      </c>
      <c r="B280" s="19" t="s">
        <v>55</v>
      </c>
      <c r="C280" s="19" t="s">
        <v>56</v>
      </c>
      <c r="D280" s="19" t="s">
        <v>289</v>
      </c>
      <c r="E280" s="21">
        <v>46291.72965277778</v>
      </c>
      <c r="F280" s="19">
        <v>2</v>
      </c>
      <c r="G280" s="19">
        <v>194735367870</v>
      </c>
      <c r="H280" s="19">
        <v>1</v>
      </c>
      <c r="I280" s="19">
        <v>899</v>
      </c>
      <c r="J280" s="19">
        <v>-179.8</v>
      </c>
      <c r="K280" s="19">
        <v>0</v>
      </c>
      <c r="L280" s="19">
        <v>-179.8</v>
      </c>
      <c r="M280" s="19">
        <v>719.2</v>
      </c>
      <c r="N280" s="19">
        <v>34.25</v>
      </c>
      <c r="O280" s="19">
        <v>5</v>
      </c>
      <c r="P280" s="19" t="s">
        <v>290</v>
      </c>
      <c r="Q280" s="19">
        <v>50157523</v>
      </c>
      <c r="R280" s="19" t="s">
        <v>57</v>
      </c>
      <c r="S280" s="19">
        <v>50000003</v>
      </c>
      <c r="T280" s="19"/>
      <c r="U280" s="19" t="s">
        <v>58</v>
      </c>
      <c r="V280" s="18">
        <v>0</v>
      </c>
      <c r="W280" s="17">
        <f t="shared" si="10"/>
        <v>17</v>
      </c>
      <c r="X280" s="5">
        <f t="shared" si="11"/>
        <v>0</v>
      </c>
    </row>
    <row r="281" spans="1:24" x14ac:dyDescent="0.25">
      <c r="A281" s="19">
        <v>26</v>
      </c>
      <c r="B281" s="19" t="s">
        <v>55</v>
      </c>
      <c r="C281" s="19" t="s">
        <v>56</v>
      </c>
      <c r="D281" s="19" t="s">
        <v>289</v>
      </c>
      <c r="E281" s="21">
        <v>46291.72965277778</v>
      </c>
      <c r="F281" s="19">
        <v>2</v>
      </c>
      <c r="G281" s="19">
        <v>194735367870</v>
      </c>
      <c r="H281" s="19">
        <v>1</v>
      </c>
      <c r="I281" s="19">
        <v>899</v>
      </c>
      <c r="J281" s="19">
        <v>-179.8</v>
      </c>
      <c r="K281" s="19">
        <v>0</v>
      </c>
      <c r="L281" s="19">
        <v>-179.8</v>
      </c>
      <c r="M281" s="19">
        <v>719.2</v>
      </c>
      <c r="N281" s="19">
        <v>34.25</v>
      </c>
      <c r="O281" s="19">
        <v>5</v>
      </c>
      <c r="P281" s="19" t="s">
        <v>290</v>
      </c>
      <c r="Q281" s="19">
        <v>50157523</v>
      </c>
      <c r="R281" s="19" t="s">
        <v>57</v>
      </c>
      <c r="S281" s="19">
        <v>50000003</v>
      </c>
      <c r="T281" s="19"/>
      <c r="U281" s="19" t="s">
        <v>58</v>
      </c>
      <c r="V281" s="18">
        <v>0</v>
      </c>
      <c r="W281" s="17">
        <f t="shared" si="10"/>
        <v>17</v>
      </c>
      <c r="X281" s="5">
        <f t="shared" si="11"/>
        <v>0</v>
      </c>
    </row>
    <row r="282" spans="1:24" x14ac:dyDescent="0.25">
      <c r="A282" s="19">
        <v>26</v>
      </c>
      <c r="B282" s="19" t="s">
        <v>55</v>
      </c>
      <c r="C282" s="19" t="s">
        <v>56</v>
      </c>
      <c r="D282" s="19" t="s">
        <v>289</v>
      </c>
      <c r="E282" s="21">
        <v>46291.72965277778</v>
      </c>
      <c r="F282" s="19">
        <v>2</v>
      </c>
      <c r="G282" s="19">
        <v>194735367870</v>
      </c>
      <c r="H282" s="19">
        <v>1</v>
      </c>
      <c r="I282" s="19">
        <v>899</v>
      </c>
      <c r="J282" s="19">
        <v>-179.8</v>
      </c>
      <c r="K282" s="19">
        <v>0</v>
      </c>
      <c r="L282" s="19">
        <v>-179.8</v>
      </c>
      <c r="M282" s="19">
        <v>719.2</v>
      </c>
      <c r="N282" s="19">
        <v>34.25</v>
      </c>
      <c r="O282" s="19">
        <v>5</v>
      </c>
      <c r="P282" s="19" t="s">
        <v>290</v>
      </c>
      <c r="Q282" s="19">
        <v>50157523</v>
      </c>
      <c r="R282" s="19" t="s">
        <v>57</v>
      </c>
      <c r="S282" s="19">
        <v>50000003</v>
      </c>
      <c r="T282" s="19"/>
      <c r="U282" s="19" t="s">
        <v>58</v>
      </c>
      <c r="V282" s="18">
        <v>0</v>
      </c>
      <c r="W282" s="17">
        <f t="shared" si="10"/>
        <v>17</v>
      </c>
      <c r="X282" s="5">
        <f t="shared" si="11"/>
        <v>0</v>
      </c>
    </row>
    <row r="283" spans="1:24" x14ac:dyDescent="0.25">
      <c r="A283" s="19">
        <v>26</v>
      </c>
      <c r="B283" s="19" t="s">
        <v>55</v>
      </c>
      <c r="C283" s="19" t="s">
        <v>56</v>
      </c>
      <c r="D283" s="19" t="s">
        <v>289</v>
      </c>
      <c r="E283" s="21">
        <v>46291.72965277778</v>
      </c>
      <c r="F283" s="19">
        <v>2</v>
      </c>
      <c r="G283" s="19">
        <v>194735367870</v>
      </c>
      <c r="H283" s="19">
        <v>1</v>
      </c>
      <c r="I283" s="19">
        <v>899</v>
      </c>
      <c r="J283" s="19">
        <v>-179.8</v>
      </c>
      <c r="K283" s="19">
        <v>0</v>
      </c>
      <c r="L283" s="19">
        <v>-179.8</v>
      </c>
      <c r="M283" s="19">
        <v>719.2</v>
      </c>
      <c r="N283" s="19">
        <v>34.25</v>
      </c>
      <c r="O283" s="19">
        <v>5</v>
      </c>
      <c r="P283" s="19" t="s">
        <v>290</v>
      </c>
      <c r="Q283" s="19">
        <v>50157523</v>
      </c>
      <c r="R283" s="19" t="s">
        <v>57</v>
      </c>
      <c r="S283" s="19">
        <v>50000003</v>
      </c>
      <c r="T283" s="19"/>
      <c r="U283" s="19" t="s">
        <v>58</v>
      </c>
      <c r="V283" s="18">
        <v>0</v>
      </c>
      <c r="W283" s="17">
        <f t="shared" si="10"/>
        <v>17</v>
      </c>
      <c r="X283" s="5">
        <f t="shared" si="11"/>
        <v>0</v>
      </c>
    </row>
    <row r="284" spans="1:24" x14ac:dyDescent="0.25">
      <c r="A284" s="19">
        <v>26</v>
      </c>
      <c r="B284" s="19" t="s">
        <v>55</v>
      </c>
      <c r="C284" s="19" t="s">
        <v>56</v>
      </c>
      <c r="D284" s="19" t="s">
        <v>289</v>
      </c>
      <c r="E284" s="21">
        <v>46291.72965277778</v>
      </c>
      <c r="F284" s="19">
        <v>2</v>
      </c>
      <c r="G284" s="19">
        <v>194735367870</v>
      </c>
      <c r="H284" s="19">
        <v>1</v>
      </c>
      <c r="I284" s="19">
        <v>899</v>
      </c>
      <c r="J284" s="19">
        <v>-179.8</v>
      </c>
      <c r="K284" s="19">
        <v>0</v>
      </c>
      <c r="L284" s="19">
        <v>-179.8</v>
      </c>
      <c r="M284" s="19">
        <v>719.2</v>
      </c>
      <c r="N284" s="19">
        <v>34.25</v>
      </c>
      <c r="O284" s="19">
        <v>5</v>
      </c>
      <c r="P284" s="19" t="s">
        <v>290</v>
      </c>
      <c r="Q284" s="19">
        <v>50157523</v>
      </c>
      <c r="R284" s="19" t="s">
        <v>57</v>
      </c>
      <c r="S284" s="19">
        <v>50000003</v>
      </c>
      <c r="T284" s="19"/>
      <c r="U284" s="19" t="s">
        <v>58</v>
      </c>
      <c r="V284" s="18">
        <v>0</v>
      </c>
      <c r="W284" s="17">
        <f t="shared" si="10"/>
        <v>17</v>
      </c>
      <c r="X284" s="5">
        <f t="shared" si="11"/>
        <v>0</v>
      </c>
    </row>
    <row r="285" spans="1:24" x14ac:dyDescent="0.25">
      <c r="A285" s="19">
        <v>26</v>
      </c>
      <c r="B285" s="19" t="s">
        <v>55</v>
      </c>
      <c r="C285" s="19" t="s">
        <v>56</v>
      </c>
      <c r="D285" s="19" t="s">
        <v>289</v>
      </c>
      <c r="E285" s="21">
        <v>46291.72965277778</v>
      </c>
      <c r="F285" s="19">
        <v>2</v>
      </c>
      <c r="G285" s="19">
        <v>194735367870</v>
      </c>
      <c r="H285" s="19">
        <v>1</v>
      </c>
      <c r="I285" s="19">
        <v>899</v>
      </c>
      <c r="J285" s="19">
        <v>-179.8</v>
      </c>
      <c r="K285" s="19">
        <v>0</v>
      </c>
      <c r="L285" s="19">
        <v>-179.8</v>
      </c>
      <c r="M285" s="19">
        <v>719.2</v>
      </c>
      <c r="N285" s="19">
        <v>34.25</v>
      </c>
      <c r="O285" s="19">
        <v>5</v>
      </c>
      <c r="P285" s="19" t="s">
        <v>290</v>
      </c>
      <c r="Q285" s="19">
        <v>50157523</v>
      </c>
      <c r="R285" s="19" t="s">
        <v>57</v>
      </c>
      <c r="S285" s="19">
        <v>50000003</v>
      </c>
      <c r="T285" s="19"/>
      <c r="U285" s="19" t="s">
        <v>58</v>
      </c>
      <c r="V285" s="18">
        <v>0</v>
      </c>
      <c r="W285" s="17">
        <f t="shared" si="10"/>
        <v>17</v>
      </c>
      <c r="X285" s="5">
        <f t="shared" si="11"/>
        <v>0</v>
      </c>
    </row>
    <row r="286" spans="1:24" x14ac:dyDescent="0.25">
      <c r="A286" s="19">
        <v>26</v>
      </c>
      <c r="B286" s="19" t="s">
        <v>55</v>
      </c>
      <c r="C286" s="19" t="s">
        <v>56</v>
      </c>
      <c r="D286" s="19" t="s">
        <v>289</v>
      </c>
      <c r="E286" s="21">
        <v>46291.72965277778</v>
      </c>
      <c r="F286" s="19">
        <v>2</v>
      </c>
      <c r="G286" s="19">
        <v>194735367870</v>
      </c>
      <c r="H286" s="19">
        <v>1</v>
      </c>
      <c r="I286" s="19">
        <v>899</v>
      </c>
      <c r="J286" s="19">
        <v>-179.8</v>
      </c>
      <c r="K286" s="19">
        <v>0</v>
      </c>
      <c r="L286" s="19">
        <v>-179.8</v>
      </c>
      <c r="M286" s="19">
        <v>719.2</v>
      </c>
      <c r="N286" s="19">
        <v>34.25</v>
      </c>
      <c r="O286" s="19">
        <v>5</v>
      </c>
      <c r="P286" s="19" t="s">
        <v>290</v>
      </c>
      <c r="Q286" s="19">
        <v>50157523</v>
      </c>
      <c r="R286" s="19" t="s">
        <v>57</v>
      </c>
      <c r="S286" s="19">
        <v>50000003</v>
      </c>
      <c r="T286" s="19"/>
      <c r="U286" s="19" t="s">
        <v>58</v>
      </c>
      <c r="V286" s="18">
        <v>0</v>
      </c>
      <c r="W286" s="17">
        <f t="shared" si="10"/>
        <v>17</v>
      </c>
      <c r="X286" s="5">
        <f t="shared" si="11"/>
        <v>0</v>
      </c>
    </row>
    <row r="287" spans="1:24" x14ac:dyDescent="0.25">
      <c r="A287" s="19">
        <v>26</v>
      </c>
      <c r="B287" s="19" t="s">
        <v>55</v>
      </c>
      <c r="C287" s="19" t="s">
        <v>56</v>
      </c>
      <c r="D287" s="19" t="s">
        <v>289</v>
      </c>
      <c r="E287" s="21">
        <v>46291.72965277778</v>
      </c>
      <c r="F287" s="19">
        <v>2</v>
      </c>
      <c r="G287" s="19">
        <v>194735367870</v>
      </c>
      <c r="H287" s="19">
        <v>1</v>
      </c>
      <c r="I287" s="19">
        <v>899</v>
      </c>
      <c r="J287" s="19">
        <v>-179.8</v>
      </c>
      <c r="K287" s="19">
        <v>0</v>
      </c>
      <c r="L287" s="19">
        <v>-179.8</v>
      </c>
      <c r="M287" s="19">
        <v>719.2</v>
      </c>
      <c r="N287" s="19">
        <v>34.25</v>
      </c>
      <c r="O287" s="19">
        <v>5</v>
      </c>
      <c r="P287" s="19" t="s">
        <v>290</v>
      </c>
      <c r="Q287" s="19">
        <v>50157523</v>
      </c>
      <c r="R287" s="19" t="s">
        <v>57</v>
      </c>
      <c r="S287" s="19">
        <v>50000003</v>
      </c>
      <c r="T287" s="19"/>
      <c r="U287" s="19" t="s">
        <v>58</v>
      </c>
      <c r="V287" s="18">
        <v>0</v>
      </c>
      <c r="W287" s="17">
        <f t="shared" si="10"/>
        <v>17</v>
      </c>
      <c r="X287" s="5">
        <f t="shared" si="11"/>
        <v>0</v>
      </c>
    </row>
    <row r="288" spans="1:24" x14ac:dyDescent="0.25">
      <c r="A288" s="19">
        <v>26</v>
      </c>
      <c r="B288" s="19" t="s">
        <v>55</v>
      </c>
      <c r="C288" s="19" t="s">
        <v>56</v>
      </c>
      <c r="D288" s="19" t="s">
        <v>289</v>
      </c>
      <c r="E288" s="21">
        <v>46291.72965277778</v>
      </c>
      <c r="F288" s="19">
        <v>2</v>
      </c>
      <c r="G288" s="19">
        <v>194735367870</v>
      </c>
      <c r="H288" s="19">
        <v>1</v>
      </c>
      <c r="I288" s="19">
        <v>899</v>
      </c>
      <c r="J288" s="19">
        <v>-179.8</v>
      </c>
      <c r="K288" s="19">
        <v>0</v>
      </c>
      <c r="L288" s="19">
        <v>-179.8</v>
      </c>
      <c r="M288" s="19">
        <v>719.2</v>
      </c>
      <c r="N288" s="19">
        <v>34.25</v>
      </c>
      <c r="O288" s="19">
        <v>5</v>
      </c>
      <c r="P288" s="19" t="s">
        <v>290</v>
      </c>
      <c r="Q288" s="19">
        <v>50157523</v>
      </c>
      <c r="R288" s="19" t="s">
        <v>57</v>
      </c>
      <c r="S288" s="19">
        <v>50000003</v>
      </c>
      <c r="T288" s="19"/>
      <c r="U288" s="19" t="s">
        <v>58</v>
      </c>
      <c r="V288" s="18">
        <v>0</v>
      </c>
      <c r="W288" s="17">
        <f t="shared" si="10"/>
        <v>17</v>
      </c>
      <c r="X288" s="5">
        <f t="shared" si="11"/>
        <v>0</v>
      </c>
    </row>
    <row r="289" spans="1:24" x14ac:dyDescent="0.25">
      <c r="A289" s="19">
        <v>26</v>
      </c>
      <c r="B289" s="19" t="s">
        <v>55</v>
      </c>
      <c r="C289" s="19" t="s">
        <v>56</v>
      </c>
      <c r="D289" s="19" t="s">
        <v>289</v>
      </c>
      <c r="E289" s="21">
        <v>46291.72965277778</v>
      </c>
      <c r="F289" s="19">
        <v>2</v>
      </c>
      <c r="G289" s="19">
        <v>194735367870</v>
      </c>
      <c r="H289" s="19">
        <v>1</v>
      </c>
      <c r="I289" s="19">
        <v>899</v>
      </c>
      <c r="J289" s="19">
        <v>-179.8</v>
      </c>
      <c r="K289" s="19">
        <v>0</v>
      </c>
      <c r="L289" s="19">
        <v>-179.8</v>
      </c>
      <c r="M289" s="19">
        <v>719.2</v>
      </c>
      <c r="N289" s="19">
        <v>34.25</v>
      </c>
      <c r="O289" s="19">
        <v>5</v>
      </c>
      <c r="P289" s="19" t="s">
        <v>290</v>
      </c>
      <c r="Q289" s="19">
        <v>50157523</v>
      </c>
      <c r="R289" s="19" t="s">
        <v>57</v>
      </c>
      <c r="S289" s="19">
        <v>50000003</v>
      </c>
      <c r="T289" s="19"/>
      <c r="U289" s="19" t="s">
        <v>58</v>
      </c>
      <c r="V289" s="18">
        <v>0</v>
      </c>
      <c r="W289" s="17">
        <f t="shared" si="10"/>
        <v>17</v>
      </c>
      <c r="X289" s="5">
        <f t="shared" si="11"/>
        <v>0</v>
      </c>
    </row>
    <row r="290" spans="1:24" x14ac:dyDescent="0.25">
      <c r="A290" s="19">
        <v>26</v>
      </c>
      <c r="B290" s="19" t="s">
        <v>55</v>
      </c>
      <c r="C290" s="19" t="s">
        <v>56</v>
      </c>
      <c r="D290" s="19" t="s">
        <v>289</v>
      </c>
      <c r="E290" s="21">
        <v>46291.72965277778</v>
      </c>
      <c r="F290" s="19">
        <v>2</v>
      </c>
      <c r="G290" s="19">
        <v>194735367870</v>
      </c>
      <c r="H290" s="19">
        <v>1</v>
      </c>
      <c r="I290" s="19">
        <v>899</v>
      </c>
      <c r="J290" s="19">
        <v>-179.8</v>
      </c>
      <c r="K290" s="19">
        <v>0</v>
      </c>
      <c r="L290" s="19">
        <v>-179.8</v>
      </c>
      <c r="M290" s="19">
        <v>719.2</v>
      </c>
      <c r="N290" s="19">
        <v>34.25</v>
      </c>
      <c r="O290" s="19">
        <v>5</v>
      </c>
      <c r="P290" s="19" t="s">
        <v>290</v>
      </c>
      <c r="Q290" s="19">
        <v>50157523</v>
      </c>
      <c r="R290" s="19" t="s">
        <v>57</v>
      </c>
      <c r="S290" s="19">
        <v>50000003</v>
      </c>
      <c r="T290" s="19"/>
      <c r="U290" s="19" t="s">
        <v>58</v>
      </c>
      <c r="V290" s="18">
        <v>0</v>
      </c>
      <c r="W290" s="17">
        <f t="shared" si="10"/>
        <v>17</v>
      </c>
      <c r="X290" s="5">
        <f t="shared" si="11"/>
        <v>0</v>
      </c>
    </row>
    <row r="291" spans="1:24" x14ac:dyDescent="0.25">
      <c r="A291" s="19">
        <v>26</v>
      </c>
      <c r="B291" s="19" t="s">
        <v>55</v>
      </c>
      <c r="C291" s="19" t="s">
        <v>56</v>
      </c>
      <c r="D291" s="19" t="s">
        <v>289</v>
      </c>
      <c r="E291" s="21">
        <v>46291.72965277778</v>
      </c>
      <c r="F291" s="19">
        <v>2</v>
      </c>
      <c r="G291" s="19">
        <v>194735367870</v>
      </c>
      <c r="H291" s="19">
        <v>1</v>
      </c>
      <c r="I291" s="19">
        <v>899</v>
      </c>
      <c r="J291" s="19">
        <v>-179.8</v>
      </c>
      <c r="K291" s="19">
        <v>0</v>
      </c>
      <c r="L291" s="19">
        <v>-179.8</v>
      </c>
      <c r="M291" s="19">
        <v>719.2</v>
      </c>
      <c r="N291" s="19">
        <v>34.25</v>
      </c>
      <c r="O291" s="19">
        <v>5</v>
      </c>
      <c r="P291" s="19" t="s">
        <v>290</v>
      </c>
      <c r="Q291" s="19">
        <v>50157523</v>
      </c>
      <c r="R291" s="19" t="s">
        <v>57</v>
      </c>
      <c r="S291" s="19">
        <v>50000003</v>
      </c>
      <c r="T291" s="19"/>
      <c r="U291" s="19" t="s">
        <v>58</v>
      </c>
      <c r="V291" s="18">
        <v>0</v>
      </c>
      <c r="W291" s="17">
        <f t="shared" si="10"/>
        <v>17</v>
      </c>
      <c r="X291" s="5">
        <f t="shared" si="11"/>
        <v>0</v>
      </c>
    </row>
    <row r="292" spans="1:24" x14ac:dyDescent="0.25">
      <c r="A292" s="19">
        <v>26</v>
      </c>
      <c r="B292" s="19" t="s">
        <v>55</v>
      </c>
      <c r="C292" s="19" t="s">
        <v>56</v>
      </c>
      <c r="D292" s="19" t="s">
        <v>289</v>
      </c>
      <c r="E292" s="21">
        <v>46291.72965277778</v>
      </c>
      <c r="F292" s="19">
        <v>2</v>
      </c>
      <c r="G292" s="19">
        <v>194735367870</v>
      </c>
      <c r="H292" s="19">
        <v>1</v>
      </c>
      <c r="I292" s="19">
        <v>899</v>
      </c>
      <c r="J292" s="19">
        <v>-179.8</v>
      </c>
      <c r="K292" s="19">
        <v>0</v>
      </c>
      <c r="L292" s="19">
        <v>-179.8</v>
      </c>
      <c r="M292" s="19">
        <v>719.2</v>
      </c>
      <c r="N292" s="19">
        <v>34.25</v>
      </c>
      <c r="O292" s="19">
        <v>5</v>
      </c>
      <c r="P292" s="19" t="s">
        <v>290</v>
      </c>
      <c r="Q292" s="19">
        <v>50157523</v>
      </c>
      <c r="R292" s="19" t="s">
        <v>57</v>
      </c>
      <c r="S292" s="19">
        <v>50000003</v>
      </c>
      <c r="T292" s="19"/>
      <c r="U292" s="19" t="s">
        <v>58</v>
      </c>
      <c r="V292" s="18">
        <v>0</v>
      </c>
      <c r="W292" s="17">
        <f t="shared" si="10"/>
        <v>17</v>
      </c>
      <c r="X292" s="5">
        <f t="shared" si="11"/>
        <v>0</v>
      </c>
    </row>
    <row r="293" spans="1:24" x14ac:dyDescent="0.25">
      <c r="A293" s="19">
        <v>26</v>
      </c>
      <c r="B293" s="19" t="s">
        <v>55</v>
      </c>
      <c r="C293" s="19" t="s">
        <v>56</v>
      </c>
      <c r="D293" s="19" t="s">
        <v>289</v>
      </c>
      <c r="E293" s="21">
        <v>46291.72965277778</v>
      </c>
      <c r="F293" s="19">
        <v>2</v>
      </c>
      <c r="G293" s="19">
        <v>194735367870</v>
      </c>
      <c r="H293" s="19">
        <v>1</v>
      </c>
      <c r="I293" s="19">
        <v>899</v>
      </c>
      <c r="J293" s="19">
        <v>-179.8</v>
      </c>
      <c r="K293" s="19">
        <v>0</v>
      </c>
      <c r="L293" s="19">
        <v>-179.8</v>
      </c>
      <c r="M293" s="19">
        <v>719.2</v>
      </c>
      <c r="N293" s="19">
        <v>34.25</v>
      </c>
      <c r="O293" s="19">
        <v>5</v>
      </c>
      <c r="P293" s="19" t="s">
        <v>290</v>
      </c>
      <c r="Q293" s="19">
        <v>50157523</v>
      </c>
      <c r="R293" s="19" t="s">
        <v>57</v>
      </c>
      <c r="S293" s="19">
        <v>50000003</v>
      </c>
      <c r="T293" s="19"/>
      <c r="U293" s="19" t="s">
        <v>58</v>
      </c>
      <c r="V293" s="18">
        <v>0</v>
      </c>
      <c r="W293" s="17">
        <f t="shared" si="10"/>
        <v>17</v>
      </c>
      <c r="X293" s="5">
        <f t="shared" si="11"/>
        <v>0</v>
      </c>
    </row>
    <row r="294" spans="1:24" x14ac:dyDescent="0.25">
      <c r="A294" s="19">
        <v>26</v>
      </c>
      <c r="B294" s="19" t="s">
        <v>55</v>
      </c>
      <c r="C294" s="19" t="s">
        <v>56</v>
      </c>
      <c r="D294" s="19" t="s">
        <v>289</v>
      </c>
      <c r="E294" s="21">
        <v>46291.72965277778</v>
      </c>
      <c r="F294" s="19">
        <v>2</v>
      </c>
      <c r="G294" s="19">
        <v>194735367870</v>
      </c>
      <c r="H294" s="19">
        <v>1</v>
      </c>
      <c r="I294" s="19">
        <v>899</v>
      </c>
      <c r="J294" s="19">
        <v>-179.8</v>
      </c>
      <c r="K294" s="19">
        <v>0</v>
      </c>
      <c r="L294" s="19">
        <v>-179.8</v>
      </c>
      <c r="M294" s="19">
        <v>719.2</v>
      </c>
      <c r="N294" s="19">
        <v>34.25</v>
      </c>
      <c r="O294" s="19">
        <v>5</v>
      </c>
      <c r="P294" s="19" t="s">
        <v>290</v>
      </c>
      <c r="Q294" s="19">
        <v>50157523</v>
      </c>
      <c r="R294" s="19" t="s">
        <v>57</v>
      </c>
      <c r="S294" s="19">
        <v>50000003</v>
      </c>
      <c r="T294" s="19"/>
      <c r="U294" s="19" t="s">
        <v>58</v>
      </c>
      <c r="V294" s="18">
        <v>0</v>
      </c>
      <c r="W294" s="17">
        <f t="shared" si="10"/>
        <v>17</v>
      </c>
      <c r="X294" s="5">
        <f t="shared" si="11"/>
        <v>0</v>
      </c>
    </row>
    <row r="295" spans="1:24" x14ac:dyDescent="0.25">
      <c r="A295" s="19">
        <v>26</v>
      </c>
      <c r="B295" s="19" t="s">
        <v>55</v>
      </c>
      <c r="C295" s="19" t="s">
        <v>56</v>
      </c>
      <c r="D295" s="19" t="s">
        <v>289</v>
      </c>
      <c r="E295" s="21">
        <v>46291.72965277778</v>
      </c>
      <c r="F295" s="19">
        <v>2</v>
      </c>
      <c r="G295" s="19">
        <v>194735367870</v>
      </c>
      <c r="H295" s="19">
        <v>1</v>
      </c>
      <c r="I295" s="19">
        <v>899</v>
      </c>
      <c r="J295" s="19">
        <v>-179.8</v>
      </c>
      <c r="K295" s="19">
        <v>0</v>
      </c>
      <c r="L295" s="19">
        <v>-179.8</v>
      </c>
      <c r="M295" s="19">
        <v>719.2</v>
      </c>
      <c r="N295" s="19">
        <v>34.25</v>
      </c>
      <c r="O295" s="19">
        <v>5</v>
      </c>
      <c r="P295" s="19" t="s">
        <v>290</v>
      </c>
      <c r="Q295" s="19">
        <v>50157523</v>
      </c>
      <c r="R295" s="19" t="s">
        <v>57</v>
      </c>
      <c r="S295" s="19">
        <v>50000003</v>
      </c>
      <c r="T295" s="19"/>
      <c r="U295" s="19" t="s">
        <v>58</v>
      </c>
      <c r="V295" s="18">
        <v>0</v>
      </c>
      <c r="W295" s="17">
        <f t="shared" si="10"/>
        <v>17</v>
      </c>
      <c r="X295" s="5">
        <f t="shared" si="11"/>
        <v>0</v>
      </c>
    </row>
    <row r="296" spans="1:24" x14ac:dyDescent="0.25">
      <c r="A296" s="19">
        <v>26</v>
      </c>
      <c r="B296" s="19" t="s">
        <v>55</v>
      </c>
      <c r="C296" s="19" t="s">
        <v>56</v>
      </c>
      <c r="D296" s="19" t="s">
        <v>289</v>
      </c>
      <c r="E296" s="21">
        <v>46291.72965277778</v>
      </c>
      <c r="F296" s="19">
        <v>2</v>
      </c>
      <c r="G296" s="19">
        <v>194735367870</v>
      </c>
      <c r="H296" s="19">
        <v>1</v>
      </c>
      <c r="I296" s="19">
        <v>899</v>
      </c>
      <c r="J296" s="19">
        <v>-179.8</v>
      </c>
      <c r="K296" s="19">
        <v>0</v>
      </c>
      <c r="L296" s="19">
        <v>-179.8</v>
      </c>
      <c r="M296" s="19">
        <v>719.2</v>
      </c>
      <c r="N296" s="19">
        <v>34.25</v>
      </c>
      <c r="O296" s="19">
        <v>5</v>
      </c>
      <c r="P296" s="19" t="s">
        <v>290</v>
      </c>
      <c r="Q296" s="19">
        <v>50157523</v>
      </c>
      <c r="R296" s="19" t="s">
        <v>57</v>
      </c>
      <c r="S296" s="19">
        <v>50000003</v>
      </c>
      <c r="T296" s="19"/>
      <c r="U296" s="19" t="s">
        <v>58</v>
      </c>
      <c r="V296" s="18">
        <v>0</v>
      </c>
      <c r="W296" s="17">
        <f t="shared" si="10"/>
        <v>17</v>
      </c>
      <c r="X296" s="5">
        <f t="shared" si="11"/>
        <v>0</v>
      </c>
    </row>
    <row r="297" spans="1:24" x14ac:dyDescent="0.25">
      <c r="A297" s="19">
        <v>26</v>
      </c>
      <c r="B297" s="19" t="s">
        <v>55</v>
      </c>
      <c r="C297" s="19" t="s">
        <v>56</v>
      </c>
      <c r="D297" s="19" t="s">
        <v>289</v>
      </c>
      <c r="E297" s="21">
        <v>46291.72965277778</v>
      </c>
      <c r="F297" s="19">
        <v>2</v>
      </c>
      <c r="G297" s="19">
        <v>194735367870</v>
      </c>
      <c r="H297" s="19">
        <v>1</v>
      </c>
      <c r="I297" s="19">
        <v>899</v>
      </c>
      <c r="J297" s="19">
        <v>-179.8</v>
      </c>
      <c r="K297" s="19">
        <v>0</v>
      </c>
      <c r="L297" s="19">
        <v>-179.8</v>
      </c>
      <c r="M297" s="19">
        <v>719.2</v>
      </c>
      <c r="N297" s="19">
        <v>34.25</v>
      </c>
      <c r="O297" s="19">
        <v>5</v>
      </c>
      <c r="P297" s="19" t="s">
        <v>290</v>
      </c>
      <c r="Q297" s="19">
        <v>50157523</v>
      </c>
      <c r="R297" s="19" t="s">
        <v>57</v>
      </c>
      <c r="S297" s="19">
        <v>50000003</v>
      </c>
      <c r="T297" s="19"/>
      <c r="U297" s="19" t="s">
        <v>58</v>
      </c>
      <c r="V297" s="18">
        <v>0</v>
      </c>
      <c r="W297" s="17">
        <f t="shared" si="10"/>
        <v>17</v>
      </c>
      <c r="X297" s="5">
        <f t="shared" si="11"/>
        <v>0</v>
      </c>
    </row>
    <row r="298" spans="1:24" x14ac:dyDescent="0.25">
      <c r="A298" s="19">
        <v>26</v>
      </c>
      <c r="B298" s="19" t="s">
        <v>55</v>
      </c>
      <c r="C298" s="19" t="s">
        <v>56</v>
      </c>
      <c r="D298" s="19" t="s">
        <v>289</v>
      </c>
      <c r="E298" s="21">
        <v>46291.72965277778</v>
      </c>
      <c r="F298" s="19">
        <v>2</v>
      </c>
      <c r="G298" s="19">
        <v>194735367870</v>
      </c>
      <c r="H298" s="19">
        <v>1</v>
      </c>
      <c r="I298" s="19">
        <v>899</v>
      </c>
      <c r="J298" s="19">
        <v>-179.8</v>
      </c>
      <c r="K298" s="19">
        <v>0</v>
      </c>
      <c r="L298" s="19">
        <v>-179.8</v>
      </c>
      <c r="M298" s="19">
        <v>719.2</v>
      </c>
      <c r="N298" s="19">
        <v>34.25</v>
      </c>
      <c r="O298" s="19">
        <v>5</v>
      </c>
      <c r="P298" s="19" t="s">
        <v>290</v>
      </c>
      <c r="Q298" s="19">
        <v>50157523</v>
      </c>
      <c r="R298" s="19" t="s">
        <v>57</v>
      </c>
      <c r="S298" s="19">
        <v>50000003</v>
      </c>
      <c r="T298" s="19"/>
      <c r="U298" s="19" t="s">
        <v>58</v>
      </c>
      <c r="V298" s="18">
        <v>0</v>
      </c>
      <c r="W298" s="17">
        <f t="shared" si="10"/>
        <v>17</v>
      </c>
      <c r="X298" s="5">
        <f t="shared" si="11"/>
        <v>0</v>
      </c>
    </row>
    <row r="299" spans="1:24" x14ac:dyDescent="0.25">
      <c r="A299" s="19">
        <v>26</v>
      </c>
      <c r="B299" s="19" t="s">
        <v>55</v>
      </c>
      <c r="C299" s="19" t="s">
        <v>56</v>
      </c>
      <c r="D299" s="19" t="s">
        <v>289</v>
      </c>
      <c r="E299" s="21">
        <v>46291.72965277778</v>
      </c>
      <c r="F299" s="19">
        <v>2</v>
      </c>
      <c r="G299" s="19">
        <v>194735367870</v>
      </c>
      <c r="H299" s="19">
        <v>1</v>
      </c>
      <c r="I299" s="19">
        <v>899</v>
      </c>
      <c r="J299" s="19">
        <v>-179.8</v>
      </c>
      <c r="K299" s="19">
        <v>0</v>
      </c>
      <c r="L299" s="19">
        <v>-179.8</v>
      </c>
      <c r="M299" s="19">
        <v>719.2</v>
      </c>
      <c r="N299" s="19">
        <v>34.25</v>
      </c>
      <c r="O299" s="19">
        <v>5</v>
      </c>
      <c r="P299" s="19" t="s">
        <v>290</v>
      </c>
      <c r="Q299" s="19">
        <v>50157523</v>
      </c>
      <c r="R299" s="19" t="s">
        <v>57</v>
      </c>
      <c r="S299" s="19">
        <v>50000003</v>
      </c>
      <c r="T299" s="19"/>
      <c r="U299" s="19" t="s">
        <v>58</v>
      </c>
      <c r="V299" s="18">
        <v>0</v>
      </c>
      <c r="W299" s="17">
        <f t="shared" si="10"/>
        <v>17</v>
      </c>
      <c r="X299" s="5">
        <f t="shared" si="11"/>
        <v>0</v>
      </c>
    </row>
    <row r="300" spans="1:24" x14ac:dyDescent="0.25">
      <c r="A300" s="19">
        <v>26</v>
      </c>
      <c r="B300" s="19" t="s">
        <v>55</v>
      </c>
      <c r="C300" s="19" t="s">
        <v>56</v>
      </c>
      <c r="D300" s="19" t="s">
        <v>289</v>
      </c>
      <c r="E300" s="21">
        <v>46291.72965277778</v>
      </c>
      <c r="F300" s="19">
        <v>2</v>
      </c>
      <c r="G300" s="19">
        <v>194735367870</v>
      </c>
      <c r="H300" s="19">
        <v>1</v>
      </c>
      <c r="I300" s="19">
        <v>899</v>
      </c>
      <c r="J300" s="19">
        <v>-179.8</v>
      </c>
      <c r="K300" s="19">
        <v>0</v>
      </c>
      <c r="L300" s="19">
        <v>-179.8</v>
      </c>
      <c r="M300" s="19">
        <v>719.2</v>
      </c>
      <c r="N300" s="19">
        <v>34.25</v>
      </c>
      <c r="O300" s="19">
        <v>5</v>
      </c>
      <c r="P300" s="19" t="s">
        <v>290</v>
      </c>
      <c r="Q300" s="19">
        <v>50157523</v>
      </c>
      <c r="R300" s="19" t="s">
        <v>57</v>
      </c>
      <c r="S300" s="19">
        <v>50000003</v>
      </c>
      <c r="T300" s="19"/>
      <c r="U300" s="19" t="s">
        <v>58</v>
      </c>
      <c r="V300" s="18">
        <v>0</v>
      </c>
      <c r="W300" s="17">
        <f t="shared" si="10"/>
        <v>17</v>
      </c>
      <c r="X300" s="5">
        <f t="shared" si="11"/>
        <v>0</v>
      </c>
    </row>
    <row r="301" spans="1:24" x14ac:dyDescent="0.25">
      <c r="A301" s="19">
        <v>26</v>
      </c>
      <c r="B301" s="19" t="s">
        <v>55</v>
      </c>
      <c r="C301" s="19" t="s">
        <v>56</v>
      </c>
      <c r="D301" s="19" t="s">
        <v>289</v>
      </c>
      <c r="E301" s="21">
        <v>46291.72965277778</v>
      </c>
      <c r="F301" s="19">
        <v>2</v>
      </c>
      <c r="G301" s="19">
        <v>194735367870</v>
      </c>
      <c r="H301" s="19">
        <v>1</v>
      </c>
      <c r="I301" s="19">
        <v>899</v>
      </c>
      <c r="J301" s="19">
        <v>-179.8</v>
      </c>
      <c r="K301" s="19">
        <v>0</v>
      </c>
      <c r="L301" s="19">
        <v>-179.8</v>
      </c>
      <c r="M301" s="19">
        <v>719.2</v>
      </c>
      <c r="N301" s="19">
        <v>34.25</v>
      </c>
      <c r="O301" s="19">
        <v>5</v>
      </c>
      <c r="P301" s="19" t="s">
        <v>290</v>
      </c>
      <c r="Q301" s="19">
        <v>50157523</v>
      </c>
      <c r="R301" s="19" t="s">
        <v>57</v>
      </c>
      <c r="S301" s="19">
        <v>50000003</v>
      </c>
      <c r="T301" s="19"/>
      <c r="U301" s="19" t="s">
        <v>58</v>
      </c>
      <c r="V301" s="18">
        <v>0</v>
      </c>
      <c r="W301" s="17">
        <f t="shared" si="10"/>
        <v>17</v>
      </c>
      <c r="X301" s="5">
        <f t="shared" si="11"/>
        <v>0</v>
      </c>
    </row>
    <row r="302" spans="1:24" x14ac:dyDescent="0.25">
      <c r="A302" s="19">
        <v>26</v>
      </c>
      <c r="B302" s="19" t="s">
        <v>55</v>
      </c>
      <c r="C302" s="19" t="s">
        <v>56</v>
      </c>
      <c r="D302" s="19" t="s">
        <v>289</v>
      </c>
      <c r="E302" s="21">
        <v>46291.72965277778</v>
      </c>
      <c r="F302" s="19">
        <v>2</v>
      </c>
      <c r="G302" s="19">
        <v>194735367870</v>
      </c>
      <c r="H302" s="19">
        <v>1</v>
      </c>
      <c r="I302" s="19">
        <v>899</v>
      </c>
      <c r="J302" s="19">
        <v>-179.8</v>
      </c>
      <c r="K302" s="19">
        <v>0</v>
      </c>
      <c r="L302" s="19">
        <v>-179.8</v>
      </c>
      <c r="M302" s="19">
        <v>719.2</v>
      </c>
      <c r="N302" s="19">
        <v>34.25</v>
      </c>
      <c r="O302" s="19">
        <v>5</v>
      </c>
      <c r="P302" s="19" t="s">
        <v>290</v>
      </c>
      <c r="Q302" s="19">
        <v>50157523</v>
      </c>
      <c r="R302" s="19" t="s">
        <v>57</v>
      </c>
      <c r="S302" s="19">
        <v>50000003</v>
      </c>
      <c r="T302" s="19"/>
      <c r="U302" s="19" t="s">
        <v>58</v>
      </c>
      <c r="V302" s="18">
        <v>0</v>
      </c>
      <c r="W302" s="17">
        <f t="shared" si="10"/>
        <v>17</v>
      </c>
      <c r="X302" s="5">
        <f t="shared" si="11"/>
        <v>0</v>
      </c>
    </row>
    <row r="303" spans="1:24" x14ac:dyDescent="0.25">
      <c r="A303" s="19">
        <v>26</v>
      </c>
      <c r="B303" s="19" t="s">
        <v>55</v>
      </c>
      <c r="C303" s="19" t="s">
        <v>56</v>
      </c>
      <c r="D303" s="19" t="s">
        <v>289</v>
      </c>
      <c r="E303" s="21">
        <v>46291.72965277778</v>
      </c>
      <c r="F303" s="19">
        <v>2</v>
      </c>
      <c r="G303" s="19">
        <v>194735367870</v>
      </c>
      <c r="H303" s="19">
        <v>1</v>
      </c>
      <c r="I303" s="19">
        <v>899</v>
      </c>
      <c r="J303" s="19">
        <v>-179.8</v>
      </c>
      <c r="K303" s="19">
        <v>0</v>
      </c>
      <c r="L303" s="19">
        <v>-179.8</v>
      </c>
      <c r="M303" s="19">
        <v>719.2</v>
      </c>
      <c r="N303" s="19">
        <v>34.25</v>
      </c>
      <c r="O303" s="19">
        <v>5</v>
      </c>
      <c r="P303" s="19" t="s">
        <v>290</v>
      </c>
      <c r="Q303" s="19">
        <v>50157523</v>
      </c>
      <c r="R303" s="19" t="s">
        <v>57</v>
      </c>
      <c r="S303" s="19">
        <v>50000003</v>
      </c>
      <c r="T303" s="19"/>
      <c r="U303" s="19" t="s">
        <v>58</v>
      </c>
      <c r="V303" s="18">
        <v>0</v>
      </c>
      <c r="W303" s="17">
        <f t="shared" si="10"/>
        <v>17</v>
      </c>
      <c r="X303" s="5">
        <f t="shared" si="11"/>
        <v>0</v>
      </c>
    </row>
    <row r="304" spans="1:24" x14ac:dyDescent="0.25">
      <c r="A304" s="19">
        <v>26</v>
      </c>
      <c r="B304" s="19" t="s">
        <v>55</v>
      </c>
      <c r="C304" s="19" t="s">
        <v>56</v>
      </c>
      <c r="D304" s="19" t="s">
        <v>289</v>
      </c>
      <c r="E304" s="21">
        <v>46291.72965277778</v>
      </c>
      <c r="F304" s="19">
        <v>2</v>
      </c>
      <c r="G304" s="19">
        <v>194735367870</v>
      </c>
      <c r="H304" s="19">
        <v>1</v>
      </c>
      <c r="I304" s="19">
        <v>899</v>
      </c>
      <c r="J304" s="19">
        <v>-179.8</v>
      </c>
      <c r="K304" s="19">
        <v>0</v>
      </c>
      <c r="L304" s="19">
        <v>-179.8</v>
      </c>
      <c r="M304" s="19">
        <v>719.2</v>
      </c>
      <c r="N304" s="19">
        <v>34.25</v>
      </c>
      <c r="O304" s="19">
        <v>5</v>
      </c>
      <c r="P304" s="19" t="s">
        <v>290</v>
      </c>
      <c r="Q304" s="19">
        <v>50157523</v>
      </c>
      <c r="R304" s="19" t="s">
        <v>57</v>
      </c>
      <c r="S304" s="19">
        <v>50000003</v>
      </c>
      <c r="T304" s="19"/>
      <c r="U304" s="19" t="s">
        <v>58</v>
      </c>
      <c r="V304" s="18">
        <v>0</v>
      </c>
      <c r="W304" s="17">
        <f t="shared" si="10"/>
        <v>17</v>
      </c>
      <c r="X304" s="5">
        <f t="shared" si="11"/>
        <v>0</v>
      </c>
    </row>
    <row r="305" spans="1:24" x14ac:dyDescent="0.25">
      <c r="A305" s="19">
        <v>26</v>
      </c>
      <c r="B305" s="19" t="s">
        <v>55</v>
      </c>
      <c r="C305" s="19" t="s">
        <v>56</v>
      </c>
      <c r="D305" s="19" t="s">
        <v>289</v>
      </c>
      <c r="E305" s="21">
        <v>46291.72965277778</v>
      </c>
      <c r="F305" s="19">
        <v>2</v>
      </c>
      <c r="G305" s="19">
        <v>194735367870</v>
      </c>
      <c r="H305" s="19">
        <v>1</v>
      </c>
      <c r="I305" s="19">
        <v>899</v>
      </c>
      <c r="J305" s="19">
        <v>-179.8</v>
      </c>
      <c r="K305" s="19">
        <v>0</v>
      </c>
      <c r="L305" s="19">
        <v>-179.8</v>
      </c>
      <c r="M305" s="19">
        <v>719.2</v>
      </c>
      <c r="N305" s="19">
        <v>34.25</v>
      </c>
      <c r="O305" s="19">
        <v>5</v>
      </c>
      <c r="P305" s="19" t="s">
        <v>290</v>
      </c>
      <c r="Q305" s="19">
        <v>50157523</v>
      </c>
      <c r="R305" s="19" t="s">
        <v>57</v>
      </c>
      <c r="S305" s="19">
        <v>50000003</v>
      </c>
      <c r="T305" s="19"/>
      <c r="U305" s="19" t="s">
        <v>58</v>
      </c>
      <c r="V305" s="18">
        <v>0</v>
      </c>
      <c r="W305" s="17">
        <f t="shared" si="10"/>
        <v>17</v>
      </c>
      <c r="X305" s="5">
        <f t="shared" si="11"/>
        <v>0</v>
      </c>
    </row>
    <row r="306" spans="1:24" x14ac:dyDescent="0.25">
      <c r="A306" s="19">
        <v>26</v>
      </c>
      <c r="B306" s="19" t="s">
        <v>55</v>
      </c>
      <c r="C306" s="19" t="s">
        <v>56</v>
      </c>
      <c r="D306" s="19" t="s">
        <v>289</v>
      </c>
      <c r="E306" s="21">
        <v>46291.72965277778</v>
      </c>
      <c r="F306" s="19">
        <v>2</v>
      </c>
      <c r="G306" s="19">
        <v>194735367870</v>
      </c>
      <c r="H306" s="19">
        <v>1</v>
      </c>
      <c r="I306" s="19">
        <v>899</v>
      </c>
      <c r="J306" s="19">
        <v>-179.8</v>
      </c>
      <c r="K306" s="19">
        <v>0</v>
      </c>
      <c r="L306" s="19">
        <v>-179.8</v>
      </c>
      <c r="M306" s="19">
        <v>719.2</v>
      </c>
      <c r="N306" s="19">
        <v>34.25</v>
      </c>
      <c r="O306" s="19">
        <v>5</v>
      </c>
      <c r="P306" s="19" t="s">
        <v>290</v>
      </c>
      <c r="Q306" s="19">
        <v>50157523</v>
      </c>
      <c r="R306" s="19" t="s">
        <v>57</v>
      </c>
      <c r="S306" s="19">
        <v>50000003</v>
      </c>
      <c r="T306" s="19"/>
      <c r="U306" s="19" t="s">
        <v>58</v>
      </c>
      <c r="V306" s="18">
        <v>0</v>
      </c>
      <c r="W306" s="17">
        <f t="shared" si="10"/>
        <v>17</v>
      </c>
      <c r="X306" s="5">
        <f t="shared" si="11"/>
        <v>0</v>
      </c>
    </row>
    <row r="307" spans="1:24" x14ac:dyDescent="0.25">
      <c r="A307" s="19">
        <v>26</v>
      </c>
      <c r="B307" s="19" t="s">
        <v>55</v>
      </c>
      <c r="C307" s="19" t="s">
        <v>56</v>
      </c>
      <c r="D307" s="19" t="s">
        <v>289</v>
      </c>
      <c r="E307" s="21">
        <v>46291.72965277778</v>
      </c>
      <c r="F307" s="19">
        <v>2</v>
      </c>
      <c r="G307" s="19">
        <v>194735367870</v>
      </c>
      <c r="H307" s="19">
        <v>1</v>
      </c>
      <c r="I307" s="19">
        <v>899</v>
      </c>
      <c r="J307" s="19">
        <v>-179.8</v>
      </c>
      <c r="K307" s="19">
        <v>0</v>
      </c>
      <c r="L307" s="19">
        <v>-179.8</v>
      </c>
      <c r="M307" s="19">
        <v>719.2</v>
      </c>
      <c r="N307" s="19">
        <v>34.25</v>
      </c>
      <c r="O307" s="19">
        <v>5</v>
      </c>
      <c r="P307" s="19" t="s">
        <v>290</v>
      </c>
      <c r="Q307" s="19">
        <v>50157523</v>
      </c>
      <c r="R307" s="19" t="s">
        <v>57</v>
      </c>
      <c r="S307" s="19">
        <v>50000003</v>
      </c>
      <c r="T307" s="19"/>
      <c r="U307" s="19" t="s">
        <v>58</v>
      </c>
      <c r="V307" s="18">
        <v>0</v>
      </c>
      <c r="W307" s="17">
        <f t="shared" si="10"/>
        <v>17</v>
      </c>
      <c r="X307" s="5">
        <f t="shared" si="11"/>
        <v>0</v>
      </c>
    </row>
    <row r="308" spans="1:24" x14ac:dyDescent="0.25">
      <c r="A308" s="19">
        <v>26</v>
      </c>
      <c r="B308" s="19" t="s">
        <v>55</v>
      </c>
      <c r="C308" s="19" t="s">
        <v>56</v>
      </c>
      <c r="D308" s="19" t="s">
        <v>289</v>
      </c>
      <c r="E308" s="21">
        <v>46291.72965277778</v>
      </c>
      <c r="F308" s="19">
        <v>2</v>
      </c>
      <c r="G308" s="19">
        <v>194735367870</v>
      </c>
      <c r="H308" s="19">
        <v>1</v>
      </c>
      <c r="I308" s="19">
        <v>899</v>
      </c>
      <c r="J308" s="19">
        <v>-179.8</v>
      </c>
      <c r="K308" s="19">
        <v>0</v>
      </c>
      <c r="L308" s="19">
        <v>-179.8</v>
      </c>
      <c r="M308" s="19">
        <v>719.2</v>
      </c>
      <c r="N308" s="19">
        <v>34.25</v>
      </c>
      <c r="O308" s="19">
        <v>5</v>
      </c>
      <c r="P308" s="19" t="s">
        <v>290</v>
      </c>
      <c r="Q308" s="19">
        <v>50157523</v>
      </c>
      <c r="R308" s="19" t="s">
        <v>57</v>
      </c>
      <c r="S308" s="19">
        <v>50000003</v>
      </c>
      <c r="T308" s="19"/>
      <c r="U308" s="19" t="s">
        <v>58</v>
      </c>
      <c r="V308" s="18">
        <v>0</v>
      </c>
      <c r="W308" s="17">
        <f t="shared" si="10"/>
        <v>17</v>
      </c>
      <c r="X308" s="5">
        <f t="shared" si="11"/>
        <v>0</v>
      </c>
    </row>
    <row r="309" spans="1:24" x14ac:dyDescent="0.25">
      <c r="A309" s="19">
        <v>26</v>
      </c>
      <c r="B309" s="19" t="s">
        <v>55</v>
      </c>
      <c r="C309" s="19" t="s">
        <v>56</v>
      </c>
      <c r="D309" s="19" t="s">
        <v>289</v>
      </c>
      <c r="E309" s="21">
        <v>46291.72965277778</v>
      </c>
      <c r="F309" s="19">
        <v>2</v>
      </c>
      <c r="G309" s="19">
        <v>194735367870</v>
      </c>
      <c r="H309" s="19">
        <v>1</v>
      </c>
      <c r="I309" s="19">
        <v>899</v>
      </c>
      <c r="J309" s="19">
        <v>-179.8</v>
      </c>
      <c r="K309" s="19">
        <v>0</v>
      </c>
      <c r="L309" s="19">
        <v>-179.8</v>
      </c>
      <c r="M309" s="19">
        <v>719.2</v>
      </c>
      <c r="N309" s="19">
        <v>34.25</v>
      </c>
      <c r="O309" s="19">
        <v>5</v>
      </c>
      <c r="P309" s="19" t="s">
        <v>290</v>
      </c>
      <c r="Q309" s="19">
        <v>50157523</v>
      </c>
      <c r="R309" s="19" t="s">
        <v>57</v>
      </c>
      <c r="S309" s="19">
        <v>50000003</v>
      </c>
      <c r="T309" s="19"/>
      <c r="U309" s="19" t="s">
        <v>58</v>
      </c>
      <c r="V309" s="18">
        <v>0</v>
      </c>
      <c r="W309" s="17">
        <f t="shared" si="10"/>
        <v>17</v>
      </c>
      <c r="X309" s="5">
        <f t="shared" si="11"/>
        <v>0</v>
      </c>
    </row>
    <row r="310" spans="1:24" x14ac:dyDescent="0.25">
      <c r="A310" s="19">
        <v>26</v>
      </c>
      <c r="B310" s="19" t="s">
        <v>55</v>
      </c>
      <c r="C310" s="19" t="s">
        <v>56</v>
      </c>
      <c r="D310" s="19" t="s">
        <v>289</v>
      </c>
      <c r="E310" s="21">
        <v>46291.72965277778</v>
      </c>
      <c r="F310" s="19">
        <v>2</v>
      </c>
      <c r="G310" s="19">
        <v>194735367870</v>
      </c>
      <c r="H310" s="19">
        <v>1</v>
      </c>
      <c r="I310" s="19">
        <v>899</v>
      </c>
      <c r="J310" s="19">
        <v>-179.8</v>
      </c>
      <c r="K310" s="19">
        <v>0</v>
      </c>
      <c r="L310" s="19">
        <v>-179.8</v>
      </c>
      <c r="M310" s="19">
        <v>719.2</v>
      </c>
      <c r="N310" s="19">
        <v>34.25</v>
      </c>
      <c r="O310" s="19">
        <v>5</v>
      </c>
      <c r="P310" s="19" t="s">
        <v>290</v>
      </c>
      <c r="Q310" s="19">
        <v>50157523</v>
      </c>
      <c r="R310" s="19" t="s">
        <v>57</v>
      </c>
      <c r="S310" s="19">
        <v>50000003</v>
      </c>
      <c r="T310" s="19"/>
      <c r="U310" s="19" t="s">
        <v>58</v>
      </c>
      <c r="V310" s="18">
        <v>0</v>
      </c>
      <c r="W310" s="17">
        <f t="shared" si="10"/>
        <v>17</v>
      </c>
      <c r="X310" s="5">
        <f t="shared" si="11"/>
        <v>0</v>
      </c>
    </row>
    <row r="311" spans="1:24" x14ac:dyDescent="0.25">
      <c r="A311" s="19">
        <v>26</v>
      </c>
      <c r="B311" s="19" t="s">
        <v>55</v>
      </c>
      <c r="C311" s="19" t="s">
        <v>56</v>
      </c>
      <c r="D311" s="19" t="s">
        <v>289</v>
      </c>
      <c r="E311" s="21">
        <v>46291.72965277778</v>
      </c>
      <c r="F311" s="19">
        <v>2</v>
      </c>
      <c r="G311" s="19">
        <v>194735367870</v>
      </c>
      <c r="H311" s="19">
        <v>1</v>
      </c>
      <c r="I311" s="19">
        <v>899</v>
      </c>
      <c r="J311" s="19">
        <v>-179.8</v>
      </c>
      <c r="K311" s="19">
        <v>0</v>
      </c>
      <c r="L311" s="19">
        <v>-179.8</v>
      </c>
      <c r="M311" s="19">
        <v>719.2</v>
      </c>
      <c r="N311" s="19">
        <v>34.25</v>
      </c>
      <c r="O311" s="19">
        <v>5</v>
      </c>
      <c r="P311" s="19" t="s">
        <v>290</v>
      </c>
      <c r="Q311" s="19">
        <v>50157523</v>
      </c>
      <c r="R311" s="19" t="s">
        <v>57</v>
      </c>
      <c r="S311" s="19">
        <v>50000003</v>
      </c>
      <c r="T311" s="19"/>
      <c r="U311" s="19" t="s">
        <v>58</v>
      </c>
      <c r="V311" s="18">
        <v>0</v>
      </c>
      <c r="W311" s="17">
        <f t="shared" si="10"/>
        <v>17</v>
      </c>
      <c r="X311" s="5">
        <f t="shared" si="11"/>
        <v>0</v>
      </c>
    </row>
    <row r="312" spans="1:24" x14ac:dyDescent="0.25">
      <c r="A312" s="19">
        <v>26</v>
      </c>
      <c r="B312" s="19" t="s">
        <v>55</v>
      </c>
      <c r="C312" s="19" t="s">
        <v>56</v>
      </c>
      <c r="D312" s="19" t="s">
        <v>289</v>
      </c>
      <c r="E312" s="21">
        <v>46291.72965277778</v>
      </c>
      <c r="F312" s="19">
        <v>2</v>
      </c>
      <c r="G312" s="19">
        <v>194735367870</v>
      </c>
      <c r="H312" s="19">
        <v>1</v>
      </c>
      <c r="I312" s="19">
        <v>899</v>
      </c>
      <c r="J312" s="19">
        <v>-179.8</v>
      </c>
      <c r="K312" s="19">
        <v>0</v>
      </c>
      <c r="L312" s="19">
        <v>-179.8</v>
      </c>
      <c r="M312" s="19">
        <v>719.2</v>
      </c>
      <c r="N312" s="19">
        <v>34.25</v>
      </c>
      <c r="O312" s="19">
        <v>5</v>
      </c>
      <c r="P312" s="19" t="s">
        <v>290</v>
      </c>
      <c r="Q312" s="19">
        <v>50157523</v>
      </c>
      <c r="R312" s="19" t="s">
        <v>57</v>
      </c>
      <c r="S312" s="19">
        <v>50000003</v>
      </c>
      <c r="T312" s="19"/>
      <c r="U312" s="19" t="s">
        <v>58</v>
      </c>
      <c r="V312" s="18">
        <v>0</v>
      </c>
      <c r="W312" s="17">
        <f t="shared" si="10"/>
        <v>17</v>
      </c>
      <c r="X312" s="5">
        <f t="shared" si="11"/>
        <v>0</v>
      </c>
    </row>
    <row r="313" spans="1:24" x14ac:dyDescent="0.25">
      <c r="A313" s="19">
        <v>26</v>
      </c>
      <c r="B313" s="19" t="s">
        <v>55</v>
      </c>
      <c r="C313" s="19" t="s">
        <v>56</v>
      </c>
      <c r="D313" s="19" t="s">
        <v>289</v>
      </c>
      <c r="E313" s="21">
        <v>46291.72965277778</v>
      </c>
      <c r="F313" s="19">
        <v>2</v>
      </c>
      <c r="G313" s="19">
        <v>194735367870</v>
      </c>
      <c r="H313" s="19">
        <v>1</v>
      </c>
      <c r="I313" s="19">
        <v>899</v>
      </c>
      <c r="J313" s="19">
        <v>-179.8</v>
      </c>
      <c r="K313" s="19">
        <v>0</v>
      </c>
      <c r="L313" s="19">
        <v>-179.8</v>
      </c>
      <c r="M313" s="19">
        <v>719.2</v>
      </c>
      <c r="N313" s="19">
        <v>34.25</v>
      </c>
      <c r="O313" s="19">
        <v>5</v>
      </c>
      <c r="P313" s="19" t="s">
        <v>290</v>
      </c>
      <c r="Q313" s="19">
        <v>50157523</v>
      </c>
      <c r="R313" s="19" t="s">
        <v>57</v>
      </c>
      <c r="S313" s="19">
        <v>50000003</v>
      </c>
      <c r="T313" s="19"/>
      <c r="U313" s="19" t="s">
        <v>58</v>
      </c>
      <c r="V313" s="18">
        <v>0</v>
      </c>
      <c r="W313" s="17">
        <f t="shared" si="10"/>
        <v>17</v>
      </c>
      <c r="X313" s="5">
        <f t="shared" si="11"/>
        <v>0</v>
      </c>
    </row>
    <row r="314" spans="1:24" x14ac:dyDescent="0.25">
      <c r="A314" s="19">
        <v>26</v>
      </c>
      <c r="B314" s="19" t="s">
        <v>55</v>
      </c>
      <c r="C314" s="19" t="s">
        <v>56</v>
      </c>
      <c r="D314" s="19" t="s">
        <v>289</v>
      </c>
      <c r="E314" s="21">
        <v>46291.72965277778</v>
      </c>
      <c r="F314" s="19">
        <v>2</v>
      </c>
      <c r="G314" s="19">
        <v>194735367870</v>
      </c>
      <c r="H314" s="19">
        <v>1</v>
      </c>
      <c r="I314" s="19">
        <v>899</v>
      </c>
      <c r="J314" s="19">
        <v>-179.8</v>
      </c>
      <c r="K314" s="19">
        <v>0</v>
      </c>
      <c r="L314" s="19">
        <v>-179.8</v>
      </c>
      <c r="M314" s="19">
        <v>719.2</v>
      </c>
      <c r="N314" s="19">
        <v>34.25</v>
      </c>
      <c r="O314" s="19">
        <v>5</v>
      </c>
      <c r="P314" s="19" t="s">
        <v>290</v>
      </c>
      <c r="Q314" s="19">
        <v>50157523</v>
      </c>
      <c r="R314" s="19" t="s">
        <v>57</v>
      </c>
      <c r="S314" s="19">
        <v>50000003</v>
      </c>
      <c r="T314" s="19"/>
      <c r="U314" s="19" t="s">
        <v>58</v>
      </c>
      <c r="V314" s="18">
        <v>0</v>
      </c>
      <c r="W314" s="17">
        <f t="shared" si="10"/>
        <v>17</v>
      </c>
      <c r="X314" s="5">
        <f t="shared" si="11"/>
        <v>0</v>
      </c>
    </row>
    <row r="315" spans="1:24" x14ac:dyDescent="0.25">
      <c r="A315" s="19">
        <v>26</v>
      </c>
      <c r="B315" s="19" t="s">
        <v>55</v>
      </c>
      <c r="C315" s="19" t="s">
        <v>56</v>
      </c>
      <c r="D315" s="19" t="s">
        <v>289</v>
      </c>
      <c r="E315" s="21">
        <v>46291.72965277778</v>
      </c>
      <c r="F315" s="19">
        <v>2</v>
      </c>
      <c r="G315" s="19">
        <v>194735367870</v>
      </c>
      <c r="H315" s="19">
        <v>1</v>
      </c>
      <c r="I315" s="19">
        <v>899</v>
      </c>
      <c r="J315" s="19">
        <v>-179.8</v>
      </c>
      <c r="K315" s="19">
        <v>0</v>
      </c>
      <c r="L315" s="19">
        <v>-179.8</v>
      </c>
      <c r="M315" s="19">
        <v>719.2</v>
      </c>
      <c r="N315" s="19">
        <v>34.25</v>
      </c>
      <c r="O315" s="19">
        <v>5</v>
      </c>
      <c r="P315" s="19" t="s">
        <v>290</v>
      </c>
      <c r="Q315" s="19">
        <v>50157523</v>
      </c>
      <c r="R315" s="19" t="s">
        <v>57</v>
      </c>
      <c r="S315" s="19">
        <v>50000003</v>
      </c>
      <c r="T315" s="19"/>
      <c r="U315" s="19" t="s">
        <v>58</v>
      </c>
      <c r="V315" s="18">
        <v>0</v>
      </c>
      <c r="W315" s="17">
        <f t="shared" si="10"/>
        <v>17</v>
      </c>
      <c r="X315" s="5">
        <f t="shared" si="11"/>
        <v>0</v>
      </c>
    </row>
    <row r="316" spans="1:24" x14ac:dyDescent="0.25">
      <c r="A316" s="19">
        <v>26</v>
      </c>
      <c r="B316" s="19" t="s">
        <v>55</v>
      </c>
      <c r="C316" s="19" t="s">
        <v>56</v>
      </c>
      <c r="D316" s="19" t="s">
        <v>289</v>
      </c>
      <c r="E316" s="21">
        <v>46291.72965277778</v>
      </c>
      <c r="F316" s="19">
        <v>2</v>
      </c>
      <c r="G316" s="19">
        <v>194735367870</v>
      </c>
      <c r="H316" s="19">
        <v>1</v>
      </c>
      <c r="I316" s="19">
        <v>899</v>
      </c>
      <c r="J316" s="19">
        <v>-179.8</v>
      </c>
      <c r="K316" s="19">
        <v>0</v>
      </c>
      <c r="L316" s="19">
        <v>-179.8</v>
      </c>
      <c r="M316" s="19">
        <v>719.2</v>
      </c>
      <c r="N316" s="19">
        <v>34.25</v>
      </c>
      <c r="O316" s="19">
        <v>5</v>
      </c>
      <c r="P316" s="19" t="s">
        <v>290</v>
      </c>
      <c r="Q316" s="19">
        <v>50157523</v>
      </c>
      <c r="R316" s="19" t="s">
        <v>57</v>
      </c>
      <c r="S316" s="19">
        <v>50000003</v>
      </c>
      <c r="T316" s="19"/>
      <c r="U316" s="19" t="s">
        <v>58</v>
      </c>
      <c r="V316" s="18">
        <v>0</v>
      </c>
      <c r="W316" s="17">
        <f t="shared" si="10"/>
        <v>17</v>
      </c>
      <c r="X316" s="5">
        <f t="shared" si="11"/>
        <v>0</v>
      </c>
    </row>
    <row r="317" spans="1:24" x14ac:dyDescent="0.25">
      <c r="A317" s="19">
        <v>26</v>
      </c>
      <c r="B317" s="19" t="s">
        <v>55</v>
      </c>
      <c r="C317" s="19" t="s">
        <v>56</v>
      </c>
      <c r="D317" s="19" t="s">
        <v>289</v>
      </c>
      <c r="E317" s="21">
        <v>46291.72965277778</v>
      </c>
      <c r="F317" s="19">
        <v>2</v>
      </c>
      <c r="G317" s="19">
        <v>194735367870</v>
      </c>
      <c r="H317" s="19">
        <v>1</v>
      </c>
      <c r="I317" s="19">
        <v>899</v>
      </c>
      <c r="J317" s="19">
        <v>-179.8</v>
      </c>
      <c r="K317" s="19">
        <v>0</v>
      </c>
      <c r="L317" s="19">
        <v>-179.8</v>
      </c>
      <c r="M317" s="19">
        <v>719.2</v>
      </c>
      <c r="N317" s="19">
        <v>34.25</v>
      </c>
      <c r="O317" s="19">
        <v>5</v>
      </c>
      <c r="P317" s="19" t="s">
        <v>290</v>
      </c>
      <c r="Q317" s="19">
        <v>50157523</v>
      </c>
      <c r="R317" s="19" t="s">
        <v>57</v>
      </c>
      <c r="S317" s="19">
        <v>50000003</v>
      </c>
      <c r="T317" s="19"/>
      <c r="U317" s="19" t="s">
        <v>58</v>
      </c>
      <c r="V317" s="18">
        <v>0</v>
      </c>
      <c r="W317" s="17">
        <f t="shared" si="10"/>
        <v>17</v>
      </c>
      <c r="X317" s="5">
        <f t="shared" si="11"/>
        <v>0</v>
      </c>
    </row>
    <row r="318" spans="1:24" x14ac:dyDescent="0.25">
      <c r="A318" s="19">
        <v>26</v>
      </c>
      <c r="B318" s="19" t="s">
        <v>55</v>
      </c>
      <c r="C318" s="19" t="s">
        <v>56</v>
      </c>
      <c r="D318" s="19" t="s">
        <v>289</v>
      </c>
      <c r="E318" s="21">
        <v>46291.72965277778</v>
      </c>
      <c r="F318" s="19">
        <v>2</v>
      </c>
      <c r="G318" s="19">
        <v>194735367870</v>
      </c>
      <c r="H318" s="19">
        <v>1</v>
      </c>
      <c r="I318" s="19">
        <v>899</v>
      </c>
      <c r="J318" s="19">
        <v>-179.8</v>
      </c>
      <c r="K318" s="19">
        <v>0</v>
      </c>
      <c r="L318" s="19">
        <v>-179.8</v>
      </c>
      <c r="M318" s="19">
        <v>719.2</v>
      </c>
      <c r="N318" s="19">
        <v>34.25</v>
      </c>
      <c r="O318" s="19">
        <v>5</v>
      </c>
      <c r="P318" s="19" t="s">
        <v>290</v>
      </c>
      <c r="Q318" s="19">
        <v>50157523</v>
      </c>
      <c r="R318" s="19" t="s">
        <v>57</v>
      </c>
      <c r="S318" s="19">
        <v>50000003</v>
      </c>
      <c r="T318" s="19"/>
      <c r="U318" s="19" t="s">
        <v>58</v>
      </c>
      <c r="V318" s="18">
        <v>0</v>
      </c>
      <c r="W318" s="17">
        <f t="shared" si="10"/>
        <v>17</v>
      </c>
      <c r="X318" s="5">
        <f t="shared" si="11"/>
        <v>0</v>
      </c>
    </row>
    <row r="319" spans="1:24" x14ac:dyDescent="0.25">
      <c r="A319" s="19">
        <v>26</v>
      </c>
      <c r="B319" s="19" t="s">
        <v>55</v>
      </c>
      <c r="C319" s="19" t="s">
        <v>56</v>
      </c>
      <c r="D319" s="19" t="s">
        <v>289</v>
      </c>
      <c r="E319" s="21">
        <v>46291.72965277778</v>
      </c>
      <c r="F319" s="19">
        <v>2</v>
      </c>
      <c r="G319" s="19">
        <v>194735367870</v>
      </c>
      <c r="H319" s="19">
        <v>1</v>
      </c>
      <c r="I319" s="19">
        <v>899</v>
      </c>
      <c r="J319" s="19">
        <v>-179.8</v>
      </c>
      <c r="K319" s="19">
        <v>0</v>
      </c>
      <c r="L319" s="19">
        <v>-179.8</v>
      </c>
      <c r="M319" s="19">
        <v>719.2</v>
      </c>
      <c r="N319" s="19">
        <v>34.25</v>
      </c>
      <c r="O319" s="19">
        <v>5</v>
      </c>
      <c r="P319" s="19" t="s">
        <v>290</v>
      </c>
      <c r="Q319" s="19">
        <v>50157523</v>
      </c>
      <c r="R319" s="19" t="s">
        <v>57</v>
      </c>
      <c r="S319" s="19">
        <v>50000003</v>
      </c>
      <c r="T319" s="19"/>
      <c r="U319" s="19" t="s">
        <v>58</v>
      </c>
      <c r="V319" s="18">
        <v>0</v>
      </c>
      <c r="W319" s="17">
        <f t="shared" si="10"/>
        <v>17</v>
      </c>
      <c r="X319" s="5">
        <f t="shared" si="11"/>
        <v>0</v>
      </c>
    </row>
    <row r="320" spans="1:24" x14ac:dyDescent="0.25">
      <c r="A320" s="19">
        <v>26</v>
      </c>
      <c r="B320" s="19" t="s">
        <v>55</v>
      </c>
      <c r="C320" s="19" t="s">
        <v>56</v>
      </c>
      <c r="D320" s="19" t="s">
        <v>289</v>
      </c>
      <c r="E320" s="21">
        <v>46291.72965277778</v>
      </c>
      <c r="F320" s="19">
        <v>2</v>
      </c>
      <c r="G320" s="19">
        <v>194735367870</v>
      </c>
      <c r="H320" s="19">
        <v>1</v>
      </c>
      <c r="I320" s="19">
        <v>899</v>
      </c>
      <c r="J320" s="19">
        <v>-179.8</v>
      </c>
      <c r="K320" s="19">
        <v>0</v>
      </c>
      <c r="L320" s="19">
        <v>-179.8</v>
      </c>
      <c r="M320" s="19">
        <v>719.2</v>
      </c>
      <c r="N320" s="19">
        <v>34.25</v>
      </c>
      <c r="O320" s="19">
        <v>5</v>
      </c>
      <c r="P320" s="19" t="s">
        <v>290</v>
      </c>
      <c r="Q320" s="19">
        <v>50157523</v>
      </c>
      <c r="R320" s="19" t="s">
        <v>57</v>
      </c>
      <c r="S320" s="19">
        <v>50000003</v>
      </c>
      <c r="T320" s="19"/>
      <c r="U320" s="19" t="s">
        <v>58</v>
      </c>
      <c r="V320" s="18">
        <v>0</v>
      </c>
      <c r="W320" s="17">
        <f t="shared" si="10"/>
        <v>17</v>
      </c>
      <c r="X320" s="5">
        <f t="shared" si="11"/>
        <v>0</v>
      </c>
    </row>
    <row r="321" spans="1:24" x14ac:dyDescent="0.25">
      <c r="A321" s="19">
        <v>26</v>
      </c>
      <c r="B321" s="19" t="s">
        <v>55</v>
      </c>
      <c r="C321" s="19" t="s">
        <v>56</v>
      </c>
      <c r="D321" s="19" t="s">
        <v>289</v>
      </c>
      <c r="E321" s="21">
        <v>46291.72965277778</v>
      </c>
      <c r="F321" s="19">
        <v>2</v>
      </c>
      <c r="G321" s="19">
        <v>194735367870</v>
      </c>
      <c r="H321" s="19">
        <v>1</v>
      </c>
      <c r="I321" s="19">
        <v>899</v>
      </c>
      <c r="J321" s="19">
        <v>-179.8</v>
      </c>
      <c r="K321" s="19">
        <v>0</v>
      </c>
      <c r="L321" s="19">
        <v>-179.8</v>
      </c>
      <c r="M321" s="19">
        <v>719.2</v>
      </c>
      <c r="N321" s="19">
        <v>34.25</v>
      </c>
      <c r="O321" s="19">
        <v>5</v>
      </c>
      <c r="P321" s="19" t="s">
        <v>290</v>
      </c>
      <c r="Q321" s="19">
        <v>50157523</v>
      </c>
      <c r="R321" s="19" t="s">
        <v>57</v>
      </c>
      <c r="S321" s="19">
        <v>50000003</v>
      </c>
      <c r="T321" s="19"/>
      <c r="U321" s="19" t="s">
        <v>58</v>
      </c>
      <c r="V321" s="18">
        <v>0</v>
      </c>
      <c r="W321" s="17">
        <f t="shared" si="10"/>
        <v>17</v>
      </c>
      <c r="X321" s="5">
        <f t="shared" si="11"/>
        <v>0</v>
      </c>
    </row>
    <row r="322" spans="1:24" x14ac:dyDescent="0.25">
      <c r="A322" s="19">
        <v>26</v>
      </c>
      <c r="B322" s="19" t="s">
        <v>55</v>
      </c>
      <c r="C322" s="19" t="s">
        <v>56</v>
      </c>
      <c r="D322" s="19" t="s">
        <v>289</v>
      </c>
      <c r="E322" s="21">
        <v>46291.72965277778</v>
      </c>
      <c r="F322" s="19">
        <v>2</v>
      </c>
      <c r="G322" s="19">
        <v>194735367870</v>
      </c>
      <c r="H322" s="19">
        <v>1</v>
      </c>
      <c r="I322" s="19">
        <v>899</v>
      </c>
      <c r="J322" s="19">
        <v>-179.8</v>
      </c>
      <c r="K322" s="19">
        <v>0</v>
      </c>
      <c r="L322" s="19">
        <v>-179.8</v>
      </c>
      <c r="M322" s="19">
        <v>719.2</v>
      </c>
      <c r="N322" s="19">
        <v>34.25</v>
      </c>
      <c r="O322" s="19">
        <v>5</v>
      </c>
      <c r="P322" s="19" t="s">
        <v>290</v>
      </c>
      <c r="Q322" s="19">
        <v>50157523</v>
      </c>
      <c r="R322" s="19" t="s">
        <v>57</v>
      </c>
      <c r="S322" s="19">
        <v>50000003</v>
      </c>
      <c r="T322" s="19"/>
      <c r="U322" s="19" t="s">
        <v>58</v>
      </c>
      <c r="V322" s="18">
        <v>0</v>
      </c>
      <c r="W322" s="17">
        <f t="shared" si="10"/>
        <v>17</v>
      </c>
      <c r="X322" s="5">
        <f t="shared" si="11"/>
        <v>0</v>
      </c>
    </row>
    <row r="323" spans="1:24" x14ac:dyDescent="0.25">
      <c r="A323" s="19">
        <v>26</v>
      </c>
      <c r="B323" s="19" t="s">
        <v>55</v>
      </c>
      <c r="C323" s="19" t="s">
        <v>56</v>
      </c>
      <c r="D323" s="19" t="s">
        <v>289</v>
      </c>
      <c r="E323" s="21">
        <v>46291.72965277778</v>
      </c>
      <c r="F323" s="19">
        <v>2</v>
      </c>
      <c r="G323" s="19">
        <v>194735367870</v>
      </c>
      <c r="H323" s="19">
        <v>1</v>
      </c>
      <c r="I323" s="19">
        <v>899</v>
      </c>
      <c r="J323" s="19">
        <v>-179.8</v>
      </c>
      <c r="K323" s="19">
        <v>0</v>
      </c>
      <c r="L323" s="19">
        <v>-179.8</v>
      </c>
      <c r="M323" s="19">
        <v>719.2</v>
      </c>
      <c r="N323" s="19">
        <v>34.25</v>
      </c>
      <c r="O323" s="19">
        <v>5</v>
      </c>
      <c r="P323" s="19" t="s">
        <v>290</v>
      </c>
      <c r="Q323" s="19">
        <v>50157523</v>
      </c>
      <c r="R323" s="19" t="s">
        <v>57</v>
      </c>
      <c r="S323" s="19">
        <v>50000003</v>
      </c>
      <c r="T323" s="19"/>
      <c r="U323" s="19" t="s">
        <v>58</v>
      </c>
      <c r="V323" s="18">
        <v>0</v>
      </c>
      <c r="W323" s="17">
        <f t="shared" ref="W323:W386" si="12">HOUR(E323)</f>
        <v>17</v>
      </c>
      <c r="X323" s="5">
        <f t="shared" ref="X323:X386" si="13">IF(D323=D322,0,1)</f>
        <v>0</v>
      </c>
    </row>
    <row r="324" spans="1:24" x14ac:dyDescent="0.25">
      <c r="A324" s="19">
        <v>26</v>
      </c>
      <c r="B324" s="19" t="s">
        <v>55</v>
      </c>
      <c r="C324" s="19" t="s">
        <v>56</v>
      </c>
      <c r="D324" s="19" t="s">
        <v>289</v>
      </c>
      <c r="E324" s="21">
        <v>46291.72965277778</v>
      </c>
      <c r="F324" s="19">
        <v>2</v>
      </c>
      <c r="G324" s="19">
        <v>194735367870</v>
      </c>
      <c r="H324" s="19">
        <v>1</v>
      </c>
      <c r="I324" s="19">
        <v>899</v>
      </c>
      <c r="J324" s="19">
        <v>-179.8</v>
      </c>
      <c r="K324" s="19">
        <v>0</v>
      </c>
      <c r="L324" s="19">
        <v>-179.8</v>
      </c>
      <c r="M324" s="19">
        <v>719.2</v>
      </c>
      <c r="N324" s="19">
        <v>34.25</v>
      </c>
      <c r="O324" s="19">
        <v>5</v>
      </c>
      <c r="P324" s="19" t="s">
        <v>290</v>
      </c>
      <c r="Q324" s="19">
        <v>50157523</v>
      </c>
      <c r="R324" s="19" t="s">
        <v>57</v>
      </c>
      <c r="S324" s="19">
        <v>50000003</v>
      </c>
      <c r="T324" s="19"/>
      <c r="U324" s="19" t="s">
        <v>58</v>
      </c>
      <c r="V324" s="18">
        <v>0</v>
      </c>
      <c r="W324" s="17">
        <f t="shared" si="12"/>
        <v>17</v>
      </c>
      <c r="X324" s="5">
        <f t="shared" si="13"/>
        <v>0</v>
      </c>
    </row>
    <row r="325" spans="1:24" x14ac:dyDescent="0.25">
      <c r="A325" s="19">
        <v>26</v>
      </c>
      <c r="B325" s="19" t="s">
        <v>55</v>
      </c>
      <c r="C325" s="19" t="s">
        <v>56</v>
      </c>
      <c r="D325" s="19" t="s">
        <v>289</v>
      </c>
      <c r="E325" s="21">
        <v>46291.72965277778</v>
      </c>
      <c r="F325" s="19">
        <v>2</v>
      </c>
      <c r="G325" s="19">
        <v>194735367870</v>
      </c>
      <c r="H325" s="19">
        <v>1</v>
      </c>
      <c r="I325" s="19">
        <v>899</v>
      </c>
      <c r="J325" s="19">
        <v>-179.8</v>
      </c>
      <c r="K325" s="19">
        <v>0</v>
      </c>
      <c r="L325" s="19">
        <v>-179.8</v>
      </c>
      <c r="M325" s="19">
        <v>719.2</v>
      </c>
      <c r="N325" s="19">
        <v>34.25</v>
      </c>
      <c r="O325" s="19">
        <v>5</v>
      </c>
      <c r="P325" s="19" t="s">
        <v>290</v>
      </c>
      <c r="Q325" s="19">
        <v>50157523</v>
      </c>
      <c r="R325" s="19" t="s">
        <v>57</v>
      </c>
      <c r="S325" s="19">
        <v>50000003</v>
      </c>
      <c r="T325" s="19"/>
      <c r="U325" s="19" t="s">
        <v>58</v>
      </c>
      <c r="V325" s="18">
        <v>0</v>
      </c>
      <c r="W325" s="17">
        <f t="shared" si="12"/>
        <v>17</v>
      </c>
      <c r="X325" s="5">
        <f t="shared" si="13"/>
        <v>0</v>
      </c>
    </row>
    <row r="326" spans="1:24" x14ac:dyDescent="0.25">
      <c r="A326" s="19">
        <v>26</v>
      </c>
      <c r="B326" s="19" t="s">
        <v>55</v>
      </c>
      <c r="C326" s="19" t="s">
        <v>56</v>
      </c>
      <c r="D326" s="19" t="s">
        <v>289</v>
      </c>
      <c r="E326" s="21">
        <v>46291.72965277778</v>
      </c>
      <c r="F326" s="19">
        <v>2</v>
      </c>
      <c r="G326" s="19">
        <v>194735367870</v>
      </c>
      <c r="H326" s="19">
        <v>1</v>
      </c>
      <c r="I326" s="19">
        <v>899</v>
      </c>
      <c r="J326" s="19">
        <v>-179.8</v>
      </c>
      <c r="K326" s="19">
        <v>0</v>
      </c>
      <c r="L326" s="19">
        <v>-179.8</v>
      </c>
      <c r="M326" s="19">
        <v>719.2</v>
      </c>
      <c r="N326" s="19">
        <v>34.25</v>
      </c>
      <c r="O326" s="19">
        <v>5</v>
      </c>
      <c r="P326" s="19" t="s">
        <v>290</v>
      </c>
      <c r="Q326" s="19">
        <v>50157523</v>
      </c>
      <c r="R326" s="19" t="s">
        <v>57</v>
      </c>
      <c r="S326" s="19">
        <v>50000003</v>
      </c>
      <c r="T326" s="19"/>
      <c r="U326" s="19" t="s">
        <v>58</v>
      </c>
      <c r="V326" s="18">
        <v>0</v>
      </c>
      <c r="W326" s="17">
        <f t="shared" si="12"/>
        <v>17</v>
      </c>
      <c r="X326" s="5">
        <f t="shared" si="13"/>
        <v>0</v>
      </c>
    </row>
    <row r="327" spans="1:24" x14ac:dyDescent="0.25">
      <c r="A327" s="19">
        <v>26</v>
      </c>
      <c r="B327" s="19" t="s">
        <v>55</v>
      </c>
      <c r="C327" s="19" t="s">
        <v>56</v>
      </c>
      <c r="D327" s="19" t="s">
        <v>289</v>
      </c>
      <c r="E327" s="21">
        <v>46291.72965277778</v>
      </c>
      <c r="F327" s="19">
        <v>2</v>
      </c>
      <c r="G327" s="19">
        <v>194735367870</v>
      </c>
      <c r="H327" s="19">
        <v>1</v>
      </c>
      <c r="I327" s="19">
        <v>899</v>
      </c>
      <c r="J327" s="19">
        <v>-179.8</v>
      </c>
      <c r="K327" s="19">
        <v>0</v>
      </c>
      <c r="L327" s="19">
        <v>-179.8</v>
      </c>
      <c r="M327" s="19">
        <v>719.2</v>
      </c>
      <c r="N327" s="19">
        <v>34.25</v>
      </c>
      <c r="O327" s="19">
        <v>5</v>
      </c>
      <c r="P327" s="19" t="s">
        <v>290</v>
      </c>
      <c r="Q327" s="19">
        <v>50157523</v>
      </c>
      <c r="R327" s="19" t="s">
        <v>57</v>
      </c>
      <c r="S327" s="19">
        <v>50000003</v>
      </c>
      <c r="T327" s="19"/>
      <c r="U327" s="19" t="s">
        <v>58</v>
      </c>
      <c r="V327" s="18">
        <v>0</v>
      </c>
      <c r="W327" s="17">
        <f t="shared" si="12"/>
        <v>17</v>
      </c>
      <c r="X327" s="5">
        <f t="shared" si="13"/>
        <v>0</v>
      </c>
    </row>
    <row r="328" spans="1:24" x14ac:dyDescent="0.25">
      <c r="A328" s="19">
        <v>26</v>
      </c>
      <c r="B328" s="19" t="s">
        <v>55</v>
      </c>
      <c r="C328" s="19" t="s">
        <v>56</v>
      </c>
      <c r="D328" s="19" t="s">
        <v>289</v>
      </c>
      <c r="E328" s="21">
        <v>46291.72965277778</v>
      </c>
      <c r="F328" s="19">
        <v>2</v>
      </c>
      <c r="G328" s="19">
        <v>194735367870</v>
      </c>
      <c r="H328" s="19">
        <v>1</v>
      </c>
      <c r="I328" s="19">
        <v>899</v>
      </c>
      <c r="J328" s="19">
        <v>-179.8</v>
      </c>
      <c r="K328" s="19">
        <v>0</v>
      </c>
      <c r="L328" s="19">
        <v>-179.8</v>
      </c>
      <c r="M328" s="19">
        <v>719.2</v>
      </c>
      <c r="N328" s="19">
        <v>34.25</v>
      </c>
      <c r="O328" s="19">
        <v>5</v>
      </c>
      <c r="P328" s="19" t="s">
        <v>290</v>
      </c>
      <c r="Q328" s="19">
        <v>50157523</v>
      </c>
      <c r="R328" s="19" t="s">
        <v>57</v>
      </c>
      <c r="S328" s="19">
        <v>50000003</v>
      </c>
      <c r="T328" s="19"/>
      <c r="U328" s="19" t="s">
        <v>58</v>
      </c>
      <c r="V328" s="18">
        <v>0</v>
      </c>
      <c r="W328" s="17">
        <f t="shared" si="12"/>
        <v>17</v>
      </c>
      <c r="X328" s="5">
        <f t="shared" si="13"/>
        <v>0</v>
      </c>
    </row>
    <row r="329" spans="1:24" x14ac:dyDescent="0.25">
      <c r="A329" s="19">
        <v>26</v>
      </c>
      <c r="B329" s="19" t="s">
        <v>55</v>
      </c>
      <c r="C329" s="19" t="s">
        <v>56</v>
      </c>
      <c r="D329" s="19" t="s">
        <v>289</v>
      </c>
      <c r="E329" s="21">
        <v>46291.72965277778</v>
      </c>
      <c r="F329" s="19">
        <v>2</v>
      </c>
      <c r="G329" s="19">
        <v>194735367870</v>
      </c>
      <c r="H329" s="19">
        <v>1</v>
      </c>
      <c r="I329" s="19">
        <v>899</v>
      </c>
      <c r="J329" s="19">
        <v>-179.8</v>
      </c>
      <c r="K329" s="19">
        <v>0</v>
      </c>
      <c r="L329" s="19">
        <v>-179.8</v>
      </c>
      <c r="M329" s="19">
        <v>719.2</v>
      </c>
      <c r="N329" s="19">
        <v>34.25</v>
      </c>
      <c r="O329" s="19">
        <v>5</v>
      </c>
      <c r="P329" s="19" t="s">
        <v>290</v>
      </c>
      <c r="Q329" s="19">
        <v>50157523</v>
      </c>
      <c r="R329" s="19" t="s">
        <v>57</v>
      </c>
      <c r="S329" s="19">
        <v>50000003</v>
      </c>
      <c r="T329" s="19"/>
      <c r="U329" s="19" t="s">
        <v>58</v>
      </c>
      <c r="V329" s="18">
        <v>0</v>
      </c>
      <c r="W329" s="17">
        <f t="shared" si="12"/>
        <v>17</v>
      </c>
      <c r="X329" s="5">
        <f t="shared" si="13"/>
        <v>0</v>
      </c>
    </row>
    <row r="330" spans="1:24" x14ac:dyDescent="0.25">
      <c r="A330" s="19">
        <v>26</v>
      </c>
      <c r="B330" s="19" t="s">
        <v>55</v>
      </c>
      <c r="C330" s="19" t="s">
        <v>56</v>
      </c>
      <c r="D330" s="19" t="s">
        <v>289</v>
      </c>
      <c r="E330" s="21">
        <v>46291.72965277778</v>
      </c>
      <c r="F330" s="19">
        <v>2</v>
      </c>
      <c r="G330" s="19">
        <v>194735367870</v>
      </c>
      <c r="H330" s="19">
        <v>1</v>
      </c>
      <c r="I330" s="19">
        <v>899</v>
      </c>
      <c r="J330" s="19">
        <v>-179.8</v>
      </c>
      <c r="K330" s="19">
        <v>0</v>
      </c>
      <c r="L330" s="19">
        <v>-179.8</v>
      </c>
      <c r="M330" s="19">
        <v>719.2</v>
      </c>
      <c r="N330" s="19">
        <v>34.25</v>
      </c>
      <c r="O330" s="19">
        <v>5</v>
      </c>
      <c r="P330" s="19" t="s">
        <v>290</v>
      </c>
      <c r="Q330" s="19">
        <v>50157523</v>
      </c>
      <c r="R330" s="19" t="s">
        <v>57</v>
      </c>
      <c r="S330" s="19">
        <v>50000003</v>
      </c>
      <c r="T330" s="19"/>
      <c r="U330" s="19" t="s">
        <v>58</v>
      </c>
      <c r="V330" s="18">
        <v>0</v>
      </c>
      <c r="W330" s="17">
        <f t="shared" si="12"/>
        <v>17</v>
      </c>
      <c r="X330" s="5">
        <f t="shared" si="13"/>
        <v>0</v>
      </c>
    </row>
    <row r="331" spans="1:24" x14ac:dyDescent="0.25">
      <c r="A331" s="19">
        <v>26</v>
      </c>
      <c r="B331" s="19" t="s">
        <v>55</v>
      </c>
      <c r="C331" s="19" t="s">
        <v>56</v>
      </c>
      <c r="D331" s="19" t="s">
        <v>289</v>
      </c>
      <c r="E331" s="21">
        <v>46291.72965277778</v>
      </c>
      <c r="F331" s="19">
        <v>2</v>
      </c>
      <c r="G331" s="19">
        <v>194735367870</v>
      </c>
      <c r="H331" s="19">
        <v>1</v>
      </c>
      <c r="I331" s="19">
        <v>899</v>
      </c>
      <c r="J331" s="19">
        <v>-179.8</v>
      </c>
      <c r="K331" s="19">
        <v>0</v>
      </c>
      <c r="L331" s="19">
        <v>-179.8</v>
      </c>
      <c r="M331" s="19">
        <v>719.2</v>
      </c>
      <c r="N331" s="19">
        <v>34.25</v>
      </c>
      <c r="O331" s="19">
        <v>5</v>
      </c>
      <c r="P331" s="19" t="s">
        <v>290</v>
      </c>
      <c r="Q331" s="19">
        <v>50157523</v>
      </c>
      <c r="R331" s="19" t="s">
        <v>57</v>
      </c>
      <c r="S331" s="19">
        <v>50000003</v>
      </c>
      <c r="T331" s="19"/>
      <c r="U331" s="19" t="s">
        <v>58</v>
      </c>
      <c r="V331" s="18">
        <v>0</v>
      </c>
      <c r="W331" s="17">
        <f t="shared" si="12"/>
        <v>17</v>
      </c>
      <c r="X331" s="5">
        <f t="shared" si="13"/>
        <v>0</v>
      </c>
    </row>
    <row r="332" spans="1:24" x14ac:dyDescent="0.25">
      <c r="A332" s="19">
        <v>26</v>
      </c>
      <c r="B332" s="19" t="s">
        <v>55</v>
      </c>
      <c r="C332" s="19" t="s">
        <v>56</v>
      </c>
      <c r="D332" s="19" t="s">
        <v>289</v>
      </c>
      <c r="E332" s="21">
        <v>46291.72965277778</v>
      </c>
      <c r="F332" s="19">
        <v>2</v>
      </c>
      <c r="G332" s="19">
        <v>194735367870</v>
      </c>
      <c r="H332" s="19">
        <v>1</v>
      </c>
      <c r="I332" s="19">
        <v>899</v>
      </c>
      <c r="J332" s="19">
        <v>-179.8</v>
      </c>
      <c r="K332" s="19">
        <v>0</v>
      </c>
      <c r="L332" s="19">
        <v>-179.8</v>
      </c>
      <c r="M332" s="19">
        <v>719.2</v>
      </c>
      <c r="N332" s="19">
        <v>34.25</v>
      </c>
      <c r="O332" s="19">
        <v>5</v>
      </c>
      <c r="P332" s="19" t="s">
        <v>290</v>
      </c>
      <c r="Q332" s="19">
        <v>50157523</v>
      </c>
      <c r="R332" s="19" t="s">
        <v>57</v>
      </c>
      <c r="S332" s="19">
        <v>50000003</v>
      </c>
      <c r="T332" s="19"/>
      <c r="U332" s="19" t="s">
        <v>58</v>
      </c>
      <c r="V332" s="18">
        <v>0</v>
      </c>
      <c r="W332" s="17">
        <f t="shared" si="12"/>
        <v>17</v>
      </c>
      <c r="X332" s="5">
        <f t="shared" si="13"/>
        <v>0</v>
      </c>
    </row>
    <row r="333" spans="1:24" x14ac:dyDescent="0.25">
      <c r="A333" s="19">
        <v>26</v>
      </c>
      <c r="B333" s="19" t="s">
        <v>55</v>
      </c>
      <c r="C333" s="19" t="s">
        <v>56</v>
      </c>
      <c r="D333" s="19" t="s">
        <v>289</v>
      </c>
      <c r="E333" s="21">
        <v>46291.72965277778</v>
      </c>
      <c r="F333" s="19">
        <v>2</v>
      </c>
      <c r="G333" s="19">
        <v>194735367870</v>
      </c>
      <c r="H333" s="19">
        <v>1</v>
      </c>
      <c r="I333" s="19">
        <v>899</v>
      </c>
      <c r="J333" s="19">
        <v>-179.8</v>
      </c>
      <c r="K333" s="19">
        <v>0</v>
      </c>
      <c r="L333" s="19">
        <v>-179.8</v>
      </c>
      <c r="M333" s="19">
        <v>719.2</v>
      </c>
      <c r="N333" s="19">
        <v>34.25</v>
      </c>
      <c r="O333" s="19">
        <v>5</v>
      </c>
      <c r="P333" s="19" t="s">
        <v>290</v>
      </c>
      <c r="Q333" s="19">
        <v>50157523</v>
      </c>
      <c r="R333" s="19" t="s">
        <v>57</v>
      </c>
      <c r="S333" s="19">
        <v>50000003</v>
      </c>
      <c r="T333" s="19"/>
      <c r="U333" s="19" t="s">
        <v>58</v>
      </c>
      <c r="V333" s="18">
        <v>0</v>
      </c>
      <c r="W333" s="17">
        <f t="shared" si="12"/>
        <v>17</v>
      </c>
      <c r="X333" s="5">
        <f t="shared" si="13"/>
        <v>0</v>
      </c>
    </row>
    <row r="334" spans="1:24" x14ac:dyDescent="0.25">
      <c r="A334" s="19">
        <v>26</v>
      </c>
      <c r="B334" s="19" t="s">
        <v>55</v>
      </c>
      <c r="C334" s="19" t="s">
        <v>56</v>
      </c>
      <c r="D334" s="19" t="s">
        <v>289</v>
      </c>
      <c r="E334" s="21">
        <v>46291.72965277778</v>
      </c>
      <c r="F334" s="19">
        <v>2</v>
      </c>
      <c r="G334" s="19">
        <v>194735367870</v>
      </c>
      <c r="H334" s="19">
        <v>1</v>
      </c>
      <c r="I334" s="19">
        <v>899</v>
      </c>
      <c r="J334" s="19">
        <v>-179.8</v>
      </c>
      <c r="K334" s="19">
        <v>0</v>
      </c>
      <c r="L334" s="19">
        <v>-179.8</v>
      </c>
      <c r="M334" s="19">
        <v>719.2</v>
      </c>
      <c r="N334" s="19">
        <v>34.25</v>
      </c>
      <c r="O334" s="19">
        <v>5</v>
      </c>
      <c r="P334" s="19" t="s">
        <v>290</v>
      </c>
      <c r="Q334" s="19">
        <v>50157523</v>
      </c>
      <c r="R334" s="19" t="s">
        <v>57</v>
      </c>
      <c r="S334" s="19">
        <v>50000003</v>
      </c>
      <c r="T334" s="19"/>
      <c r="U334" s="19" t="s">
        <v>58</v>
      </c>
      <c r="V334" s="18">
        <v>0</v>
      </c>
      <c r="W334" s="17">
        <f t="shared" si="12"/>
        <v>17</v>
      </c>
      <c r="X334" s="5">
        <f t="shared" si="13"/>
        <v>0</v>
      </c>
    </row>
    <row r="335" spans="1:24" x14ac:dyDescent="0.25">
      <c r="A335" s="19">
        <v>26</v>
      </c>
      <c r="B335" s="19" t="s">
        <v>55</v>
      </c>
      <c r="C335" s="19" t="s">
        <v>56</v>
      </c>
      <c r="D335" s="19" t="s">
        <v>289</v>
      </c>
      <c r="E335" s="21">
        <v>46291.72965277778</v>
      </c>
      <c r="F335" s="19">
        <v>2</v>
      </c>
      <c r="G335" s="19">
        <v>194735367870</v>
      </c>
      <c r="H335" s="19">
        <v>1</v>
      </c>
      <c r="I335" s="19">
        <v>899</v>
      </c>
      <c r="J335" s="19">
        <v>-179.8</v>
      </c>
      <c r="K335" s="19">
        <v>0</v>
      </c>
      <c r="L335" s="19">
        <v>-179.8</v>
      </c>
      <c r="M335" s="19">
        <v>719.2</v>
      </c>
      <c r="N335" s="19">
        <v>34.25</v>
      </c>
      <c r="O335" s="19">
        <v>5</v>
      </c>
      <c r="P335" s="19" t="s">
        <v>290</v>
      </c>
      <c r="Q335" s="19">
        <v>50157523</v>
      </c>
      <c r="R335" s="19" t="s">
        <v>57</v>
      </c>
      <c r="S335" s="19">
        <v>50000003</v>
      </c>
      <c r="T335" s="19"/>
      <c r="U335" s="19" t="s">
        <v>58</v>
      </c>
      <c r="V335" s="18">
        <v>0</v>
      </c>
      <c r="W335" s="17">
        <f t="shared" si="12"/>
        <v>17</v>
      </c>
      <c r="X335" s="5">
        <f t="shared" si="13"/>
        <v>0</v>
      </c>
    </row>
    <row r="336" spans="1:24" x14ac:dyDescent="0.25">
      <c r="A336" s="19">
        <v>26</v>
      </c>
      <c r="B336" s="19" t="s">
        <v>55</v>
      </c>
      <c r="C336" s="19" t="s">
        <v>56</v>
      </c>
      <c r="D336" s="19" t="s">
        <v>289</v>
      </c>
      <c r="E336" s="21">
        <v>46291.72965277778</v>
      </c>
      <c r="F336" s="19">
        <v>2</v>
      </c>
      <c r="G336" s="19">
        <v>194735367870</v>
      </c>
      <c r="H336" s="19">
        <v>1</v>
      </c>
      <c r="I336" s="19">
        <v>899</v>
      </c>
      <c r="J336" s="19">
        <v>-179.8</v>
      </c>
      <c r="K336" s="19">
        <v>0</v>
      </c>
      <c r="L336" s="19">
        <v>-179.8</v>
      </c>
      <c r="M336" s="19">
        <v>719.2</v>
      </c>
      <c r="N336" s="19">
        <v>34.25</v>
      </c>
      <c r="O336" s="19">
        <v>5</v>
      </c>
      <c r="P336" s="19" t="s">
        <v>290</v>
      </c>
      <c r="Q336" s="19">
        <v>50157523</v>
      </c>
      <c r="R336" s="19" t="s">
        <v>57</v>
      </c>
      <c r="S336" s="19">
        <v>50000003</v>
      </c>
      <c r="T336" s="19"/>
      <c r="U336" s="19" t="s">
        <v>58</v>
      </c>
      <c r="V336" s="18">
        <v>0</v>
      </c>
      <c r="W336" s="17">
        <f t="shared" si="12"/>
        <v>17</v>
      </c>
      <c r="X336" s="5">
        <f t="shared" si="13"/>
        <v>0</v>
      </c>
    </row>
    <row r="337" spans="1:24" x14ac:dyDescent="0.25">
      <c r="A337" s="19">
        <v>26</v>
      </c>
      <c r="B337" s="19" t="s">
        <v>55</v>
      </c>
      <c r="C337" s="19" t="s">
        <v>56</v>
      </c>
      <c r="D337" s="19" t="s">
        <v>289</v>
      </c>
      <c r="E337" s="21">
        <v>46291.72965277778</v>
      </c>
      <c r="F337" s="19">
        <v>2</v>
      </c>
      <c r="G337" s="19">
        <v>194735367870</v>
      </c>
      <c r="H337" s="19">
        <v>1</v>
      </c>
      <c r="I337" s="19">
        <v>899</v>
      </c>
      <c r="J337" s="19">
        <v>-179.8</v>
      </c>
      <c r="K337" s="19">
        <v>0</v>
      </c>
      <c r="L337" s="19">
        <v>-179.8</v>
      </c>
      <c r="M337" s="19">
        <v>719.2</v>
      </c>
      <c r="N337" s="19">
        <v>34.25</v>
      </c>
      <c r="O337" s="19">
        <v>5</v>
      </c>
      <c r="P337" s="19" t="s">
        <v>290</v>
      </c>
      <c r="Q337" s="19">
        <v>50157523</v>
      </c>
      <c r="R337" s="19" t="s">
        <v>57</v>
      </c>
      <c r="S337" s="19">
        <v>50000003</v>
      </c>
      <c r="T337" s="19"/>
      <c r="U337" s="19" t="s">
        <v>58</v>
      </c>
      <c r="V337" s="18">
        <v>0</v>
      </c>
      <c r="W337" s="17">
        <f t="shared" si="12"/>
        <v>17</v>
      </c>
      <c r="X337" s="5">
        <f t="shared" si="13"/>
        <v>0</v>
      </c>
    </row>
    <row r="338" spans="1:24" x14ac:dyDescent="0.25">
      <c r="A338" s="19">
        <v>26</v>
      </c>
      <c r="B338" s="19" t="s">
        <v>55</v>
      </c>
      <c r="C338" s="19" t="s">
        <v>56</v>
      </c>
      <c r="D338" s="19" t="s">
        <v>289</v>
      </c>
      <c r="E338" s="21">
        <v>46291.72965277778</v>
      </c>
      <c r="F338" s="19">
        <v>2</v>
      </c>
      <c r="G338" s="19">
        <v>194735367870</v>
      </c>
      <c r="H338" s="19">
        <v>1</v>
      </c>
      <c r="I338" s="19">
        <v>899</v>
      </c>
      <c r="J338" s="19">
        <v>-179.8</v>
      </c>
      <c r="K338" s="19">
        <v>0</v>
      </c>
      <c r="L338" s="19">
        <v>-179.8</v>
      </c>
      <c r="M338" s="19">
        <v>719.2</v>
      </c>
      <c r="N338" s="19">
        <v>34.25</v>
      </c>
      <c r="O338" s="19">
        <v>5</v>
      </c>
      <c r="P338" s="19" t="s">
        <v>290</v>
      </c>
      <c r="Q338" s="19">
        <v>50157523</v>
      </c>
      <c r="R338" s="19" t="s">
        <v>57</v>
      </c>
      <c r="S338" s="19">
        <v>50000003</v>
      </c>
      <c r="T338" s="19"/>
      <c r="U338" s="19" t="s">
        <v>58</v>
      </c>
      <c r="V338" s="18">
        <v>0</v>
      </c>
      <c r="W338" s="17">
        <f t="shared" si="12"/>
        <v>17</v>
      </c>
      <c r="X338" s="5">
        <f t="shared" si="13"/>
        <v>0</v>
      </c>
    </row>
    <row r="339" spans="1:24" x14ac:dyDescent="0.25">
      <c r="A339" s="19">
        <v>26</v>
      </c>
      <c r="B339" s="19" t="s">
        <v>55</v>
      </c>
      <c r="C339" s="19" t="s">
        <v>56</v>
      </c>
      <c r="D339" s="19" t="s">
        <v>289</v>
      </c>
      <c r="E339" s="21">
        <v>46291.72965277778</v>
      </c>
      <c r="F339" s="19">
        <v>2</v>
      </c>
      <c r="G339" s="19">
        <v>194735367870</v>
      </c>
      <c r="H339" s="19">
        <v>1</v>
      </c>
      <c r="I339" s="19">
        <v>899</v>
      </c>
      <c r="J339" s="19">
        <v>-179.8</v>
      </c>
      <c r="K339" s="19">
        <v>0</v>
      </c>
      <c r="L339" s="19">
        <v>-179.8</v>
      </c>
      <c r="M339" s="19">
        <v>719.2</v>
      </c>
      <c r="N339" s="19">
        <v>34.25</v>
      </c>
      <c r="O339" s="19">
        <v>5</v>
      </c>
      <c r="P339" s="19" t="s">
        <v>290</v>
      </c>
      <c r="Q339" s="19">
        <v>50157523</v>
      </c>
      <c r="R339" s="19" t="s">
        <v>57</v>
      </c>
      <c r="S339" s="19">
        <v>50000003</v>
      </c>
      <c r="T339" s="19"/>
      <c r="U339" s="19" t="s">
        <v>58</v>
      </c>
      <c r="V339" s="18">
        <v>0</v>
      </c>
      <c r="W339" s="17">
        <f t="shared" si="12"/>
        <v>17</v>
      </c>
      <c r="X339" s="5">
        <f t="shared" si="13"/>
        <v>0</v>
      </c>
    </row>
    <row r="340" spans="1:24" x14ac:dyDescent="0.25">
      <c r="A340" s="19">
        <v>26</v>
      </c>
      <c r="B340" s="19" t="s">
        <v>55</v>
      </c>
      <c r="C340" s="19" t="s">
        <v>56</v>
      </c>
      <c r="D340" s="19" t="s">
        <v>289</v>
      </c>
      <c r="E340" s="21">
        <v>46291.72965277778</v>
      </c>
      <c r="F340" s="19">
        <v>2</v>
      </c>
      <c r="G340" s="19">
        <v>194735367870</v>
      </c>
      <c r="H340" s="19">
        <v>1</v>
      </c>
      <c r="I340" s="19">
        <v>899</v>
      </c>
      <c r="J340" s="19">
        <v>-179.8</v>
      </c>
      <c r="K340" s="19">
        <v>0</v>
      </c>
      <c r="L340" s="19">
        <v>-179.8</v>
      </c>
      <c r="M340" s="19">
        <v>719.2</v>
      </c>
      <c r="N340" s="19">
        <v>34.25</v>
      </c>
      <c r="O340" s="19">
        <v>5</v>
      </c>
      <c r="P340" s="19" t="s">
        <v>290</v>
      </c>
      <c r="Q340" s="19">
        <v>50157523</v>
      </c>
      <c r="R340" s="19" t="s">
        <v>57</v>
      </c>
      <c r="S340" s="19">
        <v>50105787</v>
      </c>
      <c r="T340" s="19"/>
      <c r="U340" s="19" t="s">
        <v>58</v>
      </c>
      <c r="V340" s="18">
        <v>0</v>
      </c>
      <c r="W340" s="17">
        <f t="shared" si="12"/>
        <v>17</v>
      </c>
      <c r="X340" s="5">
        <f t="shared" si="13"/>
        <v>0</v>
      </c>
    </row>
    <row r="341" spans="1:24" x14ac:dyDescent="0.25">
      <c r="A341" s="19">
        <v>26</v>
      </c>
      <c r="B341" s="19" t="s">
        <v>55</v>
      </c>
      <c r="C341" s="19" t="s">
        <v>56</v>
      </c>
      <c r="D341" s="19" t="s">
        <v>289</v>
      </c>
      <c r="E341" s="21">
        <v>46291.72965277778</v>
      </c>
      <c r="F341" s="19">
        <v>2</v>
      </c>
      <c r="G341" s="19">
        <v>194735367870</v>
      </c>
      <c r="H341" s="19">
        <v>1</v>
      </c>
      <c r="I341" s="19">
        <v>899</v>
      </c>
      <c r="J341" s="19">
        <v>-179.8</v>
      </c>
      <c r="K341" s="19">
        <v>0</v>
      </c>
      <c r="L341" s="19">
        <v>-179.8</v>
      </c>
      <c r="M341" s="19">
        <v>719.2</v>
      </c>
      <c r="N341" s="19">
        <v>34.25</v>
      </c>
      <c r="O341" s="19">
        <v>5</v>
      </c>
      <c r="P341" s="19" t="s">
        <v>290</v>
      </c>
      <c r="Q341" s="19">
        <v>50157523</v>
      </c>
      <c r="R341" s="19" t="s">
        <v>57</v>
      </c>
      <c r="S341" s="19">
        <v>50105787</v>
      </c>
      <c r="T341" s="19"/>
      <c r="U341" s="19" t="s">
        <v>58</v>
      </c>
      <c r="V341" s="18">
        <v>0</v>
      </c>
      <c r="W341" s="17">
        <f t="shared" si="12"/>
        <v>17</v>
      </c>
      <c r="X341" s="5">
        <f t="shared" si="13"/>
        <v>0</v>
      </c>
    </row>
    <row r="342" spans="1:24" x14ac:dyDescent="0.25">
      <c r="A342" s="19">
        <v>26</v>
      </c>
      <c r="B342" s="19" t="s">
        <v>55</v>
      </c>
      <c r="C342" s="19" t="s">
        <v>56</v>
      </c>
      <c r="D342" s="19" t="s">
        <v>289</v>
      </c>
      <c r="E342" s="21">
        <v>46291.72965277778</v>
      </c>
      <c r="F342" s="19">
        <v>2</v>
      </c>
      <c r="G342" s="19">
        <v>194735367870</v>
      </c>
      <c r="H342" s="19">
        <v>1</v>
      </c>
      <c r="I342" s="19">
        <v>899</v>
      </c>
      <c r="J342" s="19">
        <v>-179.8</v>
      </c>
      <c r="K342" s="19">
        <v>0</v>
      </c>
      <c r="L342" s="19">
        <v>-179.8</v>
      </c>
      <c r="M342" s="19">
        <v>719.2</v>
      </c>
      <c r="N342" s="19">
        <v>34.25</v>
      </c>
      <c r="O342" s="19">
        <v>5</v>
      </c>
      <c r="P342" s="19" t="s">
        <v>290</v>
      </c>
      <c r="Q342" s="19">
        <v>50157523</v>
      </c>
      <c r="R342" s="19" t="s">
        <v>57</v>
      </c>
      <c r="S342" s="19">
        <v>50105787</v>
      </c>
      <c r="T342" s="19"/>
      <c r="U342" s="19" t="s">
        <v>58</v>
      </c>
      <c r="V342" s="18">
        <v>0</v>
      </c>
      <c r="W342" s="17">
        <f t="shared" si="12"/>
        <v>17</v>
      </c>
      <c r="X342" s="5">
        <f t="shared" si="13"/>
        <v>0</v>
      </c>
    </row>
    <row r="343" spans="1:24" x14ac:dyDescent="0.25">
      <c r="A343" s="19">
        <v>26</v>
      </c>
      <c r="B343" s="19" t="s">
        <v>55</v>
      </c>
      <c r="C343" s="19" t="s">
        <v>56</v>
      </c>
      <c r="D343" s="19" t="s">
        <v>289</v>
      </c>
      <c r="E343" s="21">
        <v>46291.72965277778</v>
      </c>
      <c r="F343" s="19">
        <v>2</v>
      </c>
      <c r="G343" s="19">
        <v>194735367870</v>
      </c>
      <c r="H343" s="19">
        <v>1</v>
      </c>
      <c r="I343" s="19">
        <v>899</v>
      </c>
      <c r="J343" s="19">
        <v>-179.8</v>
      </c>
      <c r="K343" s="19">
        <v>0</v>
      </c>
      <c r="L343" s="19">
        <v>-179.8</v>
      </c>
      <c r="M343" s="19">
        <v>719.2</v>
      </c>
      <c r="N343" s="19">
        <v>34.25</v>
      </c>
      <c r="O343" s="19">
        <v>5</v>
      </c>
      <c r="P343" s="19" t="s">
        <v>290</v>
      </c>
      <c r="Q343" s="19">
        <v>50157523</v>
      </c>
      <c r="R343" s="19" t="s">
        <v>57</v>
      </c>
      <c r="S343" s="19">
        <v>50105787</v>
      </c>
      <c r="T343" s="19"/>
      <c r="U343" s="19" t="s">
        <v>58</v>
      </c>
      <c r="V343" s="18">
        <v>0</v>
      </c>
      <c r="W343" s="17">
        <f t="shared" si="12"/>
        <v>17</v>
      </c>
      <c r="X343" s="5">
        <f t="shared" si="13"/>
        <v>0</v>
      </c>
    </row>
    <row r="344" spans="1:24" x14ac:dyDescent="0.25">
      <c r="A344" s="19">
        <v>26</v>
      </c>
      <c r="B344" s="19" t="s">
        <v>55</v>
      </c>
      <c r="C344" s="19" t="s">
        <v>56</v>
      </c>
      <c r="D344" s="19" t="s">
        <v>289</v>
      </c>
      <c r="E344" s="21">
        <v>46291.72965277778</v>
      </c>
      <c r="F344" s="19">
        <v>2</v>
      </c>
      <c r="G344" s="19">
        <v>194735367870</v>
      </c>
      <c r="H344" s="19">
        <v>1</v>
      </c>
      <c r="I344" s="19">
        <v>899</v>
      </c>
      <c r="J344" s="19">
        <v>-179.8</v>
      </c>
      <c r="K344" s="19">
        <v>0</v>
      </c>
      <c r="L344" s="19">
        <v>-179.8</v>
      </c>
      <c r="M344" s="19">
        <v>719.2</v>
      </c>
      <c r="N344" s="19">
        <v>34.25</v>
      </c>
      <c r="O344" s="19">
        <v>5</v>
      </c>
      <c r="P344" s="19" t="s">
        <v>290</v>
      </c>
      <c r="Q344" s="19">
        <v>50157523</v>
      </c>
      <c r="R344" s="19" t="s">
        <v>57</v>
      </c>
      <c r="S344" s="19">
        <v>50105787</v>
      </c>
      <c r="T344" s="19"/>
      <c r="U344" s="19" t="s">
        <v>58</v>
      </c>
      <c r="V344" s="18">
        <v>0</v>
      </c>
      <c r="W344" s="17">
        <f t="shared" si="12"/>
        <v>17</v>
      </c>
      <c r="X344" s="5">
        <f t="shared" si="13"/>
        <v>0</v>
      </c>
    </row>
    <row r="345" spans="1:24" x14ac:dyDescent="0.25">
      <c r="A345" s="19">
        <v>26</v>
      </c>
      <c r="B345" s="19" t="s">
        <v>55</v>
      </c>
      <c r="C345" s="19" t="s">
        <v>56</v>
      </c>
      <c r="D345" s="19" t="s">
        <v>289</v>
      </c>
      <c r="E345" s="21">
        <v>46291.72965277778</v>
      </c>
      <c r="F345" s="19">
        <v>2</v>
      </c>
      <c r="G345" s="19">
        <v>194735367870</v>
      </c>
      <c r="H345" s="19">
        <v>1</v>
      </c>
      <c r="I345" s="19">
        <v>899</v>
      </c>
      <c r="J345" s="19">
        <v>-179.8</v>
      </c>
      <c r="K345" s="19">
        <v>0</v>
      </c>
      <c r="L345" s="19">
        <v>-179.8</v>
      </c>
      <c r="M345" s="19">
        <v>719.2</v>
      </c>
      <c r="N345" s="19">
        <v>34.25</v>
      </c>
      <c r="O345" s="19">
        <v>5</v>
      </c>
      <c r="P345" s="19" t="s">
        <v>290</v>
      </c>
      <c r="Q345" s="19">
        <v>50157523</v>
      </c>
      <c r="R345" s="19" t="s">
        <v>57</v>
      </c>
      <c r="S345" s="19">
        <v>50105787</v>
      </c>
      <c r="T345" s="19"/>
      <c r="U345" s="19" t="s">
        <v>58</v>
      </c>
      <c r="V345" s="18">
        <v>0</v>
      </c>
      <c r="W345" s="17">
        <f t="shared" si="12"/>
        <v>17</v>
      </c>
      <c r="X345" s="5">
        <f t="shared" si="13"/>
        <v>0</v>
      </c>
    </row>
    <row r="346" spans="1:24" x14ac:dyDescent="0.25">
      <c r="A346" s="19">
        <v>26</v>
      </c>
      <c r="B346" s="19" t="s">
        <v>55</v>
      </c>
      <c r="C346" s="19" t="s">
        <v>56</v>
      </c>
      <c r="D346" s="19" t="s">
        <v>289</v>
      </c>
      <c r="E346" s="21">
        <v>46291.72965277778</v>
      </c>
      <c r="F346" s="19">
        <v>2</v>
      </c>
      <c r="G346" s="19">
        <v>194735367870</v>
      </c>
      <c r="H346" s="19">
        <v>1</v>
      </c>
      <c r="I346" s="19">
        <v>899</v>
      </c>
      <c r="J346" s="19">
        <v>-179.8</v>
      </c>
      <c r="K346" s="19">
        <v>0</v>
      </c>
      <c r="L346" s="19">
        <v>-179.8</v>
      </c>
      <c r="M346" s="19">
        <v>719.2</v>
      </c>
      <c r="N346" s="19">
        <v>34.25</v>
      </c>
      <c r="O346" s="19">
        <v>5</v>
      </c>
      <c r="P346" s="19" t="s">
        <v>290</v>
      </c>
      <c r="Q346" s="19">
        <v>50157523</v>
      </c>
      <c r="R346" s="19" t="s">
        <v>57</v>
      </c>
      <c r="S346" s="19">
        <v>50105787</v>
      </c>
      <c r="T346" s="19"/>
      <c r="U346" s="19" t="s">
        <v>58</v>
      </c>
      <c r="V346" s="18">
        <v>0</v>
      </c>
      <c r="W346" s="17">
        <f t="shared" si="12"/>
        <v>17</v>
      </c>
      <c r="X346" s="5">
        <f t="shared" si="13"/>
        <v>0</v>
      </c>
    </row>
    <row r="347" spans="1:24" x14ac:dyDescent="0.25">
      <c r="A347" s="19">
        <v>26</v>
      </c>
      <c r="B347" s="19" t="s">
        <v>55</v>
      </c>
      <c r="C347" s="19" t="s">
        <v>56</v>
      </c>
      <c r="D347" s="19" t="s">
        <v>289</v>
      </c>
      <c r="E347" s="21">
        <v>46291.72965277778</v>
      </c>
      <c r="F347" s="19">
        <v>2</v>
      </c>
      <c r="G347" s="19">
        <v>194735367870</v>
      </c>
      <c r="H347" s="19">
        <v>1</v>
      </c>
      <c r="I347" s="19">
        <v>899</v>
      </c>
      <c r="J347" s="19">
        <v>-179.8</v>
      </c>
      <c r="K347" s="19">
        <v>0</v>
      </c>
      <c r="L347" s="19">
        <v>-179.8</v>
      </c>
      <c r="M347" s="19">
        <v>719.2</v>
      </c>
      <c r="N347" s="19">
        <v>34.25</v>
      </c>
      <c r="O347" s="19">
        <v>5</v>
      </c>
      <c r="P347" s="19" t="s">
        <v>290</v>
      </c>
      <c r="Q347" s="19">
        <v>50157523</v>
      </c>
      <c r="R347" s="19" t="s">
        <v>57</v>
      </c>
      <c r="S347" s="19">
        <v>50105787</v>
      </c>
      <c r="T347" s="19"/>
      <c r="U347" s="19" t="s">
        <v>58</v>
      </c>
      <c r="V347" s="18">
        <v>0</v>
      </c>
      <c r="W347" s="17">
        <f t="shared" si="12"/>
        <v>17</v>
      </c>
      <c r="X347" s="5">
        <f t="shared" si="13"/>
        <v>0</v>
      </c>
    </row>
    <row r="348" spans="1:24" x14ac:dyDescent="0.25">
      <c r="A348" s="19">
        <v>26</v>
      </c>
      <c r="B348" s="19" t="s">
        <v>55</v>
      </c>
      <c r="C348" s="19" t="s">
        <v>56</v>
      </c>
      <c r="D348" s="19" t="s">
        <v>289</v>
      </c>
      <c r="E348" s="21">
        <v>46291.72965277778</v>
      </c>
      <c r="F348" s="19">
        <v>2</v>
      </c>
      <c r="G348" s="19">
        <v>194735367870</v>
      </c>
      <c r="H348" s="19">
        <v>1</v>
      </c>
      <c r="I348" s="19">
        <v>899</v>
      </c>
      <c r="J348" s="19">
        <v>-179.8</v>
      </c>
      <c r="K348" s="19">
        <v>0</v>
      </c>
      <c r="L348" s="19">
        <v>-179.8</v>
      </c>
      <c r="M348" s="19">
        <v>719.2</v>
      </c>
      <c r="N348" s="19">
        <v>34.25</v>
      </c>
      <c r="O348" s="19">
        <v>5</v>
      </c>
      <c r="P348" s="19" t="s">
        <v>290</v>
      </c>
      <c r="Q348" s="19">
        <v>50157523</v>
      </c>
      <c r="R348" s="19" t="s">
        <v>57</v>
      </c>
      <c r="S348" s="19">
        <v>50105787</v>
      </c>
      <c r="T348" s="19"/>
      <c r="U348" s="19" t="s">
        <v>58</v>
      </c>
      <c r="V348" s="18">
        <v>0</v>
      </c>
      <c r="W348" s="17">
        <f t="shared" si="12"/>
        <v>17</v>
      </c>
      <c r="X348" s="5">
        <f t="shared" si="13"/>
        <v>0</v>
      </c>
    </row>
    <row r="349" spans="1:24" x14ac:dyDescent="0.25">
      <c r="A349" s="19">
        <v>26</v>
      </c>
      <c r="B349" s="19" t="s">
        <v>55</v>
      </c>
      <c r="C349" s="19" t="s">
        <v>56</v>
      </c>
      <c r="D349" s="19" t="s">
        <v>289</v>
      </c>
      <c r="E349" s="21">
        <v>46291.72965277778</v>
      </c>
      <c r="F349" s="19">
        <v>2</v>
      </c>
      <c r="G349" s="19">
        <v>194735367870</v>
      </c>
      <c r="H349" s="19">
        <v>1</v>
      </c>
      <c r="I349" s="19">
        <v>899</v>
      </c>
      <c r="J349" s="19">
        <v>-179.8</v>
      </c>
      <c r="K349" s="19">
        <v>0</v>
      </c>
      <c r="L349" s="19">
        <v>-179.8</v>
      </c>
      <c r="M349" s="19">
        <v>719.2</v>
      </c>
      <c r="N349" s="19">
        <v>34.25</v>
      </c>
      <c r="O349" s="19">
        <v>5</v>
      </c>
      <c r="P349" s="19" t="s">
        <v>290</v>
      </c>
      <c r="Q349" s="19">
        <v>50157523</v>
      </c>
      <c r="R349" s="19" t="s">
        <v>57</v>
      </c>
      <c r="S349" s="19">
        <v>50105787</v>
      </c>
      <c r="T349" s="19"/>
      <c r="U349" s="19" t="s">
        <v>58</v>
      </c>
      <c r="V349" s="18">
        <v>0</v>
      </c>
      <c r="W349" s="17">
        <f t="shared" si="12"/>
        <v>17</v>
      </c>
      <c r="X349" s="5">
        <f t="shared" si="13"/>
        <v>0</v>
      </c>
    </row>
    <row r="350" spans="1:24" x14ac:dyDescent="0.25">
      <c r="A350" s="19">
        <v>26</v>
      </c>
      <c r="B350" s="19" t="s">
        <v>55</v>
      </c>
      <c r="C350" s="19" t="s">
        <v>56</v>
      </c>
      <c r="D350" s="19" t="s">
        <v>289</v>
      </c>
      <c r="E350" s="21">
        <v>46291.72965277778</v>
      </c>
      <c r="F350" s="19">
        <v>2</v>
      </c>
      <c r="G350" s="19">
        <v>194735367870</v>
      </c>
      <c r="H350" s="19">
        <v>1</v>
      </c>
      <c r="I350" s="19">
        <v>899</v>
      </c>
      <c r="J350" s="19">
        <v>-179.8</v>
      </c>
      <c r="K350" s="19">
        <v>0</v>
      </c>
      <c r="L350" s="19">
        <v>-179.8</v>
      </c>
      <c r="M350" s="19">
        <v>719.2</v>
      </c>
      <c r="N350" s="19">
        <v>34.25</v>
      </c>
      <c r="O350" s="19">
        <v>5</v>
      </c>
      <c r="P350" s="19" t="s">
        <v>290</v>
      </c>
      <c r="Q350" s="19">
        <v>50157523</v>
      </c>
      <c r="R350" s="19" t="s">
        <v>57</v>
      </c>
      <c r="S350" s="19">
        <v>50151682</v>
      </c>
      <c r="T350" s="19"/>
      <c r="U350" s="19" t="s">
        <v>58</v>
      </c>
      <c r="V350" s="18">
        <v>0</v>
      </c>
      <c r="W350" s="17">
        <f t="shared" si="12"/>
        <v>17</v>
      </c>
      <c r="X350" s="5">
        <f t="shared" si="13"/>
        <v>0</v>
      </c>
    </row>
    <row r="351" spans="1:24" x14ac:dyDescent="0.25">
      <c r="A351" s="19">
        <v>26</v>
      </c>
      <c r="B351" s="19" t="s">
        <v>55</v>
      </c>
      <c r="C351" s="19" t="s">
        <v>56</v>
      </c>
      <c r="D351" s="19" t="s">
        <v>289</v>
      </c>
      <c r="E351" s="21">
        <v>46291.72965277778</v>
      </c>
      <c r="F351" s="19">
        <v>2</v>
      </c>
      <c r="G351" s="19">
        <v>194735367870</v>
      </c>
      <c r="H351" s="19">
        <v>1</v>
      </c>
      <c r="I351" s="19">
        <v>899</v>
      </c>
      <c r="J351" s="19">
        <v>-179.8</v>
      </c>
      <c r="K351" s="19">
        <v>0</v>
      </c>
      <c r="L351" s="19">
        <v>-179.8</v>
      </c>
      <c r="M351" s="19">
        <v>719.2</v>
      </c>
      <c r="N351" s="19">
        <v>34.25</v>
      </c>
      <c r="O351" s="19">
        <v>5</v>
      </c>
      <c r="P351" s="19" t="s">
        <v>290</v>
      </c>
      <c r="Q351" s="19">
        <v>50157523</v>
      </c>
      <c r="R351" s="19" t="s">
        <v>57</v>
      </c>
      <c r="S351" s="19">
        <v>50151682</v>
      </c>
      <c r="T351" s="19"/>
      <c r="U351" s="19" t="s">
        <v>58</v>
      </c>
      <c r="V351" s="18">
        <v>0</v>
      </c>
      <c r="W351" s="17">
        <f t="shared" si="12"/>
        <v>17</v>
      </c>
      <c r="X351" s="5">
        <f t="shared" si="13"/>
        <v>0</v>
      </c>
    </row>
    <row r="352" spans="1:24" x14ac:dyDescent="0.25">
      <c r="A352" s="19">
        <v>26</v>
      </c>
      <c r="B352" s="19" t="s">
        <v>55</v>
      </c>
      <c r="C352" s="19" t="s">
        <v>56</v>
      </c>
      <c r="D352" s="19" t="s">
        <v>289</v>
      </c>
      <c r="E352" s="21">
        <v>46291.72965277778</v>
      </c>
      <c r="F352" s="19">
        <v>2</v>
      </c>
      <c r="G352" s="19">
        <v>194735367870</v>
      </c>
      <c r="H352" s="19">
        <v>1</v>
      </c>
      <c r="I352" s="19">
        <v>899</v>
      </c>
      <c r="J352" s="19">
        <v>-179.8</v>
      </c>
      <c r="K352" s="19">
        <v>0</v>
      </c>
      <c r="L352" s="19">
        <v>-179.8</v>
      </c>
      <c r="M352" s="19">
        <v>719.2</v>
      </c>
      <c r="N352" s="19">
        <v>34.25</v>
      </c>
      <c r="O352" s="19">
        <v>5</v>
      </c>
      <c r="P352" s="19" t="s">
        <v>290</v>
      </c>
      <c r="Q352" s="19">
        <v>50157523</v>
      </c>
      <c r="R352" s="19" t="s">
        <v>57</v>
      </c>
      <c r="S352" s="19">
        <v>50151682</v>
      </c>
      <c r="T352" s="19"/>
      <c r="U352" s="19" t="s">
        <v>58</v>
      </c>
      <c r="V352" s="18">
        <v>0</v>
      </c>
      <c r="W352" s="17">
        <f t="shared" si="12"/>
        <v>17</v>
      </c>
      <c r="X352" s="5">
        <f t="shared" si="13"/>
        <v>0</v>
      </c>
    </row>
    <row r="353" spans="1:24" x14ac:dyDescent="0.25">
      <c r="A353" s="19">
        <v>26</v>
      </c>
      <c r="B353" s="19" t="s">
        <v>55</v>
      </c>
      <c r="C353" s="19" t="s">
        <v>56</v>
      </c>
      <c r="D353" s="19" t="s">
        <v>289</v>
      </c>
      <c r="E353" s="21">
        <v>46291.72965277778</v>
      </c>
      <c r="F353" s="19">
        <v>2</v>
      </c>
      <c r="G353" s="19">
        <v>194735367870</v>
      </c>
      <c r="H353" s="19">
        <v>1</v>
      </c>
      <c r="I353" s="19">
        <v>899</v>
      </c>
      <c r="J353" s="19">
        <v>-179.8</v>
      </c>
      <c r="K353" s="19">
        <v>0</v>
      </c>
      <c r="L353" s="19">
        <v>-179.8</v>
      </c>
      <c r="M353" s="19">
        <v>719.2</v>
      </c>
      <c r="N353" s="19">
        <v>34.25</v>
      </c>
      <c r="O353" s="19">
        <v>5</v>
      </c>
      <c r="P353" s="19" t="s">
        <v>290</v>
      </c>
      <c r="Q353" s="19">
        <v>50157523</v>
      </c>
      <c r="R353" s="19" t="s">
        <v>57</v>
      </c>
      <c r="S353" s="19">
        <v>50151682</v>
      </c>
      <c r="T353" s="19"/>
      <c r="U353" s="19" t="s">
        <v>58</v>
      </c>
      <c r="V353" s="18">
        <v>0</v>
      </c>
      <c r="W353" s="17">
        <f t="shared" si="12"/>
        <v>17</v>
      </c>
      <c r="X353" s="5">
        <f t="shared" si="13"/>
        <v>0</v>
      </c>
    </row>
    <row r="354" spans="1:24" x14ac:dyDescent="0.25">
      <c r="A354" s="19">
        <v>26</v>
      </c>
      <c r="B354" s="19" t="s">
        <v>55</v>
      </c>
      <c r="C354" s="19" t="s">
        <v>56</v>
      </c>
      <c r="D354" s="19" t="s">
        <v>289</v>
      </c>
      <c r="E354" s="21">
        <v>46291.72965277778</v>
      </c>
      <c r="F354" s="19">
        <v>2</v>
      </c>
      <c r="G354" s="19">
        <v>194735367870</v>
      </c>
      <c r="H354" s="19">
        <v>1</v>
      </c>
      <c r="I354" s="19">
        <v>899</v>
      </c>
      <c r="J354" s="19">
        <v>-179.8</v>
      </c>
      <c r="K354" s="19">
        <v>0</v>
      </c>
      <c r="L354" s="19">
        <v>-179.8</v>
      </c>
      <c r="M354" s="19">
        <v>719.2</v>
      </c>
      <c r="N354" s="19">
        <v>34.25</v>
      </c>
      <c r="O354" s="19">
        <v>5</v>
      </c>
      <c r="P354" s="19" t="s">
        <v>290</v>
      </c>
      <c r="Q354" s="19">
        <v>50157523</v>
      </c>
      <c r="R354" s="19" t="s">
        <v>57</v>
      </c>
      <c r="S354" s="19">
        <v>50151682</v>
      </c>
      <c r="T354" s="19"/>
      <c r="U354" s="19" t="s">
        <v>58</v>
      </c>
      <c r="V354" s="18">
        <v>0</v>
      </c>
      <c r="W354" s="17">
        <f t="shared" si="12"/>
        <v>17</v>
      </c>
      <c r="X354" s="5">
        <f t="shared" si="13"/>
        <v>0</v>
      </c>
    </row>
    <row r="355" spans="1:24" x14ac:dyDescent="0.25">
      <c r="A355" s="19">
        <v>26</v>
      </c>
      <c r="B355" s="19" t="s">
        <v>55</v>
      </c>
      <c r="C355" s="19" t="s">
        <v>56</v>
      </c>
      <c r="D355" s="19" t="s">
        <v>289</v>
      </c>
      <c r="E355" s="21">
        <v>46291.72965277778</v>
      </c>
      <c r="F355" s="19">
        <v>2</v>
      </c>
      <c r="G355" s="19">
        <v>194735367870</v>
      </c>
      <c r="H355" s="19">
        <v>1</v>
      </c>
      <c r="I355" s="19">
        <v>899</v>
      </c>
      <c r="J355" s="19">
        <v>-179.8</v>
      </c>
      <c r="K355" s="19">
        <v>0</v>
      </c>
      <c r="L355" s="19">
        <v>-179.8</v>
      </c>
      <c r="M355" s="19">
        <v>719.2</v>
      </c>
      <c r="N355" s="19">
        <v>34.25</v>
      </c>
      <c r="O355" s="19">
        <v>5</v>
      </c>
      <c r="P355" s="19" t="s">
        <v>290</v>
      </c>
      <c r="Q355" s="19">
        <v>50157523</v>
      </c>
      <c r="R355" s="19" t="s">
        <v>57</v>
      </c>
      <c r="S355" s="19">
        <v>50151682</v>
      </c>
      <c r="T355" s="19"/>
      <c r="U355" s="19" t="s">
        <v>58</v>
      </c>
      <c r="V355" s="18">
        <v>0</v>
      </c>
      <c r="W355" s="17">
        <f t="shared" si="12"/>
        <v>17</v>
      </c>
      <c r="X355" s="5">
        <f t="shared" si="13"/>
        <v>0</v>
      </c>
    </row>
    <row r="356" spans="1:24" x14ac:dyDescent="0.25">
      <c r="A356" s="19">
        <v>26</v>
      </c>
      <c r="B356" s="19" t="s">
        <v>55</v>
      </c>
      <c r="C356" s="19" t="s">
        <v>56</v>
      </c>
      <c r="D356" s="19" t="s">
        <v>289</v>
      </c>
      <c r="E356" s="21">
        <v>46291.72965277778</v>
      </c>
      <c r="F356" s="19">
        <v>2</v>
      </c>
      <c r="G356" s="19">
        <v>194735367870</v>
      </c>
      <c r="H356" s="19">
        <v>1</v>
      </c>
      <c r="I356" s="19">
        <v>899</v>
      </c>
      <c r="J356" s="19">
        <v>-179.8</v>
      </c>
      <c r="K356" s="19">
        <v>0</v>
      </c>
      <c r="L356" s="19">
        <v>-179.8</v>
      </c>
      <c r="M356" s="19">
        <v>719.2</v>
      </c>
      <c r="N356" s="19">
        <v>34.25</v>
      </c>
      <c r="O356" s="19">
        <v>5</v>
      </c>
      <c r="P356" s="19" t="s">
        <v>290</v>
      </c>
      <c r="Q356" s="19">
        <v>50157523</v>
      </c>
      <c r="R356" s="19" t="s">
        <v>57</v>
      </c>
      <c r="S356" s="19">
        <v>50151682</v>
      </c>
      <c r="T356" s="19"/>
      <c r="U356" s="19" t="s">
        <v>58</v>
      </c>
      <c r="V356" s="18">
        <v>0</v>
      </c>
      <c r="W356" s="17">
        <f t="shared" si="12"/>
        <v>17</v>
      </c>
      <c r="X356" s="5">
        <f t="shared" si="13"/>
        <v>0</v>
      </c>
    </row>
    <row r="357" spans="1:24" x14ac:dyDescent="0.25">
      <c r="A357" s="19">
        <v>26</v>
      </c>
      <c r="B357" s="19" t="s">
        <v>55</v>
      </c>
      <c r="C357" s="19" t="s">
        <v>56</v>
      </c>
      <c r="D357" s="19" t="s">
        <v>289</v>
      </c>
      <c r="E357" s="21">
        <v>46291.72965277778</v>
      </c>
      <c r="F357" s="19">
        <v>2</v>
      </c>
      <c r="G357" s="19">
        <v>194735367870</v>
      </c>
      <c r="H357" s="19">
        <v>1</v>
      </c>
      <c r="I357" s="19">
        <v>899</v>
      </c>
      <c r="J357" s="19">
        <v>-179.8</v>
      </c>
      <c r="K357" s="19">
        <v>0</v>
      </c>
      <c r="L357" s="19">
        <v>-179.8</v>
      </c>
      <c r="M357" s="19">
        <v>719.2</v>
      </c>
      <c r="N357" s="19">
        <v>34.25</v>
      </c>
      <c r="O357" s="19">
        <v>5</v>
      </c>
      <c r="P357" s="19" t="s">
        <v>290</v>
      </c>
      <c r="Q357" s="19">
        <v>50157523</v>
      </c>
      <c r="R357" s="19" t="s">
        <v>57</v>
      </c>
      <c r="S357" s="19">
        <v>50151682</v>
      </c>
      <c r="T357" s="19"/>
      <c r="U357" s="19" t="s">
        <v>58</v>
      </c>
      <c r="V357" s="18">
        <v>0</v>
      </c>
      <c r="W357" s="17">
        <f t="shared" si="12"/>
        <v>17</v>
      </c>
      <c r="X357" s="5">
        <f t="shared" si="13"/>
        <v>0</v>
      </c>
    </row>
    <row r="358" spans="1:24" x14ac:dyDescent="0.25">
      <c r="A358" s="19">
        <v>26</v>
      </c>
      <c r="B358" s="19" t="s">
        <v>55</v>
      </c>
      <c r="C358" s="19" t="s">
        <v>56</v>
      </c>
      <c r="D358" s="19" t="s">
        <v>289</v>
      </c>
      <c r="E358" s="21">
        <v>46291.72965277778</v>
      </c>
      <c r="F358" s="19">
        <v>2</v>
      </c>
      <c r="G358" s="19">
        <v>194735367870</v>
      </c>
      <c r="H358" s="19">
        <v>1</v>
      </c>
      <c r="I358" s="19">
        <v>899</v>
      </c>
      <c r="J358" s="19">
        <v>-179.8</v>
      </c>
      <c r="K358" s="19">
        <v>0</v>
      </c>
      <c r="L358" s="19">
        <v>-179.8</v>
      </c>
      <c r="M358" s="19">
        <v>719.2</v>
      </c>
      <c r="N358" s="19">
        <v>34.25</v>
      </c>
      <c r="O358" s="19">
        <v>5</v>
      </c>
      <c r="P358" s="19" t="s">
        <v>290</v>
      </c>
      <c r="Q358" s="19">
        <v>50157523</v>
      </c>
      <c r="R358" s="19" t="s">
        <v>57</v>
      </c>
      <c r="S358" s="19">
        <v>50151682</v>
      </c>
      <c r="T358" s="19"/>
      <c r="U358" s="19" t="s">
        <v>58</v>
      </c>
      <c r="V358" s="18">
        <v>0</v>
      </c>
      <c r="W358" s="17">
        <f t="shared" si="12"/>
        <v>17</v>
      </c>
      <c r="X358" s="5">
        <f t="shared" si="13"/>
        <v>0</v>
      </c>
    </row>
    <row r="359" spans="1:24" x14ac:dyDescent="0.25">
      <c r="A359" s="19">
        <v>26</v>
      </c>
      <c r="B359" s="19" t="s">
        <v>55</v>
      </c>
      <c r="C359" s="19" t="s">
        <v>56</v>
      </c>
      <c r="D359" s="19" t="s">
        <v>289</v>
      </c>
      <c r="E359" s="21">
        <v>46291.72965277778</v>
      </c>
      <c r="F359" s="19">
        <v>2</v>
      </c>
      <c r="G359" s="19">
        <v>194735367870</v>
      </c>
      <c r="H359" s="19">
        <v>1</v>
      </c>
      <c r="I359" s="19">
        <v>899</v>
      </c>
      <c r="J359" s="19">
        <v>-179.8</v>
      </c>
      <c r="K359" s="19">
        <v>0</v>
      </c>
      <c r="L359" s="19">
        <v>-179.8</v>
      </c>
      <c r="M359" s="19">
        <v>719.2</v>
      </c>
      <c r="N359" s="19">
        <v>34.25</v>
      </c>
      <c r="O359" s="19">
        <v>5</v>
      </c>
      <c r="P359" s="19" t="s">
        <v>290</v>
      </c>
      <c r="Q359" s="19">
        <v>50157523</v>
      </c>
      <c r="R359" s="19" t="s">
        <v>57</v>
      </c>
      <c r="S359" s="19">
        <v>50151682</v>
      </c>
      <c r="T359" s="19"/>
      <c r="U359" s="19" t="s">
        <v>58</v>
      </c>
      <c r="V359" s="18">
        <v>0</v>
      </c>
      <c r="W359" s="17">
        <f t="shared" si="12"/>
        <v>17</v>
      </c>
      <c r="X359" s="5">
        <f t="shared" si="13"/>
        <v>0</v>
      </c>
    </row>
    <row r="360" spans="1:24" x14ac:dyDescent="0.25">
      <c r="A360" s="19">
        <v>26</v>
      </c>
      <c r="B360" s="19" t="s">
        <v>55</v>
      </c>
      <c r="C360" s="19" t="s">
        <v>56</v>
      </c>
      <c r="D360" s="19" t="s">
        <v>289</v>
      </c>
      <c r="E360" s="21">
        <v>46291.72965277778</v>
      </c>
      <c r="F360" s="19">
        <v>2</v>
      </c>
      <c r="G360" s="19">
        <v>194735367870</v>
      </c>
      <c r="H360" s="19">
        <v>1</v>
      </c>
      <c r="I360" s="19">
        <v>899</v>
      </c>
      <c r="J360" s="19">
        <v>-179.8</v>
      </c>
      <c r="K360" s="19">
        <v>0</v>
      </c>
      <c r="L360" s="19">
        <v>-179.8</v>
      </c>
      <c r="M360" s="19">
        <v>719.2</v>
      </c>
      <c r="N360" s="19">
        <v>34.25</v>
      </c>
      <c r="O360" s="19">
        <v>5</v>
      </c>
      <c r="P360" s="19" t="s">
        <v>290</v>
      </c>
      <c r="Q360" s="19">
        <v>50157523</v>
      </c>
      <c r="R360" s="19" t="s">
        <v>57</v>
      </c>
      <c r="S360" s="19">
        <v>50151682</v>
      </c>
      <c r="T360" s="19"/>
      <c r="U360" s="19" t="s">
        <v>58</v>
      </c>
      <c r="V360" s="18">
        <v>0</v>
      </c>
      <c r="W360" s="17">
        <f t="shared" si="12"/>
        <v>17</v>
      </c>
      <c r="X360" s="5">
        <f t="shared" si="13"/>
        <v>0</v>
      </c>
    </row>
    <row r="361" spans="1:24" x14ac:dyDescent="0.25">
      <c r="A361" s="19">
        <v>26</v>
      </c>
      <c r="B361" s="19" t="s">
        <v>55</v>
      </c>
      <c r="C361" s="19" t="s">
        <v>56</v>
      </c>
      <c r="D361" s="19" t="s">
        <v>289</v>
      </c>
      <c r="E361" s="21">
        <v>46291.72965277778</v>
      </c>
      <c r="F361" s="19">
        <v>2</v>
      </c>
      <c r="G361" s="19">
        <v>194735367870</v>
      </c>
      <c r="H361" s="19">
        <v>1</v>
      </c>
      <c r="I361" s="19">
        <v>899</v>
      </c>
      <c r="J361" s="19">
        <v>-179.8</v>
      </c>
      <c r="K361" s="19">
        <v>0</v>
      </c>
      <c r="L361" s="19">
        <v>-179.8</v>
      </c>
      <c r="M361" s="19">
        <v>719.2</v>
      </c>
      <c r="N361" s="19">
        <v>34.25</v>
      </c>
      <c r="O361" s="19">
        <v>5</v>
      </c>
      <c r="P361" s="19" t="s">
        <v>290</v>
      </c>
      <c r="Q361" s="19">
        <v>50157523</v>
      </c>
      <c r="R361" s="19" t="s">
        <v>57</v>
      </c>
      <c r="S361" s="19">
        <v>50151682</v>
      </c>
      <c r="T361" s="19"/>
      <c r="U361" s="19" t="s">
        <v>58</v>
      </c>
      <c r="V361" s="18">
        <v>0</v>
      </c>
      <c r="W361" s="17">
        <f t="shared" si="12"/>
        <v>17</v>
      </c>
      <c r="X361" s="5">
        <f t="shared" si="13"/>
        <v>0</v>
      </c>
    </row>
    <row r="362" spans="1:24" x14ac:dyDescent="0.25">
      <c r="A362" s="19">
        <v>26</v>
      </c>
      <c r="B362" s="19" t="s">
        <v>55</v>
      </c>
      <c r="C362" s="19" t="s">
        <v>56</v>
      </c>
      <c r="D362" s="19" t="s">
        <v>289</v>
      </c>
      <c r="E362" s="21">
        <v>46291.72965277778</v>
      </c>
      <c r="F362" s="19">
        <v>2</v>
      </c>
      <c r="G362" s="19">
        <v>194735367870</v>
      </c>
      <c r="H362" s="19">
        <v>1</v>
      </c>
      <c r="I362" s="19">
        <v>899</v>
      </c>
      <c r="J362" s="19">
        <v>-179.8</v>
      </c>
      <c r="K362" s="19">
        <v>0</v>
      </c>
      <c r="L362" s="19">
        <v>-179.8</v>
      </c>
      <c r="M362" s="19">
        <v>719.2</v>
      </c>
      <c r="N362" s="19">
        <v>34.25</v>
      </c>
      <c r="O362" s="19">
        <v>5</v>
      </c>
      <c r="P362" s="19" t="s">
        <v>290</v>
      </c>
      <c r="Q362" s="19">
        <v>50157523</v>
      </c>
      <c r="R362" s="19" t="s">
        <v>57</v>
      </c>
      <c r="S362" s="19">
        <v>50151682</v>
      </c>
      <c r="T362" s="19"/>
      <c r="U362" s="19" t="s">
        <v>58</v>
      </c>
      <c r="V362" s="18">
        <v>0</v>
      </c>
      <c r="W362" s="17">
        <f t="shared" si="12"/>
        <v>17</v>
      </c>
      <c r="X362" s="5">
        <f t="shared" si="13"/>
        <v>0</v>
      </c>
    </row>
    <row r="363" spans="1:24" x14ac:dyDescent="0.25">
      <c r="A363" s="19">
        <v>26</v>
      </c>
      <c r="B363" s="19" t="s">
        <v>55</v>
      </c>
      <c r="C363" s="19" t="s">
        <v>56</v>
      </c>
      <c r="D363" s="19" t="s">
        <v>289</v>
      </c>
      <c r="E363" s="21">
        <v>46291.72965277778</v>
      </c>
      <c r="F363" s="19">
        <v>2</v>
      </c>
      <c r="G363" s="19">
        <v>194735367870</v>
      </c>
      <c r="H363" s="19">
        <v>1</v>
      </c>
      <c r="I363" s="19">
        <v>899</v>
      </c>
      <c r="J363" s="19">
        <v>-179.8</v>
      </c>
      <c r="K363" s="19">
        <v>0</v>
      </c>
      <c r="L363" s="19">
        <v>-179.8</v>
      </c>
      <c r="M363" s="19">
        <v>719.2</v>
      </c>
      <c r="N363" s="19">
        <v>34.25</v>
      </c>
      <c r="O363" s="19">
        <v>5</v>
      </c>
      <c r="P363" s="19" t="s">
        <v>290</v>
      </c>
      <c r="Q363" s="19">
        <v>50157523</v>
      </c>
      <c r="R363" s="19" t="s">
        <v>57</v>
      </c>
      <c r="S363" s="19">
        <v>50151682</v>
      </c>
      <c r="T363" s="19"/>
      <c r="U363" s="19" t="s">
        <v>58</v>
      </c>
      <c r="V363" s="18">
        <v>0</v>
      </c>
      <c r="W363" s="17">
        <f t="shared" si="12"/>
        <v>17</v>
      </c>
      <c r="X363" s="5">
        <f t="shared" si="13"/>
        <v>0</v>
      </c>
    </row>
    <row r="364" spans="1:24" x14ac:dyDescent="0.25">
      <c r="A364" s="19">
        <v>26</v>
      </c>
      <c r="B364" s="19" t="s">
        <v>55</v>
      </c>
      <c r="C364" s="19" t="s">
        <v>56</v>
      </c>
      <c r="D364" s="19" t="s">
        <v>289</v>
      </c>
      <c r="E364" s="21">
        <v>46291.72965277778</v>
      </c>
      <c r="F364" s="19">
        <v>2</v>
      </c>
      <c r="G364" s="19">
        <v>194735367870</v>
      </c>
      <c r="H364" s="19">
        <v>1</v>
      </c>
      <c r="I364" s="19">
        <v>899</v>
      </c>
      <c r="J364" s="19">
        <v>-179.8</v>
      </c>
      <c r="K364" s="19">
        <v>0</v>
      </c>
      <c r="L364" s="19">
        <v>-179.8</v>
      </c>
      <c r="M364" s="19">
        <v>719.2</v>
      </c>
      <c r="N364" s="19">
        <v>34.25</v>
      </c>
      <c r="O364" s="19">
        <v>5</v>
      </c>
      <c r="P364" s="19" t="s">
        <v>290</v>
      </c>
      <c r="Q364" s="19">
        <v>50157523</v>
      </c>
      <c r="R364" s="19" t="s">
        <v>57</v>
      </c>
      <c r="S364" s="19">
        <v>50151682</v>
      </c>
      <c r="T364" s="19"/>
      <c r="U364" s="19" t="s">
        <v>58</v>
      </c>
      <c r="V364" s="18">
        <v>0</v>
      </c>
      <c r="W364" s="17">
        <f t="shared" si="12"/>
        <v>17</v>
      </c>
      <c r="X364" s="5">
        <f t="shared" si="13"/>
        <v>0</v>
      </c>
    </row>
    <row r="365" spans="1:24" x14ac:dyDescent="0.25">
      <c r="A365" s="19">
        <v>26</v>
      </c>
      <c r="B365" s="19" t="s">
        <v>55</v>
      </c>
      <c r="C365" s="19" t="s">
        <v>56</v>
      </c>
      <c r="D365" s="19" t="s">
        <v>289</v>
      </c>
      <c r="E365" s="21">
        <v>46291.72965277778</v>
      </c>
      <c r="F365" s="19">
        <v>2</v>
      </c>
      <c r="G365" s="19">
        <v>194735367870</v>
      </c>
      <c r="H365" s="19">
        <v>1</v>
      </c>
      <c r="I365" s="19">
        <v>899</v>
      </c>
      <c r="J365" s="19">
        <v>-179.8</v>
      </c>
      <c r="K365" s="19">
        <v>0</v>
      </c>
      <c r="L365" s="19">
        <v>-179.8</v>
      </c>
      <c r="M365" s="19">
        <v>719.2</v>
      </c>
      <c r="N365" s="19">
        <v>34.25</v>
      </c>
      <c r="O365" s="19">
        <v>5</v>
      </c>
      <c r="P365" s="19" t="s">
        <v>290</v>
      </c>
      <c r="Q365" s="19">
        <v>50157523</v>
      </c>
      <c r="R365" s="19" t="s">
        <v>57</v>
      </c>
      <c r="S365" s="19">
        <v>50151682</v>
      </c>
      <c r="T365" s="19"/>
      <c r="U365" s="19" t="s">
        <v>58</v>
      </c>
      <c r="V365" s="18">
        <v>0</v>
      </c>
      <c r="W365" s="17">
        <f t="shared" si="12"/>
        <v>17</v>
      </c>
      <c r="X365" s="5">
        <f t="shared" si="13"/>
        <v>0</v>
      </c>
    </row>
    <row r="366" spans="1:24" x14ac:dyDescent="0.25">
      <c r="A366" s="19">
        <v>26</v>
      </c>
      <c r="B366" s="19" t="s">
        <v>55</v>
      </c>
      <c r="C366" s="19" t="s">
        <v>56</v>
      </c>
      <c r="D366" s="19" t="s">
        <v>289</v>
      </c>
      <c r="E366" s="21">
        <v>46291.72965277778</v>
      </c>
      <c r="F366" s="19">
        <v>2</v>
      </c>
      <c r="G366" s="19">
        <v>194735367870</v>
      </c>
      <c r="H366" s="19">
        <v>1</v>
      </c>
      <c r="I366" s="19">
        <v>899</v>
      </c>
      <c r="J366" s="19">
        <v>-179.8</v>
      </c>
      <c r="K366" s="19">
        <v>0</v>
      </c>
      <c r="L366" s="19">
        <v>-179.8</v>
      </c>
      <c r="M366" s="19">
        <v>719.2</v>
      </c>
      <c r="N366" s="19">
        <v>34.25</v>
      </c>
      <c r="O366" s="19">
        <v>5</v>
      </c>
      <c r="P366" s="19" t="s">
        <v>290</v>
      </c>
      <c r="Q366" s="19">
        <v>50157523</v>
      </c>
      <c r="R366" s="19" t="s">
        <v>57</v>
      </c>
      <c r="S366" s="19">
        <v>50151682</v>
      </c>
      <c r="T366" s="19"/>
      <c r="U366" s="19" t="s">
        <v>58</v>
      </c>
      <c r="V366" s="18">
        <v>0</v>
      </c>
      <c r="W366" s="17">
        <f t="shared" si="12"/>
        <v>17</v>
      </c>
      <c r="X366" s="5">
        <f t="shared" si="13"/>
        <v>0</v>
      </c>
    </row>
    <row r="367" spans="1:24" x14ac:dyDescent="0.25">
      <c r="A367" s="19">
        <v>26</v>
      </c>
      <c r="B367" s="19" t="s">
        <v>55</v>
      </c>
      <c r="C367" s="19" t="s">
        <v>56</v>
      </c>
      <c r="D367" s="19" t="s">
        <v>289</v>
      </c>
      <c r="E367" s="21">
        <v>46291.72965277778</v>
      </c>
      <c r="F367" s="19">
        <v>2</v>
      </c>
      <c r="G367" s="19">
        <v>194735367870</v>
      </c>
      <c r="H367" s="19">
        <v>1</v>
      </c>
      <c r="I367" s="19">
        <v>899</v>
      </c>
      <c r="J367" s="19">
        <v>-179.8</v>
      </c>
      <c r="K367" s="19">
        <v>0</v>
      </c>
      <c r="L367" s="19">
        <v>-179.8</v>
      </c>
      <c r="M367" s="19">
        <v>719.2</v>
      </c>
      <c r="N367" s="19">
        <v>34.25</v>
      </c>
      <c r="O367" s="19">
        <v>5</v>
      </c>
      <c r="P367" s="19" t="s">
        <v>290</v>
      </c>
      <c r="Q367" s="19">
        <v>50157523</v>
      </c>
      <c r="R367" s="19" t="s">
        <v>57</v>
      </c>
      <c r="S367" s="19">
        <v>50151682</v>
      </c>
      <c r="T367" s="19"/>
      <c r="U367" s="19" t="s">
        <v>58</v>
      </c>
      <c r="V367" s="18">
        <v>0</v>
      </c>
      <c r="W367" s="17">
        <f t="shared" si="12"/>
        <v>17</v>
      </c>
      <c r="X367" s="5">
        <f t="shared" si="13"/>
        <v>0</v>
      </c>
    </row>
    <row r="368" spans="1:24" x14ac:dyDescent="0.25">
      <c r="A368" s="19">
        <v>26</v>
      </c>
      <c r="B368" s="19" t="s">
        <v>55</v>
      </c>
      <c r="C368" s="19" t="s">
        <v>56</v>
      </c>
      <c r="D368" s="19" t="s">
        <v>289</v>
      </c>
      <c r="E368" s="21">
        <v>46291.72965277778</v>
      </c>
      <c r="F368" s="19">
        <v>2</v>
      </c>
      <c r="G368" s="19">
        <v>194735367870</v>
      </c>
      <c r="H368" s="19">
        <v>1</v>
      </c>
      <c r="I368" s="19">
        <v>899</v>
      </c>
      <c r="J368" s="19">
        <v>-179.8</v>
      </c>
      <c r="K368" s="19">
        <v>0</v>
      </c>
      <c r="L368" s="19">
        <v>-179.8</v>
      </c>
      <c r="M368" s="19">
        <v>719.2</v>
      </c>
      <c r="N368" s="19">
        <v>34.25</v>
      </c>
      <c r="O368" s="19">
        <v>5</v>
      </c>
      <c r="P368" s="19" t="s">
        <v>290</v>
      </c>
      <c r="Q368" s="19">
        <v>50157523</v>
      </c>
      <c r="R368" s="19" t="s">
        <v>57</v>
      </c>
      <c r="S368" s="19">
        <v>50151682</v>
      </c>
      <c r="T368" s="19"/>
      <c r="U368" s="19" t="s">
        <v>58</v>
      </c>
      <c r="V368" s="18">
        <v>0</v>
      </c>
      <c r="W368" s="17">
        <f t="shared" si="12"/>
        <v>17</v>
      </c>
      <c r="X368" s="5">
        <f t="shared" si="13"/>
        <v>0</v>
      </c>
    </row>
    <row r="369" spans="1:24" x14ac:dyDescent="0.25">
      <c r="A369" s="19">
        <v>26</v>
      </c>
      <c r="B369" s="19" t="s">
        <v>55</v>
      </c>
      <c r="C369" s="19" t="s">
        <v>56</v>
      </c>
      <c r="D369" s="19" t="s">
        <v>289</v>
      </c>
      <c r="E369" s="21">
        <v>46291.72965277778</v>
      </c>
      <c r="F369" s="19">
        <v>2</v>
      </c>
      <c r="G369" s="19">
        <v>194735367870</v>
      </c>
      <c r="H369" s="19">
        <v>1</v>
      </c>
      <c r="I369" s="19">
        <v>899</v>
      </c>
      <c r="J369" s="19">
        <v>-179.8</v>
      </c>
      <c r="K369" s="19">
        <v>0</v>
      </c>
      <c r="L369" s="19">
        <v>-179.8</v>
      </c>
      <c r="M369" s="19">
        <v>719.2</v>
      </c>
      <c r="N369" s="19">
        <v>34.25</v>
      </c>
      <c r="O369" s="19">
        <v>5</v>
      </c>
      <c r="P369" s="19" t="s">
        <v>290</v>
      </c>
      <c r="Q369" s="19">
        <v>50157523</v>
      </c>
      <c r="R369" s="19" t="s">
        <v>57</v>
      </c>
      <c r="S369" s="19">
        <v>50151682</v>
      </c>
      <c r="T369" s="19"/>
      <c r="U369" s="19" t="s">
        <v>58</v>
      </c>
      <c r="V369" s="18">
        <v>0</v>
      </c>
      <c r="W369" s="17">
        <f t="shared" si="12"/>
        <v>17</v>
      </c>
      <c r="X369" s="5">
        <f t="shared" si="13"/>
        <v>0</v>
      </c>
    </row>
    <row r="370" spans="1:24" x14ac:dyDescent="0.25">
      <c r="A370" s="19">
        <v>26</v>
      </c>
      <c r="B370" s="19" t="s">
        <v>55</v>
      </c>
      <c r="C370" s="19" t="s">
        <v>56</v>
      </c>
      <c r="D370" s="19" t="s">
        <v>289</v>
      </c>
      <c r="E370" s="21">
        <v>46291.72965277778</v>
      </c>
      <c r="F370" s="19">
        <v>2</v>
      </c>
      <c r="G370" s="19">
        <v>194735367870</v>
      </c>
      <c r="H370" s="19">
        <v>1</v>
      </c>
      <c r="I370" s="19">
        <v>899</v>
      </c>
      <c r="J370" s="19">
        <v>-179.8</v>
      </c>
      <c r="K370" s="19">
        <v>0</v>
      </c>
      <c r="L370" s="19">
        <v>-179.8</v>
      </c>
      <c r="M370" s="19">
        <v>719.2</v>
      </c>
      <c r="N370" s="19">
        <v>34.25</v>
      </c>
      <c r="O370" s="19">
        <v>5</v>
      </c>
      <c r="P370" s="19" t="s">
        <v>290</v>
      </c>
      <c r="Q370" s="19">
        <v>50157523</v>
      </c>
      <c r="R370" s="19" t="s">
        <v>57</v>
      </c>
      <c r="S370" s="19">
        <v>50151682</v>
      </c>
      <c r="T370" s="19"/>
      <c r="U370" s="19" t="s">
        <v>58</v>
      </c>
      <c r="V370" s="18">
        <v>0</v>
      </c>
      <c r="W370" s="17">
        <f t="shared" si="12"/>
        <v>17</v>
      </c>
      <c r="X370" s="5">
        <f t="shared" si="13"/>
        <v>0</v>
      </c>
    </row>
    <row r="371" spans="1:24" x14ac:dyDescent="0.25">
      <c r="A371" s="19">
        <v>26</v>
      </c>
      <c r="B371" s="19" t="s">
        <v>55</v>
      </c>
      <c r="C371" s="19" t="s">
        <v>56</v>
      </c>
      <c r="D371" s="19" t="s">
        <v>289</v>
      </c>
      <c r="E371" s="21">
        <v>46291.72965277778</v>
      </c>
      <c r="F371" s="19">
        <v>2</v>
      </c>
      <c r="G371" s="19">
        <v>194735367870</v>
      </c>
      <c r="H371" s="19">
        <v>1</v>
      </c>
      <c r="I371" s="19">
        <v>899</v>
      </c>
      <c r="J371" s="19">
        <v>-179.8</v>
      </c>
      <c r="K371" s="19">
        <v>0</v>
      </c>
      <c r="L371" s="19">
        <v>-179.8</v>
      </c>
      <c r="M371" s="19">
        <v>719.2</v>
      </c>
      <c r="N371" s="19">
        <v>34.25</v>
      </c>
      <c r="O371" s="19">
        <v>5</v>
      </c>
      <c r="P371" s="19" t="s">
        <v>290</v>
      </c>
      <c r="Q371" s="19">
        <v>50157523</v>
      </c>
      <c r="R371" s="19" t="s">
        <v>57</v>
      </c>
      <c r="S371" s="19">
        <v>50151682</v>
      </c>
      <c r="T371" s="19"/>
      <c r="U371" s="19" t="s">
        <v>58</v>
      </c>
      <c r="V371" s="18">
        <v>0</v>
      </c>
      <c r="W371" s="17">
        <f t="shared" si="12"/>
        <v>17</v>
      </c>
      <c r="X371" s="5">
        <f t="shared" si="13"/>
        <v>0</v>
      </c>
    </row>
    <row r="372" spans="1:24" x14ac:dyDescent="0.25">
      <c r="A372" s="19">
        <v>26</v>
      </c>
      <c r="B372" s="19" t="s">
        <v>55</v>
      </c>
      <c r="C372" s="19" t="s">
        <v>56</v>
      </c>
      <c r="D372" s="19" t="s">
        <v>289</v>
      </c>
      <c r="E372" s="21">
        <v>46291.72965277778</v>
      </c>
      <c r="F372" s="19">
        <v>2</v>
      </c>
      <c r="G372" s="19">
        <v>194735367870</v>
      </c>
      <c r="H372" s="19">
        <v>1</v>
      </c>
      <c r="I372" s="19">
        <v>899</v>
      </c>
      <c r="J372" s="19">
        <v>-179.8</v>
      </c>
      <c r="K372" s="19">
        <v>0</v>
      </c>
      <c r="L372" s="19">
        <v>-179.8</v>
      </c>
      <c r="M372" s="19">
        <v>719.2</v>
      </c>
      <c r="N372" s="19">
        <v>34.25</v>
      </c>
      <c r="O372" s="19">
        <v>5</v>
      </c>
      <c r="P372" s="19" t="s">
        <v>290</v>
      </c>
      <c r="Q372" s="19">
        <v>50157523</v>
      </c>
      <c r="R372" s="19" t="s">
        <v>57</v>
      </c>
      <c r="S372" s="19">
        <v>50151682</v>
      </c>
      <c r="T372" s="19"/>
      <c r="U372" s="19" t="s">
        <v>58</v>
      </c>
      <c r="V372" s="18">
        <v>0</v>
      </c>
      <c r="W372" s="17">
        <f t="shared" si="12"/>
        <v>17</v>
      </c>
      <c r="X372" s="5">
        <f t="shared" si="13"/>
        <v>0</v>
      </c>
    </row>
    <row r="373" spans="1:24" x14ac:dyDescent="0.25">
      <c r="A373" s="19">
        <v>26</v>
      </c>
      <c r="B373" s="19" t="s">
        <v>55</v>
      </c>
      <c r="C373" s="19" t="s">
        <v>56</v>
      </c>
      <c r="D373" s="19" t="s">
        <v>289</v>
      </c>
      <c r="E373" s="21">
        <v>46291.72965277778</v>
      </c>
      <c r="F373" s="19">
        <v>2</v>
      </c>
      <c r="G373" s="19">
        <v>194735367870</v>
      </c>
      <c r="H373" s="19">
        <v>1</v>
      </c>
      <c r="I373" s="19">
        <v>899</v>
      </c>
      <c r="J373" s="19">
        <v>-179.8</v>
      </c>
      <c r="K373" s="19">
        <v>0</v>
      </c>
      <c r="L373" s="19">
        <v>-179.8</v>
      </c>
      <c r="M373" s="19">
        <v>719.2</v>
      </c>
      <c r="N373" s="19">
        <v>34.25</v>
      </c>
      <c r="O373" s="19">
        <v>5</v>
      </c>
      <c r="P373" s="19" t="s">
        <v>290</v>
      </c>
      <c r="Q373" s="19">
        <v>50157523</v>
      </c>
      <c r="R373" s="19" t="s">
        <v>57</v>
      </c>
      <c r="S373" s="19">
        <v>50151682</v>
      </c>
      <c r="T373" s="19"/>
      <c r="U373" s="19" t="s">
        <v>58</v>
      </c>
      <c r="V373" s="18">
        <v>0</v>
      </c>
      <c r="W373" s="17">
        <f t="shared" si="12"/>
        <v>17</v>
      </c>
      <c r="X373" s="5">
        <f t="shared" si="13"/>
        <v>0</v>
      </c>
    </row>
    <row r="374" spans="1:24" x14ac:dyDescent="0.25">
      <c r="A374" s="19">
        <v>26</v>
      </c>
      <c r="B374" s="19" t="s">
        <v>55</v>
      </c>
      <c r="C374" s="19" t="s">
        <v>56</v>
      </c>
      <c r="D374" s="19" t="s">
        <v>289</v>
      </c>
      <c r="E374" s="21">
        <v>46291.72965277778</v>
      </c>
      <c r="F374" s="19">
        <v>2</v>
      </c>
      <c r="G374" s="19">
        <v>194735367870</v>
      </c>
      <c r="H374" s="19">
        <v>1</v>
      </c>
      <c r="I374" s="19">
        <v>899</v>
      </c>
      <c r="J374" s="19">
        <v>-179.8</v>
      </c>
      <c r="K374" s="19">
        <v>0</v>
      </c>
      <c r="L374" s="19">
        <v>-179.8</v>
      </c>
      <c r="M374" s="19">
        <v>719.2</v>
      </c>
      <c r="N374" s="19">
        <v>34.25</v>
      </c>
      <c r="O374" s="19">
        <v>5</v>
      </c>
      <c r="P374" s="19" t="s">
        <v>290</v>
      </c>
      <c r="Q374" s="19">
        <v>50157523</v>
      </c>
      <c r="R374" s="19" t="s">
        <v>57</v>
      </c>
      <c r="S374" s="19">
        <v>50151682</v>
      </c>
      <c r="T374" s="19"/>
      <c r="U374" s="19" t="s">
        <v>58</v>
      </c>
      <c r="V374" s="18">
        <v>0</v>
      </c>
      <c r="W374" s="17">
        <f t="shared" si="12"/>
        <v>17</v>
      </c>
      <c r="X374" s="5">
        <f t="shared" si="13"/>
        <v>0</v>
      </c>
    </row>
    <row r="375" spans="1:24" x14ac:dyDescent="0.25">
      <c r="A375" s="19">
        <v>26</v>
      </c>
      <c r="B375" s="19" t="s">
        <v>55</v>
      </c>
      <c r="C375" s="19" t="s">
        <v>56</v>
      </c>
      <c r="D375" s="19" t="s">
        <v>289</v>
      </c>
      <c r="E375" s="21">
        <v>46291.72965277778</v>
      </c>
      <c r="F375" s="19">
        <v>2</v>
      </c>
      <c r="G375" s="19">
        <v>194735367870</v>
      </c>
      <c r="H375" s="19">
        <v>1</v>
      </c>
      <c r="I375" s="19">
        <v>899</v>
      </c>
      <c r="J375" s="19">
        <v>-179.8</v>
      </c>
      <c r="K375" s="19">
        <v>0</v>
      </c>
      <c r="L375" s="19">
        <v>-179.8</v>
      </c>
      <c r="M375" s="19">
        <v>719.2</v>
      </c>
      <c r="N375" s="19">
        <v>34.25</v>
      </c>
      <c r="O375" s="19">
        <v>5</v>
      </c>
      <c r="P375" s="19" t="s">
        <v>290</v>
      </c>
      <c r="Q375" s="19">
        <v>50157523</v>
      </c>
      <c r="R375" s="19" t="s">
        <v>57</v>
      </c>
      <c r="S375" s="19">
        <v>50151682</v>
      </c>
      <c r="T375" s="19"/>
      <c r="U375" s="19" t="s">
        <v>58</v>
      </c>
      <c r="V375" s="18">
        <v>0</v>
      </c>
      <c r="W375" s="17">
        <f t="shared" si="12"/>
        <v>17</v>
      </c>
      <c r="X375" s="5">
        <f t="shared" si="13"/>
        <v>0</v>
      </c>
    </row>
    <row r="376" spans="1:24" x14ac:dyDescent="0.25">
      <c r="A376" s="19">
        <v>26</v>
      </c>
      <c r="B376" s="19" t="s">
        <v>55</v>
      </c>
      <c r="C376" s="19" t="s">
        <v>56</v>
      </c>
      <c r="D376" s="19" t="s">
        <v>289</v>
      </c>
      <c r="E376" s="21">
        <v>46291.72965277778</v>
      </c>
      <c r="F376" s="19">
        <v>2</v>
      </c>
      <c r="G376" s="19">
        <v>194735367870</v>
      </c>
      <c r="H376" s="19">
        <v>1</v>
      </c>
      <c r="I376" s="19">
        <v>899</v>
      </c>
      <c r="J376" s="19">
        <v>-179.8</v>
      </c>
      <c r="K376" s="19">
        <v>0</v>
      </c>
      <c r="L376" s="19">
        <v>-179.8</v>
      </c>
      <c r="M376" s="19">
        <v>719.2</v>
      </c>
      <c r="N376" s="19">
        <v>34.25</v>
      </c>
      <c r="O376" s="19">
        <v>5</v>
      </c>
      <c r="P376" s="19" t="s">
        <v>290</v>
      </c>
      <c r="Q376" s="19">
        <v>50157523</v>
      </c>
      <c r="R376" s="19" t="s">
        <v>57</v>
      </c>
      <c r="S376" s="19">
        <v>50151682</v>
      </c>
      <c r="T376" s="19"/>
      <c r="U376" s="19" t="s">
        <v>58</v>
      </c>
      <c r="V376" s="18">
        <v>0</v>
      </c>
      <c r="W376" s="17">
        <f t="shared" si="12"/>
        <v>17</v>
      </c>
      <c r="X376" s="5">
        <f t="shared" si="13"/>
        <v>0</v>
      </c>
    </row>
    <row r="377" spans="1:24" x14ac:dyDescent="0.25">
      <c r="A377" s="19">
        <v>26</v>
      </c>
      <c r="B377" s="19" t="s">
        <v>55</v>
      </c>
      <c r="C377" s="19" t="s">
        <v>56</v>
      </c>
      <c r="D377" s="19" t="s">
        <v>289</v>
      </c>
      <c r="E377" s="21">
        <v>46291.72965277778</v>
      </c>
      <c r="F377" s="19">
        <v>2</v>
      </c>
      <c r="G377" s="19">
        <v>194735367870</v>
      </c>
      <c r="H377" s="19">
        <v>1</v>
      </c>
      <c r="I377" s="19">
        <v>899</v>
      </c>
      <c r="J377" s="19">
        <v>-179.8</v>
      </c>
      <c r="K377" s="19">
        <v>0</v>
      </c>
      <c r="L377" s="19">
        <v>-179.8</v>
      </c>
      <c r="M377" s="19">
        <v>719.2</v>
      </c>
      <c r="N377" s="19">
        <v>34.25</v>
      </c>
      <c r="O377" s="19">
        <v>5</v>
      </c>
      <c r="P377" s="19" t="s">
        <v>290</v>
      </c>
      <c r="Q377" s="19">
        <v>50157523</v>
      </c>
      <c r="R377" s="19" t="s">
        <v>57</v>
      </c>
      <c r="S377" s="19">
        <v>50151682</v>
      </c>
      <c r="T377" s="19"/>
      <c r="U377" s="19" t="s">
        <v>58</v>
      </c>
      <c r="V377" s="18">
        <v>0</v>
      </c>
      <c r="W377" s="17">
        <f t="shared" si="12"/>
        <v>17</v>
      </c>
      <c r="X377" s="5">
        <f t="shared" si="13"/>
        <v>0</v>
      </c>
    </row>
    <row r="378" spans="1:24" x14ac:dyDescent="0.25">
      <c r="A378" s="19">
        <v>26</v>
      </c>
      <c r="B378" s="19" t="s">
        <v>55</v>
      </c>
      <c r="C378" s="19" t="s">
        <v>56</v>
      </c>
      <c r="D378" s="19" t="s">
        <v>289</v>
      </c>
      <c r="E378" s="21">
        <v>46291.72965277778</v>
      </c>
      <c r="F378" s="19">
        <v>2</v>
      </c>
      <c r="G378" s="19">
        <v>194735367870</v>
      </c>
      <c r="H378" s="19">
        <v>1</v>
      </c>
      <c r="I378" s="19">
        <v>899</v>
      </c>
      <c r="J378" s="19">
        <v>-179.8</v>
      </c>
      <c r="K378" s="19">
        <v>0</v>
      </c>
      <c r="L378" s="19">
        <v>-179.8</v>
      </c>
      <c r="M378" s="19">
        <v>719.2</v>
      </c>
      <c r="N378" s="19">
        <v>34.25</v>
      </c>
      <c r="O378" s="19">
        <v>5</v>
      </c>
      <c r="P378" s="19" t="s">
        <v>290</v>
      </c>
      <c r="Q378" s="19">
        <v>50157523</v>
      </c>
      <c r="R378" s="19" t="s">
        <v>57</v>
      </c>
      <c r="S378" s="19">
        <v>50151682</v>
      </c>
      <c r="T378" s="19"/>
      <c r="U378" s="19" t="s">
        <v>58</v>
      </c>
      <c r="V378" s="18">
        <v>0</v>
      </c>
      <c r="W378" s="17">
        <f t="shared" si="12"/>
        <v>17</v>
      </c>
      <c r="X378" s="5">
        <f t="shared" si="13"/>
        <v>0</v>
      </c>
    </row>
    <row r="379" spans="1:24" x14ac:dyDescent="0.25">
      <c r="A379" s="19">
        <v>26</v>
      </c>
      <c r="B379" s="19" t="s">
        <v>55</v>
      </c>
      <c r="C379" s="19" t="s">
        <v>56</v>
      </c>
      <c r="D379" s="19" t="s">
        <v>289</v>
      </c>
      <c r="E379" s="21">
        <v>46291.72965277778</v>
      </c>
      <c r="F379" s="19">
        <v>2</v>
      </c>
      <c r="G379" s="19">
        <v>194735367870</v>
      </c>
      <c r="H379" s="19">
        <v>1</v>
      </c>
      <c r="I379" s="19">
        <v>899</v>
      </c>
      <c r="J379" s="19">
        <v>-179.8</v>
      </c>
      <c r="K379" s="19">
        <v>0</v>
      </c>
      <c r="L379" s="19">
        <v>-179.8</v>
      </c>
      <c r="M379" s="19">
        <v>719.2</v>
      </c>
      <c r="N379" s="19">
        <v>34.25</v>
      </c>
      <c r="O379" s="19">
        <v>5</v>
      </c>
      <c r="P379" s="19" t="s">
        <v>290</v>
      </c>
      <c r="Q379" s="19">
        <v>50157523</v>
      </c>
      <c r="R379" s="19" t="s">
        <v>57</v>
      </c>
      <c r="S379" s="19">
        <v>50151682</v>
      </c>
      <c r="T379" s="19"/>
      <c r="U379" s="19" t="s">
        <v>58</v>
      </c>
      <c r="V379" s="18">
        <v>0</v>
      </c>
      <c r="W379" s="17">
        <f t="shared" si="12"/>
        <v>17</v>
      </c>
      <c r="X379" s="5">
        <f t="shared" si="13"/>
        <v>0</v>
      </c>
    </row>
    <row r="380" spans="1:24" x14ac:dyDescent="0.25">
      <c r="A380" s="19">
        <v>26</v>
      </c>
      <c r="B380" s="19" t="s">
        <v>55</v>
      </c>
      <c r="C380" s="19" t="s">
        <v>56</v>
      </c>
      <c r="D380" s="19" t="s">
        <v>289</v>
      </c>
      <c r="E380" s="21">
        <v>46291.72965277778</v>
      </c>
      <c r="F380" s="19">
        <v>2</v>
      </c>
      <c r="G380" s="19">
        <v>194735367870</v>
      </c>
      <c r="H380" s="19">
        <v>1</v>
      </c>
      <c r="I380" s="19">
        <v>899</v>
      </c>
      <c r="J380" s="19">
        <v>-179.8</v>
      </c>
      <c r="K380" s="19">
        <v>0</v>
      </c>
      <c r="L380" s="19">
        <v>-179.8</v>
      </c>
      <c r="M380" s="19">
        <v>719.2</v>
      </c>
      <c r="N380" s="19">
        <v>34.25</v>
      </c>
      <c r="O380" s="19">
        <v>5</v>
      </c>
      <c r="P380" s="19" t="s">
        <v>290</v>
      </c>
      <c r="Q380" s="19">
        <v>50157523</v>
      </c>
      <c r="R380" s="19" t="s">
        <v>57</v>
      </c>
      <c r="S380" s="19">
        <v>50151682</v>
      </c>
      <c r="T380" s="19"/>
      <c r="U380" s="19" t="s">
        <v>58</v>
      </c>
      <c r="V380" s="18">
        <v>0</v>
      </c>
      <c r="W380" s="17">
        <f t="shared" si="12"/>
        <v>17</v>
      </c>
      <c r="X380" s="5">
        <f t="shared" si="13"/>
        <v>0</v>
      </c>
    </row>
    <row r="381" spans="1:24" x14ac:dyDescent="0.25">
      <c r="A381" s="19">
        <v>26</v>
      </c>
      <c r="B381" s="19" t="s">
        <v>55</v>
      </c>
      <c r="C381" s="19" t="s">
        <v>56</v>
      </c>
      <c r="D381" s="19" t="s">
        <v>289</v>
      </c>
      <c r="E381" s="21">
        <v>46291.72965277778</v>
      </c>
      <c r="F381" s="19">
        <v>2</v>
      </c>
      <c r="G381" s="19">
        <v>194735367870</v>
      </c>
      <c r="H381" s="19">
        <v>1</v>
      </c>
      <c r="I381" s="19">
        <v>899</v>
      </c>
      <c r="J381" s="19">
        <v>-179.8</v>
      </c>
      <c r="K381" s="19">
        <v>0</v>
      </c>
      <c r="L381" s="19">
        <v>-179.8</v>
      </c>
      <c r="M381" s="19">
        <v>719.2</v>
      </c>
      <c r="N381" s="19">
        <v>34.25</v>
      </c>
      <c r="O381" s="19">
        <v>5</v>
      </c>
      <c r="P381" s="19" t="s">
        <v>290</v>
      </c>
      <c r="Q381" s="19">
        <v>50157523</v>
      </c>
      <c r="R381" s="19" t="s">
        <v>57</v>
      </c>
      <c r="S381" s="19">
        <v>50151682</v>
      </c>
      <c r="T381" s="19"/>
      <c r="U381" s="19" t="s">
        <v>58</v>
      </c>
      <c r="V381" s="18">
        <v>0</v>
      </c>
      <c r="W381" s="17">
        <f t="shared" si="12"/>
        <v>17</v>
      </c>
      <c r="X381" s="5">
        <f t="shared" si="13"/>
        <v>0</v>
      </c>
    </row>
    <row r="382" spans="1:24" x14ac:dyDescent="0.25">
      <c r="A382" s="19">
        <v>26</v>
      </c>
      <c r="B382" s="19" t="s">
        <v>55</v>
      </c>
      <c r="C382" s="19" t="s">
        <v>56</v>
      </c>
      <c r="D382" s="19" t="s">
        <v>289</v>
      </c>
      <c r="E382" s="21">
        <v>46291.72965277778</v>
      </c>
      <c r="F382" s="19">
        <v>2</v>
      </c>
      <c r="G382" s="19">
        <v>194735367870</v>
      </c>
      <c r="H382" s="19">
        <v>1</v>
      </c>
      <c r="I382" s="19">
        <v>899</v>
      </c>
      <c r="J382" s="19">
        <v>-179.8</v>
      </c>
      <c r="K382" s="19">
        <v>0</v>
      </c>
      <c r="L382" s="19">
        <v>-179.8</v>
      </c>
      <c r="M382" s="19">
        <v>719.2</v>
      </c>
      <c r="N382" s="19">
        <v>34.25</v>
      </c>
      <c r="O382" s="19">
        <v>5</v>
      </c>
      <c r="P382" s="19" t="s">
        <v>290</v>
      </c>
      <c r="Q382" s="19">
        <v>50157523</v>
      </c>
      <c r="R382" s="19" t="s">
        <v>57</v>
      </c>
      <c r="S382" s="19">
        <v>50151682</v>
      </c>
      <c r="T382" s="19"/>
      <c r="U382" s="19" t="s">
        <v>58</v>
      </c>
      <c r="V382" s="18">
        <v>0</v>
      </c>
      <c r="W382" s="17">
        <f t="shared" si="12"/>
        <v>17</v>
      </c>
      <c r="X382" s="5">
        <f t="shared" si="13"/>
        <v>0</v>
      </c>
    </row>
    <row r="383" spans="1:24" x14ac:dyDescent="0.25">
      <c r="A383" s="19">
        <v>26</v>
      </c>
      <c r="B383" s="19" t="s">
        <v>55</v>
      </c>
      <c r="C383" s="19" t="s">
        <v>56</v>
      </c>
      <c r="D383" s="19" t="s">
        <v>289</v>
      </c>
      <c r="E383" s="21">
        <v>46291.72965277778</v>
      </c>
      <c r="F383" s="19">
        <v>2</v>
      </c>
      <c r="G383" s="19">
        <v>194735367870</v>
      </c>
      <c r="H383" s="19">
        <v>1</v>
      </c>
      <c r="I383" s="19">
        <v>899</v>
      </c>
      <c r="J383" s="19">
        <v>-179.8</v>
      </c>
      <c r="K383" s="19">
        <v>0</v>
      </c>
      <c r="L383" s="19">
        <v>-179.8</v>
      </c>
      <c r="M383" s="19">
        <v>719.2</v>
      </c>
      <c r="N383" s="19">
        <v>34.25</v>
      </c>
      <c r="O383" s="19">
        <v>5</v>
      </c>
      <c r="P383" s="19" t="s">
        <v>290</v>
      </c>
      <c r="Q383" s="19">
        <v>50157523</v>
      </c>
      <c r="R383" s="19" t="s">
        <v>57</v>
      </c>
      <c r="S383" s="19">
        <v>50151682</v>
      </c>
      <c r="T383" s="19"/>
      <c r="U383" s="19" t="s">
        <v>58</v>
      </c>
      <c r="V383" s="18">
        <v>0</v>
      </c>
      <c r="W383" s="17">
        <f t="shared" si="12"/>
        <v>17</v>
      </c>
      <c r="X383" s="5">
        <f t="shared" si="13"/>
        <v>0</v>
      </c>
    </row>
    <row r="384" spans="1:24" x14ac:dyDescent="0.25">
      <c r="A384" s="19">
        <v>26</v>
      </c>
      <c r="B384" s="19" t="s">
        <v>55</v>
      </c>
      <c r="C384" s="19" t="s">
        <v>56</v>
      </c>
      <c r="D384" s="19" t="s">
        <v>289</v>
      </c>
      <c r="E384" s="21">
        <v>46291.72965277778</v>
      </c>
      <c r="F384" s="19">
        <v>2</v>
      </c>
      <c r="G384" s="19">
        <v>194735367870</v>
      </c>
      <c r="H384" s="19">
        <v>1</v>
      </c>
      <c r="I384" s="19">
        <v>899</v>
      </c>
      <c r="J384" s="19">
        <v>-179.8</v>
      </c>
      <c r="K384" s="19">
        <v>0</v>
      </c>
      <c r="L384" s="19">
        <v>-179.8</v>
      </c>
      <c r="M384" s="19">
        <v>719.2</v>
      </c>
      <c r="N384" s="19">
        <v>34.25</v>
      </c>
      <c r="O384" s="19">
        <v>5</v>
      </c>
      <c r="P384" s="19" t="s">
        <v>290</v>
      </c>
      <c r="Q384" s="19">
        <v>50157523</v>
      </c>
      <c r="R384" s="19" t="s">
        <v>57</v>
      </c>
      <c r="S384" s="19">
        <v>50151682</v>
      </c>
      <c r="T384" s="19"/>
      <c r="U384" s="19" t="s">
        <v>58</v>
      </c>
      <c r="V384" s="18">
        <v>0</v>
      </c>
      <c r="W384" s="17">
        <f t="shared" si="12"/>
        <v>17</v>
      </c>
      <c r="X384" s="5">
        <f t="shared" si="13"/>
        <v>0</v>
      </c>
    </row>
    <row r="385" spans="1:24" x14ac:dyDescent="0.25">
      <c r="A385" s="19">
        <v>26</v>
      </c>
      <c r="B385" s="19" t="s">
        <v>55</v>
      </c>
      <c r="C385" s="19" t="s">
        <v>56</v>
      </c>
      <c r="D385" s="19" t="s">
        <v>289</v>
      </c>
      <c r="E385" s="21">
        <v>46291.72965277778</v>
      </c>
      <c r="F385" s="19">
        <v>2</v>
      </c>
      <c r="G385" s="19">
        <v>194735367870</v>
      </c>
      <c r="H385" s="19">
        <v>1</v>
      </c>
      <c r="I385" s="19">
        <v>899</v>
      </c>
      <c r="J385" s="19">
        <v>-179.8</v>
      </c>
      <c r="K385" s="19">
        <v>0</v>
      </c>
      <c r="L385" s="19">
        <v>-179.8</v>
      </c>
      <c r="M385" s="19">
        <v>719.2</v>
      </c>
      <c r="N385" s="19">
        <v>34.25</v>
      </c>
      <c r="O385" s="19">
        <v>5</v>
      </c>
      <c r="P385" s="19" t="s">
        <v>290</v>
      </c>
      <c r="Q385" s="19">
        <v>50157523</v>
      </c>
      <c r="R385" s="19" t="s">
        <v>57</v>
      </c>
      <c r="S385" s="19">
        <v>50151682</v>
      </c>
      <c r="T385" s="19"/>
      <c r="U385" s="19" t="s">
        <v>58</v>
      </c>
      <c r="V385" s="18">
        <v>0</v>
      </c>
      <c r="W385" s="17">
        <f t="shared" si="12"/>
        <v>17</v>
      </c>
      <c r="X385" s="5">
        <f t="shared" si="13"/>
        <v>0</v>
      </c>
    </row>
    <row r="386" spans="1:24" x14ac:dyDescent="0.25">
      <c r="A386" s="19">
        <v>26</v>
      </c>
      <c r="B386" s="19" t="s">
        <v>55</v>
      </c>
      <c r="C386" s="19" t="s">
        <v>56</v>
      </c>
      <c r="D386" s="19" t="s">
        <v>289</v>
      </c>
      <c r="E386" s="21">
        <v>46291.72965277778</v>
      </c>
      <c r="F386" s="19">
        <v>2</v>
      </c>
      <c r="G386" s="19">
        <v>194735367870</v>
      </c>
      <c r="H386" s="19">
        <v>1</v>
      </c>
      <c r="I386" s="19">
        <v>899</v>
      </c>
      <c r="J386" s="19">
        <v>-179.8</v>
      </c>
      <c r="K386" s="19">
        <v>0</v>
      </c>
      <c r="L386" s="19">
        <v>-179.8</v>
      </c>
      <c r="M386" s="19">
        <v>719.2</v>
      </c>
      <c r="N386" s="19">
        <v>34.25</v>
      </c>
      <c r="O386" s="19">
        <v>5</v>
      </c>
      <c r="P386" s="19" t="s">
        <v>290</v>
      </c>
      <c r="Q386" s="19">
        <v>50157523</v>
      </c>
      <c r="R386" s="19" t="s">
        <v>57</v>
      </c>
      <c r="S386" s="19">
        <v>50151682</v>
      </c>
      <c r="T386" s="19"/>
      <c r="U386" s="19" t="s">
        <v>58</v>
      </c>
      <c r="V386" s="18">
        <v>0</v>
      </c>
      <c r="W386" s="17">
        <f t="shared" si="12"/>
        <v>17</v>
      </c>
      <c r="X386" s="5">
        <f t="shared" si="13"/>
        <v>0</v>
      </c>
    </row>
    <row r="387" spans="1:24" x14ac:dyDescent="0.25">
      <c r="A387" s="19">
        <v>26</v>
      </c>
      <c r="B387" s="19" t="s">
        <v>55</v>
      </c>
      <c r="C387" s="19" t="s">
        <v>56</v>
      </c>
      <c r="D387" s="19" t="s">
        <v>289</v>
      </c>
      <c r="E387" s="21">
        <v>46291.72965277778</v>
      </c>
      <c r="F387" s="19">
        <v>2</v>
      </c>
      <c r="G387" s="19">
        <v>194735367870</v>
      </c>
      <c r="H387" s="19">
        <v>1</v>
      </c>
      <c r="I387" s="19">
        <v>899</v>
      </c>
      <c r="J387" s="19">
        <v>-179.8</v>
      </c>
      <c r="K387" s="19">
        <v>0</v>
      </c>
      <c r="L387" s="19">
        <v>-179.8</v>
      </c>
      <c r="M387" s="19">
        <v>719.2</v>
      </c>
      <c r="N387" s="19">
        <v>34.25</v>
      </c>
      <c r="O387" s="19">
        <v>5</v>
      </c>
      <c r="P387" s="19" t="s">
        <v>290</v>
      </c>
      <c r="Q387" s="19">
        <v>50157523</v>
      </c>
      <c r="R387" s="19" t="s">
        <v>57</v>
      </c>
      <c r="S387" s="19">
        <v>50151682</v>
      </c>
      <c r="T387" s="19"/>
      <c r="U387" s="19" t="s">
        <v>58</v>
      </c>
      <c r="V387" s="18">
        <v>0</v>
      </c>
      <c r="W387" s="17">
        <f t="shared" ref="W387:W450" si="14">HOUR(E387)</f>
        <v>17</v>
      </c>
      <c r="X387" s="5">
        <f t="shared" ref="X387:X450" si="15">IF(D387=D386,0,1)</f>
        <v>0</v>
      </c>
    </row>
    <row r="388" spans="1:24" x14ac:dyDescent="0.25">
      <c r="A388" s="19">
        <v>26</v>
      </c>
      <c r="B388" s="19" t="s">
        <v>55</v>
      </c>
      <c r="C388" s="19" t="s">
        <v>56</v>
      </c>
      <c r="D388" s="19" t="s">
        <v>289</v>
      </c>
      <c r="E388" s="21">
        <v>46291.72965277778</v>
      </c>
      <c r="F388" s="19">
        <v>2</v>
      </c>
      <c r="G388" s="19">
        <v>194735367870</v>
      </c>
      <c r="H388" s="19">
        <v>1</v>
      </c>
      <c r="I388" s="19">
        <v>899</v>
      </c>
      <c r="J388" s="19">
        <v>-179.8</v>
      </c>
      <c r="K388" s="19">
        <v>0</v>
      </c>
      <c r="L388" s="19">
        <v>-179.8</v>
      </c>
      <c r="M388" s="19">
        <v>719.2</v>
      </c>
      <c r="N388" s="19">
        <v>34.25</v>
      </c>
      <c r="O388" s="19">
        <v>5</v>
      </c>
      <c r="P388" s="19" t="s">
        <v>290</v>
      </c>
      <c r="Q388" s="19">
        <v>50157523</v>
      </c>
      <c r="R388" s="19" t="s">
        <v>57</v>
      </c>
      <c r="S388" s="19">
        <v>50151682</v>
      </c>
      <c r="T388" s="19"/>
      <c r="U388" s="19" t="s">
        <v>58</v>
      </c>
      <c r="V388" s="18">
        <v>0</v>
      </c>
      <c r="W388" s="17">
        <f t="shared" si="14"/>
        <v>17</v>
      </c>
      <c r="X388" s="5">
        <f t="shared" si="15"/>
        <v>0</v>
      </c>
    </row>
    <row r="389" spans="1:24" x14ac:dyDescent="0.25">
      <c r="A389" s="19">
        <v>26</v>
      </c>
      <c r="B389" s="19" t="s">
        <v>55</v>
      </c>
      <c r="C389" s="19" t="s">
        <v>56</v>
      </c>
      <c r="D389" s="19" t="s">
        <v>289</v>
      </c>
      <c r="E389" s="21">
        <v>46291.72965277778</v>
      </c>
      <c r="F389" s="19">
        <v>2</v>
      </c>
      <c r="G389" s="19">
        <v>194735367870</v>
      </c>
      <c r="H389" s="19">
        <v>1</v>
      </c>
      <c r="I389" s="19">
        <v>899</v>
      </c>
      <c r="J389" s="19">
        <v>-179.8</v>
      </c>
      <c r="K389" s="19">
        <v>0</v>
      </c>
      <c r="L389" s="19">
        <v>-179.8</v>
      </c>
      <c r="M389" s="19">
        <v>719.2</v>
      </c>
      <c r="N389" s="19">
        <v>34.25</v>
      </c>
      <c r="O389" s="19">
        <v>5</v>
      </c>
      <c r="P389" s="19" t="s">
        <v>290</v>
      </c>
      <c r="Q389" s="19">
        <v>50157523</v>
      </c>
      <c r="R389" s="19" t="s">
        <v>57</v>
      </c>
      <c r="S389" s="19">
        <v>50151682</v>
      </c>
      <c r="T389" s="19"/>
      <c r="U389" s="19" t="s">
        <v>58</v>
      </c>
      <c r="V389" s="18">
        <v>0</v>
      </c>
      <c r="W389" s="17">
        <f t="shared" si="14"/>
        <v>17</v>
      </c>
      <c r="X389" s="5">
        <f t="shared" si="15"/>
        <v>0</v>
      </c>
    </row>
    <row r="390" spans="1:24" x14ac:dyDescent="0.25">
      <c r="A390" s="19">
        <v>26</v>
      </c>
      <c r="B390" s="19" t="s">
        <v>55</v>
      </c>
      <c r="C390" s="19" t="s">
        <v>56</v>
      </c>
      <c r="D390" s="19" t="s">
        <v>289</v>
      </c>
      <c r="E390" s="21">
        <v>46291.72965277778</v>
      </c>
      <c r="F390" s="19">
        <v>2</v>
      </c>
      <c r="G390" s="19">
        <v>194735367870</v>
      </c>
      <c r="H390" s="19">
        <v>1</v>
      </c>
      <c r="I390" s="19">
        <v>899</v>
      </c>
      <c r="J390" s="19">
        <v>-179.8</v>
      </c>
      <c r="K390" s="19">
        <v>0</v>
      </c>
      <c r="L390" s="19">
        <v>-179.8</v>
      </c>
      <c r="M390" s="19">
        <v>719.2</v>
      </c>
      <c r="N390" s="19">
        <v>34.25</v>
      </c>
      <c r="O390" s="19">
        <v>5</v>
      </c>
      <c r="P390" s="19" t="s">
        <v>290</v>
      </c>
      <c r="Q390" s="19">
        <v>50157523</v>
      </c>
      <c r="R390" s="19" t="s">
        <v>57</v>
      </c>
      <c r="S390" s="19">
        <v>50151682</v>
      </c>
      <c r="T390" s="19"/>
      <c r="U390" s="19" t="s">
        <v>58</v>
      </c>
      <c r="V390" s="18">
        <v>0</v>
      </c>
      <c r="W390" s="17">
        <f t="shared" si="14"/>
        <v>17</v>
      </c>
      <c r="X390" s="5">
        <f t="shared" si="15"/>
        <v>0</v>
      </c>
    </row>
    <row r="391" spans="1:24" x14ac:dyDescent="0.25">
      <c r="A391" s="19">
        <v>26</v>
      </c>
      <c r="B391" s="19" t="s">
        <v>55</v>
      </c>
      <c r="C391" s="19" t="s">
        <v>56</v>
      </c>
      <c r="D391" s="19" t="s">
        <v>289</v>
      </c>
      <c r="E391" s="21">
        <v>46291.72965277778</v>
      </c>
      <c r="F391" s="19">
        <v>2</v>
      </c>
      <c r="G391" s="19">
        <v>194735367870</v>
      </c>
      <c r="H391" s="19">
        <v>1</v>
      </c>
      <c r="I391" s="19">
        <v>899</v>
      </c>
      <c r="J391" s="19">
        <v>-179.8</v>
      </c>
      <c r="K391" s="19">
        <v>0</v>
      </c>
      <c r="L391" s="19">
        <v>-179.8</v>
      </c>
      <c r="M391" s="19">
        <v>719.2</v>
      </c>
      <c r="N391" s="19">
        <v>34.25</v>
      </c>
      <c r="O391" s="19">
        <v>5</v>
      </c>
      <c r="P391" s="19" t="s">
        <v>290</v>
      </c>
      <c r="Q391" s="19">
        <v>50157523</v>
      </c>
      <c r="R391" s="19" t="s">
        <v>57</v>
      </c>
      <c r="S391" s="19">
        <v>50151682</v>
      </c>
      <c r="T391" s="19"/>
      <c r="U391" s="19" t="s">
        <v>58</v>
      </c>
      <c r="V391" s="18">
        <v>0</v>
      </c>
      <c r="W391" s="17">
        <f t="shared" si="14"/>
        <v>17</v>
      </c>
      <c r="X391" s="5">
        <f t="shared" si="15"/>
        <v>0</v>
      </c>
    </row>
    <row r="392" spans="1:24" x14ac:dyDescent="0.25">
      <c r="A392" s="19">
        <v>26</v>
      </c>
      <c r="B392" s="19" t="s">
        <v>55</v>
      </c>
      <c r="C392" s="19" t="s">
        <v>56</v>
      </c>
      <c r="D392" s="19" t="s">
        <v>289</v>
      </c>
      <c r="E392" s="21">
        <v>46291.72965277778</v>
      </c>
      <c r="F392" s="19">
        <v>2</v>
      </c>
      <c r="G392" s="19">
        <v>194735367870</v>
      </c>
      <c r="H392" s="19">
        <v>1</v>
      </c>
      <c r="I392" s="19">
        <v>899</v>
      </c>
      <c r="J392" s="19">
        <v>-179.8</v>
      </c>
      <c r="K392" s="19">
        <v>0</v>
      </c>
      <c r="L392" s="19">
        <v>-179.8</v>
      </c>
      <c r="M392" s="19">
        <v>719.2</v>
      </c>
      <c r="N392" s="19">
        <v>34.25</v>
      </c>
      <c r="O392" s="19">
        <v>5</v>
      </c>
      <c r="P392" s="19" t="s">
        <v>290</v>
      </c>
      <c r="Q392" s="19">
        <v>50157523</v>
      </c>
      <c r="R392" s="19" t="s">
        <v>57</v>
      </c>
      <c r="S392" s="19">
        <v>50151682</v>
      </c>
      <c r="T392" s="19"/>
      <c r="U392" s="19" t="s">
        <v>58</v>
      </c>
      <c r="V392" s="18">
        <v>0</v>
      </c>
      <c r="W392" s="17">
        <f t="shared" si="14"/>
        <v>17</v>
      </c>
      <c r="X392" s="5">
        <f t="shared" si="15"/>
        <v>0</v>
      </c>
    </row>
    <row r="393" spans="1:24" x14ac:dyDescent="0.25">
      <c r="A393" s="19">
        <v>26</v>
      </c>
      <c r="B393" s="19" t="s">
        <v>55</v>
      </c>
      <c r="C393" s="19" t="s">
        <v>56</v>
      </c>
      <c r="D393" s="19" t="s">
        <v>289</v>
      </c>
      <c r="E393" s="21">
        <v>46291.72965277778</v>
      </c>
      <c r="F393" s="19">
        <v>2</v>
      </c>
      <c r="G393" s="19">
        <v>194735367870</v>
      </c>
      <c r="H393" s="19">
        <v>1</v>
      </c>
      <c r="I393" s="19">
        <v>899</v>
      </c>
      <c r="J393" s="19">
        <v>-179.8</v>
      </c>
      <c r="K393" s="19">
        <v>0</v>
      </c>
      <c r="L393" s="19">
        <v>-179.8</v>
      </c>
      <c r="M393" s="19">
        <v>719.2</v>
      </c>
      <c r="N393" s="19">
        <v>34.25</v>
      </c>
      <c r="O393" s="19">
        <v>5</v>
      </c>
      <c r="P393" s="19" t="s">
        <v>290</v>
      </c>
      <c r="Q393" s="19">
        <v>50157523</v>
      </c>
      <c r="R393" s="19" t="s">
        <v>57</v>
      </c>
      <c r="S393" s="19">
        <v>50151682</v>
      </c>
      <c r="T393" s="19"/>
      <c r="U393" s="19" t="s">
        <v>58</v>
      </c>
      <c r="V393" s="18">
        <v>0</v>
      </c>
      <c r="W393" s="17">
        <f t="shared" si="14"/>
        <v>17</v>
      </c>
      <c r="X393" s="5">
        <f t="shared" si="15"/>
        <v>0</v>
      </c>
    </row>
    <row r="394" spans="1:24" x14ac:dyDescent="0.25">
      <c r="A394" s="19">
        <v>26</v>
      </c>
      <c r="B394" s="19" t="s">
        <v>55</v>
      </c>
      <c r="C394" s="19" t="s">
        <v>56</v>
      </c>
      <c r="D394" s="19" t="s">
        <v>289</v>
      </c>
      <c r="E394" s="21">
        <v>46291.72965277778</v>
      </c>
      <c r="F394" s="19">
        <v>2</v>
      </c>
      <c r="G394" s="19">
        <v>194735367870</v>
      </c>
      <c r="H394" s="19">
        <v>1</v>
      </c>
      <c r="I394" s="19">
        <v>899</v>
      </c>
      <c r="J394" s="19">
        <v>-179.8</v>
      </c>
      <c r="K394" s="19">
        <v>0</v>
      </c>
      <c r="L394" s="19">
        <v>-179.8</v>
      </c>
      <c r="M394" s="19">
        <v>719.2</v>
      </c>
      <c r="N394" s="19">
        <v>34.25</v>
      </c>
      <c r="O394" s="19">
        <v>5</v>
      </c>
      <c r="P394" s="19" t="s">
        <v>290</v>
      </c>
      <c r="Q394" s="19">
        <v>50157523</v>
      </c>
      <c r="R394" s="19" t="s">
        <v>57</v>
      </c>
      <c r="S394" s="19">
        <v>50151682</v>
      </c>
      <c r="T394" s="19"/>
      <c r="U394" s="19" t="s">
        <v>58</v>
      </c>
      <c r="V394" s="18">
        <v>0</v>
      </c>
      <c r="W394" s="17">
        <f t="shared" si="14"/>
        <v>17</v>
      </c>
      <c r="X394" s="5">
        <f t="shared" si="15"/>
        <v>0</v>
      </c>
    </row>
    <row r="395" spans="1:24" x14ac:dyDescent="0.25">
      <c r="A395" s="19">
        <v>26</v>
      </c>
      <c r="B395" s="19" t="s">
        <v>55</v>
      </c>
      <c r="C395" s="19" t="s">
        <v>56</v>
      </c>
      <c r="D395" s="19" t="s">
        <v>289</v>
      </c>
      <c r="E395" s="21">
        <v>46291.72965277778</v>
      </c>
      <c r="F395" s="19">
        <v>2</v>
      </c>
      <c r="G395" s="19">
        <v>194735367870</v>
      </c>
      <c r="H395" s="19">
        <v>1</v>
      </c>
      <c r="I395" s="19">
        <v>899</v>
      </c>
      <c r="J395" s="19">
        <v>-179.8</v>
      </c>
      <c r="K395" s="19">
        <v>0</v>
      </c>
      <c r="L395" s="19">
        <v>-179.8</v>
      </c>
      <c r="M395" s="19">
        <v>719.2</v>
      </c>
      <c r="N395" s="19">
        <v>34.25</v>
      </c>
      <c r="O395" s="19">
        <v>5</v>
      </c>
      <c r="P395" s="19" t="s">
        <v>290</v>
      </c>
      <c r="Q395" s="19">
        <v>50157523</v>
      </c>
      <c r="R395" s="19" t="s">
        <v>57</v>
      </c>
      <c r="S395" s="19">
        <v>50151682</v>
      </c>
      <c r="T395" s="19"/>
      <c r="U395" s="19" t="s">
        <v>58</v>
      </c>
      <c r="V395" s="18">
        <v>0</v>
      </c>
      <c r="W395" s="17">
        <f t="shared" si="14"/>
        <v>17</v>
      </c>
      <c r="X395" s="5">
        <f t="shared" si="15"/>
        <v>0</v>
      </c>
    </row>
    <row r="396" spans="1:24" x14ac:dyDescent="0.25">
      <c r="A396" s="19">
        <v>26</v>
      </c>
      <c r="B396" s="19" t="s">
        <v>55</v>
      </c>
      <c r="C396" s="19" t="s">
        <v>56</v>
      </c>
      <c r="D396" s="19" t="s">
        <v>289</v>
      </c>
      <c r="E396" s="21">
        <v>46291.72965277778</v>
      </c>
      <c r="F396" s="19">
        <v>2</v>
      </c>
      <c r="G396" s="19">
        <v>194735367870</v>
      </c>
      <c r="H396" s="19">
        <v>1</v>
      </c>
      <c r="I396" s="19">
        <v>899</v>
      </c>
      <c r="J396" s="19">
        <v>-179.8</v>
      </c>
      <c r="K396" s="19">
        <v>0</v>
      </c>
      <c r="L396" s="19">
        <v>-179.8</v>
      </c>
      <c r="M396" s="19">
        <v>719.2</v>
      </c>
      <c r="N396" s="19">
        <v>34.25</v>
      </c>
      <c r="O396" s="19">
        <v>5</v>
      </c>
      <c r="P396" s="19" t="s">
        <v>290</v>
      </c>
      <c r="Q396" s="19">
        <v>50157523</v>
      </c>
      <c r="R396" s="19" t="s">
        <v>57</v>
      </c>
      <c r="S396" s="19">
        <v>50151682</v>
      </c>
      <c r="T396" s="19"/>
      <c r="U396" s="19" t="s">
        <v>58</v>
      </c>
      <c r="V396" s="18">
        <v>0</v>
      </c>
      <c r="W396" s="17">
        <f t="shared" si="14"/>
        <v>17</v>
      </c>
      <c r="X396" s="5">
        <f t="shared" si="15"/>
        <v>0</v>
      </c>
    </row>
    <row r="397" spans="1:24" x14ac:dyDescent="0.25">
      <c r="A397" s="19">
        <v>26</v>
      </c>
      <c r="B397" s="19" t="s">
        <v>55</v>
      </c>
      <c r="C397" s="19" t="s">
        <v>56</v>
      </c>
      <c r="D397" s="19" t="s">
        <v>289</v>
      </c>
      <c r="E397" s="21">
        <v>46291.72965277778</v>
      </c>
      <c r="F397" s="19">
        <v>2</v>
      </c>
      <c r="G397" s="19">
        <v>194735367870</v>
      </c>
      <c r="H397" s="19">
        <v>1</v>
      </c>
      <c r="I397" s="19">
        <v>899</v>
      </c>
      <c r="J397" s="19">
        <v>-179.8</v>
      </c>
      <c r="K397" s="19">
        <v>0</v>
      </c>
      <c r="L397" s="19">
        <v>-179.8</v>
      </c>
      <c r="M397" s="19">
        <v>719.2</v>
      </c>
      <c r="N397" s="19">
        <v>34.25</v>
      </c>
      <c r="O397" s="19">
        <v>5</v>
      </c>
      <c r="P397" s="19" t="s">
        <v>290</v>
      </c>
      <c r="Q397" s="19">
        <v>50157523</v>
      </c>
      <c r="R397" s="19" t="s">
        <v>57</v>
      </c>
      <c r="S397" s="19">
        <v>50151682</v>
      </c>
      <c r="T397" s="19"/>
      <c r="U397" s="19" t="s">
        <v>58</v>
      </c>
      <c r="V397" s="18">
        <v>0</v>
      </c>
      <c r="W397" s="17">
        <f t="shared" si="14"/>
        <v>17</v>
      </c>
      <c r="X397" s="5">
        <f t="shared" si="15"/>
        <v>0</v>
      </c>
    </row>
    <row r="398" spans="1:24" x14ac:dyDescent="0.25">
      <c r="A398" s="19">
        <v>26</v>
      </c>
      <c r="B398" s="19" t="s">
        <v>55</v>
      </c>
      <c r="C398" s="19" t="s">
        <v>56</v>
      </c>
      <c r="D398" s="19" t="s">
        <v>289</v>
      </c>
      <c r="E398" s="21">
        <v>46291.72965277778</v>
      </c>
      <c r="F398" s="19">
        <v>2</v>
      </c>
      <c r="G398" s="19">
        <v>194735367870</v>
      </c>
      <c r="H398" s="19">
        <v>1</v>
      </c>
      <c r="I398" s="19">
        <v>899</v>
      </c>
      <c r="J398" s="19">
        <v>-179.8</v>
      </c>
      <c r="K398" s="19">
        <v>0</v>
      </c>
      <c r="L398" s="19">
        <v>-179.8</v>
      </c>
      <c r="M398" s="19">
        <v>719.2</v>
      </c>
      <c r="N398" s="19">
        <v>34.25</v>
      </c>
      <c r="O398" s="19">
        <v>5</v>
      </c>
      <c r="P398" s="19" t="s">
        <v>290</v>
      </c>
      <c r="Q398" s="19">
        <v>50157523</v>
      </c>
      <c r="R398" s="19" t="s">
        <v>57</v>
      </c>
      <c r="S398" s="19">
        <v>50151682</v>
      </c>
      <c r="T398" s="19"/>
      <c r="U398" s="19" t="s">
        <v>58</v>
      </c>
      <c r="V398" s="18">
        <v>0</v>
      </c>
      <c r="W398" s="17">
        <f t="shared" si="14"/>
        <v>17</v>
      </c>
      <c r="X398" s="5">
        <f t="shared" si="15"/>
        <v>0</v>
      </c>
    </row>
    <row r="399" spans="1:24" x14ac:dyDescent="0.25">
      <c r="A399" s="19">
        <v>26</v>
      </c>
      <c r="B399" s="19" t="s">
        <v>55</v>
      </c>
      <c r="C399" s="19" t="s">
        <v>56</v>
      </c>
      <c r="D399" s="19" t="s">
        <v>289</v>
      </c>
      <c r="E399" s="21">
        <v>46291.72965277778</v>
      </c>
      <c r="F399" s="19">
        <v>2</v>
      </c>
      <c r="G399" s="19">
        <v>194735367870</v>
      </c>
      <c r="H399" s="19">
        <v>1</v>
      </c>
      <c r="I399" s="19">
        <v>899</v>
      </c>
      <c r="J399" s="19">
        <v>-179.8</v>
      </c>
      <c r="K399" s="19">
        <v>0</v>
      </c>
      <c r="L399" s="19">
        <v>-179.8</v>
      </c>
      <c r="M399" s="19">
        <v>719.2</v>
      </c>
      <c r="N399" s="19">
        <v>34.25</v>
      </c>
      <c r="O399" s="19">
        <v>5</v>
      </c>
      <c r="P399" s="19" t="s">
        <v>290</v>
      </c>
      <c r="Q399" s="19">
        <v>50157523</v>
      </c>
      <c r="R399" s="19" t="s">
        <v>57</v>
      </c>
      <c r="S399" s="19">
        <v>50151682</v>
      </c>
      <c r="T399" s="19"/>
      <c r="U399" s="19" t="s">
        <v>58</v>
      </c>
      <c r="V399" s="18">
        <v>0</v>
      </c>
      <c r="W399" s="17">
        <f t="shared" si="14"/>
        <v>17</v>
      </c>
      <c r="X399" s="5">
        <f t="shared" si="15"/>
        <v>0</v>
      </c>
    </row>
    <row r="400" spans="1:24" x14ac:dyDescent="0.25">
      <c r="A400" s="19">
        <v>26</v>
      </c>
      <c r="B400" s="19" t="s">
        <v>55</v>
      </c>
      <c r="C400" s="19" t="s">
        <v>56</v>
      </c>
      <c r="D400" s="19" t="s">
        <v>289</v>
      </c>
      <c r="E400" s="21">
        <v>46291.72965277778</v>
      </c>
      <c r="F400" s="19">
        <v>2</v>
      </c>
      <c r="G400" s="19">
        <v>194735367870</v>
      </c>
      <c r="H400" s="19">
        <v>1</v>
      </c>
      <c r="I400" s="19">
        <v>899</v>
      </c>
      <c r="J400" s="19">
        <v>-179.8</v>
      </c>
      <c r="K400" s="19">
        <v>0</v>
      </c>
      <c r="L400" s="19">
        <v>-179.8</v>
      </c>
      <c r="M400" s="19">
        <v>719.2</v>
      </c>
      <c r="N400" s="19">
        <v>34.25</v>
      </c>
      <c r="O400" s="19">
        <v>5</v>
      </c>
      <c r="P400" s="19" t="s">
        <v>290</v>
      </c>
      <c r="Q400" s="19">
        <v>50157523</v>
      </c>
      <c r="R400" s="19" t="s">
        <v>57</v>
      </c>
      <c r="S400" s="19">
        <v>50151682</v>
      </c>
      <c r="T400" s="19"/>
      <c r="U400" s="19" t="s">
        <v>58</v>
      </c>
      <c r="V400" s="18">
        <v>0</v>
      </c>
      <c r="W400" s="17">
        <f t="shared" si="14"/>
        <v>17</v>
      </c>
      <c r="X400" s="5">
        <f t="shared" si="15"/>
        <v>0</v>
      </c>
    </row>
    <row r="401" spans="1:24" x14ac:dyDescent="0.25">
      <c r="A401" s="19">
        <v>26</v>
      </c>
      <c r="B401" s="19" t="s">
        <v>55</v>
      </c>
      <c r="C401" s="19" t="s">
        <v>56</v>
      </c>
      <c r="D401" s="19" t="s">
        <v>289</v>
      </c>
      <c r="E401" s="21">
        <v>46291.72965277778</v>
      </c>
      <c r="F401" s="19">
        <v>2</v>
      </c>
      <c r="G401" s="19">
        <v>194735367870</v>
      </c>
      <c r="H401" s="19">
        <v>1</v>
      </c>
      <c r="I401" s="19">
        <v>899</v>
      </c>
      <c r="J401" s="19">
        <v>-179.8</v>
      </c>
      <c r="K401" s="19">
        <v>0</v>
      </c>
      <c r="L401" s="19">
        <v>-179.8</v>
      </c>
      <c r="M401" s="19">
        <v>719.2</v>
      </c>
      <c r="N401" s="19">
        <v>34.25</v>
      </c>
      <c r="O401" s="19">
        <v>5</v>
      </c>
      <c r="P401" s="19" t="s">
        <v>290</v>
      </c>
      <c r="Q401" s="19">
        <v>50157523</v>
      </c>
      <c r="R401" s="19" t="s">
        <v>57</v>
      </c>
      <c r="S401" s="19">
        <v>50151682</v>
      </c>
      <c r="T401" s="19"/>
      <c r="U401" s="19" t="s">
        <v>58</v>
      </c>
      <c r="V401" s="18">
        <v>0</v>
      </c>
      <c r="W401" s="17">
        <f t="shared" si="14"/>
        <v>17</v>
      </c>
      <c r="X401" s="5">
        <f t="shared" si="15"/>
        <v>0</v>
      </c>
    </row>
    <row r="402" spans="1:24" x14ac:dyDescent="0.25">
      <c r="A402" s="19">
        <v>26</v>
      </c>
      <c r="B402" s="19" t="s">
        <v>55</v>
      </c>
      <c r="C402" s="19" t="s">
        <v>56</v>
      </c>
      <c r="D402" s="19" t="s">
        <v>289</v>
      </c>
      <c r="E402" s="21">
        <v>46291.72965277778</v>
      </c>
      <c r="F402" s="19">
        <v>2</v>
      </c>
      <c r="G402" s="19">
        <v>194735367870</v>
      </c>
      <c r="H402" s="19">
        <v>1</v>
      </c>
      <c r="I402" s="19">
        <v>899</v>
      </c>
      <c r="J402" s="19">
        <v>-179.8</v>
      </c>
      <c r="K402" s="19">
        <v>0</v>
      </c>
      <c r="L402" s="19">
        <v>-179.8</v>
      </c>
      <c r="M402" s="19">
        <v>719.2</v>
      </c>
      <c r="N402" s="19">
        <v>34.25</v>
      </c>
      <c r="O402" s="19">
        <v>5</v>
      </c>
      <c r="P402" s="19" t="s">
        <v>290</v>
      </c>
      <c r="Q402" s="19">
        <v>50157523</v>
      </c>
      <c r="R402" s="19" t="s">
        <v>57</v>
      </c>
      <c r="S402" s="19">
        <v>50151682</v>
      </c>
      <c r="T402" s="19"/>
      <c r="U402" s="19" t="s">
        <v>58</v>
      </c>
      <c r="V402" s="18">
        <v>0</v>
      </c>
      <c r="W402" s="17">
        <f t="shared" si="14"/>
        <v>17</v>
      </c>
      <c r="X402" s="5">
        <f t="shared" si="15"/>
        <v>0</v>
      </c>
    </row>
    <row r="403" spans="1:24" x14ac:dyDescent="0.25">
      <c r="A403" s="19">
        <v>26</v>
      </c>
      <c r="B403" s="19" t="s">
        <v>55</v>
      </c>
      <c r="C403" s="19" t="s">
        <v>56</v>
      </c>
      <c r="D403" s="19" t="s">
        <v>289</v>
      </c>
      <c r="E403" s="21">
        <v>46291.72965277778</v>
      </c>
      <c r="F403" s="19">
        <v>2</v>
      </c>
      <c r="G403" s="19">
        <v>194735367870</v>
      </c>
      <c r="H403" s="19">
        <v>1</v>
      </c>
      <c r="I403" s="19">
        <v>899</v>
      </c>
      <c r="J403" s="19">
        <v>-179.8</v>
      </c>
      <c r="K403" s="19">
        <v>0</v>
      </c>
      <c r="L403" s="19">
        <v>-179.8</v>
      </c>
      <c r="M403" s="19">
        <v>719.2</v>
      </c>
      <c r="N403" s="19">
        <v>34.25</v>
      </c>
      <c r="O403" s="19">
        <v>5</v>
      </c>
      <c r="P403" s="19" t="s">
        <v>290</v>
      </c>
      <c r="Q403" s="19">
        <v>50157523</v>
      </c>
      <c r="R403" s="19" t="s">
        <v>57</v>
      </c>
      <c r="S403" s="19">
        <v>50151682</v>
      </c>
      <c r="T403" s="19"/>
      <c r="U403" s="19" t="s">
        <v>58</v>
      </c>
      <c r="V403" s="18">
        <v>0</v>
      </c>
      <c r="W403" s="17">
        <f t="shared" si="14"/>
        <v>17</v>
      </c>
      <c r="X403" s="5">
        <f t="shared" si="15"/>
        <v>0</v>
      </c>
    </row>
    <row r="404" spans="1:24" x14ac:dyDescent="0.25">
      <c r="A404" s="19">
        <v>26</v>
      </c>
      <c r="B404" s="19" t="s">
        <v>55</v>
      </c>
      <c r="C404" s="19" t="s">
        <v>56</v>
      </c>
      <c r="D404" s="19" t="s">
        <v>289</v>
      </c>
      <c r="E404" s="21">
        <v>46291.72965277778</v>
      </c>
      <c r="F404" s="19">
        <v>2</v>
      </c>
      <c r="G404" s="19">
        <v>194735367870</v>
      </c>
      <c r="H404" s="19">
        <v>1</v>
      </c>
      <c r="I404" s="19">
        <v>899</v>
      </c>
      <c r="J404" s="19">
        <v>-179.8</v>
      </c>
      <c r="K404" s="19">
        <v>0</v>
      </c>
      <c r="L404" s="19">
        <v>-179.8</v>
      </c>
      <c r="M404" s="19">
        <v>719.2</v>
      </c>
      <c r="N404" s="19">
        <v>34.25</v>
      </c>
      <c r="O404" s="19">
        <v>5</v>
      </c>
      <c r="P404" s="19" t="s">
        <v>290</v>
      </c>
      <c r="Q404" s="19">
        <v>50157523</v>
      </c>
      <c r="R404" s="19" t="s">
        <v>57</v>
      </c>
      <c r="S404" s="19">
        <v>50151682</v>
      </c>
      <c r="T404" s="19"/>
      <c r="U404" s="19" t="s">
        <v>58</v>
      </c>
      <c r="V404" s="18">
        <v>0</v>
      </c>
      <c r="W404" s="17">
        <f t="shared" si="14"/>
        <v>17</v>
      </c>
      <c r="X404" s="5">
        <f t="shared" si="15"/>
        <v>0</v>
      </c>
    </row>
    <row r="405" spans="1:24" x14ac:dyDescent="0.25">
      <c r="A405" s="19">
        <v>26</v>
      </c>
      <c r="B405" s="19" t="s">
        <v>55</v>
      </c>
      <c r="C405" s="19" t="s">
        <v>56</v>
      </c>
      <c r="D405" s="19" t="s">
        <v>289</v>
      </c>
      <c r="E405" s="21">
        <v>46291.72965277778</v>
      </c>
      <c r="F405" s="19">
        <v>2</v>
      </c>
      <c r="G405" s="19">
        <v>194735367870</v>
      </c>
      <c r="H405" s="19">
        <v>1</v>
      </c>
      <c r="I405" s="19">
        <v>899</v>
      </c>
      <c r="J405" s="19">
        <v>-179.8</v>
      </c>
      <c r="K405" s="19">
        <v>0</v>
      </c>
      <c r="L405" s="19">
        <v>-179.8</v>
      </c>
      <c r="M405" s="19">
        <v>719.2</v>
      </c>
      <c r="N405" s="19">
        <v>34.25</v>
      </c>
      <c r="O405" s="19">
        <v>5</v>
      </c>
      <c r="P405" s="19" t="s">
        <v>290</v>
      </c>
      <c r="Q405" s="19">
        <v>50157523</v>
      </c>
      <c r="R405" s="19" t="s">
        <v>57</v>
      </c>
      <c r="S405" s="19">
        <v>50151682</v>
      </c>
      <c r="T405" s="19"/>
      <c r="U405" s="19" t="s">
        <v>58</v>
      </c>
      <c r="V405" s="18">
        <v>0</v>
      </c>
      <c r="W405" s="17">
        <f t="shared" si="14"/>
        <v>17</v>
      </c>
      <c r="X405" s="5">
        <f t="shared" si="15"/>
        <v>0</v>
      </c>
    </row>
    <row r="406" spans="1:24" x14ac:dyDescent="0.25">
      <c r="A406" s="19">
        <v>26</v>
      </c>
      <c r="B406" s="19" t="s">
        <v>55</v>
      </c>
      <c r="C406" s="19" t="s">
        <v>56</v>
      </c>
      <c r="D406" s="19" t="s">
        <v>289</v>
      </c>
      <c r="E406" s="21">
        <v>46291.72965277778</v>
      </c>
      <c r="F406" s="19">
        <v>2</v>
      </c>
      <c r="G406" s="19">
        <v>194735367870</v>
      </c>
      <c r="H406" s="19">
        <v>1</v>
      </c>
      <c r="I406" s="19">
        <v>899</v>
      </c>
      <c r="J406" s="19">
        <v>-179.8</v>
      </c>
      <c r="K406" s="19">
        <v>0</v>
      </c>
      <c r="L406" s="19">
        <v>-179.8</v>
      </c>
      <c r="M406" s="19">
        <v>719.2</v>
      </c>
      <c r="N406" s="19">
        <v>34.25</v>
      </c>
      <c r="O406" s="19">
        <v>5</v>
      </c>
      <c r="P406" s="19" t="s">
        <v>290</v>
      </c>
      <c r="Q406" s="19">
        <v>50157523</v>
      </c>
      <c r="R406" s="19" t="s">
        <v>57</v>
      </c>
      <c r="S406" s="19">
        <v>50151682</v>
      </c>
      <c r="T406" s="19"/>
      <c r="U406" s="19" t="s">
        <v>58</v>
      </c>
      <c r="V406" s="18">
        <v>0</v>
      </c>
      <c r="W406" s="17">
        <f t="shared" si="14"/>
        <v>17</v>
      </c>
      <c r="X406" s="5">
        <f t="shared" si="15"/>
        <v>0</v>
      </c>
    </row>
    <row r="407" spans="1:24" x14ac:dyDescent="0.25">
      <c r="A407" s="19">
        <v>26</v>
      </c>
      <c r="B407" s="19" t="s">
        <v>55</v>
      </c>
      <c r="C407" s="19" t="s">
        <v>56</v>
      </c>
      <c r="D407" s="19" t="s">
        <v>289</v>
      </c>
      <c r="E407" s="21">
        <v>46291.72965277778</v>
      </c>
      <c r="F407" s="19">
        <v>2</v>
      </c>
      <c r="G407" s="19">
        <v>194735367870</v>
      </c>
      <c r="H407" s="19">
        <v>1</v>
      </c>
      <c r="I407" s="19">
        <v>899</v>
      </c>
      <c r="J407" s="19">
        <v>-179.8</v>
      </c>
      <c r="K407" s="19">
        <v>0</v>
      </c>
      <c r="L407" s="19">
        <v>-179.8</v>
      </c>
      <c r="M407" s="19">
        <v>719.2</v>
      </c>
      <c r="N407" s="19">
        <v>34.25</v>
      </c>
      <c r="O407" s="19">
        <v>5</v>
      </c>
      <c r="P407" s="19" t="s">
        <v>290</v>
      </c>
      <c r="Q407" s="19">
        <v>50157523</v>
      </c>
      <c r="R407" s="19" t="s">
        <v>57</v>
      </c>
      <c r="S407" s="19">
        <v>50151682</v>
      </c>
      <c r="T407" s="19"/>
      <c r="U407" s="19" t="s">
        <v>58</v>
      </c>
      <c r="V407" s="18">
        <v>0</v>
      </c>
      <c r="W407" s="17">
        <f t="shared" si="14"/>
        <v>17</v>
      </c>
      <c r="X407" s="5">
        <f t="shared" si="15"/>
        <v>0</v>
      </c>
    </row>
    <row r="408" spans="1:24" x14ac:dyDescent="0.25">
      <c r="A408" s="19">
        <v>26</v>
      </c>
      <c r="B408" s="19" t="s">
        <v>55</v>
      </c>
      <c r="C408" s="19" t="s">
        <v>56</v>
      </c>
      <c r="D408" s="19" t="s">
        <v>289</v>
      </c>
      <c r="E408" s="21">
        <v>46291.72965277778</v>
      </c>
      <c r="F408" s="19">
        <v>2</v>
      </c>
      <c r="G408" s="19">
        <v>194735367870</v>
      </c>
      <c r="H408" s="19">
        <v>1</v>
      </c>
      <c r="I408" s="19">
        <v>899</v>
      </c>
      <c r="J408" s="19">
        <v>-179.8</v>
      </c>
      <c r="K408" s="19">
        <v>0</v>
      </c>
      <c r="L408" s="19">
        <v>-179.8</v>
      </c>
      <c r="M408" s="19">
        <v>719.2</v>
      </c>
      <c r="N408" s="19">
        <v>34.25</v>
      </c>
      <c r="O408" s="19">
        <v>5</v>
      </c>
      <c r="P408" s="19" t="s">
        <v>290</v>
      </c>
      <c r="Q408" s="19">
        <v>50157523</v>
      </c>
      <c r="R408" s="19" t="s">
        <v>57</v>
      </c>
      <c r="S408" s="19">
        <v>50151682</v>
      </c>
      <c r="T408" s="19"/>
      <c r="U408" s="19" t="s">
        <v>58</v>
      </c>
      <c r="V408" s="18">
        <v>0</v>
      </c>
      <c r="W408" s="17">
        <f t="shared" si="14"/>
        <v>17</v>
      </c>
      <c r="X408" s="5">
        <f t="shared" si="15"/>
        <v>0</v>
      </c>
    </row>
    <row r="409" spans="1:24" x14ac:dyDescent="0.25">
      <c r="A409" s="19">
        <v>63</v>
      </c>
      <c r="B409" s="19" t="s">
        <v>55</v>
      </c>
      <c r="C409" s="19" t="s">
        <v>56</v>
      </c>
      <c r="D409" s="19" t="s">
        <v>276</v>
      </c>
      <c r="E409" s="21">
        <v>46291.731030092589</v>
      </c>
      <c r="F409" s="19">
        <v>3</v>
      </c>
      <c r="G409" s="19">
        <v>494500285</v>
      </c>
      <c r="H409" s="19">
        <v>1</v>
      </c>
      <c r="I409" s="19">
        <v>1999</v>
      </c>
      <c r="J409" s="19">
        <v>-214.08</v>
      </c>
      <c r="K409" s="19">
        <v>0</v>
      </c>
      <c r="L409" s="19">
        <v>-214.08</v>
      </c>
      <c r="M409" s="19">
        <v>1784.92</v>
      </c>
      <c r="N409" s="19">
        <v>272.27999999999997</v>
      </c>
      <c r="O409" s="19">
        <v>18</v>
      </c>
      <c r="P409" s="19" t="s">
        <v>137</v>
      </c>
      <c r="Q409" s="19">
        <v>50170981</v>
      </c>
      <c r="R409" s="19" t="s">
        <v>57</v>
      </c>
      <c r="S409" s="19"/>
      <c r="T409" s="19"/>
      <c r="U409" s="19" t="s">
        <v>58</v>
      </c>
      <c r="V409" s="18">
        <v>0</v>
      </c>
      <c r="W409" s="17">
        <f t="shared" si="14"/>
        <v>17</v>
      </c>
      <c r="X409" s="5">
        <f t="shared" si="15"/>
        <v>1</v>
      </c>
    </row>
    <row r="410" spans="1:24" x14ac:dyDescent="0.25">
      <c r="A410" s="19">
        <v>63</v>
      </c>
      <c r="B410" s="19" t="s">
        <v>55</v>
      </c>
      <c r="C410" s="19" t="s">
        <v>56</v>
      </c>
      <c r="D410" s="19" t="s">
        <v>276</v>
      </c>
      <c r="E410" s="21">
        <v>46291.731030092589</v>
      </c>
      <c r="F410" s="19">
        <v>3</v>
      </c>
      <c r="G410" s="19">
        <v>8905672336254</v>
      </c>
      <c r="H410" s="19">
        <v>1</v>
      </c>
      <c r="I410" s="19">
        <v>249</v>
      </c>
      <c r="J410" s="19">
        <v>-26.66</v>
      </c>
      <c r="K410" s="19">
        <v>0</v>
      </c>
      <c r="L410" s="19">
        <v>-26.66</v>
      </c>
      <c r="M410" s="19">
        <v>222.34</v>
      </c>
      <c r="N410" s="19">
        <v>10.58</v>
      </c>
      <c r="O410" s="19">
        <v>5</v>
      </c>
      <c r="P410" s="19" t="s">
        <v>151</v>
      </c>
      <c r="Q410" s="19">
        <v>50170981</v>
      </c>
      <c r="R410" s="19" t="s">
        <v>57</v>
      </c>
      <c r="S410" s="19">
        <v>50000003</v>
      </c>
      <c r="T410" s="19"/>
      <c r="U410" s="19" t="s">
        <v>58</v>
      </c>
      <c r="V410" s="18">
        <v>0</v>
      </c>
      <c r="W410" s="17">
        <f t="shared" si="14"/>
        <v>17</v>
      </c>
      <c r="X410" s="5">
        <f t="shared" si="15"/>
        <v>0</v>
      </c>
    </row>
    <row r="411" spans="1:24" x14ac:dyDescent="0.25">
      <c r="A411" s="19">
        <v>63</v>
      </c>
      <c r="B411" s="19" t="s">
        <v>55</v>
      </c>
      <c r="C411" s="19" t="s">
        <v>56</v>
      </c>
      <c r="D411" s="19" t="s">
        <v>276</v>
      </c>
      <c r="E411" s="21">
        <v>46291.731030092589</v>
      </c>
      <c r="F411" s="19">
        <v>3</v>
      </c>
      <c r="G411" s="19">
        <v>8908013692194</v>
      </c>
      <c r="H411" s="19">
        <v>1</v>
      </c>
      <c r="I411" s="19">
        <v>2499</v>
      </c>
      <c r="J411" s="19">
        <v>-267.62</v>
      </c>
      <c r="K411" s="19">
        <v>0</v>
      </c>
      <c r="L411" s="19">
        <v>-267.62</v>
      </c>
      <c r="M411" s="19">
        <v>2231.38</v>
      </c>
      <c r="N411" s="19">
        <v>106.26</v>
      </c>
      <c r="O411" s="19">
        <v>5</v>
      </c>
      <c r="P411" s="19" t="s">
        <v>277</v>
      </c>
      <c r="Q411" s="19">
        <v>50170981</v>
      </c>
      <c r="R411" s="19" t="s">
        <v>57</v>
      </c>
      <c r="S411" s="19">
        <v>50000003</v>
      </c>
      <c r="T411" s="19"/>
      <c r="U411" s="19" t="s">
        <v>58</v>
      </c>
      <c r="V411" s="18">
        <v>0</v>
      </c>
      <c r="W411" s="17">
        <f t="shared" si="14"/>
        <v>17</v>
      </c>
      <c r="X411" s="5">
        <f t="shared" si="15"/>
        <v>0</v>
      </c>
    </row>
    <row r="412" spans="1:24" x14ac:dyDescent="0.25">
      <c r="A412" s="19">
        <v>63</v>
      </c>
      <c r="B412" s="19" t="s">
        <v>55</v>
      </c>
      <c r="C412" s="19" t="s">
        <v>56</v>
      </c>
      <c r="D412" s="19" t="s">
        <v>276</v>
      </c>
      <c r="E412" s="21">
        <v>46291.731030092589</v>
      </c>
      <c r="F412" s="19">
        <v>3</v>
      </c>
      <c r="G412" s="19">
        <v>8905672336230</v>
      </c>
      <c r="H412" s="19">
        <v>1</v>
      </c>
      <c r="I412" s="19">
        <v>299</v>
      </c>
      <c r="J412" s="19">
        <v>-32.020000000000003</v>
      </c>
      <c r="K412" s="19">
        <v>0</v>
      </c>
      <c r="L412" s="19">
        <v>-32.020000000000003</v>
      </c>
      <c r="M412" s="19">
        <v>266.98</v>
      </c>
      <c r="N412" s="19">
        <v>12.72</v>
      </c>
      <c r="O412" s="19">
        <v>5</v>
      </c>
      <c r="P412" s="19" t="s">
        <v>278</v>
      </c>
      <c r="Q412" s="19">
        <v>50170981</v>
      </c>
      <c r="R412" s="19" t="s">
        <v>57</v>
      </c>
      <c r="S412" s="19">
        <v>50000003</v>
      </c>
      <c r="T412" s="19"/>
      <c r="U412" s="19" t="s">
        <v>58</v>
      </c>
      <c r="V412" s="18">
        <v>0</v>
      </c>
      <c r="W412" s="17">
        <f t="shared" si="14"/>
        <v>17</v>
      </c>
      <c r="X412" s="5">
        <f t="shared" si="15"/>
        <v>0</v>
      </c>
    </row>
    <row r="413" spans="1:24" x14ac:dyDescent="0.25">
      <c r="A413" s="19">
        <v>63</v>
      </c>
      <c r="B413" s="19" t="s">
        <v>55</v>
      </c>
      <c r="C413" s="19" t="s">
        <v>56</v>
      </c>
      <c r="D413" s="19" t="s">
        <v>276</v>
      </c>
      <c r="E413" s="21">
        <v>46291.731030092589</v>
      </c>
      <c r="F413" s="19">
        <v>3</v>
      </c>
      <c r="G413" s="19">
        <v>8904027124218</v>
      </c>
      <c r="H413" s="19">
        <v>1</v>
      </c>
      <c r="I413" s="19">
        <v>2999</v>
      </c>
      <c r="J413" s="19">
        <v>-321.18</v>
      </c>
      <c r="K413" s="19">
        <v>0</v>
      </c>
      <c r="L413" s="19">
        <v>-321.18</v>
      </c>
      <c r="M413" s="19">
        <v>2677.82</v>
      </c>
      <c r="N413" s="19">
        <v>408.48</v>
      </c>
      <c r="O413" s="19">
        <v>18</v>
      </c>
      <c r="P413" s="19" t="s">
        <v>279</v>
      </c>
      <c r="Q413" s="19">
        <v>50170981</v>
      </c>
      <c r="R413" s="19" t="s">
        <v>57</v>
      </c>
      <c r="S413" s="19">
        <v>50000001</v>
      </c>
      <c r="T413" s="19"/>
      <c r="U413" s="19" t="s">
        <v>58</v>
      </c>
      <c r="V413" s="18">
        <v>0</v>
      </c>
      <c r="W413" s="17">
        <f t="shared" si="14"/>
        <v>17</v>
      </c>
      <c r="X413" s="5">
        <f t="shared" si="15"/>
        <v>0</v>
      </c>
    </row>
    <row r="414" spans="1:24" ht="26.25" x14ac:dyDescent="0.25">
      <c r="A414" s="19">
        <v>63</v>
      </c>
      <c r="B414" s="19" t="s">
        <v>55</v>
      </c>
      <c r="C414" s="19" t="s">
        <v>56</v>
      </c>
      <c r="D414" s="19" t="s">
        <v>276</v>
      </c>
      <c r="E414" s="21">
        <v>46291.731030092589</v>
      </c>
      <c r="F414" s="19">
        <v>3</v>
      </c>
      <c r="G414" s="19">
        <v>4891813880523</v>
      </c>
      <c r="H414" s="19">
        <v>1</v>
      </c>
      <c r="I414" s="19">
        <v>5495</v>
      </c>
      <c r="J414" s="19">
        <v>-588.48</v>
      </c>
      <c r="K414" s="19">
        <v>0</v>
      </c>
      <c r="L414" s="19">
        <v>-588.48</v>
      </c>
      <c r="M414" s="19">
        <v>4906.5200000000004</v>
      </c>
      <c r="N414" s="19">
        <v>748.46</v>
      </c>
      <c r="O414" s="19">
        <v>18</v>
      </c>
      <c r="P414" s="19" t="s">
        <v>280</v>
      </c>
      <c r="Q414" s="19">
        <v>50170981</v>
      </c>
      <c r="R414" s="19" t="s">
        <v>57</v>
      </c>
      <c r="S414" s="19">
        <v>50000001</v>
      </c>
      <c r="T414" s="19"/>
      <c r="U414" s="19" t="s">
        <v>58</v>
      </c>
      <c r="V414" s="18">
        <v>0</v>
      </c>
      <c r="W414" s="17">
        <f t="shared" si="14"/>
        <v>17</v>
      </c>
      <c r="X414" s="5">
        <f t="shared" si="15"/>
        <v>0</v>
      </c>
    </row>
    <row r="415" spans="1:24" x14ac:dyDescent="0.25">
      <c r="A415" s="19">
        <v>63</v>
      </c>
      <c r="B415" s="19" t="s">
        <v>55</v>
      </c>
      <c r="C415" s="19" t="s">
        <v>56</v>
      </c>
      <c r="D415" s="19" t="s">
        <v>276</v>
      </c>
      <c r="E415" s="21">
        <v>46291.731030092589</v>
      </c>
      <c r="F415" s="19">
        <v>3</v>
      </c>
      <c r="G415" s="19">
        <v>8905450756212</v>
      </c>
      <c r="H415" s="19">
        <v>1</v>
      </c>
      <c r="I415" s="19">
        <v>599</v>
      </c>
      <c r="J415" s="19">
        <v>-64.14</v>
      </c>
      <c r="K415" s="19">
        <v>0</v>
      </c>
      <c r="L415" s="19">
        <v>-64.14</v>
      </c>
      <c r="M415" s="19">
        <v>534.86</v>
      </c>
      <c r="N415" s="19">
        <v>25.46</v>
      </c>
      <c r="O415" s="19">
        <v>5</v>
      </c>
      <c r="P415" s="19" t="s">
        <v>281</v>
      </c>
      <c r="Q415" s="19">
        <v>50170981</v>
      </c>
      <c r="R415" s="19" t="s">
        <v>57</v>
      </c>
      <c r="S415" s="19">
        <v>50000003</v>
      </c>
      <c r="T415" s="19"/>
      <c r="U415" s="19" t="s">
        <v>58</v>
      </c>
      <c r="V415" s="18">
        <v>0</v>
      </c>
      <c r="W415" s="17">
        <f t="shared" si="14"/>
        <v>17</v>
      </c>
      <c r="X415" s="5">
        <f t="shared" si="15"/>
        <v>0</v>
      </c>
    </row>
    <row r="416" spans="1:24" x14ac:dyDescent="0.25">
      <c r="A416" s="19">
        <v>63</v>
      </c>
      <c r="B416" s="19" t="s">
        <v>55</v>
      </c>
      <c r="C416" s="19" t="s">
        <v>56</v>
      </c>
      <c r="D416" s="19" t="s">
        <v>276</v>
      </c>
      <c r="E416" s="21">
        <v>46291.731030092589</v>
      </c>
      <c r="F416" s="19">
        <v>3</v>
      </c>
      <c r="G416" s="19">
        <v>6923744065309</v>
      </c>
      <c r="H416" s="19">
        <v>1</v>
      </c>
      <c r="I416" s="19">
        <v>749</v>
      </c>
      <c r="J416" s="19">
        <v>-80.22</v>
      </c>
      <c r="K416" s="19">
        <v>0</v>
      </c>
      <c r="L416" s="19">
        <v>-80.22</v>
      </c>
      <c r="M416" s="19">
        <v>668.78</v>
      </c>
      <c r="N416" s="19">
        <v>102.02</v>
      </c>
      <c r="O416" s="19">
        <v>18</v>
      </c>
      <c r="P416" s="19" t="s">
        <v>282</v>
      </c>
      <c r="Q416" s="19">
        <v>50170981</v>
      </c>
      <c r="R416" s="19" t="s">
        <v>57</v>
      </c>
      <c r="S416" s="19">
        <v>50000001</v>
      </c>
      <c r="T416" s="19"/>
      <c r="U416" s="19" t="s">
        <v>58</v>
      </c>
      <c r="V416" s="18">
        <v>0</v>
      </c>
      <c r="W416" s="17">
        <f t="shared" si="14"/>
        <v>17</v>
      </c>
      <c r="X416" s="5">
        <f t="shared" si="15"/>
        <v>0</v>
      </c>
    </row>
    <row r="417" spans="1:24" x14ac:dyDescent="0.25">
      <c r="A417" s="19">
        <v>63</v>
      </c>
      <c r="B417" s="19" t="s">
        <v>55</v>
      </c>
      <c r="C417" s="19" t="s">
        <v>56</v>
      </c>
      <c r="D417" s="19" t="s">
        <v>276</v>
      </c>
      <c r="E417" s="21">
        <v>46291.731030092589</v>
      </c>
      <c r="F417" s="19">
        <v>3</v>
      </c>
      <c r="G417" s="19">
        <v>6923744063558</v>
      </c>
      <c r="H417" s="19">
        <v>1</v>
      </c>
      <c r="I417" s="19">
        <v>749</v>
      </c>
      <c r="J417" s="19">
        <v>-80.22</v>
      </c>
      <c r="K417" s="19">
        <v>0</v>
      </c>
      <c r="L417" s="19">
        <v>-80.22</v>
      </c>
      <c r="M417" s="19">
        <v>668.78</v>
      </c>
      <c r="N417" s="19">
        <v>102.02</v>
      </c>
      <c r="O417" s="19">
        <v>18</v>
      </c>
      <c r="P417" s="19" t="s">
        <v>283</v>
      </c>
      <c r="Q417" s="19">
        <v>50170981</v>
      </c>
      <c r="R417" s="19" t="s">
        <v>57</v>
      </c>
      <c r="S417" s="19">
        <v>50000003</v>
      </c>
      <c r="T417" s="19"/>
      <c r="U417" s="19" t="s">
        <v>58</v>
      </c>
      <c r="V417" s="18">
        <v>0</v>
      </c>
      <c r="W417" s="17">
        <f t="shared" si="14"/>
        <v>17</v>
      </c>
      <c r="X417" s="5">
        <f t="shared" si="15"/>
        <v>0</v>
      </c>
    </row>
    <row r="418" spans="1:24" x14ac:dyDescent="0.25">
      <c r="A418" s="19">
        <v>63</v>
      </c>
      <c r="B418" s="19" t="s">
        <v>55</v>
      </c>
      <c r="C418" s="19" t="s">
        <v>56</v>
      </c>
      <c r="D418" s="19" t="s">
        <v>276</v>
      </c>
      <c r="E418" s="21">
        <v>46291.731030092589</v>
      </c>
      <c r="F418" s="19">
        <v>3</v>
      </c>
      <c r="G418" s="19">
        <v>8908014554637</v>
      </c>
      <c r="H418" s="19">
        <v>1</v>
      </c>
      <c r="I418" s="19">
        <v>9999</v>
      </c>
      <c r="J418" s="19">
        <v>-1070.83</v>
      </c>
      <c r="K418" s="19">
        <v>0</v>
      </c>
      <c r="L418" s="19">
        <v>-1070.83</v>
      </c>
      <c r="M418" s="19">
        <v>8928.17</v>
      </c>
      <c r="N418" s="19">
        <v>1361.92</v>
      </c>
      <c r="O418" s="19">
        <v>18</v>
      </c>
      <c r="P418" s="19" t="s">
        <v>284</v>
      </c>
      <c r="Q418" s="19">
        <v>50170981</v>
      </c>
      <c r="R418" s="19" t="s">
        <v>57</v>
      </c>
      <c r="S418" s="19">
        <v>50000003</v>
      </c>
      <c r="T418" s="19"/>
      <c r="U418" s="19" t="s">
        <v>58</v>
      </c>
      <c r="V418" s="18">
        <v>0</v>
      </c>
      <c r="W418" s="17">
        <f t="shared" si="14"/>
        <v>17</v>
      </c>
      <c r="X418" s="5">
        <f t="shared" si="15"/>
        <v>0</v>
      </c>
    </row>
    <row r="419" spans="1:24" x14ac:dyDescent="0.25">
      <c r="A419" s="19">
        <v>66</v>
      </c>
      <c r="B419" s="19" t="s">
        <v>55</v>
      </c>
      <c r="C419" s="19" t="s">
        <v>56</v>
      </c>
      <c r="D419" s="19" t="s">
        <v>285</v>
      </c>
      <c r="E419" s="21">
        <v>46291.736701388887</v>
      </c>
      <c r="F419" s="19">
        <v>3</v>
      </c>
      <c r="G419" s="19">
        <v>8906184290041</v>
      </c>
      <c r="H419" s="19">
        <v>1</v>
      </c>
      <c r="I419" s="19">
        <v>1299</v>
      </c>
      <c r="J419" s="19">
        <v>-144.57</v>
      </c>
      <c r="K419" s="19">
        <v>0</v>
      </c>
      <c r="L419" s="19">
        <v>-144.57</v>
      </c>
      <c r="M419" s="19">
        <v>1154.43</v>
      </c>
      <c r="N419" s="19">
        <v>176.1</v>
      </c>
      <c r="O419" s="19">
        <v>18</v>
      </c>
      <c r="P419" s="19" t="s">
        <v>286</v>
      </c>
      <c r="Q419" s="19">
        <v>50170981</v>
      </c>
      <c r="R419" s="19" t="s">
        <v>57</v>
      </c>
      <c r="S419" s="19"/>
      <c r="T419" s="19"/>
      <c r="U419" s="19" t="s">
        <v>58</v>
      </c>
      <c r="V419" s="18">
        <v>0</v>
      </c>
      <c r="W419" s="17">
        <f t="shared" si="14"/>
        <v>17</v>
      </c>
      <c r="X419" s="5">
        <f t="shared" si="15"/>
        <v>1</v>
      </c>
    </row>
    <row r="420" spans="1:24" x14ac:dyDescent="0.25">
      <c r="A420" s="19">
        <v>66</v>
      </c>
      <c r="B420" s="19" t="s">
        <v>55</v>
      </c>
      <c r="C420" s="19" t="s">
        <v>56</v>
      </c>
      <c r="D420" s="19" t="s">
        <v>285</v>
      </c>
      <c r="E420" s="21">
        <v>46291.736701388887</v>
      </c>
      <c r="F420" s="19">
        <v>3</v>
      </c>
      <c r="G420" s="19">
        <v>3467452037713</v>
      </c>
      <c r="H420" s="19">
        <v>1</v>
      </c>
      <c r="I420" s="19">
        <v>199</v>
      </c>
      <c r="J420" s="19">
        <v>-22.15</v>
      </c>
      <c r="K420" s="19">
        <v>0</v>
      </c>
      <c r="L420" s="19">
        <v>-22.15</v>
      </c>
      <c r="M420" s="19">
        <v>176.85</v>
      </c>
      <c r="N420" s="19">
        <v>8.42</v>
      </c>
      <c r="O420" s="19">
        <v>5</v>
      </c>
      <c r="P420" s="19" t="s">
        <v>287</v>
      </c>
      <c r="Q420" s="19">
        <v>50170981</v>
      </c>
      <c r="R420" s="19" t="s">
        <v>57</v>
      </c>
      <c r="S420" s="19"/>
      <c r="T420" s="19"/>
      <c r="U420" s="19" t="s">
        <v>58</v>
      </c>
      <c r="V420" s="18">
        <v>0</v>
      </c>
      <c r="W420" s="17">
        <f t="shared" si="14"/>
        <v>17</v>
      </c>
      <c r="X420" s="5">
        <f t="shared" si="15"/>
        <v>0</v>
      </c>
    </row>
    <row r="421" spans="1:24" x14ac:dyDescent="0.25">
      <c r="A421" s="19">
        <v>66</v>
      </c>
      <c r="B421" s="19" t="s">
        <v>55</v>
      </c>
      <c r="C421" s="19" t="s">
        <v>56</v>
      </c>
      <c r="D421" s="19" t="s">
        <v>285</v>
      </c>
      <c r="E421" s="21">
        <v>46291.736701388887</v>
      </c>
      <c r="F421" s="19">
        <v>3</v>
      </c>
      <c r="G421" s="19">
        <v>8904027128131</v>
      </c>
      <c r="H421" s="19">
        <v>1</v>
      </c>
      <c r="I421" s="19">
        <v>299</v>
      </c>
      <c r="J421" s="19">
        <v>-33.28</v>
      </c>
      <c r="K421" s="19">
        <v>0</v>
      </c>
      <c r="L421" s="19">
        <v>-33.28</v>
      </c>
      <c r="M421" s="19">
        <v>265.72000000000003</v>
      </c>
      <c r="N421" s="19">
        <v>12.66</v>
      </c>
      <c r="O421" s="19">
        <v>5</v>
      </c>
      <c r="P421" s="19" t="s">
        <v>288</v>
      </c>
      <c r="Q421" s="19">
        <v>50170981</v>
      </c>
      <c r="R421" s="19" t="s">
        <v>57</v>
      </c>
      <c r="S421" s="19">
        <v>50195439</v>
      </c>
      <c r="T421" s="19"/>
      <c r="U421" s="19" t="s">
        <v>58</v>
      </c>
      <c r="V421" s="18">
        <v>0</v>
      </c>
      <c r="W421" s="17">
        <f t="shared" si="14"/>
        <v>17</v>
      </c>
      <c r="X421" s="5">
        <f t="shared" si="15"/>
        <v>0</v>
      </c>
    </row>
    <row r="422" spans="1:24" x14ac:dyDescent="0.25">
      <c r="A422" s="19">
        <v>67</v>
      </c>
      <c r="B422" s="19" t="s">
        <v>55</v>
      </c>
      <c r="C422" s="19" t="s">
        <v>56</v>
      </c>
      <c r="D422" s="19" t="s">
        <v>291</v>
      </c>
      <c r="E422" s="21">
        <v>46291.737870370373</v>
      </c>
      <c r="F422" s="19">
        <v>3</v>
      </c>
      <c r="G422" s="19">
        <v>3467452077542</v>
      </c>
      <c r="H422" s="19">
        <v>1</v>
      </c>
      <c r="I422" s="19">
        <v>899</v>
      </c>
      <c r="J422" s="19">
        <v>0</v>
      </c>
      <c r="K422" s="19">
        <v>0</v>
      </c>
      <c r="L422" s="19">
        <v>0</v>
      </c>
      <c r="M422" s="19">
        <v>899</v>
      </c>
      <c r="N422" s="19">
        <v>42.8</v>
      </c>
      <c r="O422" s="19">
        <v>5</v>
      </c>
      <c r="P422" s="19" t="s">
        <v>292</v>
      </c>
      <c r="Q422" s="19">
        <v>50170981</v>
      </c>
      <c r="R422" s="19" t="s">
        <v>57</v>
      </c>
      <c r="S422" s="19">
        <v>3467452077542</v>
      </c>
      <c r="T422" s="19"/>
      <c r="U422" s="19" t="s">
        <v>58</v>
      </c>
      <c r="V422" s="18">
        <v>0</v>
      </c>
      <c r="W422" s="17">
        <f t="shared" si="14"/>
        <v>17</v>
      </c>
      <c r="X422" s="5">
        <f t="shared" si="15"/>
        <v>1</v>
      </c>
    </row>
    <row r="423" spans="1:24" ht="26.25" x14ac:dyDescent="0.25">
      <c r="A423" s="19">
        <v>70</v>
      </c>
      <c r="B423" s="19" t="s">
        <v>55</v>
      </c>
      <c r="C423" s="19" t="s">
        <v>56</v>
      </c>
      <c r="D423" s="19" t="s">
        <v>293</v>
      </c>
      <c r="E423" s="21">
        <v>46291.74422453704</v>
      </c>
      <c r="F423" s="19">
        <v>3</v>
      </c>
      <c r="G423" s="19">
        <v>194735358755</v>
      </c>
      <c r="H423" s="19">
        <v>1</v>
      </c>
      <c r="I423" s="19">
        <v>299</v>
      </c>
      <c r="J423" s="19">
        <v>-94.86</v>
      </c>
      <c r="K423" s="19">
        <v>0</v>
      </c>
      <c r="L423" s="19">
        <v>-94.86</v>
      </c>
      <c r="M423" s="19">
        <v>204.14</v>
      </c>
      <c r="N423" s="19">
        <v>9.7200000000000006</v>
      </c>
      <c r="O423" s="19">
        <v>5</v>
      </c>
      <c r="P423" s="19" t="s">
        <v>140</v>
      </c>
      <c r="Q423" s="19">
        <v>50170981</v>
      </c>
      <c r="R423" s="19" t="s">
        <v>57</v>
      </c>
      <c r="S423" s="19">
        <v>50170981</v>
      </c>
      <c r="T423" s="19"/>
      <c r="U423" s="19" t="s">
        <v>58</v>
      </c>
      <c r="V423" s="18">
        <v>0</v>
      </c>
      <c r="W423" s="17">
        <f t="shared" si="14"/>
        <v>17</v>
      </c>
      <c r="X423" s="5">
        <f t="shared" si="15"/>
        <v>1</v>
      </c>
    </row>
    <row r="424" spans="1:24" ht="26.25" x14ac:dyDescent="0.25">
      <c r="A424" s="19">
        <v>70</v>
      </c>
      <c r="B424" s="19" t="s">
        <v>55</v>
      </c>
      <c r="C424" s="19" t="s">
        <v>56</v>
      </c>
      <c r="D424" s="19" t="s">
        <v>293</v>
      </c>
      <c r="E424" s="21">
        <v>46291.74422453704</v>
      </c>
      <c r="F424" s="19">
        <v>3</v>
      </c>
      <c r="G424" s="19">
        <v>194735358762</v>
      </c>
      <c r="H424" s="19">
        <v>1</v>
      </c>
      <c r="I424" s="19">
        <v>299</v>
      </c>
      <c r="J424" s="19">
        <v>-94.86</v>
      </c>
      <c r="K424" s="19">
        <v>0</v>
      </c>
      <c r="L424" s="19">
        <v>-94.86</v>
      </c>
      <c r="M424" s="19">
        <v>204.14</v>
      </c>
      <c r="N424" s="19">
        <v>9.7200000000000006</v>
      </c>
      <c r="O424" s="19">
        <v>5</v>
      </c>
      <c r="P424" s="19" t="s">
        <v>140</v>
      </c>
      <c r="Q424" s="19">
        <v>50170981</v>
      </c>
      <c r="R424" s="19" t="s">
        <v>57</v>
      </c>
      <c r="S424" s="19">
        <v>50170981</v>
      </c>
      <c r="T424" s="19"/>
      <c r="U424" s="19" t="s">
        <v>58</v>
      </c>
      <c r="V424" s="18">
        <v>0</v>
      </c>
      <c r="W424" s="17">
        <f t="shared" si="14"/>
        <v>17</v>
      </c>
      <c r="X424" s="5">
        <f t="shared" si="15"/>
        <v>0</v>
      </c>
    </row>
    <row r="425" spans="1:24" x14ac:dyDescent="0.25">
      <c r="A425" s="19">
        <v>70</v>
      </c>
      <c r="B425" s="19" t="s">
        <v>55</v>
      </c>
      <c r="C425" s="19" t="s">
        <v>56</v>
      </c>
      <c r="D425" s="19" t="s">
        <v>293</v>
      </c>
      <c r="E425" s="21">
        <v>46291.74422453704</v>
      </c>
      <c r="F425" s="19">
        <v>3</v>
      </c>
      <c r="G425" s="19">
        <v>8905450074064</v>
      </c>
      <c r="H425" s="19">
        <v>1</v>
      </c>
      <c r="I425" s="19">
        <v>79</v>
      </c>
      <c r="J425" s="19">
        <v>-25.06</v>
      </c>
      <c r="K425" s="19">
        <v>0</v>
      </c>
      <c r="L425" s="19">
        <v>-25.06</v>
      </c>
      <c r="M425" s="19">
        <v>53.94</v>
      </c>
      <c r="N425" s="19">
        <v>2.56</v>
      </c>
      <c r="O425" s="19">
        <v>5</v>
      </c>
      <c r="P425" s="19" t="s">
        <v>195</v>
      </c>
      <c r="Q425" s="19">
        <v>50170981</v>
      </c>
      <c r="R425" s="19" t="s">
        <v>57</v>
      </c>
      <c r="S425" s="19"/>
      <c r="T425" s="19"/>
      <c r="U425" s="19" t="s">
        <v>58</v>
      </c>
      <c r="V425" s="18">
        <v>0</v>
      </c>
      <c r="W425" s="17">
        <f t="shared" si="14"/>
        <v>17</v>
      </c>
      <c r="X425" s="5">
        <f t="shared" si="15"/>
        <v>0</v>
      </c>
    </row>
    <row r="426" spans="1:24" x14ac:dyDescent="0.25">
      <c r="A426" s="19">
        <v>70</v>
      </c>
      <c r="B426" s="19" t="s">
        <v>55</v>
      </c>
      <c r="C426" s="19" t="s">
        <v>56</v>
      </c>
      <c r="D426" s="19" t="s">
        <v>293</v>
      </c>
      <c r="E426" s="21">
        <v>46291.74422453704</v>
      </c>
      <c r="F426" s="19">
        <v>3</v>
      </c>
      <c r="G426" s="19">
        <v>74299018060</v>
      </c>
      <c r="H426" s="19">
        <v>1</v>
      </c>
      <c r="I426" s="19">
        <v>899</v>
      </c>
      <c r="J426" s="19">
        <v>-285.22000000000003</v>
      </c>
      <c r="K426" s="19">
        <v>0</v>
      </c>
      <c r="L426" s="19">
        <v>-285.22000000000003</v>
      </c>
      <c r="M426" s="19">
        <v>613.78</v>
      </c>
      <c r="N426" s="19">
        <v>29.22</v>
      </c>
      <c r="O426" s="19">
        <v>5</v>
      </c>
      <c r="P426" s="19" t="s">
        <v>142</v>
      </c>
      <c r="Q426" s="19">
        <v>50170981</v>
      </c>
      <c r="R426" s="19" t="s">
        <v>57</v>
      </c>
      <c r="S426" s="19">
        <v>50170981</v>
      </c>
      <c r="T426" s="19"/>
      <c r="U426" s="19" t="s">
        <v>58</v>
      </c>
      <c r="V426" s="18">
        <v>0</v>
      </c>
      <c r="W426" s="17">
        <f t="shared" si="14"/>
        <v>17</v>
      </c>
      <c r="X426" s="5">
        <f t="shared" si="15"/>
        <v>0</v>
      </c>
    </row>
    <row r="427" spans="1:24" x14ac:dyDescent="0.25">
      <c r="A427" s="19">
        <v>71</v>
      </c>
      <c r="B427" s="19" t="s">
        <v>55</v>
      </c>
      <c r="C427" s="19" t="s">
        <v>56</v>
      </c>
      <c r="D427" s="19" t="s">
        <v>294</v>
      </c>
      <c r="E427" s="21">
        <v>46291.748043981483</v>
      </c>
      <c r="F427" s="19">
        <v>3</v>
      </c>
      <c r="G427" s="19">
        <v>796554109268</v>
      </c>
      <c r="H427" s="19">
        <v>1</v>
      </c>
      <c r="I427" s="19">
        <v>1499</v>
      </c>
      <c r="J427" s="19">
        <v>0</v>
      </c>
      <c r="K427" s="19">
        <v>0</v>
      </c>
      <c r="L427" s="19">
        <v>0</v>
      </c>
      <c r="M427" s="19">
        <v>1499</v>
      </c>
      <c r="N427" s="19">
        <v>228.66</v>
      </c>
      <c r="O427" s="19">
        <v>18</v>
      </c>
      <c r="P427" s="19" t="s">
        <v>295</v>
      </c>
      <c r="Q427" s="19">
        <v>50170981</v>
      </c>
      <c r="R427" s="19" t="s">
        <v>57</v>
      </c>
      <c r="S427" s="19">
        <v>50000002</v>
      </c>
      <c r="T427" s="19"/>
      <c r="U427" s="19" t="s">
        <v>58</v>
      </c>
      <c r="V427" s="18">
        <v>0</v>
      </c>
      <c r="W427" s="17">
        <f t="shared" si="14"/>
        <v>17</v>
      </c>
      <c r="X427" s="5">
        <f t="shared" si="15"/>
        <v>1</v>
      </c>
    </row>
    <row r="428" spans="1:24" ht="26.25" x14ac:dyDescent="0.25">
      <c r="A428" s="19">
        <v>71</v>
      </c>
      <c r="B428" s="19" t="s">
        <v>55</v>
      </c>
      <c r="C428" s="19" t="s">
        <v>56</v>
      </c>
      <c r="D428" s="19" t="s">
        <v>294</v>
      </c>
      <c r="E428" s="21">
        <v>46291.748043981483</v>
      </c>
      <c r="F428" s="19">
        <v>3</v>
      </c>
      <c r="G428" s="19">
        <v>8906057366101</v>
      </c>
      <c r="H428" s="19">
        <v>1</v>
      </c>
      <c r="I428" s="19">
        <v>699</v>
      </c>
      <c r="J428" s="19">
        <v>0</v>
      </c>
      <c r="K428" s="19">
        <v>0</v>
      </c>
      <c r="L428" s="19">
        <v>0</v>
      </c>
      <c r="M428" s="19">
        <v>699</v>
      </c>
      <c r="N428" s="19">
        <v>33.28</v>
      </c>
      <c r="O428" s="19">
        <v>5</v>
      </c>
      <c r="P428" s="19" t="s">
        <v>296</v>
      </c>
      <c r="Q428" s="19">
        <v>50170981</v>
      </c>
      <c r="R428" s="19" t="s">
        <v>57</v>
      </c>
      <c r="S428" s="19"/>
      <c r="T428" s="19"/>
      <c r="U428" s="19" t="s">
        <v>58</v>
      </c>
      <c r="V428" s="18">
        <v>0</v>
      </c>
      <c r="W428" s="17">
        <f t="shared" si="14"/>
        <v>17</v>
      </c>
      <c r="X428" s="5">
        <f t="shared" si="15"/>
        <v>0</v>
      </c>
    </row>
    <row r="429" spans="1:24" x14ac:dyDescent="0.25">
      <c r="A429" s="19">
        <v>72</v>
      </c>
      <c r="B429" s="19" t="s">
        <v>55</v>
      </c>
      <c r="C429" s="19" t="s">
        <v>56</v>
      </c>
      <c r="D429" s="19" t="s">
        <v>297</v>
      </c>
      <c r="E429" s="21">
        <v>46291.750474537039</v>
      </c>
      <c r="F429" s="19">
        <v>3</v>
      </c>
      <c r="G429" s="19">
        <v>850068290659</v>
      </c>
      <c r="H429" s="19">
        <v>1</v>
      </c>
      <c r="I429" s="19">
        <v>1499</v>
      </c>
      <c r="J429" s="19">
        <v>0</v>
      </c>
      <c r="K429" s="19">
        <v>0</v>
      </c>
      <c r="L429" s="19">
        <v>0</v>
      </c>
      <c r="M429" s="19">
        <v>1499</v>
      </c>
      <c r="N429" s="19">
        <v>71.38</v>
      </c>
      <c r="O429" s="19">
        <v>5</v>
      </c>
      <c r="P429" s="19" t="s">
        <v>298</v>
      </c>
      <c r="Q429" s="19">
        <v>50170981</v>
      </c>
      <c r="R429" s="19" t="s">
        <v>57</v>
      </c>
      <c r="S429" s="19">
        <v>50195439</v>
      </c>
      <c r="T429" s="19"/>
      <c r="U429" s="19" t="s">
        <v>58</v>
      </c>
      <c r="V429" s="18">
        <v>0</v>
      </c>
      <c r="W429" s="17">
        <f t="shared" si="14"/>
        <v>18</v>
      </c>
      <c r="X429" s="5">
        <f t="shared" si="15"/>
        <v>1</v>
      </c>
    </row>
    <row r="430" spans="1:24" x14ac:dyDescent="0.25">
      <c r="A430" s="19">
        <v>72</v>
      </c>
      <c r="B430" s="19" t="s">
        <v>55</v>
      </c>
      <c r="C430" s="19" t="s">
        <v>56</v>
      </c>
      <c r="D430" s="19" t="s">
        <v>297</v>
      </c>
      <c r="E430" s="21">
        <v>46291.750474537039</v>
      </c>
      <c r="F430" s="19">
        <v>3</v>
      </c>
      <c r="G430" s="19">
        <v>8905450997417</v>
      </c>
      <c r="H430" s="19">
        <v>1</v>
      </c>
      <c r="I430" s="19">
        <v>199</v>
      </c>
      <c r="J430" s="19">
        <v>0</v>
      </c>
      <c r="K430" s="19">
        <v>0</v>
      </c>
      <c r="L430" s="19">
        <v>0</v>
      </c>
      <c r="M430" s="19">
        <v>199</v>
      </c>
      <c r="N430" s="19">
        <v>9.48</v>
      </c>
      <c r="O430" s="19">
        <v>5</v>
      </c>
      <c r="P430" s="19" t="s">
        <v>299</v>
      </c>
      <c r="Q430" s="19">
        <v>50170981</v>
      </c>
      <c r="R430" s="19" t="s">
        <v>57</v>
      </c>
      <c r="S430" s="19"/>
      <c r="T430" s="19"/>
      <c r="U430" s="19" t="s">
        <v>58</v>
      </c>
      <c r="V430" s="18">
        <v>0</v>
      </c>
      <c r="W430" s="17">
        <f t="shared" si="14"/>
        <v>18</v>
      </c>
      <c r="X430" s="5">
        <f t="shared" si="15"/>
        <v>0</v>
      </c>
    </row>
    <row r="431" spans="1:24" x14ac:dyDescent="0.25">
      <c r="A431" s="19">
        <v>72</v>
      </c>
      <c r="B431" s="19" t="s">
        <v>55</v>
      </c>
      <c r="C431" s="19" t="s">
        <v>56</v>
      </c>
      <c r="D431" s="19" t="s">
        <v>297</v>
      </c>
      <c r="E431" s="21">
        <v>46291.750474537039</v>
      </c>
      <c r="F431" s="19">
        <v>3</v>
      </c>
      <c r="G431" s="19">
        <v>8905450997417</v>
      </c>
      <c r="H431" s="19">
        <v>1</v>
      </c>
      <c r="I431" s="19">
        <v>199</v>
      </c>
      <c r="J431" s="19">
        <v>0</v>
      </c>
      <c r="K431" s="19">
        <v>0</v>
      </c>
      <c r="L431" s="19">
        <v>0</v>
      </c>
      <c r="M431" s="19">
        <v>199</v>
      </c>
      <c r="N431" s="19">
        <v>9.48</v>
      </c>
      <c r="O431" s="19">
        <v>5</v>
      </c>
      <c r="P431" s="19" t="s">
        <v>299</v>
      </c>
      <c r="Q431" s="19">
        <v>50170981</v>
      </c>
      <c r="R431" s="19" t="s">
        <v>57</v>
      </c>
      <c r="S431" s="19"/>
      <c r="T431" s="19"/>
      <c r="U431" s="19" t="s">
        <v>58</v>
      </c>
      <c r="V431" s="18">
        <v>0</v>
      </c>
      <c r="W431" s="17">
        <f t="shared" si="14"/>
        <v>18</v>
      </c>
      <c r="X431" s="5">
        <f t="shared" si="15"/>
        <v>0</v>
      </c>
    </row>
    <row r="432" spans="1:24" x14ac:dyDescent="0.25">
      <c r="A432" s="19">
        <v>72</v>
      </c>
      <c r="B432" s="19" t="s">
        <v>55</v>
      </c>
      <c r="C432" s="19" t="s">
        <v>56</v>
      </c>
      <c r="D432" s="19" t="s">
        <v>297</v>
      </c>
      <c r="E432" s="21">
        <v>46291.750474537039</v>
      </c>
      <c r="F432" s="19">
        <v>3</v>
      </c>
      <c r="G432" s="19">
        <v>8904279507517</v>
      </c>
      <c r="H432" s="19">
        <v>1</v>
      </c>
      <c r="I432" s="19">
        <v>936</v>
      </c>
      <c r="J432" s="19">
        <v>0</v>
      </c>
      <c r="K432" s="19">
        <v>0</v>
      </c>
      <c r="L432" s="19">
        <v>0</v>
      </c>
      <c r="M432" s="19">
        <v>936</v>
      </c>
      <c r="N432" s="19">
        <v>44.58</v>
      </c>
      <c r="O432" s="19">
        <v>5</v>
      </c>
      <c r="P432" s="19" t="s">
        <v>300</v>
      </c>
      <c r="Q432" s="19">
        <v>50170981</v>
      </c>
      <c r="R432" s="19" t="s">
        <v>57</v>
      </c>
      <c r="S432" s="19">
        <v>50195439</v>
      </c>
      <c r="T432" s="19"/>
      <c r="U432" s="19" t="s">
        <v>58</v>
      </c>
      <c r="V432" s="18">
        <v>0</v>
      </c>
      <c r="W432" s="17">
        <f t="shared" si="14"/>
        <v>18</v>
      </c>
      <c r="X432" s="5">
        <f t="shared" si="15"/>
        <v>0</v>
      </c>
    </row>
    <row r="433" spans="1:24" x14ac:dyDescent="0.25">
      <c r="A433" s="19">
        <v>72</v>
      </c>
      <c r="B433" s="19" t="s">
        <v>55</v>
      </c>
      <c r="C433" s="19" t="s">
        <v>56</v>
      </c>
      <c r="D433" s="19" t="s">
        <v>297</v>
      </c>
      <c r="E433" s="21">
        <v>46291.750474537039</v>
      </c>
      <c r="F433" s="19">
        <v>3</v>
      </c>
      <c r="G433" s="19">
        <v>850068290680</v>
      </c>
      <c r="H433" s="19">
        <v>1</v>
      </c>
      <c r="I433" s="19">
        <v>999</v>
      </c>
      <c r="J433" s="19">
        <v>0</v>
      </c>
      <c r="K433" s="19">
        <v>0</v>
      </c>
      <c r="L433" s="19">
        <v>0</v>
      </c>
      <c r="M433" s="19">
        <v>999</v>
      </c>
      <c r="N433" s="19">
        <v>47.58</v>
      </c>
      <c r="O433" s="19">
        <v>5</v>
      </c>
      <c r="P433" s="19" t="s">
        <v>298</v>
      </c>
      <c r="Q433" s="19">
        <v>50170981</v>
      </c>
      <c r="R433" s="19" t="s">
        <v>57</v>
      </c>
      <c r="S433" s="19">
        <v>50195439</v>
      </c>
      <c r="T433" s="19"/>
      <c r="U433" s="19" t="s">
        <v>58</v>
      </c>
      <c r="V433" s="18">
        <v>0</v>
      </c>
      <c r="W433" s="17">
        <f t="shared" si="14"/>
        <v>18</v>
      </c>
      <c r="X433" s="5">
        <f t="shared" si="15"/>
        <v>0</v>
      </c>
    </row>
    <row r="434" spans="1:24" x14ac:dyDescent="0.25">
      <c r="A434" s="19">
        <v>74</v>
      </c>
      <c r="B434" s="19" t="s">
        <v>55</v>
      </c>
      <c r="C434" s="19" t="s">
        <v>56</v>
      </c>
      <c r="D434" s="19" t="s">
        <v>301</v>
      </c>
      <c r="E434" s="21">
        <v>46291.752916666665</v>
      </c>
      <c r="F434" s="19">
        <v>3</v>
      </c>
      <c r="G434" s="19">
        <v>194735284931</v>
      </c>
      <c r="H434" s="19">
        <v>1</v>
      </c>
      <c r="I434" s="19">
        <v>449</v>
      </c>
      <c r="J434" s="19">
        <v>0</v>
      </c>
      <c r="K434" s="19">
        <v>0</v>
      </c>
      <c r="L434" s="19">
        <v>0</v>
      </c>
      <c r="M434" s="19">
        <v>449</v>
      </c>
      <c r="N434" s="19">
        <v>21.38</v>
      </c>
      <c r="O434" s="19">
        <v>5</v>
      </c>
      <c r="P434" s="19" t="s">
        <v>138</v>
      </c>
      <c r="Q434" s="19">
        <v>50170981</v>
      </c>
      <c r="R434" s="19" t="s">
        <v>57</v>
      </c>
      <c r="S434" s="19">
        <v>50195439</v>
      </c>
      <c r="T434" s="19"/>
      <c r="U434" s="19" t="s">
        <v>58</v>
      </c>
      <c r="V434" s="18">
        <v>0</v>
      </c>
      <c r="W434" s="17">
        <f t="shared" si="14"/>
        <v>18</v>
      </c>
      <c r="X434" s="5">
        <f t="shared" si="15"/>
        <v>1</v>
      </c>
    </row>
    <row r="435" spans="1:24" x14ac:dyDescent="0.25">
      <c r="A435" s="19">
        <v>74</v>
      </c>
      <c r="B435" s="19" t="s">
        <v>55</v>
      </c>
      <c r="C435" s="19" t="s">
        <v>56</v>
      </c>
      <c r="D435" s="19" t="s">
        <v>301</v>
      </c>
      <c r="E435" s="21">
        <v>46291.752916666665</v>
      </c>
      <c r="F435" s="19">
        <v>3</v>
      </c>
      <c r="G435" s="19">
        <v>194735284931</v>
      </c>
      <c r="H435" s="19">
        <v>1</v>
      </c>
      <c r="I435" s="19">
        <v>449</v>
      </c>
      <c r="J435" s="19">
        <v>0</v>
      </c>
      <c r="K435" s="19">
        <v>0</v>
      </c>
      <c r="L435" s="19">
        <v>0</v>
      </c>
      <c r="M435" s="19">
        <v>449</v>
      </c>
      <c r="N435" s="19">
        <v>21.38</v>
      </c>
      <c r="O435" s="19">
        <v>5</v>
      </c>
      <c r="P435" s="19" t="s">
        <v>138</v>
      </c>
      <c r="Q435" s="19">
        <v>50170981</v>
      </c>
      <c r="R435" s="19" t="s">
        <v>57</v>
      </c>
      <c r="S435" s="19">
        <v>50195439</v>
      </c>
      <c r="T435" s="19"/>
      <c r="U435" s="19" t="s">
        <v>58</v>
      </c>
      <c r="V435" s="18">
        <v>0</v>
      </c>
      <c r="W435" s="17">
        <f t="shared" si="14"/>
        <v>18</v>
      </c>
      <c r="X435" s="5">
        <f t="shared" si="15"/>
        <v>0</v>
      </c>
    </row>
    <row r="436" spans="1:24" x14ac:dyDescent="0.25">
      <c r="A436" s="19">
        <v>75</v>
      </c>
      <c r="B436" s="19" t="s">
        <v>55</v>
      </c>
      <c r="C436" s="19" t="s">
        <v>56</v>
      </c>
      <c r="D436" s="19" t="s">
        <v>302</v>
      </c>
      <c r="E436" s="21">
        <v>46291.753391203703</v>
      </c>
      <c r="F436" s="19">
        <v>3</v>
      </c>
      <c r="G436" s="19">
        <v>8907653110532</v>
      </c>
      <c r="H436" s="19">
        <v>1</v>
      </c>
      <c r="I436" s="19">
        <v>295</v>
      </c>
      <c r="J436" s="19">
        <v>0</v>
      </c>
      <c r="K436" s="19">
        <v>0</v>
      </c>
      <c r="L436" s="19">
        <v>0</v>
      </c>
      <c r="M436" s="19">
        <v>295</v>
      </c>
      <c r="N436" s="19">
        <v>14.04</v>
      </c>
      <c r="O436" s="19">
        <v>5</v>
      </c>
      <c r="P436" s="19"/>
      <c r="Q436" s="19">
        <v>50170981</v>
      </c>
      <c r="R436" s="19" t="s">
        <v>57</v>
      </c>
      <c r="S436" s="19"/>
      <c r="T436" s="19"/>
      <c r="U436" s="19" t="s">
        <v>58</v>
      </c>
      <c r="V436" s="18">
        <v>0</v>
      </c>
      <c r="W436" s="17">
        <f t="shared" si="14"/>
        <v>18</v>
      </c>
      <c r="X436" s="5">
        <f t="shared" si="15"/>
        <v>1</v>
      </c>
    </row>
    <row r="437" spans="1:24" x14ac:dyDescent="0.25">
      <c r="A437" s="19">
        <v>75</v>
      </c>
      <c r="B437" s="19" t="s">
        <v>55</v>
      </c>
      <c r="C437" s="19" t="s">
        <v>56</v>
      </c>
      <c r="D437" s="19" t="s">
        <v>302</v>
      </c>
      <c r="E437" s="21">
        <v>46291.753391203703</v>
      </c>
      <c r="F437" s="19">
        <v>3</v>
      </c>
      <c r="G437" s="19">
        <v>8907653091404</v>
      </c>
      <c r="H437" s="19">
        <v>1</v>
      </c>
      <c r="I437" s="19">
        <v>395</v>
      </c>
      <c r="J437" s="19">
        <v>0</v>
      </c>
      <c r="K437" s="19">
        <v>0</v>
      </c>
      <c r="L437" s="19">
        <v>0</v>
      </c>
      <c r="M437" s="19">
        <v>395</v>
      </c>
      <c r="N437" s="19">
        <v>60.26</v>
      </c>
      <c r="O437" s="19">
        <v>18</v>
      </c>
      <c r="P437" s="19" t="s">
        <v>303</v>
      </c>
      <c r="Q437" s="19">
        <v>50170981</v>
      </c>
      <c r="R437" s="19" t="s">
        <v>57</v>
      </c>
      <c r="S437" s="19"/>
      <c r="T437" s="19"/>
      <c r="U437" s="19" t="s">
        <v>58</v>
      </c>
      <c r="V437" s="18">
        <v>0</v>
      </c>
      <c r="W437" s="17">
        <f t="shared" si="14"/>
        <v>18</v>
      </c>
      <c r="X437" s="5">
        <f t="shared" si="15"/>
        <v>0</v>
      </c>
    </row>
    <row r="438" spans="1:24" x14ac:dyDescent="0.25">
      <c r="A438" s="19">
        <v>75</v>
      </c>
      <c r="B438" s="19" t="s">
        <v>55</v>
      </c>
      <c r="C438" s="19" t="s">
        <v>56</v>
      </c>
      <c r="D438" s="19" t="s">
        <v>302</v>
      </c>
      <c r="E438" s="21">
        <v>46291.753391203703</v>
      </c>
      <c r="F438" s="19">
        <v>3</v>
      </c>
      <c r="G438" s="19">
        <v>74299018060</v>
      </c>
      <c r="H438" s="19">
        <v>1</v>
      </c>
      <c r="I438" s="19">
        <v>899</v>
      </c>
      <c r="J438" s="19">
        <v>0</v>
      </c>
      <c r="K438" s="19">
        <v>0</v>
      </c>
      <c r="L438" s="19">
        <v>0</v>
      </c>
      <c r="M438" s="19">
        <v>899</v>
      </c>
      <c r="N438" s="19">
        <v>42.8</v>
      </c>
      <c r="O438" s="19">
        <v>5</v>
      </c>
      <c r="P438" s="19" t="s">
        <v>142</v>
      </c>
      <c r="Q438" s="19">
        <v>50170981</v>
      </c>
      <c r="R438" s="19" t="s">
        <v>57</v>
      </c>
      <c r="S438" s="19">
        <v>50195907</v>
      </c>
      <c r="T438" s="19"/>
      <c r="U438" s="19" t="s">
        <v>58</v>
      </c>
      <c r="V438" s="18">
        <v>0</v>
      </c>
      <c r="W438" s="17">
        <f t="shared" si="14"/>
        <v>18</v>
      </c>
      <c r="X438" s="5">
        <f t="shared" si="15"/>
        <v>0</v>
      </c>
    </row>
    <row r="439" spans="1:24" x14ac:dyDescent="0.25">
      <c r="A439" s="19">
        <v>76</v>
      </c>
      <c r="B439" s="19" t="s">
        <v>55</v>
      </c>
      <c r="C439" s="19" t="s">
        <v>56</v>
      </c>
      <c r="D439" s="19" t="s">
        <v>304</v>
      </c>
      <c r="E439" s="21">
        <v>46291.754513888889</v>
      </c>
      <c r="F439" s="19">
        <v>3</v>
      </c>
      <c r="G439" s="19">
        <v>195166311715</v>
      </c>
      <c r="H439" s="19">
        <v>1</v>
      </c>
      <c r="I439" s="19">
        <v>299</v>
      </c>
      <c r="J439" s="19">
        <v>0</v>
      </c>
      <c r="K439" s="19">
        <v>0</v>
      </c>
      <c r="L439" s="19">
        <v>0</v>
      </c>
      <c r="M439" s="19">
        <v>299</v>
      </c>
      <c r="N439" s="19">
        <v>45.62</v>
      </c>
      <c r="O439" s="19">
        <v>18</v>
      </c>
      <c r="P439" s="19" t="s">
        <v>305</v>
      </c>
      <c r="Q439" s="19">
        <v>50170981</v>
      </c>
      <c r="R439" s="19" t="s">
        <v>57</v>
      </c>
      <c r="S439" s="19">
        <v>50195439</v>
      </c>
      <c r="T439" s="19"/>
      <c r="U439" s="19" t="s">
        <v>58</v>
      </c>
      <c r="V439" s="18">
        <v>0</v>
      </c>
      <c r="W439" s="17">
        <f t="shared" si="14"/>
        <v>18</v>
      </c>
      <c r="X439" s="5">
        <f t="shared" si="15"/>
        <v>1</v>
      </c>
    </row>
    <row r="440" spans="1:24" x14ac:dyDescent="0.25">
      <c r="A440" s="19">
        <v>76</v>
      </c>
      <c r="B440" s="19" t="s">
        <v>55</v>
      </c>
      <c r="C440" s="19" t="s">
        <v>56</v>
      </c>
      <c r="D440" s="19" t="s">
        <v>304</v>
      </c>
      <c r="E440" s="21">
        <v>46291.754513888889</v>
      </c>
      <c r="F440" s="19">
        <v>3</v>
      </c>
      <c r="G440" s="19">
        <v>8904279519534</v>
      </c>
      <c r="H440" s="19">
        <v>1</v>
      </c>
      <c r="I440" s="19">
        <v>499</v>
      </c>
      <c r="J440" s="19">
        <v>0</v>
      </c>
      <c r="K440" s="19">
        <v>0</v>
      </c>
      <c r="L440" s="19">
        <v>0</v>
      </c>
      <c r="M440" s="19">
        <v>499</v>
      </c>
      <c r="N440" s="19">
        <v>23.76</v>
      </c>
      <c r="O440" s="19">
        <v>5</v>
      </c>
      <c r="P440" s="19" t="s">
        <v>306</v>
      </c>
      <c r="Q440" s="19">
        <v>50170981</v>
      </c>
      <c r="R440" s="19" t="s">
        <v>57</v>
      </c>
      <c r="S440" s="19">
        <v>50195439</v>
      </c>
      <c r="T440" s="19"/>
      <c r="U440" s="19" t="s">
        <v>58</v>
      </c>
      <c r="V440" s="18">
        <v>0</v>
      </c>
      <c r="W440" s="17">
        <f t="shared" si="14"/>
        <v>18</v>
      </c>
      <c r="X440" s="5">
        <f t="shared" si="15"/>
        <v>0</v>
      </c>
    </row>
    <row r="441" spans="1:24" x14ac:dyDescent="0.25">
      <c r="A441" s="19">
        <v>76</v>
      </c>
      <c r="B441" s="19" t="s">
        <v>55</v>
      </c>
      <c r="C441" s="19" t="s">
        <v>56</v>
      </c>
      <c r="D441" s="19" t="s">
        <v>304</v>
      </c>
      <c r="E441" s="21">
        <v>46291.754513888889</v>
      </c>
      <c r="F441" s="19">
        <v>3</v>
      </c>
      <c r="G441" s="19">
        <v>8909409033904</v>
      </c>
      <c r="H441" s="19">
        <v>1</v>
      </c>
      <c r="I441" s="19">
        <v>699</v>
      </c>
      <c r="J441" s="19">
        <v>0</v>
      </c>
      <c r="K441" s="19">
        <v>0</v>
      </c>
      <c r="L441" s="19">
        <v>0</v>
      </c>
      <c r="M441" s="19">
        <v>699</v>
      </c>
      <c r="N441" s="19">
        <v>33.28</v>
      </c>
      <c r="O441" s="19">
        <v>5</v>
      </c>
      <c r="P441" s="19" t="s">
        <v>307</v>
      </c>
      <c r="Q441" s="19">
        <v>50170981</v>
      </c>
      <c r="R441" s="19" t="s">
        <v>57</v>
      </c>
      <c r="S441" s="19">
        <v>50188930</v>
      </c>
      <c r="T441" s="19"/>
      <c r="U441" s="19" t="s">
        <v>58</v>
      </c>
      <c r="V441" s="18">
        <v>0</v>
      </c>
      <c r="W441" s="17">
        <f t="shared" si="14"/>
        <v>18</v>
      </c>
      <c r="X441" s="5">
        <f t="shared" si="15"/>
        <v>0</v>
      </c>
    </row>
    <row r="442" spans="1:24" x14ac:dyDescent="0.25">
      <c r="A442" s="19">
        <v>77</v>
      </c>
      <c r="B442" s="19" t="s">
        <v>55</v>
      </c>
      <c r="C442" s="19" t="s">
        <v>56</v>
      </c>
      <c r="D442" s="19" t="s">
        <v>308</v>
      </c>
      <c r="E442" s="21">
        <v>46291.756909722222</v>
      </c>
      <c r="F442" s="19">
        <v>3</v>
      </c>
      <c r="G442" s="19">
        <v>194735266357</v>
      </c>
      <c r="H442" s="19">
        <v>1</v>
      </c>
      <c r="I442" s="19">
        <v>2799</v>
      </c>
      <c r="J442" s="19">
        <v>0</v>
      </c>
      <c r="K442" s="19">
        <v>0</v>
      </c>
      <c r="L442" s="19">
        <v>0</v>
      </c>
      <c r="M442" s="19">
        <v>2799</v>
      </c>
      <c r="N442" s="19">
        <v>133.28</v>
      </c>
      <c r="O442" s="19">
        <v>5</v>
      </c>
      <c r="P442" s="19" t="s">
        <v>309</v>
      </c>
      <c r="Q442" s="19">
        <v>50170981</v>
      </c>
      <c r="R442" s="19" t="s">
        <v>57</v>
      </c>
      <c r="S442" s="19">
        <v>50000001</v>
      </c>
      <c r="T442" s="19"/>
      <c r="U442" s="19" t="s">
        <v>58</v>
      </c>
      <c r="V442" s="18">
        <v>0</v>
      </c>
      <c r="W442" s="17">
        <f t="shared" si="14"/>
        <v>18</v>
      </c>
      <c r="X442" s="5">
        <f t="shared" si="15"/>
        <v>1</v>
      </c>
    </row>
    <row r="443" spans="1:24" x14ac:dyDescent="0.25">
      <c r="A443" s="19">
        <v>77</v>
      </c>
      <c r="B443" s="19" t="s">
        <v>55</v>
      </c>
      <c r="C443" s="19" t="s">
        <v>56</v>
      </c>
      <c r="D443" s="19" t="s">
        <v>308</v>
      </c>
      <c r="E443" s="21">
        <v>46291.756909722222</v>
      </c>
      <c r="F443" s="19">
        <v>3</v>
      </c>
      <c r="G443" s="19">
        <v>74299018060</v>
      </c>
      <c r="H443" s="19">
        <v>1</v>
      </c>
      <c r="I443" s="19">
        <v>899</v>
      </c>
      <c r="J443" s="19">
        <v>0</v>
      </c>
      <c r="K443" s="19">
        <v>0</v>
      </c>
      <c r="L443" s="19">
        <v>0</v>
      </c>
      <c r="M443" s="19">
        <v>899</v>
      </c>
      <c r="N443" s="19">
        <v>42.8</v>
      </c>
      <c r="O443" s="19">
        <v>5</v>
      </c>
      <c r="P443" s="19" t="s">
        <v>142</v>
      </c>
      <c r="Q443" s="19">
        <v>50170981</v>
      </c>
      <c r="R443" s="19" t="s">
        <v>57</v>
      </c>
      <c r="S443" s="19">
        <v>50000001</v>
      </c>
      <c r="T443" s="19"/>
      <c r="U443" s="19" t="s">
        <v>58</v>
      </c>
      <c r="V443" s="18">
        <v>0</v>
      </c>
      <c r="W443" s="17">
        <f t="shared" si="14"/>
        <v>18</v>
      </c>
      <c r="X443" s="5">
        <f t="shared" si="15"/>
        <v>0</v>
      </c>
    </row>
    <row r="444" spans="1:24" x14ac:dyDescent="0.25">
      <c r="A444" s="19">
        <v>78</v>
      </c>
      <c r="B444" s="19" t="s">
        <v>55</v>
      </c>
      <c r="C444" s="19" t="s">
        <v>56</v>
      </c>
      <c r="D444" s="19" t="s">
        <v>310</v>
      </c>
      <c r="E444" s="21">
        <v>46291.763472222221</v>
      </c>
      <c r="F444" s="19">
        <v>3</v>
      </c>
      <c r="G444" s="19">
        <v>8905450138667</v>
      </c>
      <c r="H444" s="19">
        <v>1</v>
      </c>
      <c r="I444" s="19">
        <v>1199</v>
      </c>
      <c r="J444" s="19">
        <v>-220.01</v>
      </c>
      <c r="K444" s="19">
        <v>0</v>
      </c>
      <c r="L444" s="19">
        <v>-220.01</v>
      </c>
      <c r="M444" s="19">
        <v>978.99</v>
      </c>
      <c r="N444" s="19">
        <v>149.34</v>
      </c>
      <c r="O444" s="19">
        <v>18</v>
      </c>
      <c r="P444" s="19" t="s">
        <v>311</v>
      </c>
      <c r="Q444" s="19">
        <v>50170981</v>
      </c>
      <c r="R444" s="19" t="s">
        <v>57</v>
      </c>
      <c r="S444" s="19"/>
      <c r="T444" s="19"/>
      <c r="U444" s="19" t="s">
        <v>58</v>
      </c>
      <c r="V444" s="18">
        <v>0</v>
      </c>
      <c r="W444" s="17">
        <f t="shared" si="14"/>
        <v>18</v>
      </c>
      <c r="X444" s="5">
        <f t="shared" si="15"/>
        <v>1</v>
      </c>
    </row>
    <row r="445" spans="1:24" x14ac:dyDescent="0.25">
      <c r="A445" s="19">
        <v>78</v>
      </c>
      <c r="B445" s="19" t="s">
        <v>55</v>
      </c>
      <c r="C445" s="19" t="s">
        <v>56</v>
      </c>
      <c r="D445" s="19" t="s">
        <v>310</v>
      </c>
      <c r="E445" s="21">
        <v>46291.763472222221</v>
      </c>
      <c r="F445" s="19">
        <v>3</v>
      </c>
      <c r="G445" s="19">
        <v>8906185910214</v>
      </c>
      <c r="H445" s="19">
        <v>1</v>
      </c>
      <c r="I445" s="19">
        <v>1699</v>
      </c>
      <c r="J445" s="19">
        <v>-311.76</v>
      </c>
      <c r="K445" s="19">
        <v>0</v>
      </c>
      <c r="L445" s="19">
        <v>-311.76</v>
      </c>
      <c r="M445" s="19">
        <v>1387.24</v>
      </c>
      <c r="N445" s="19">
        <v>211.62</v>
      </c>
      <c r="O445" s="19">
        <v>18</v>
      </c>
      <c r="P445" s="19" t="s">
        <v>312</v>
      </c>
      <c r="Q445" s="19">
        <v>50170981</v>
      </c>
      <c r="R445" s="19" t="s">
        <v>57</v>
      </c>
      <c r="S445" s="19">
        <v>50195439</v>
      </c>
      <c r="T445" s="19"/>
      <c r="U445" s="19" t="s">
        <v>58</v>
      </c>
      <c r="V445" s="18">
        <v>0</v>
      </c>
      <c r="W445" s="17">
        <f t="shared" si="14"/>
        <v>18</v>
      </c>
      <c r="X445" s="5">
        <f t="shared" si="15"/>
        <v>0</v>
      </c>
    </row>
    <row r="446" spans="1:24" x14ac:dyDescent="0.25">
      <c r="A446" s="19">
        <v>78</v>
      </c>
      <c r="B446" s="19" t="s">
        <v>55</v>
      </c>
      <c r="C446" s="19" t="s">
        <v>56</v>
      </c>
      <c r="D446" s="19" t="s">
        <v>310</v>
      </c>
      <c r="E446" s="21">
        <v>46291.763472222221</v>
      </c>
      <c r="F446" s="19">
        <v>3</v>
      </c>
      <c r="G446" s="19">
        <v>8904384330079</v>
      </c>
      <c r="H446" s="19">
        <v>1</v>
      </c>
      <c r="I446" s="19">
        <v>1999</v>
      </c>
      <c r="J446" s="19">
        <v>-366.81</v>
      </c>
      <c r="K446" s="19">
        <v>0</v>
      </c>
      <c r="L446" s="19">
        <v>-366.81</v>
      </c>
      <c r="M446" s="19">
        <v>1632.19</v>
      </c>
      <c r="N446" s="19">
        <v>248.98</v>
      </c>
      <c r="O446" s="19">
        <v>18</v>
      </c>
      <c r="P446" s="19" t="s">
        <v>230</v>
      </c>
      <c r="Q446" s="19">
        <v>50170981</v>
      </c>
      <c r="R446" s="19" t="s">
        <v>57</v>
      </c>
      <c r="S446" s="19">
        <v>50195439</v>
      </c>
      <c r="T446" s="19"/>
      <c r="U446" s="19" t="s">
        <v>58</v>
      </c>
      <c r="V446" s="18">
        <v>0</v>
      </c>
      <c r="W446" s="17">
        <f t="shared" si="14"/>
        <v>18</v>
      </c>
      <c r="X446" s="5">
        <f t="shared" si="15"/>
        <v>0</v>
      </c>
    </row>
    <row r="447" spans="1:24" x14ac:dyDescent="0.25">
      <c r="A447" s="19">
        <v>78</v>
      </c>
      <c r="B447" s="19" t="s">
        <v>55</v>
      </c>
      <c r="C447" s="19" t="s">
        <v>56</v>
      </c>
      <c r="D447" s="19" t="s">
        <v>310</v>
      </c>
      <c r="E447" s="21">
        <v>46291.763472222221</v>
      </c>
      <c r="F447" s="19">
        <v>3</v>
      </c>
      <c r="G447" s="19">
        <v>494500285</v>
      </c>
      <c r="H447" s="19">
        <v>1</v>
      </c>
      <c r="I447" s="19">
        <v>1999</v>
      </c>
      <c r="J447" s="19">
        <v>-366.81</v>
      </c>
      <c r="K447" s="19">
        <v>0</v>
      </c>
      <c r="L447" s="19">
        <v>-366.81</v>
      </c>
      <c r="M447" s="19">
        <v>1632.19</v>
      </c>
      <c r="N447" s="19">
        <v>248.98</v>
      </c>
      <c r="O447" s="19">
        <v>18</v>
      </c>
      <c r="P447" s="19" t="s">
        <v>137</v>
      </c>
      <c r="Q447" s="19">
        <v>50170981</v>
      </c>
      <c r="R447" s="19" t="s">
        <v>57</v>
      </c>
      <c r="S447" s="19"/>
      <c r="T447" s="19"/>
      <c r="U447" s="19" t="s">
        <v>58</v>
      </c>
      <c r="V447" s="18">
        <v>0</v>
      </c>
      <c r="W447" s="17">
        <f t="shared" si="14"/>
        <v>18</v>
      </c>
      <c r="X447" s="5">
        <f t="shared" si="15"/>
        <v>0</v>
      </c>
    </row>
    <row r="448" spans="1:24" ht="26.25" x14ac:dyDescent="0.25">
      <c r="A448" s="19">
        <v>78</v>
      </c>
      <c r="B448" s="19" t="s">
        <v>55</v>
      </c>
      <c r="C448" s="19" t="s">
        <v>56</v>
      </c>
      <c r="D448" s="19" t="s">
        <v>310</v>
      </c>
      <c r="E448" s="21">
        <v>46291.763472222221</v>
      </c>
      <c r="F448" s="19">
        <v>3</v>
      </c>
      <c r="G448" s="19">
        <v>8904384346476</v>
      </c>
      <c r="H448" s="19">
        <v>1</v>
      </c>
      <c r="I448" s="19">
        <v>2999</v>
      </c>
      <c r="J448" s="19">
        <v>-550.29999999999995</v>
      </c>
      <c r="K448" s="19">
        <v>0</v>
      </c>
      <c r="L448" s="19">
        <v>-550.29999999999995</v>
      </c>
      <c r="M448" s="19">
        <v>2448.6999999999998</v>
      </c>
      <c r="N448" s="19">
        <v>373.54</v>
      </c>
      <c r="O448" s="19">
        <v>18</v>
      </c>
      <c r="P448" s="19" t="s">
        <v>313</v>
      </c>
      <c r="Q448" s="19">
        <v>50170981</v>
      </c>
      <c r="R448" s="19" t="s">
        <v>57</v>
      </c>
      <c r="S448" s="19">
        <v>50195439</v>
      </c>
      <c r="T448" s="19"/>
      <c r="U448" s="19" t="s">
        <v>58</v>
      </c>
      <c r="V448" s="18">
        <v>0</v>
      </c>
      <c r="W448" s="17">
        <f t="shared" si="14"/>
        <v>18</v>
      </c>
      <c r="X448" s="5">
        <f t="shared" si="15"/>
        <v>0</v>
      </c>
    </row>
    <row r="449" spans="1:24" x14ac:dyDescent="0.25">
      <c r="A449" s="19">
        <v>78</v>
      </c>
      <c r="B449" s="19" t="s">
        <v>55</v>
      </c>
      <c r="C449" s="19" t="s">
        <v>56</v>
      </c>
      <c r="D449" s="19" t="s">
        <v>310</v>
      </c>
      <c r="E449" s="21">
        <v>46291.763472222221</v>
      </c>
      <c r="F449" s="19">
        <v>3</v>
      </c>
      <c r="G449" s="19">
        <v>8909409033829</v>
      </c>
      <c r="H449" s="19">
        <v>1</v>
      </c>
      <c r="I449" s="19">
        <v>499</v>
      </c>
      <c r="J449" s="19">
        <v>-91.56</v>
      </c>
      <c r="K449" s="19">
        <v>0</v>
      </c>
      <c r="L449" s="19">
        <v>-91.56</v>
      </c>
      <c r="M449" s="19">
        <v>407.44</v>
      </c>
      <c r="N449" s="19">
        <v>19.399999999999999</v>
      </c>
      <c r="O449" s="19">
        <v>5</v>
      </c>
      <c r="P449" s="19" t="s">
        <v>314</v>
      </c>
      <c r="Q449" s="19">
        <v>50170981</v>
      </c>
      <c r="R449" s="19" t="s">
        <v>57</v>
      </c>
      <c r="S449" s="19">
        <v>50195439</v>
      </c>
      <c r="T449" s="19"/>
      <c r="U449" s="19" t="s">
        <v>58</v>
      </c>
      <c r="V449" s="18">
        <v>0</v>
      </c>
      <c r="W449" s="17">
        <f t="shared" si="14"/>
        <v>18</v>
      </c>
      <c r="X449" s="5">
        <f t="shared" si="15"/>
        <v>0</v>
      </c>
    </row>
    <row r="450" spans="1:24" x14ac:dyDescent="0.25">
      <c r="A450" s="19">
        <v>79</v>
      </c>
      <c r="B450" s="19" t="s">
        <v>55</v>
      </c>
      <c r="C450" s="19" t="s">
        <v>56</v>
      </c>
      <c r="D450" s="19" t="s">
        <v>315</v>
      </c>
      <c r="E450" s="21">
        <v>46291.767685185187</v>
      </c>
      <c r="F450" s="19">
        <v>3</v>
      </c>
      <c r="G450" s="19">
        <v>494500285</v>
      </c>
      <c r="H450" s="19">
        <v>1</v>
      </c>
      <c r="I450" s="19">
        <v>1999</v>
      </c>
      <c r="J450" s="19">
        <v>-796.33</v>
      </c>
      <c r="K450" s="19">
        <v>0</v>
      </c>
      <c r="L450" s="19">
        <v>-796.33</v>
      </c>
      <c r="M450" s="19">
        <v>1202.67</v>
      </c>
      <c r="N450" s="19">
        <v>183.46</v>
      </c>
      <c r="O450" s="19">
        <v>18</v>
      </c>
      <c r="P450" s="19" t="s">
        <v>137</v>
      </c>
      <c r="Q450" s="19">
        <v>50170981</v>
      </c>
      <c r="R450" s="19" t="s">
        <v>57</v>
      </c>
      <c r="S450" s="19"/>
      <c r="T450" s="19"/>
      <c r="U450" s="19" t="s">
        <v>58</v>
      </c>
      <c r="V450" s="18">
        <v>0</v>
      </c>
      <c r="W450" s="17">
        <f t="shared" si="14"/>
        <v>18</v>
      </c>
      <c r="X450" s="5">
        <f t="shared" si="15"/>
        <v>1</v>
      </c>
    </row>
    <row r="451" spans="1:24" x14ac:dyDescent="0.25">
      <c r="A451" s="19">
        <v>79</v>
      </c>
      <c r="B451" s="19" t="s">
        <v>55</v>
      </c>
      <c r="C451" s="19" t="s">
        <v>56</v>
      </c>
      <c r="D451" s="19" t="s">
        <v>315</v>
      </c>
      <c r="E451" s="21">
        <v>46291.767685185187</v>
      </c>
      <c r="F451" s="19">
        <v>3</v>
      </c>
      <c r="G451" s="19">
        <v>5702017816128</v>
      </c>
      <c r="H451" s="19">
        <v>1</v>
      </c>
      <c r="I451" s="19">
        <v>2749</v>
      </c>
      <c r="J451" s="19">
        <v>-1095.1099999999999</v>
      </c>
      <c r="K451" s="19">
        <v>0</v>
      </c>
      <c r="L451" s="19">
        <v>-1095.1099999999999</v>
      </c>
      <c r="M451" s="19">
        <v>1653.89</v>
      </c>
      <c r="N451" s="19">
        <v>78.760000000000005</v>
      </c>
      <c r="O451" s="19">
        <v>5</v>
      </c>
      <c r="P451" s="19" t="s">
        <v>316</v>
      </c>
      <c r="Q451" s="19">
        <v>50170981</v>
      </c>
      <c r="R451" s="19" t="s">
        <v>57</v>
      </c>
      <c r="S451" s="19">
        <v>50000001</v>
      </c>
      <c r="T451" s="19"/>
      <c r="U451" s="19" t="s">
        <v>58</v>
      </c>
      <c r="V451" s="18">
        <v>0</v>
      </c>
      <c r="W451" s="17">
        <f t="shared" ref="W451:W514" si="16">HOUR(E451)</f>
        <v>18</v>
      </c>
      <c r="X451" s="5">
        <f t="shared" ref="X451:X514" si="17">IF(D451=D450,0,1)</f>
        <v>0</v>
      </c>
    </row>
    <row r="452" spans="1:24" x14ac:dyDescent="0.25">
      <c r="A452" s="19">
        <v>27</v>
      </c>
      <c r="B452" s="19" t="s">
        <v>55</v>
      </c>
      <c r="C452" s="19" t="s">
        <v>56</v>
      </c>
      <c r="D452" s="19" t="s">
        <v>317</v>
      </c>
      <c r="E452" s="21">
        <v>46291.77008101852</v>
      </c>
      <c r="F452" s="19">
        <v>3</v>
      </c>
      <c r="G452" s="19">
        <v>494500285</v>
      </c>
      <c r="H452" s="19">
        <v>1</v>
      </c>
      <c r="I452" s="19">
        <v>1999</v>
      </c>
      <c r="J452" s="19">
        <v>-796.33</v>
      </c>
      <c r="K452" s="19">
        <v>0</v>
      </c>
      <c r="L452" s="19">
        <v>-796.33</v>
      </c>
      <c r="M452" s="19">
        <v>1202.67</v>
      </c>
      <c r="N452" s="19">
        <v>183.46</v>
      </c>
      <c r="O452" s="19">
        <v>18</v>
      </c>
      <c r="P452" s="19" t="s">
        <v>137</v>
      </c>
      <c r="Q452" s="19">
        <v>50157523</v>
      </c>
      <c r="R452" s="19" t="s">
        <v>57</v>
      </c>
      <c r="S452" s="19"/>
      <c r="T452" s="19"/>
      <c r="U452" s="19" t="s">
        <v>58</v>
      </c>
      <c r="V452" s="18">
        <v>0</v>
      </c>
      <c r="W452" s="17">
        <f t="shared" si="16"/>
        <v>18</v>
      </c>
      <c r="X452" s="5">
        <f t="shared" si="17"/>
        <v>1</v>
      </c>
    </row>
    <row r="453" spans="1:24" x14ac:dyDescent="0.25">
      <c r="A453" s="19">
        <v>27</v>
      </c>
      <c r="B453" s="19" t="s">
        <v>55</v>
      </c>
      <c r="C453" s="19" t="s">
        <v>56</v>
      </c>
      <c r="D453" s="19" t="s">
        <v>317</v>
      </c>
      <c r="E453" s="21">
        <v>46291.77008101852</v>
      </c>
      <c r="F453" s="19">
        <v>3</v>
      </c>
      <c r="G453" s="19">
        <v>5702018068397</v>
      </c>
      <c r="H453" s="19">
        <v>1</v>
      </c>
      <c r="I453" s="19">
        <v>2999</v>
      </c>
      <c r="J453" s="19">
        <v>-1194.7</v>
      </c>
      <c r="K453" s="19">
        <v>0</v>
      </c>
      <c r="L453" s="19">
        <v>-1194.7</v>
      </c>
      <c r="M453" s="19">
        <v>1804.3</v>
      </c>
      <c r="N453" s="19">
        <v>85.92</v>
      </c>
      <c r="O453" s="19">
        <v>5</v>
      </c>
      <c r="P453" s="19" t="s">
        <v>318</v>
      </c>
      <c r="Q453" s="19">
        <v>50157523</v>
      </c>
      <c r="R453" s="19" t="s">
        <v>57</v>
      </c>
      <c r="S453" s="19">
        <v>50188930</v>
      </c>
      <c r="T453" s="19"/>
      <c r="U453" s="19" t="s">
        <v>58</v>
      </c>
      <c r="V453" s="18">
        <v>0</v>
      </c>
      <c r="W453" s="17">
        <f t="shared" si="16"/>
        <v>18</v>
      </c>
      <c r="X453" s="5">
        <f t="shared" si="17"/>
        <v>0</v>
      </c>
    </row>
    <row r="454" spans="1:24" x14ac:dyDescent="0.25">
      <c r="A454" s="19">
        <v>82</v>
      </c>
      <c r="B454" s="19" t="s">
        <v>55</v>
      </c>
      <c r="C454" s="19" t="s">
        <v>56</v>
      </c>
      <c r="D454" s="19" t="s">
        <v>319</v>
      </c>
      <c r="E454" s="21">
        <v>46291.773912037039</v>
      </c>
      <c r="F454" s="19">
        <v>3</v>
      </c>
      <c r="G454" s="19">
        <v>3467452077306</v>
      </c>
      <c r="H454" s="19">
        <v>1</v>
      </c>
      <c r="I454" s="19">
        <v>399</v>
      </c>
      <c r="J454" s="19">
        <v>0</v>
      </c>
      <c r="K454" s="19">
        <v>0</v>
      </c>
      <c r="L454" s="19">
        <v>0</v>
      </c>
      <c r="M454" s="19">
        <v>399</v>
      </c>
      <c r="N454" s="19">
        <v>19</v>
      </c>
      <c r="O454" s="19">
        <v>5</v>
      </c>
      <c r="P454" s="19" t="s">
        <v>320</v>
      </c>
      <c r="Q454" s="19">
        <v>50170981</v>
      </c>
      <c r="R454" s="19" t="s">
        <v>57</v>
      </c>
      <c r="S454" s="19">
        <v>50000000</v>
      </c>
      <c r="T454" s="19"/>
      <c r="U454" s="19" t="s">
        <v>58</v>
      </c>
      <c r="V454" s="18">
        <v>0</v>
      </c>
      <c r="W454" s="17">
        <f t="shared" si="16"/>
        <v>18</v>
      </c>
      <c r="X454" s="5">
        <f t="shared" si="17"/>
        <v>1</v>
      </c>
    </row>
    <row r="455" spans="1:24" x14ac:dyDescent="0.25">
      <c r="A455" s="19">
        <v>28</v>
      </c>
      <c r="B455" s="19" t="s">
        <v>55</v>
      </c>
      <c r="C455" s="19" t="s">
        <v>56</v>
      </c>
      <c r="D455" s="19" t="s">
        <v>321</v>
      </c>
      <c r="E455" s="21">
        <v>46291.77547453704</v>
      </c>
      <c r="F455" s="19">
        <v>3</v>
      </c>
      <c r="G455" s="19">
        <v>8901383140012</v>
      </c>
      <c r="H455" s="19">
        <v>1</v>
      </c>
      <c r="I455" s="19">
        <v>199</v>
      </c>
      <c r="J455" s="19">
        <v>0</v>
      </c>
      <c r="K455" s="19">
        <v>0</v>
      </c>
      <c r="L455" s="19">
        <v>0</v>
      </c>
      <c r="M455" s="19">
        <v>199</v>
      </c>
      <c r="N455" s="19">
        <v>9.48</v>
      </c>
      <c r="O455" s="19">
        <v>5</v>
      </c>
      <c r="P455" s="19" t="s">
        <v>322</v>
      </c>
      <c r="Q455" s="19">
        <v>50157523</v>
      </c>
      <c r="R455" s="19" t="s">
        <v>57</v>
      </c>
      <c r="S455" s="19">
        <v>50195439</v>
      </c>
      <c r="T455" s="19"/>
      <c r="U455" s="19" t="s">
        <v>58</v>
      </c>
      <c r="V455" s="18">
        <v>0</v>
      </c>
      <c r="W455" s="17">
        <f t="shared" si="16"/>
        <v>18</v>
      </c>
      <c r="X455" s="5">
        <f t="shared" si="17"/>
        <v>1</v>
      </c>
    </row>
    <row r="456" spans="1:24" x14ac:dyDescent="0.25">
      <c r="A456" s="19">
        <v>28</v>
      </c>
      <c r="B456" s="19" t="s">
        <v>55</v>
      </c>
      <c r="C456" s="19" t="s">
        <v>56</v>
      </c>
      <c r="D456" s="19" t="s">
        <v>321</v>
      </c>
      <c r="E456" s="21">
        <v>46291.77547453704</v>
      </c>
      <c r="F456" s="19">
        <v>3</v>
      </c>
      <c r="G456" s="19">
        <v>8904027128599</v>
      </c>
      <c r="H456" s="19">
        <v>1</v>
      </c>
      <c r="I456" s="19">
        <v>799</v>
      </c>
      <c r="J456" s="19">
        <v>0</v>
      </c>
      <c r="K456" s="19">
        <v>0</v>
      </c>
      <c r="L456" s="19">
        <v>0</v>
      </c>
      <c r="M456" s="19">
        <v>799</v>
      </c>
      <c r="N456" s="19">
        <v>121.88</v>
      </c>
      <c r="O456" s="19">
        <v>18</v>
      </c>
      <c r="P456" s="19" t="s">
        <v>323</v>
      </c>
      <c r="Q456" s="19">
        <v>50157523</v>
      </c>
      <c r="R456" s="19" t="s">
        <v>57</v>
      </c>
      <c r="S456" s="19">
        <v>50000002</v>
      </c>
      <c r="T456" s="19"/>
      <c r="U456" s="19" t="s">
        <v>58</v>
      </c>
      <c r="V456" s="18">
        <v>0</v>
      </c>
      <c r="W456" s="17">
        <f t="shared" si="16"/>
        <v>18</v>
      </c>
      <c r="X456" s="5">
        <f t="shared" si="17"/>
        <v>0</v>
      </c>
    </row>
    <row r="457" spans="1:24" x14ac:dyDescent="0.25">
      <c r="A457" s="19">
        <v>83</v>
      </c>
      <c r="B457" s="19" t="s">
        <v>55</v>
      </c>
      <c r="C457" s="19" t="s">
        <v>56</v>
      </c>
      <c r="D457" s="19" t="s">
        <v>324</v>
      </c>
      <c r="E457" s="21">
        <v>46291.784143518518</v>
      </c>
      <c r="F457" s="19">
        <v>3</v>
      </c>
      <c r="G457" s="19">
        <v>5000394121171</v>
      </c>
      <c r="H457" s="19">
        <v>1</v>
      </c>
      <c r="I457" s="19">
        <v>120</v>
      </c>
      <c r="J457" s="19">
        <v>-44.28</v>
      </c>
      <c r="K457" s="19">
        <v>0</v>
      </c>
      <c r="L457" s="19">
        <v>-44.28</v>
      </c>
      <c r="M457" s="19">
        <v>75.72</v>
      </c>
      <c r="N457" s="19">
        <v>11.56</v>
      </c>
      <c r="O457" s="19">
        <v>18</v>
      </c>
      <c r="P457" s="19" t="s">
        <v>143</v>
      </c>
      <c r="Q457" s="19">
        <v>50170981</v>
      </c>
      <c r="R457" s="19" t="s">
        <v>57</v>
      </c>
      <c r="S457" s="19"/>
      <c r="T457" s="19"/>
      <c r="U457" s="19" t="s">
        <v>58</v>
      </c>
      <c r="V457" s="18">
        <v>0</v>
      </c>
      <c r="W457" s="17">
        <f t="shared" si="16"/>
        <v>18</v>
      </c>
      <c r="X457" s="5">
        <f t="shared" si="17"/>
        <v>1</v>
      </c>
    </row>
    <row r="458" spans="1:24" x14ac:dyDescent="0.25">
      <c r="A458" s="19">
        <v>83</v>
      </c>
      <c r="B458" s="19" t="s">
        <v>55</v>
      </c>
      <c r="C458" s="19" t="s">
        <v>56</v>
      </c>
      <c r="D458" s="19" t="s">
        <v>324</v>
      </c>
      <c r="E458" s="21">
        <v>46291.784143518518</v>
      </c>
      <c r="F458" s="19">
        <v>3</v>
      </c>
      <c r="G458" s="19">
        <v>8904384330079</v>
      </c>
      <c r="H458" s="19">
        <v>1</v>
      </c>
      <c r="I458" s="19">
        <v>1999</v>
      </c>
      <c r="J458" s="19">
        <v>-737.68</v>
      </c>
      <c r="K458" s="19">
        <v>0</v>
      </c>
      <c r="L458" s="19">
        <v>-737.68</v>
      </c>
      <c r="M458" s="19">
        <v>1261.32</v>
      </c>
      <c r="N458" s="19">
        <v>192.4</v>
      </c>
      <c r="O458" s="19">
        <v>18</v>
      </c>
      <c r="P458" s="19" t="s">
        <v>230</v>
      </c>
      <c r="Q458" s="19">
        <v>50170981</v>
      </c>
      <c r="R458" s="19" t="s">
        <v>57</v>
      </c>
      <c r="S458" s="19">
        <v>50195907</v>
      </c>
      <c r="T458" s="19"/>
      <c r="U458" s="19" t="s">
        <v>58</v>
      </c>
      <c r="V458" s="18">
        <v>0</v>
      </c>
      <c r="W458" s="17">
        <f t="shared" si="16"/>
        <v>18</v>
      </c>
      <c r="X458" s="5">
        <f t="shared" si="17"/>
        <v>0</v>
      </c>
    </row>
    <row r="459" spans="1:24" x14ac:dyDescent="0.25">
      <c r="A459" s="19">
        <v>83</v>
      </c>
      <c r="B459" s="19" t="s">
        <v>55</v>
      </c>
      <c r="C459" s="19" t="s">
        <v>56</v>
      </c>
      <c r="D459" s="19" t="s">
        <v>324</v>
      </c>
      <c r="E459" s="21">
        <v>46291.784143518518</v>
      </c>
      <c r="F459" s="19">
        <v>3</v>
      </c>
      <c r="G459" s="19">
        <v>494500285</v>
      </c>
      <c r="H459" s="19">
        <v>1</v>
      </c>
      <c r="I459" s="19">
        <v>1999</v>
      </c>
      <c r="J459" s="19">
        <v>-737.68</v>
      </c>
      <c r="K459" s="19">
        <v>0</v>
      </c>
      <c r="L459" s="19">
        <v>-737.68</v>
      </c>
      <c r="M459" s="19">
        <v>1261.32</v>
      </c>
      <c r="N459" s="19">
        <v>192.4</v>
      </c>
      <c r="O459" s="19">
        <v>18</v>
      </c>
      <c r="P459" s="19" t="s">
        <v>137</v>
      </c>
      <c r="Q459" s="19">
        <v>50170981</v>
      </c>
      <c r="R459" s="19" t="s">
        <v>57</v>
      </c>
      <c r="S459" s="19"/>
      <c r="T459" s="19"/>
      <c r="U459" s="19" t="s">
        <v>58</v>
      </c>
      <c r="V459" s="18">
        <v>0</v>
      </c>
      <c r="W459" s="17">
        <f t="shared" si="16"/>
        <v>18</v>
      </c>
      <c r="X459" s="5">
        <f t="shared" si="17"/>
        <v>0</v>
      </c>
    </row>
    <row r="460" spans="1:24" x14ac:dyDescent="0.25">
      <c r="A460" s="19">
        <v>83</v>
      </c>
      <c r="B460" s="19" t="s">
        <v>55</v>
      </c>
      <c r="C460" s="19" t="s">
        <v>56</v>
      </c>
      <c r="D460" s="19" t="s">
        <v>324</v>
      </c>
      <c r="E460" s="21">
        <v>46291.784143518518</v>
      </c>
      <c r="F460" s="19">
        <v>3</v>
      </c>
      <c r="G460" s="19">
        <v>8904432223735</v>
      </c>
      <c r="H460" s="19">
        <v>1</v>
      </c>
      <c r="I460" s="19">
        <v>799</v>
      </c>
      <c r="J460" s="19">
        <v>-294.85000000000002</v>
      </c>
      <c r="K460" s="19">
        <v>0</v>
      </c>
      <c r="L460" s="19">
        <v>-294.85000000000002</v>
      </c>
      <c r="M460" s="19">
        <v>504.15</v>
      </c>
      <c r="N460" s="19">
        <v>24</v>
      </c>
      <c r="O460" s="19">
        <v>5</v>
      </c>
      <c r="P460" s="19" t="s">
        <v>325</v>
      </c>
      <c r="Q460" s="19">
        <v>50170981</v>
      </c>
      <c r="R460" s="19" t="s">
        <v>57</v>
      </c>
      <c r="S460" s="19">
        <v>50195907</v>
      </c>
      <c r="T460" s="19"/>
      <c r="U460" s="19" t="s">
        <v>58</v>
      </c>
      <c r="V460" s="18">
        <v>0</v>
      </c>
      <c r="W460" s="17">
        <f t="shared" si="16"/>
        <v>18</v>
      </c>
      <c r="X460" s="5">
        <f t="shared" si="17"/>
        <v>0</v>
      </c>
    </row>
    <row r="461" spans="1:24" x14ac:dyDescent="0.25">
      <c r="A461" s="19"/>
      <c r="B461" s="19"/>
      <c r="C461" s="19"/>
      <c r="D461" s="19"/>
      <c r="E461" s="21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8">
        <v>0</v>
      </c>
      <c r="W461" s="17">
        <f t="shared" si="16"/>
        <v>0</v>
      </c>
      <c r="X461" s="5">
        <f t="shared" si="17"/>
        <v>1</v>
      </c>
    </row>
    <row r="462" spans="1:24" x14ac:dyDescent="0.25">
      <c r="A462" s="19"/>
      <c r="B462" s="19"/>
      <c r="C462" s="19"/>
      <c r="D462" s="19"/>
      <c r="E462" s="21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8">
        <v>0</v>
      </c>
      <c r="W462" s="17">
        <f t="shared" si="16"/>
        <v>0</v>
      </c>
      <c r="X462" s="5">
        <f t="shared" si="17"/>
        <v>0</v>
      </c>
    </row>
    <row r="463" spans="1:24" x14ac:dyDescent="0.25">
      <c r="A463" s="19"/>
      <c r="B463" s="19"/>
      <c r="C463" s="19"/>
      <c r="D463" s="19"/>
      <c r="E463" s="21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8">
        <v>0</v>
      </c>
      <c r="W463" s="17">
        <f t="shared" si="16"/>
        <v>0</v>
      </c>
      <c r="X463" s="5">
        <f t="shared" si="17"/>
        <v>0</v>
      </c>
    </row>
    <row r="464" spans="1:24" x14ac:dyDescent="0.25">
      <c r="A464" s="19"/>
      <c r="B464" s="19"/>
      <c r="C464" s="19"/>
      <c r="D464" s="19"/>
      <c r="E464" s="21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8">
        <v>0</v>
      </c>
      <c r="W464" s="17">
        <f t="shared" si="16"/>
        <v>0</v>
      </c>
      <c r="X464" s="5">
        <f t="shared" si="17"/>
        <v>0</v>
      </c>
    </row>
    <row r="465" spans="1:24" x14ac:dyDescent="0.25">
      <c r="A465" s="19"/>
      <c r="B465" s="19"/>
      <c r="C465" s="19"/>
      <c r="D465" s="19"/>
      <c r="E465" s="21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8">
        <v>0</v>
      </c>
      <c r="W465" s="17">
        <f t="shared" si="16"/>
        <v>0</v>
      </c>
      <c r="X465" s="5">
        <f t="shared" si="17"/>
        <v>0</v>
      </c>
    </row>
    <row r="466" spans="1:24" x14ac:dyDescent="0.25">
      <c r="A466" s="19"/>
      <c r="B466" s="19"/>
      <c r="C466" s="19"/>
      <c r="D466" s="19"/>
      <c r="E466" s="21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8">
        <v>0</v>
      </c>
      <c r="W466" s="17">
        <f t="shared" si="16"/>
        <v>0</v>
      </c>
      <c r="X466" s="5">
        <f t="shared" si="17"/>
        <v>0</v>
      </c>
    </row>
    <row r="467" spans="1:24" x14ac:dyDescent="0.25">
      <c r="A467" s="19"/>
      <c r="B467" s="19"/>
      <c r="C467" s="19"/>
      <c r="D467" s="19"/>
      <c r="E467" s="21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8">
        <v>0</v>
      </c>
      <c r="W467" s="17">
        <f t="shared" si="16"/>
        <v>0</v>
      </c>
      <c r="X467" s="5">
        <f t="shared" si="17"/>
        <v>0</v>
      </c>
    </row>
    <row r="468" spans="1:24" x14ac:dyDescent="0.25">
      <c r="A468" s="19"/>
      <c r="B468" s="19"/>
      <c r="C468" s="19"/>
      <c r="D468" s="19"/>
      <c r="E468" s="21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8">
        <v>0</v>
      </c>
      <c r="W468" s="17">
        <f t="shared" si="16"/>
        <v>0</v>
      </c>
      <c r="X468" s="5">
        <f t="shared" si="17"/>
        <v>0</v>
      </c>
    </row>
    <row r="469" spans="1:24" x14ac:dyDescent="0.25">
      <c r="A469" s="19"/>
      <c r="B469" s="19"/>
      <c r="C469" s="19"/>
      <c r="D469" s="19"/>
      <c r="E469" s="21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8">
        <v>0</v>
      </c>
      <c r="W469" s="17">
        <f t="shared" si="16"/>
        <v>0</v>
      </c>
      <c r="X469" s="5">
        <f t="shared" si="17"/>
        <v>0</v>
      </c>
    </row>
    <row r="470" spans="1:24" x14ac:dyDescent="0.25">
      <c r="A470" s="19"/>
      <c r="B470" s="19"/>
      <c r="C470" s="19"/>
      <c r="D470" s="19"/>
      <c r="E470" s="21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8">
        <v>0</v>
      </c>
      <c r="W470" s="17">
        <f t="shared" si="16"/>
        <v>0</v>
      </c>
      <c r="X470" s="5">
        <f t="shared" si="17"/>
        <v>0</v>
      </c>
    </row>
    <row r="471" spans="1:24" x14ac:dyDescent="0.25">
      <c r="A471" s="19"/>
      <c r="B471" s="19"/>
      <c r="C471" s="19"/>
      <c r="D471" s="19"/>
      <c r="E471" s="21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8">
        <v>0</v>
      </c>
      <c r="W471" s="17">
        <f t="shared" si="16"/>
        <v>0</v>
      </c>
      <c r="X471" s="5">
        <f t="shared" si="17"/>
        <v>0</v>
      </c>
    </row>
    <row r="472" spans="1:24" x14ac:dyDescent="0.25">
      <c r="A472" s="19"/>
      <c r="B472" s="19"/>
      <c r="C472" s="19"/>
      <c r="D472" s="19"/>
      <c r="E472" s="21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8">
        <v>0</v>
      </c>
      <c r="W472" s="17">
        <f t="shared" si="16"/>
        <v>0</v>
      </c>
      <c r="X472" s="5">
        <f t="shared" si="17"/>
        <v>0</v>
      </c>
    </row>
    <row r="473" spans="1:24" x14ac:dyDescent="0.25">
      <c r="A473" s="19"/>
      <c r="B473" s="19"/>
      <c r="C473" s="19"/>
      <c r="D473" s="19"/>
      <c r="E473" s="21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8">
        <v>0</v>
      </c>
      <c r="W473" s="17">
        <f t="shared" si="16"/>
        <v>0</v>
      </c>
      <c r="X473" s="5">
        <f t="shared" si="17"/>
        <v>0</v>
      </c>
    </row>
    <row r="474" spans="1:24" x14ac:dyDescent="0.25">
      <c r="A474" s="19"/>
      <c r="B474" s="19"/>
      <c r="C474" s="19"/>
      <c r="D474" s="19"/>
      <c r="E474" s="21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8">
        <v>0</v>
      </c>
      <c r="W474" s="17">
        <f t="shared" si="16"/>
        <v>0</v>
      </c>
      <c r="X474" s="5">
        <f t="shared" si="17"/>
        <v>0</v>
      </c>
    </row>
    <row r="475" spans="1:24" x14ac:dyDescent="0.25">
      <c r="A475" s="19"/>
      <c r="B475" s="19"/>
      <c r="C475" s="19"/>
      <c r="D475" s="19"/>
      <c r="E475" s="21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8">
        <v>0</v>
      </c>
      <c r="W475" s="17">
        <f t="shared" si="16"/>
        <v>0</v>
      </c>
      <c r="X475" s="5">
        <f t="shared" si="17"/>
        <v>0</v>
      </c>
    </row>
    <row r="476" spans="1:24" x14ac:dyDescent="0.25">
      <c r="A476" s="19"/>
      <c r="B476" s="19"/>
      <c r="C476" s="19"/>
      <c r="D476" s="19"/>
      <c r="E476" s="21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8">
        <v>0</v>
      </c>
      <c r="W476" s="17">
        <f t="shared" si="16"/>
        <v>0</v>
      </c>
      <c r="X476" s="5">
        <f t="shared" si="17"/>
        <v>0</v>
      </c>
    </row>
    <row r="477" spans="1:24" x14ac:dyDescent="0.25">
      <c r="A477" s="19"/>
      <c r="B477" s="19"/>
      <c r="C477" s="19"/>
      <c r="D477" s="19"/>
      <c r="E477" s="21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8">
        <v>0</v>
      </c>
      <c r="W477" s="17">
        <f t="shared" si="16"/>
        <v>0</v>
      </c>
      <c r="X477" s="5">
        <f t="shared" si="17"/>
        <v>0</v>
      </c>
    </row>
    <row r="478" spans="1:24" x14ac:dyDescent="0.25">
      <c r="A478" s="19"/>
      <c r="B478" s="19"/>
      <c r="C478" s="19"/>
      <c r="D478" s="19"/>
      <c r="E478" s="21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8">
        <v>0</v>
      </c>
      <c r="W478" s="17">
        <f t="shared" si="16"/>
        <v>0</v>
      </c>
      <c r="X478" s="5">
        <f t="shared" si="17"/>
        <v>0</v>
      </c>
    </row>
    <row r="479" spans="1:24" x14ac:dyDescent="0.25">
      <c r="A479" s="19"/>
      <c r="B479" s="19"/>
      <c r="C479" s="19"/>
      <c r="D479" s="19"/>
      <c r="E479" s="21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8">
        <v>0</v>
      </c>
      <c r="W479" s="17">
        <f t="shared" si="16"/>
        <v>0</v>
      </c>
      <c r="X479" s="5">
        <f t="shared" si="17"/>
        <v>0</v>
      </c>
    </row>
    <row r="480" spans="1:24" x14ac:dyDescent="0.25">
      <c r="A480" s="19"/>
      <c r="B480" s="19"/>
      <c r="C480" s="19"/>
      <c r="D480" s="19"/>
      <c r="E480" s="21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8">
        <v>0</v>
      </c>
      <c r="W480" s="17">
        <f t="shared" si="16"/>
        <v>0</v>
      </c>
      <c r="X480" s="5">
        <f t="shared" si="17"/>
        <v>0</v>
      </c>
    </row>
    <row r="481" spans="1:24" x14ac:dyDescent="0.25">
      <c r="A481" s="19"/>
      <c r="B481" s="19"/>
      <c r="C481" s="19"/>
      <c r="D481" s="19"/>
      <c r="E481" s="21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8">
        <v>0</v>
      </c>
      <c r="W481" s="17">
        <f t="shared" si="16"/>
        <v>0</v>
      </c>
      <c r="X481" s="5">
        <f t="shared" si="17"/>
        <v>0</v>
      </c>
    </row>
    <row r="482" spans="1:24" x14ac:dyDescent="0.25">
      <c r="A482" s="19"/>
      <c r="B482" s="19"/>
      <c r="C482" s="19"/>
      <c r="D482" s="19"/>
      <c r="E482" s="21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8">
        <v>0</v>
      </c>
      <c r="W482" s="17">
        <f t="shared" si="16"/>
        <v>0</v>
      </c>
      <c r="X482" s="5">
        <f t="shared" si="17"/>
        <v>0</v>
      </c>
    </row>
    <row r="483" spans="1:24" x14ac:dyDescent="0.25">
      <c r="A483" s="19"/>
      <c r="B483" s="19"/>
      <c r="C483" s="19"/>
      <c r="D483" s="19"/>
      <c r="E483" s="21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8">
        <v>0</v>
      </c>
      <c r="W483" s="17">
        <f t="shared" si="16"/>
        <v>0</v>
      </c>
      <c r="X483" s="5">
        <f t="shared" si="17"/>
        <v>0</v>
      </c>
    </row>
    <row r="484" spans="1:24" x14ac:dyDescent="0.25">
      <c r="A484" s="19"/>
      <c r="B484" s="19"/>
      <c r="C484" s="19"/>
      <c r="D484" s="19"/>
      <c r="E484" s="21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8">
        <v>0</v>
      </c>
      <c r="W484" s="17">
        <f t="shared" si="16"/>
        <v>0</v>
      </c>
      <c r="X484" s="5">
        <f t="shared" si="17"/>
        <v>0</v>
      </c>
    </row>
    <row r="485" spans="1:24" x14ac:dyDescent="0.25">
      <c r="A485" s="19"/>
      <c r="B485" s="19"/>
      <c r="C485" s="19"/>
      <c r="D485" s="19"/>
      <c r="E485" s="21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8">
        <v>0</v>
      </c>
      <c r="W485" s="17">
        <f t="shared" si="16"/>
        <v>0</v>
      </c>
      <c r="X485" s="5">
        <f t="shared" si="17"/>
        <v>0</v>
      </c>
    </row>
    <row r="486" spans="1:24" x14ac:dyDescent="0.25">
      <c r="A486" s="19"/>
      <c r="B486" s="19"/>
      <c r="C486" s="19"/>
      <c r="D486" s="19"/>
      <c r="E486" s="21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8">
        <v>0</v>
      </c>
      <c r="W486" s="17">
        <f t="shared" si="16"/>
        <v>0</v>
      </c>
      <c r="X486" s="5">
        <f t="shared" si="17"/>
        <v>0</v>
      </c>
    </row>
    <row r="487" spans="1:24" x14ac:dyDescent="0.25">
      <c r="A487" s="19"/>
      <c r="B487" s="19"/>
      <c r="C487" s="19"/>
      <c r="D487" s="19"/>
      <c r="E487" s="21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8">
        <v>0</v>
      </c>
      <c r="W487" s="17">
        <f t="shared" si="16"/>
        <v>0</v>
      </c>
      <c r="X487" s="5">
        <f t="shared" si="17"/>
        <v>0</v>
      </c>
    </row>
    <row r="488" spans="1:24" x14ac:dyDescent="0.25">
      <c r="A488" s="19"/>
      <c r="B488" s="19"/>
      <c r="C488" s="19"/>
      <c r="D488" s="19"/>
      <c r="E488" s="21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8">
        <v>0</v>
      </c>
      <c r="W488" s="17">
        <f t="shared" si="16"/>
        <v>0</v>
      </c>
      <c r="X488" s="5">
        <f t="shared" si="17"/>
        <v>0</v>
      </c>
    </row>
    <row r="489" spans="1:24" x14ac:dyDescent="0.25">
      <c r="A489" s="19"/>
      <c r="B489" s="19"/>
      <c r="C489" s="19"/>
      <c r="D489" s="19"/>
      <c r="E489" s="21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8">
        <v>0</v>
      </c>
      <c r="W489" s="17">
        <f t="shared" si="16"/>
        <v>0</v>
      </c>
      <c r="X489" s="5">
        <f t="shared" si="17"/>
        <v>0</v>
      </c>
    </row>
    <row r="490" spans="1:24" x14ac:dyDescent="0.25">
      <c r="A490" s="19"/>
      <c r="B490" s="19"/>
      <c r="C490" s="19"/>
      <c r="D490" s="19"/>
      <c r="E490" s="21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8">
        <v>0</v>
      </c>
      <c r="W490" s="17">
        <f t="shared" si="16"/>
        <v>0</v>
      </c>
      <c r="X490" s="5">
        <f t="shared" si="17"/>
        <v>0</v>
      </c>
    </row>
    <row r="491" spans="1:24" x14ac:dyDescent="0.25">
      <c r="A491" s="19"/>
      <c r="B491" s="19"/>
      <c r="C491" s="19"/>
      <c r="D491" s="19"/>
      <c r="E491" s="21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8">
        <v>0</v>
      </c>
      <c r="W491" s="17">
        <f t="shared" si="16"/>
        <v>0</v>
      </c>
      <c r="X491" s="5">
        <f t="shared" si="17"/>
        <v>0</v>
      </c>
    </row>
    <row r="492" spans="1:24" x14ac:dyDescent="0.25">
      <c r="A492" s="19"/>
      <c r="B492" s="19"/>
      <c r="C492" s="19"/>
      <c r="D492" s="19"/>
      <c r="E492" s="21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8">
        <v>0</v>
      </c>
      <c r="W492" s="17">
        <f t="shared" si="16"/>
        <v>0</v>
      </c>
      <c r="X492" s="5">
        <f t="shared" si="17"/>
        <v>0</v>
      </c>
    </row>
    <row r="493" spans="1:24" x14ac:dyDescent="0.25">
      <c r="A493" s="19"/>
      <c r="B493" s="19"/>
      <c r="C493" s="19"/>
      <c r="D493" s="19"/>
      <c r="E493" s="21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8">
        <v>0</v>
      </c>
      <c r="W493" s="17">
        <f t="shared" si="16"/>
        <v>0</v>
      </c>
      <c r="X493" s="5">
        <f t="shared" si="17"/>
        <v>0</v>
      </c>
    </row>
    <row r="494" spans="1:24" x14ac:dyDescent="0.25">
      <c r="A494" s="19"/>
      <c r="B494" s="19"/>
      <c r="C494" s="19"/>
      <c r="D494" s="19"/>
      <c r="E494" s="21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8">
        <v>0</v>
      </c>
      <c r="W494" s="17">
        <f t="shared" si="16"/>
        <v>0</v>
      </c>
      <c r="X494" s="5">
        <f t="shared" si="17"/>
        <v>0</v>
      </c>
    </row>
    <row r="495" spans="1:24" x14ac:dyDescent="0.25">
      <c r="A495" s="19"/>
      <c r="B495" s="19"/>
      <c r="C495" s="19"/>
      <c r="D495" s="19"/>
      <c r="E495" s="21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8">
        <v>0</v>
      </c>
      <c r="W495" s="17">
        <f t="shared" si="16"/>
        <v>0</v>
      </c>
      <c r="X495" s="5">
        <f t="shared" si="17"/>
        <v>0</v>
      </c>
    </row>
    <row r="496" spans="1:24" x14ac:dyDescent="0.25">
      <c r="A496" s="19"/>
      <c r="B496" s="19"/>
      <c r="C496" s="19"/>
      <c r="D496" s="19"/>
      <c r="E496" s="21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8">
        <v>0</v>
      </c>
      <c r="W496" s="17">
        <f t="shared" si="16"/>
        <v>0</v>
      </c>
      <c r="X496" s="5">
        <f t="shared" si="17"/>
        <v>0</v>
      </c>
    </row>
    <row r="497" spans="1:24" x14ac:dyDescent="0.25">
      <c r="A497" s="19"/>
      <c r="B497" s="19"/>
      <c r="C497" s="19"/>
      <c r="D497" s="19"/>
      <c r="E497" s="21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8">
        <v>0</v>
      </c>
      <c r="W497" s="17">
        <f t="shared" si="16"/>
        <v>0</v>
      </c>
      <c r="X497" s="5">
        <f t="shared" si="17"/>
        <v>0</v>
      </c>
    </row>
    <row r="498" spans="1:24" x14ac:dyDescent="0.25">
      <c r="A498" s="19"/>
      <c r="B498" s="19"/>
      <c r="C498" s="19"/>
      <c r="D498" s="19"/>
      <c r="E498" s="21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8">
        <v>0</v>
      </c>
      <c r="W498" s="17">
        <f t="shared" si="16"/>
        <v>0</v>
      </c>
      <c r="X498" s="5">
        <f t="shared" si="17"/>
        <v>0</v>
      </c>
    </row>
    <row r="499" spans="1:24" x14ac:dyDescent="0.25">
      <c r="A499" s="19"/>
      <c r="B499" s="19"/>
      <c r="C499" s="19"/>
      <c r="D499" s="19"/>
      <c r="E499" s="21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8">
        <v>0</v>
      </c>
      <c r="W499" s="17">
        <f t="shared" si="16"/>
        <v>0</v>
      </c>
      <c r="X499" s="5">
        <f t="shared" si="17"/>
        <v>0</v>
      </c>
    </row>
    <row r="500" spans="1:24" x14ac:dyDescent="0.25">
      <c r="A500" s="19"/>
      <c r="B500" s="19"/>
      <c r="C500" s="19"/>
      <c r="D500" s="19"/>
      <c r="E500" s="21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8">
        <v>0</v>
      </c>
      <c r="W500" s="17">
        <f t="shared" si="16"/>
        <v>0</v>
      </c>
      <c r="X500" s="5">
        <f t="shared" si="17"/>
        <v>0</v>
      </c>
    </row>
    <row r="501" spans="1:24" x14ac:dyDescent="0.25">
      <c r="A501" s="19"/>
      <c r="B501" s="19"/>
      <c r="C501" s="19"/>
      <c r="D501" s="19"/>
      <c r="E501" s="21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8">
        <v>0</v>
      </c>
      <c r="W501" s="17">
        <f t="shared" si="16"/>
        <v>0</v>
      </c>
      <c r="X501" s="5">
        <f t="shared" si="17"/>
        <v>0</v>
      </c>
    </row>
    <row r="502" spans="1:24" x14ac:dyDescent="0.25">
      <c r="A502" s="19"/>
      <c r="B502" s="19"/>
      <c r="C502" s="19"/>
      <c r="D502" s="19"/>
      <c r="E502" s="21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8">
        <v>0</v>
      </c>
      <c r="W502" s="17">
        <f t="shared" si="16"/>
        <v>0</v>
      </c>
      <c r="X502" s="5">
        <f t="shared" si="17"/>
        <v>0</v>
      </c>
    </row>
    <row r="503" spans="1:24" x14ac:dyDescent="0.25">
      <c r="A503" s="19"/>
      <c r="B503" s="19"/>
      <c r="C503" s="19"/>
      <c r="D503" s="19"/>
      <c r="E503" s="21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8">
        <v>0</v>
      </c>
      <c r="W503" s="17">
        <f t="shared" si="16"/>
        <v>0</v>
      </c>
      <c r="X503" s="5">
        <f t="shared" si="17"/>
        <v>0</v>
      </c>
    </row>
    <row r="504" spans="1:24" x14ac:dyDescent="0.25">
      <c r="A504" s="19"/>
      <c r="B504" s="19"/>
      <c r="C504" s="19"/>
      <c r="D504" s="19"/>
      <c r="E504" s="21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8">
        <v>0</v>
      </c>
      <c r="W504" s="17">
        <f t="shared" si="16"/>
        <v>0</v>
      </c>
      <c r="X504" s="5">
        <f t="shared" si="17"/>
        <v>0</v>
      </c>
    </row>
    <row r="505" spans="1:24" x14ac:dyDescent="0.25">
      <c r="A505" s="19"/>
      <c r="B505" s="19"/>
      <c r="C505" s="19"/>
      <c r="D505" s="19"/>
      <c r="E505" s="21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8">
        <v>0</v>
      </c>
      <c r="W505" s="17">
        <f t="shared" si="16"/>
        <v>0</v>
      </c>
      <c r="X505" s="5">
        <f t="shared" si="17"/>
        <v>0</v>
      </c>
    </row>
    <row r="506" spans="1:24" x14ac:dyDescent="0.25">
      <c r="A506" s="19"/>
      <c r="B506" s="19"/>
      <c r="C506" s="19"/>
      <c r="D506" s="19"/>
      <c r="E506" s="21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8">
        <v>0</v>
      </c>
      <c r="W506" s="17">
        <f t="shared" si="16"/>
        <v>0</v>
      </c>
      <c r="X506" s="5">
        <f t="shared" si="17"/>
        <v>0</v>
      </c>
    </row>
    <row r="507" spans="1:24" x14ac:dyDescent="0.25">
      <c r="A507" s="19"/>
      <c r="B507" s="19"/>
      <c r="C507" s="19"/>
      <c r="D507" s="19"/>
      <c r="E507" s="21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25">
        <v>0</v>
      </c>
      <c r="W507" s="17">
        <f t="shared" si="16"/>
        <v>0</v>
      </c>
      <c r="X507" s="5">
        <f t="shared" si="17"/>
        <v>0</v>
      </c>
    </row>
    <row r="508" spans="1:24" x14ac:dyDescent="0.25">
      <c r="A508" s="19"/>
      <c r="B508" s="19"/>
      <c r="C508" s="19"/>
      <c r="D508" s="19"/>
      <c r="E508" s="21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25">
        <v>0</v>
      </c>
      <c r="W508" s="17">
        <f t="shared" si="16"/>
        <v>0</v>
      </c>
      <c r="X508" s="5">
        <f t="shared" si="17"/>
        <v>0</v>
      </c>
    </row>
    <row r="509" spans="1:24" x14ac:dyDescent="0.25">
      <c r="A509" s="19"/>
      <c r="B509" s="19"/>
      <c r="C509" s="19"/>
      <c r="D509" s="19"/>
      <c r="E509" s="21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25">
        <v>0</v>
      </c>
      <c r="W509" s="17">
        <f t="shared" si="16"/>
        <v>0</v>
      </c>
      <c r="X509" s="5">
        <f t="shared" si="17"/>
        <v>0</v>
      </c>
    </row>
    <row r="510" spans="1:24" x14ac:dyDescent="0.25">
      <c r="A510" s="19"/>
      <c r="B510" s="19"/>
      <c r="C510" s="19"/>
      <c r="D510" s="19"/>
      <c r="E510" s="21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25">
        <v>0</v>
      </c>
      <c r="W510" s="17">
        <f t="shared" si="16"/>
        <v>0</v>
      </c>
      <c r="X510" s="5">
        <f t="shared" si="17"/>
        <v>0</v>
      </c>
    </row>
    <row r="511" spans="1:24" x14ac:dyDescent="0.25">
      <c r="A511" s="19"/>
      <c r="B511" s="19"/>
      <c r="C511" s="19"/>
      <c r="D511" s="19"/>
      <c r="E511" s="21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25">
        <v>0</v>
      </c>
      <c r="W511" s="17">
        <f t="shared" si="16"/>
        <v>0</v>
      </c>
      <c r="X511" s="5">
        <f t="shared" si="17"/>
        <v>0</v>
      </c>
    </row>
    <row r="512" spans="1:24" x14ac:dyDescent="0.25">
      <c r="A512" s="19"/>
      <c r="B512" s="19"/>
      <c r="C512" s="19"/>
      <c r="D512" s="19"/>
      <c r="E512" s="21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25">
        <v>0</v>
      </c>
      <c r="W512" s="17">
        <f t="shared" si="16"/>
        <v>0</v>
      </c>
      <c r="X512" s="5">
        <f t="shared" si="17"/>
        <v>0</v>
      </c>
    </row>
    <row r="513" spans="1:24" x14ac:dyDescent="0.25">
      <c r="A513" s="19"/>
      <c r="B513" s="19"/>
      <c r="C513" s="19"/>
      <c r="D513" s="19"/>
      <c r="E513" s="21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25">
        <v>0</v>
      </c>
      <c r="W513" s="17">
        <f t="shared" si="16"/>
        <v>0</v>
      </c>
      <c r="X513" s="5">
        <f t="shared" si="17"/>
        <v>0</v>
      </c>
    </row>
    <row r="514" spans="1:24" x14ac:dyDescent="0.25">
      <c r="A514" s="19"/>
      <c r="B514" s="19"/>
      <c r="C514" s="19"/>
      <c r="D514" s="19"/>
      <c r="E514" s="21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25">
        <v>0</v>
      </c>
      <c r="W514" s="17">
        <f t="shared" si="16"/>
        <v>0</v>
      </c>
      <c r="X514" s="5">
        <f t="shared" si="17"/>
        <v>0</v>
      </c>
    </row>
    <row r="515" spans="1:24" x14ac:dyDescent="0.25">
      <c r="A515" s="19"/>
      <c r="B515" s="19"/>
      <c r="C515" s="19"/>
      <c r="D515" s="19"/>
      <c r="E515" s="21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25">
        <v>0</v>
      </c>
      <c r="W515" s="17">
        <f t="shared" ref="W515:W578" si="18">HOUR(E515)</f>
        <v>0</v>
      </c>
      <c r="X515" s="5">
        <f t="shared" ref="X515:X578" si="19">IF(D515=D514,0,1)</f>
        <v>0</v>
      </c>
    </row>
    <row r="516" spans="1:24" x14ac:dyDescent="0.25">
      <c r="A516" s="19"/>
      <c r="B516" s="19"/>
      <c r="C516" s="19"/>
      <c r="D516" s="19"/>
      <c r="E516" s="21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25">
        <v>0</v>
      </c>
      <c r="W516" s="17">
        <f t="shared" si="18"/>
        <v>0</v>
      </c>
      <c r="X516" s="5">
        <f t="shared" si="19"/>
        <v>0</v>
      </c>
    </row>
    <row r="517" spans="1:24" x14ac:dyDescent="0.25">
      <c r="A517" s="19"/>
      <c r="B517" s="19"/>
      <c r="C517" s="19"/>
      <c r="D517" s="19"/>
      <c r="E517" s="21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25">
        <v>0</v>
      </c>
      <c r="W517" s="17">
        <f t="shared" si="18"/>
        <v>0</v>
      </c>
      <c r="X517" s="5">
        <f t="shared" si="19"/>
        <v>0</v>
      </c>
    </row>
    <row r="518" spans="1:24" x14ac:dyDescent="0.25">
      <c r="A518" s="19"/>
      <c r="B518" s="19"/>
      <c r="C518" s="19"/>
      <c r="D518" s="19"/>
      <c r="E518" s="21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25">
        <v>0</v>
      </c>
      <c r="W518" s="17">
        <f t="shared" si="18"/>
        <v>0</v>
      </c>
      <c r="X518" s="5">
        <f t="shared" si="19"/>
        <v>0</v>
      </c>
    </row>
    <row r="519" spans="1:24" x14ac:dyDescent="0.25">
      <c r="A519" s="19"/>
      <c r="B519" s="19"/>
      <c r="C519" s="19"/>
      <c r="D519" s="19"/>
      <c r="E519" s="21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25">
        <v>0</v>
      </c>
      <c r="W519" s="17">
        <f t="shared" si="18"/>
        <v>0</v>
      </c>
      <c r="X519" s="5">
        <f t="shared" si="19"/>
        <v>0</v>
      </c>
    </row>
    <row r="520" spans="1:24" x14ac:dyDescent="0.25">
      <c r="A520" s="19"/>
      <c r="B520" s="19"/>
      <c r="C520" s="19"/>
      <c r="D520" s="19"/>
      <c r="E520" s="21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25">
        <v>0</v>
      </c>
      <c r="W520" s="17">
        <f t="shared" si="18"/>
        <v>0</v>
      </c>
      <c r="X520" s="5">
        <f t="shared" si="19"/>
        <v>0</v>
      </c>
    </row>
    <row r="521" spans="1:24" x14ac:dyDescent="0.25">
      <c r="A521" s="19"/>
      <c r="B521" s="19"/>
      <c r="C521" s="19"/>
      <c r="D521" s="19"/>
      <c r="E521" s="21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25">
        <v>0</v>
      </c>
      <c r="W521" s="17">
        <f t="shared" si="18"/>
        <v>0</v>
      </c>
      <c r="X521" s="5">
        <f t="shared" si="19"/>
        <v>0</v>
      </c>
    </row>
    <row r="522" spans="1:24" x14ac:dyDescent="0.25">
      <c r="A522" s="19"/>
      <c r="B522" s="19"/>
      <c r="C522" s="19"/>
      <c r="D522" s="19"/>
      <c r="E522" s="21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25">
        <v>0</v>
      </c>
      <c r="W522" s="17">
        <f t="shared" si="18"/>
        <v>0</v>
      </c>
      <c r="X522" s="5">
        <f t="shared" si="19"/>
        <v>0</v>
      </c>
    </row>
    <row r="523" spans="1:24" x14ac:dyDescent="0.25">
      <c r="A523" s="19"/>
      <c r="B523" s="19"/>
      <c r="C523" s="19"/>
      <c r="D523" s="19"/>
      <c r="E523" s="21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25">
        <v>0</v>
      </c>
      <c r="W523" s="17">
        <f t="shared" si="18"/>
        <v>0</v>
      </c>
      <c r="X523" s="5">
        <f t="shared" si="19"/>
        <v>0</v>
      </c>
    </row>
    <row r="524" spans="1:24" x14ac:dyDescent="0.25">
      <c r="A524" s="19"/>
      <c r="B524" s="19"/>
      <c r="C524" s="19"/>
      <c r="D524" s="19"/>
      <c r="E524" s="21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25">
        <v>0</v>
      </c>
      <c r="W524" s="17">
        <f t="shared" si="18"/>
        <v>0</v>
      </c>
      <c r="X524" s="5">
        <f t="shared" si="19"/>
        <v>0</v>
      </c>
    </row>
    <row r="525" spans="1:24" x14ac:dyDescent="0.25">
      <c r="A525" s="19"/>
      <c r="B525" s="19"/>
      <c r="C525" s="19"/>
      <c r="D525" s="19"/>
      <c r="E525" s="21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25">
        <v>0</v>
      </c>
      <c r="W525" s="17">
        <f t="shared" si="18"/>
        <v>0</v>
      </c>
      <c r="X525" s="5">
        <f t="shared" si="19"/>
        <v>0</v>
      </c>
    </row>
    <row r="526" spans="1:24" x14ac:dyDescent="0.25">
      <c r="A526" s="19"/>
      <c r="B526" s="19"/>
      <c r="C526" s="19"/>
      <c r="D526" s="19"/>
      <c r="E526" s="21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25">
        <v>0</v>
      </c>
      <c r="W526" s="17">
        <f t="shared" si="18"/>
        <v>0</v>
      </c>
      <c r="X526" s="5">
        <f t="shared" si="19"/>
        <v>0</v>
      </c>
    </row>
    <row r="527" spans="1:24" x14ac:dyDescent="0.25">
      <c r="A527" s="19"/>
      <c r="B527" s="19"/>
      <c r="C527" s="19"/>
      <c r="D527" s="19"/>
      <c r="E527" s="21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25">
        <v>0</v>
      </c>
      <c r="W527" s="17">
        <f t="shared" si="18"/>
        <v>0</v>
      </c>
      <c r="X527" s="5">
        <f t="shared" si="19"/>
        <v>0</v>
      </c>
    </row>
    <row r="528" spans="1:24" x14ac:dyDescent="0.25">
      <c r="A528" s="19"/>
      <c r="B528" s="19"/>
      <c r="C528" s="19"/>
      <c r="D528" s="19"/>
      <c r="E528" s="21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25">
        <v>0</v>
      </c>
      <c r="W528" s="17">
        <f t="shared" si="18"/>
        <v>0</v>
      </c>
      <c r="X528" s="5">
        <f t="shared" si="19"/>
        <v>0</v>
      </c>
    </row>
    <row r="529" spans="1:24" x14ac:dyDescent="0.25">
      <c r="A529" s="19"/>
      <c r="B529" s="19"/>
      <c r="C529" s="19"/>
      <c r="D529" s="19"/>
      <c r="E529" s="21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25">
        <v>0</v>
      </c>
      <c r="W529" s="17">
        <f t="shared" si="18"/>
        <v>0</v>
      </c>
      <c r="X529" s="5">
        <f t="shared" si="19"/>
        <v>0</v>
      </c>
    </row>
    <row r="530" spans="1:24" x14ac:dyDescent="0.25">
      <c r="A530" s="19"/>
      <c r="B530" s="19"/>
      <c r="C530" s="19"/>
      <c r="D530" s="19"/>
      <c r="E530" s="21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25">
        <v>0</v>
      </c>
      <c r="W530" s="17">
        <f t="shared" si="18"/>
        <v>0</v>
      </c>
      <c r="X530" s="5">
        <f t="shared" si="19"/>
        <v>0</v>
      </c>
    </row>
    <row r="531" spans="1:24" x14ac:dyDescent="0.25">
      <c r="A531" s="19"/>
      <c r="B531" s="19"/>
      <c r="C531" s="19"/>
      <c r="D531" s="19"/>
      <c r="E531" s="21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25">
        <v>0</v>
      </c>
      <c r="W531" s="17">
        <f t="shared" si="18"/>
        <v>0</v>
      </c>
      <c r="X531" s="5">
        <f t="shared" si="19"/>
        <v>0</v>
      </c>
    </row>
    <row r="532" spans="1:24" x14ac:dyDescent="0.25">
      <c r="A532" s="19"/>
      <c r="B532" s="19"/>
      <c r="C532" s="19"/>
      <c r="D532" s="19"/>
      <c r="E532" s="21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25">
        <v>0</v>
      </c>
      <c r="W532" s="17">
        <f t="shared" si="18"/>
        <v>0</v>
      </c>
      <c r="X532" s="5">
        <f t="shared" si="19"/>
        <v>0</v>
      </c>
    </row>
    <row r="533" spans="1:24" x14ac:dyDescent="0.25">
      <c r="A533" s="19"/>
      <c r="B533" s="19"/>
      <c r="C533" s="19"/>
      <c r="D533" s="19"/>
      <c r="E533" s="21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25">
        <v>0</v>
      </c>
      <c r="W533" s="17">
        <f t="shared" si="18"/>
        <v>0</v>
      </c>
      <c r="X533" s="5">
        <f t="shared" si="19"/>
        <v>0</v>
      </c>
    </row>
    <row r="534" spans="1:24" x14ac:dyDescent="0.25">
      <c r="A534" s="19"/>
      <c r="B534" s="19"/>
      <c r="C534" s="19"/>
      <c r="D534" s="19"/>
      <c r="E534" s="21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25">
        <v>0</v>
      </c>
      <c r="W534" s="17">
        <f t="shared" si="18"/>
        <v>0</v>
      </c>
      <c r="X534" s="5">
        <f t="shared" si="19"/>
        <v>0</v>
      </c>
    </row>
    <row r="535" spans="1:24" x14ac:dyDescent="0.25">
      <c r="A535" s="19"/>
      <c r="B535" s="19"/>
      <c r="C535" s="19"/>
      <c r="D535" s="19"/>
      <c r="E535" s="21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25">
        <v>0</v>
      </c>
      <c r="W535" s="17">
        <f t="shared" si="18"/>
        <v>0</v>
      </c>
      <c r="X535" s="5">
        <f t="shared" si="19"/>
        <v>0</v>
      </c>
    </row>
    <row r="536" spans="1:24" x14ac:dyDescent="0.25">
      <c r="A536" s="19"/>
      <c r="B536" s="19"/>
      <c r="C536" s="19"/>
      <c r="D536" s="19"/>
      <c r="E536" s="21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25">
        <v>0</v>
      </c>
      <c r="W536" s="17">
        <f t="shared" si="18"/>
        <v>0</v>
      </c>
      <c r="X536" s="5">
        <f t="shared" si="19"/>
        <v>0</v>
      </c>
    </row>
    <row r="537" spans="1:24" x14ac:dyDescent="0.25">
      <c r="A537" s="19"/>
      <c r="B537" s="19"/>
      <c r="C537" s="19"/>
      <c r="D537" s="19"/>
      <c r="E537" s="21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25">
        <v>0</v>
      </c>
      <c r="W537" s="17">
        <f t="shared" si="18"/>
        <v>0</v>
      </c>
      <c r="X537" s="5">
        <f t="shared" si="19"/>
        <v>0</v>
      </c>
    </row>
    <row r="538" spans="1:24" x14ac:dyDescent="0.25">
      <c r="A538" s="19"/>
      <c r="B538" s="19"/>
      <c r="C538" s="19"/>
      <c r="D538" s="19"/>
      <c r="E538" s="21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25">
        <v>0</v>
      </c>
      <c r="W538" s="17">
        <f t="shared" si="18"/>
        <v>0</v>
      </c>
      <c r="X538" s="5">
        <f t="shared" si="19"/>
        <v>0</v>
      </c>
    </row>
    <row r="539" spans="1:24" x14ac:dyDescent="0.25">
      <c r="A539" s="19"/>
      <c r="B539" s="19"/>
      <c r="C539" s="19"/>
      <c r="D539" s="19"/>
      <c r="E539" s="21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25">
        <v>0</v>
      </c>
      <c r="W539" s="17">
        <f t="shared" si="18"/>
        <v>0</v>
      </c>
      <c r="X539" s="5">
        <f t="shared" si="19"/>
        <v>0</v>
      </c>
    </row>
    <row r="540" spans="1:24" x14ac:dyDescent="0.25">
      <c r="A540" s="19"/>
      <c r="B540" s="19"/>
      <c r="C540" s="19"/>
      <c r="D540" s="19"/>
      <c r="E540" s="21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25">
        <v>0</v>
      </c>
      <c r="W540" s="17">
        <f t="shared" si="18"/>
        <v>0</v>
      </c>
      <c r="X540" s="5">
        <f t="shared" si="19"/>
        <v>0</v>
      </c>
    </row>
    <row r="541" spans="1:24" x14ac:dyDescent="0.25">
      <c r="A541" s="19"/>
      <c r="B541" s="19"/>
      <c r="C541" s="19"/>
      <c r="D541" s="19"/>
      <c r="E541" s="21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25">
        <v>0</v>
      </c>
      <c r="W541" s="17">
        <f t="shared" si="18"/>
        <v>0</v>
      </c>
      <c r="X541" s="5">
        <f t="shared" si="19"/>
        <v>0</v>
      </c>
    </row>
    <row r="542" spans="1:24" x14ac:dyDescent="0.25">
      <c r="A542" s="19"/>
      <c r="B542" s="19"/>
      <c r="C542" s="19"/>
      <c r="D542" s="19"/>
      <c r="E542" s="21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25">
        <v>0</v>
      </c>
      <c r="W542" s="17">
        <f t="shared" si="18"/>
        <v>0</v>
      </c>
      <c r="X542" s="5">
        <f t="shared" si="19"/>
        <v>0</v>
      </c>
    </row>
    <row r="543" spans="1:24" x14ac:dyDescent="0.25">
      <c r="A543" s="19"/>
      <c r="B543" s="19"/>
      <c r="C543" s="19"/>
      <c r="D543" s="19"/>
      <c r="E543" s="21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25">
        <v>0</v>
      </c>
      <c r="W543" s="17">
        <f t="shared" si="18"/>
        <v>0</v>
      </c>
      <c r="X543" s="5">
        <f t="shared" si="19"/>
        <v>0</v>
      </c>
    </row>
    <row r="544" spans="1:24" x14ac:dyDescent="0.25">
      <c r="A544" s="19"/>
      <c r="B544" s="19"/>
      <c r="C544" s="19"/>
      <c r="D544" s="19"/>
      <c r="E544" s="21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25">
        <v>0</v>
      </c>
      <c r="W544" s="17">
        <f t="shared" si="18"/>
        <v>0</v>
      </c>
      <c r="X544" s="5">
        <f t="shared" si="19"/>
        <v>0</v>
      </c>
    </row>
    <row r="545" spans="1:24" x14ac:dyDescent="0.2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5">
        <v>0</v>
      </c>
      <c r="W545" s="17">
        <f t="shared" si="18"/>
        <v>0</v>
      </c>
      <c r="X545" s="5">
        <f t="shared" si="19"/>
        <v>0</v>
      </c>
    </row>
    <row r="546" spans="1:24" x14ac:dyDescent="0.25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5">
        <v>0</v>
      </c>
      <c r="W546" s="17">
        <f t="shared" si="18"/>
        <v>0</v>
      </c>
      <c r="X546" s="5">
        <f t="shared" si="19"/>
        <v>0</v>
      </c>
    </row>
    <row r="547" spans="1:24" x14ac:dyDescent="0.25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5">
        <v>0</v>
      </c>
      <c r="W547" s="17">
        <f t="shared" si="18"/>
        <v>0</v>
      </c>
      <c r="X547" s="5">
        <f t="shared" si="19"/>
        <v>0</v>
      </c>
    </row>
    <row r="548" spans="1:24" x14ac:dyDescent="0.25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5">
        <v>0</v>
      </c>
      <c r="W548" s="17">
        <f t="shared" si="18"/>
        <v>0</v>
      </c>
      <c r="X548" s="5">
        <f t="shared" si="19"/>
        <v>0</v>
      </c>
    </row>
    <row r="549" spans="1:24" x14ac:dyDescent="0.25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5">
        <v>0</v>
      </c>
      <c r="W549" s="17">
        <f t="shared" si="18"/>
        <v>0</v>
      </c>
      <c r="X549" s="5">
        <f t="shared" si="19"/>
        <v>0</v>
      </c>
    </row>
    <row r="550" spans="1:24" x14ac:dyDescent="0.25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5">
        <v>0</v>
      </c>
      <c r="W550" s="17">
        <f t="shared" si="18"/>
        <v>0</v>
      </c>
      <c r="X550" s="5">
        <f t="shared" si="19"/>
        <v>0</v>
      </c>
    </row>
    <row r="551" spans="1:24" x14ac:dyDescent="0.25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5">
        <v>0</v>
      </c>
      <c r="W551" s="17">
        <f t="shared" si="18"/>
        <v>0</v>
      </c>
      <c r="X551" s="5">
        <f t="shared" si="19"/>
        <v>0</v>
      </c>
    </row>
    <row r="552" spans="1:24" x14ac:dyDescent="0.25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5">
        <v>0</v>
      </c>
      <c r="W552" s="17">
        <f t="shared" si="18"/>
        <v>0</v>
      </c>
      <c r="X552" s="5">
        <f t="shared" si="19"/>
        <v>0</v>
      </c>
    </row>
    <row r="553" spans="1:24" x14ac:dyDescent="0.25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5">
        <v>0</v>
      </c>
      <c r="W553" s="17">
        <f t="shared" si="18"/>
        <v>0</v>
      </c>
      <c r="X553" s="5">
        <f t="shared" si="19"/>
        <v>0</v>
      </c>
    </row>
    <row r="554" spans="1:24" x14ac:dyDescent="0.25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5">
        <v>0</v>
      </c>
      <c r="W554" s="17">
        <f t="shared" si="18"/>
        <v>0</v>
      </c>
      <c r="X554" s="5">
        <f t="shared" si="19"/>
        <v>0</v>
      </c>
    </row>
    <row r="555" spans="1:24" x14ac:dyDescent="0.2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5">
        <v>0</v>
      </c>
      <c r="W555" s="17">
        <f t="shared" si="18"/>
        <v>0</v>
      </c>
      <c r="X555" s="5">
        <f t="shared" si="19"/>
        <v>0</v>
      </c>
    </row>
    <row r="556" spans="1:24" x14ac:dyDescent="0.25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5">
        <v>0</v>
      </c>
      <c r="W556" s="17">
        <f t="shared" si="18"/>
        <v>0</v>
      </c>
      <c r="X556" s="5">
        <f t="shared" si="19"/>
        <v>0</v>
      </c>
    </row>
    <row r="557" spans="1:24" x14ac:dyDescent="0.25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5">
        <v>0</v>
      </c>
      <c r="W557" s="17">
        <f t="shared" si="18"/>
        <v>0</v>
      </c>
      <c r="X557" s="5">
        <f t="shared" si="19"/>
        <v>0</v>
      </c>
    </row>
    <row r="558" spans="1:24" x14ac:dyDescent="0.25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5">
        <v>0</v>
      </c>
      <c r="W558" s="17">
        <f t="shared" si="18"/>
        <v>0</v>
      </c>
      <c r="X558" s="5">
        <f t="shared" si="19"/>
        <v>0</v>
      </c>
    </row>
    <row r="559" spans="1:24" x14ac:dyDescent="0.25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5">
        <v>0</v>
      </c>
      <c r="W559" s="17">
        <f t="shared" si="18"/>
        <v>0</v>
      </c>
      <c r="X559" s="5">
        <f t="shared" si="19"/>
        <v>0</v>
      </c>
    </row>
    <row r="560" spans="1:24" x14ac:dyDescent="0.25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5">
        <v>0</v>
      </c>
      <c r="W560" s="17">
        <f t="shared" si="18"/>
        <v>0</v>
      </c>
      <c r="X560" s="5">
        <f t="shared" si="19"/>
        <v>0</v>
      </c>
    </row>
    <row r="561" spans="1:24" x14ac:dyDescent="0.25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5">
        <v>0</v>
      </c>
      <c r="W561" s="17">
        <f t="shared" si="18"/>
        <v>0</v>
      </c>
      <c r="X561" s="5">
        <f t="shared" si="19"/>
        <v>0</v>
      </c>
    </row>
    <row r="562" spans="1:24" x14ac:dyDescent="0.25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5">
        <v>0</v>
      </c>
      <c r="W562" s="17">
        <f t="shared" si="18"/>
        <v>0</v>
      </c>
      <c r="X562" s="5">
        <f t="shared" si="19"/>
        <v>0</v>
      </c>
    </row>
    <row r="563" spans="1:24" x14ac:dyDescent="0.25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5">
        <v>0</v>
      </c>
      <c r="W563" s="17">
        <f t="shared" si="18"/>
        <v>0</v>
      </c>
      <c r="X563" s="5">
        <f t="shared" si="19"/>
        <v>0</v>
      </c>
    </row>
    <row r="564" spans="1:24" x14ac:dyDescent="0.25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5">
        <v>0</v>
      </c>
      <c r="W564" s="17">
        <f t="shared" si="18"/>
        <v>0</v>
      </c>
      <c r="X564" s="5">
        <f t="shared" si="19"/>
        <v>0</v>
      </c>
    </row>
    <row r="565" spans="1:24" x14ac:dyDescent="0.2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5">
        <v>0</v>
      </c>
      <c r="W565" s="17">
        <f t="shared" si="18"/>
        <v>0</v>
      </c>
      <c r="X565" s="5">
        <f t="shared" si="19"/>
        <v>0</v>
      </c>
    </row>
    <row r="566" spans="1:24" x14ac:dyDescent="0.25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5">
        <v>0</v>
      </c>
      <c r="W566" s="17">
        <f t="shared" si="18"/>
        <v>0</v>
      </c>
      <c r="X566" s="5">
        <f t="shared" si="19"/>
        <v>0</v>
      </c>
    </row>
    <row r="567" spans="1:24" x14ac:dyDescent="0.25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5">
        <v>0</v>
      </c>
      <c r="W567" s="17">
        <f t="shared" si="18"/>
        <v>0</v>
      </c>
      <c r="X567" s="5">
        <f t="shared" si="19"/>
        <v>0</v>
      </c>
    </row>
    <row r="568" spans="1:24" x14ac:dyDescent="0.25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5">
        <v>0</v>
      </c>
      <c r="W568" s="17">
        <f t="shared" si="18"/>
        <v>0</v>
      </c>
      <c r="X568" s="5">
        <f t="shared" si="19"/>
        <v>0</v>
      </c>
    </row>
    <row r="569" spans="1:24" x14ac:dyDescent="0.25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5">
        <v>0</v>
      </c>
      <c r="W569" s="17">
        <f t="shared" si="18"/>
        <v>0</v>
      </c>
      <c r="X569" s="5">
        <f t="shared" si="19"/>
        <v>0</v>
      </c>
    </row>
    <row r="570" spans="1:24" x14ac:dyDescent="0.25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5">
        <v>0</v>
      </c>
      <c r="W570" s="17">
        <f t="shared" si="18"/>
        <v>0</v>
      </c>
      <c r="X570" s="5">
        <f t="shared" si="19"/>
        <v>0</v>
      </c>
    </row>
    <row r="571" spans="1:24" x14ac:dyDescent="0.25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5">
        <v>0</v>
      </c>
      <c r="W571" s="17">
        <f t="shared" si="18"/>
        <v>0</v>
      </c>
      <c r="X571" s="5">
        <f t="shared" si="19"/>
        <v>0</v>
      </c>
    </row>
    <row r="572" spans="1:24" x14ac:dyDescent="0.25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5">
        <v>0</v>
      </c>
      <c r="W572" s="17">
        <f t="shared" si="18"/>
        <v>0</v>
      </c>
      <c r="X572" s="5">
        <f t="shared" si="19"/>
        <v>0</v>
      </c>
    </row>
    <row r="573" spans="1:24" x14ac:dyDescent="0.25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5">
        <v>0</v>
      </c>
      <c r="W573" s="17">
        <f t="shared" si="18"/>
        <v>0</v>
      </c>
      <c r="X573" s="5">
        <f t="shared" si="19"/>
        <v>0</v>
      </c>
    </row>
    <row r="574" spans="1:24" x14ac:dyDescent="0.25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5">
        <v>0</v>
      </c>
      <c r="W574" s="17">
        <f t="shared" si="18"/>
        <v>0</v>
      </c>
      <c r="X574" s="5">
        <f t="shared" si="19"/>
        <v>0</v>
      </c>
    </row>
    <row r="575" spans="1:24" x14ac:dyDescent="0.2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5">
        <v>0</v>
      </c>
      <c r="W575" s="17">
        <f t="shared" si="18"/>
        <v>0</v>
      </c>
      <c r="X575" s="5">
        <f t="shared" si="19"/>
        <v>0</v>
      </c>
    </row>
    <row r="576" spans="1:24" x14ac:dyDescent="0.25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5">
        <v>0</v>
      </c>
      <c r="W576" s="17">
        <f t="shared" si="18"/>
        <v>0</v>
      </c>
      <c r="X576" s="5">
        <f t="shared" si="19"/>
        <v>0</v>
      </c>
    </row>
    <row r="577" spans="1:24" x14ac:dyDescent="0.25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5">
        <v>0</v>
      </c>
      <c r="W577" s="17">
        <f t="shared" si="18"/>
        <v>0</v>
      </c>
      <c r="X577" s="5">
        <f t="shared" si="19"/>
        <v>0</v>
      </c>
    </row>
    <row r="578" spans="1:24" x14ac:dyDescent="0.25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5">
        <v>0</v>
      </c>
      <c r="W578" s="17">
        <f t="shared" si="18"/>
        <v>0</v>
      </c>
      <c r="X578" s="5">
        <f t="shared" si="19"/>
        <v>0</v>
      </c>
    </row>
    <row r="579" spans="1:24" x14ac:dyDescent="0.25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5">
        <v>0</v>
      </c>
      <c r="W579" s="17">
        <f t="shared" ref="W579:W642" si="20">HOUR(E579)</f>
        <v>0</v>
      </c>
      <c r="X579" s="5">
        <f t="shared" ref="X579:X642" si="21">IF(D579=D578,0,1)</f>
        <v>0</v>
      </c>
    </row>
    <row r="580" spans="1:24" x14ac:dyDescent="0.25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5">
        <v>0</v>
      </c>
      <c r="W580" s="17">
        <f t="shared" si="20"/>
        <v>0</v>
      </c>
      <c r="X580" s="5">
        <f t="shared" si="21"/>
        <v>0</v>
      </c>
    </row>
    <row r="581" spans="1:24" x14ac:dyDescent="0.25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5">
        <v>0</v>
      </c>
      <c r="W581" s="17">
        <f t="shared" si="20"/>
        <v>0</v>
      </c>
      <c r="X581" s="5">
        <f t="shared" si="21"/>
        <v>0</v>
      </c>
    </row>
    <row r="582" spans="1:24" x14ac:dyDescent="0.25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5">
        <v>0</v>
      </c>
      <c r="W582" s="17">
        <f t="shared" si="20"/>
        <v>0</v>
      </c>
      <c r="X582" s="5">
        <f t="shared" si="21"/>
        <v>0</v>
      </c>
    </row>
    <row r="583" spans="1:24" x14ac:dyDescent="0.25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5">
        <v>0</v>
      </c>
      <c r="W583" s="17">
        <f t="shared" si="20"/>
        <v>0</v>
      </c>
      <c r="X583" s="5">
        <f t="shared" si="21"/>
        <v>0</v>
      </c>
    </row>
    <row r="584" spans="1:24" x14ac:dyDescent="0.25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5">
        <v>0</v>
      </c>
      <c r="W584" s="17">
        <f t="shared" si="20"/>
        <v>0</v>
      </c>
      <c r="X584" s="5">
        <f t="shared" si="21"/>
        <v>0</v>
      </c>
    </row>
    <row r="585" spans="1:24" x14ac:dyDescent="0.2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5">
        <v>0</v>
      </c>
      <c r="W585" s="17">
        <f t="shared" si="20"/>
        <v>0</v>
      </c>
      <c r="X585" s="5">
        <f t="shared" si="21"/>
        <v>0</v>
      </c>
    </row>
    <row r="586" spans="1:24" x14ac:dyDescent="0.25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5">
        <v>0</v>
      </c>
      <c r="W586" s="17">
        <f t="shared" si="20"/>
        <v>0</v>
      </c>
      <c r="X586" s="5">
        <f t="shared" si="21"/>
        <v>0</v>
      </c>
    </row>
    <row r="587" spans="1:24" x14ac:dyDescent="0.25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5">
        <v>0</v>
      </c>
      <c r="W587" s="17">
        <f t="shared" si="20"/>
        <v>0</v>
      </c>
      <c r="X587" s="5">
        <f t="shared" si="21"/>
        <v>0</v>
      </c>
    </row>
    <row r="588" spans="1:24" x14ac:dyDescent="0.25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5">
        <v>0</v>
      </c>
      <c r="W588" s="17">
        <f t="shared" si="20"/>
        <v>0</v>
      </c>
      <c r="X588" s="5">
        <f t="shared" si="21"/>
        <v>0</v>
      </c>
    </row>
    <row r="589" spans="1:24" x14ac:dyDescent="0.25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5">
        <v>0</v>
      </c>
      <c r="W589" s="17">
        <f t="shared" si="20"/>
        <v>0</v>
      </c>
      <c r="X589" s="5">
        <f t="shared" si="21"/>
        <v>0</v>
      </c>
    </row>
    <row r="590" spans="1:24" x14ac:dyDescent="0.25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5">
        <v>0</v>
      </c>
      <c r="W590" s="17">
        <f t="shared" si="20"/>
        <v>0</v>
      </c>
      <c r="X590" s="5">
        <f t="shared" si="21"/>
        <v>0</v>
      </c>
    </row>
    <row r="591" spans="1:24" x14ac:dyDescent="0.25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5">
        <v>0</v>
      </c>
      <c r="W591" s="17">
        <f t="shared" si="20"/>
        <v>0</v>
      </c>
      <c r="X591" s="5">
        <f t="shared" si="21"/>
        <v>0</v>
      </c>
    </row>
    <row r="592" spans="1:24" x14ac:dyDescent="0.25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5">
        <v>0</v>
      </c>
      <c r="W592" s="17">
        <f t="shared" si="20"/>
        <v>0</v>
      </c>
      <c r="X592" s="5">
        <f t="shared" si="21"/>
        <v>0</v>
      </c>
    </row>
    <row r="593" spans="1:24" x14ac:dyDescent="0.25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5">
        <v>0</v>
      </c>
      <c r="W593" s="17">
        <f t="shared" si="20"/>
        <v>0</v>
      </c>
      <c r="X593" s="5">
        <f t="shared" si="21"/>
        <v>0</v>
      </c>
    </row>
    <row r="594" spans="1:24" x14ac:dyDescent="0.25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5">
        <v>0</v>
      </c>
      <c r="W594" s="17">
        <f t="shared" si="20"/>
        <v>0</v>
      </c>
      <c r="X594" s="5">
        <f t="shared" si="21"/>
        <v>0</v>
      </c>
    </row>
    <row r="595" spans="1:24" x14ac:dyDescent="0.2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5">
        <v>0</v>
      </c>
      <c r="W595" s="17">
        <f t="shared" si="20"/>
        <v>0</v>
      </c>
      <c r="X595" s="5">
        <f t="shared" si="21"/>
        <v>0</v>
      </c>
    </row>
    <row r="596" spans="1:24" x14ac:dyDescent="0.25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5">
        <v>0</v>
      </c>
      <c r="W596" s="17">
        <f t="shared" si="20"/>
        <v>0</v>
      </c>
      <c r="X596" s="5">
        <f t="shared" si="21"/>
        <v>0</v>
      </c>
    </row>
    <row r="597" spans="1:24" x14ac:dyDescent="0.25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5">
        <v>0</v>
      </c>
      <c r="W597" s="17">
        <f t="shared" si="20"/>
        <v>0</v>
      </c>
      <c r="X597" s="5">
        <f t="shared" si="21"/>
        <v>0</v>
      </c>
    </row>
    <row r="598" spans="1:24" x14ac:dyDescent="0.25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5">
        <v>0</v>
      </c>
      <c r="W598" s="17">
        <f t="shared" si="20"/>
        <v>0</v>
      </c>
      <c r="X598" s="5">
        <f t="shared" si="21"/>
        <v>0</v>
      </c>
    </row>
    <row r="599" spans="1:24" x14ac:dyDescent="0.25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5">
        <v>0</v>
      </c>
      <c r="W599" s="17">
        <f t="shared" si="20"/>
        <v>0</v>
      </c>
      <c r="X599" s="5">
        <f t="shared" si="21"/>
        <v>0</v>
      </c>
    </row>
    <row r="600" spans="1:24" x14ac:dyDescent="0.25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5">
        <v>0</v>
      </c>
      <c r="W600" s="17">
        <f t="shared" si="20"/>
        <v>0</v>
      </c>
      <c r="X600" s="5">
        <f t="shared" si="21"/>
        <v>0</v>
      </c>
    </row>
    <row r="601" spans="1:24" x14ac:dyDescent="0.25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5">
        <v>0</v>
      </c>
      <c r="W601" s="17">
        <f t="shared" si="20"/>
        <v>0</v>
      </c>
      <c r="X601" s="5">
        <f t="shared" si="21"/>
        <v>0</v>
      </c>
    </row>
    <row r="602" spans="1:24" x14ac:dyDescent="0.25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5">
        <v>0</v>
      </c>
      <c r="W602" s="17">
        <f t="shared" si="20"/>
        <v>0</v>
      </c>
      <c r="X602" s="5">
        <f t="shared" si="21"/>
        <v>0</v>
      </c>
    </row>
    <row r="603" spans="1:24" x14ac:dyDescent="0.25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5">
        <v>0</v>
      </c>
      <c r="W603" s="17">
        <f t="shared" si="20"/>
        <v>0</v>
      </c>
      <c r="X603" s="5">
        <f t="shared" si="21"/>
        <v>0</v>
      </c>
    </row>
    <row r="604" spans="1:24" x14ac:dyDescent="0.25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5">
        <v>0</v>
      </c>
      <c r="W604" s="17">
        <f t="shared" si="20"/>
        <v>0</v>
      </c>
      <c r="X604" s="5">
        <f t="shared" si="21"/>
        <v>0</v>
      </c>
    </row>
    <row r="605" spans="1:24" x14ac:dyDescent="0.2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5">
        <v>0</v>
      </c>
      <c r="W605" s="17">
        <f t="shared" si="20"/>
        <v>0</v>
      </c>
      <c r="X605" s="5">
        <f t="shared" si="21"/>
        <v>0</v>
      </c>
    </row>
    <row r="606" spans="1:24" x14ac:dyDescent="0.25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5">
        <v>0</v>
      </c>
      <c r="W606" s="17">
        <f t="shared" si="20"/>
        <v>0</v>
      </c>
      <c r="X606" s="5">
        <f t="shared" si="21"/>
        <v>0</v>
      </c>
    </row>
    <row r="607" spans="1:24" x14ac:dyDescent="0.25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5">
        <v>0</v>
      </c>
      <c r="W607" s="17">
        <f t="shared" si="20"/>
        <v>0</v>
      </c>
      <c r="X607" s="5">
        <f t="shared" si="21"/>
        <v>0</v>
      </c>
    </row>
    <row r="608" spans="1:24" x14ac:dyDescent="0.25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5">
        <v>0</v>
      </c>
      <c r="W608" s="17">
        <f t="shared" si="20"/>
        <v>0</v>
      </c>
      <c r="X608" s="5">
        <f t="shared" si="21"/>
        <v>0</v>
      </c>
    </row>
    <row r="609" spans="1:24" x14ac:dyDescent="0.25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5">
        <v>0</v>
      </c>
      <c r="W609" s="17">
        <f t="shared" si="20"/>
        <v>0</v>
      </c>
      <c r="X609" s="5">
        <f t="shared" si="21"/>
        <v>0</v>
      </c>
    </row>
    <row r="610" spans="1:24" x14ac:dyDescent="0.25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5">
        <v>0</v>
      </c>
      <c r="W610" s="17">
        <f t="shared" si="20"/>
        <v>0</v>
      </c>
      <c r="X610" s="5">
        <f t="shared" si="21"/>
        <v>0</v>
      </c>
    </row>
    <row r="611" spans="1:24" x14ac:dyDescent="0.25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5">
        <v>0</v>
      </c>
      <c r="W611" s="17">
        <f t="shared" si="20"/>
        <v>0</v>
      </c>
      <c r="X611" s="5">
        <f t="shared" si="21"/>
        <v>0</v>
      </c>
    </row>
    <row r="612" spans="1:24" x14ac:dyDescent="0.25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5">
        <v>0</v>
      </c>
      <c r="W612" s="17">
        <f t="shared" si="20"/>
        <v>0</v>
      </c>
      <c r="X612" s="5">
        <f t="shared" si="21"/>
        <v>0</v>
      </c>
    </row>
    <row r="613" spans="1:24" x14ac:dyDescent="0.25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5">
        <v>0</v>
      </c>
      <c r="W613" s="17">
        <f t="shared" si="20"/>
        <v>0</v>
      </c>
      <c r="X613" s="5">
        <f t="shared" si="21"/>
        <v>0</v>
      </c>
    </row>
    <row r="614" spans="1:24" x14ac:dyDescent="0.25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5">
        <v>0</v>
      </c>
      <c r="W614" s="17">
        <f t="shared" si="20"/>
        <v>0</v>
      </c>
      <c r="X614" s="5">
        <f t="shared" si="21"/>
        <v>0</v>
      </c>
    </row>
    <row r="615" spans="1:24" x14ac:dyDescent="0.2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5">
        <v>0</v>
      </c>
      <c r="W615" s="17">
        <f t="shared" si="20"/>
        <v>0</v>
      </c>
      <c r="X615" s="5">
        <f t="shared" si="21"/>
        <v>0</v>
      </c>
    </row>
    <row r="616" spans="1:24" x14ac:dyDescent="0.25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5">
        <v>0</v>
      </c>
      <c r="W616" s="17">
        <f t="shared" si="20"/>
        <v>0</v>
      </c>
      <c r="X616" s="5">
        <f t="shared" si="21"/>
        <v>0</v>
      </c>
    </row>
    <row r="617" spans="1:24" x14ac:dyDescent="0.25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5">
        <v>0</v>
      </c>
      <c r="W617" s="17">
        <f t="shared" si="20"/>
        <v>0</v>
      </c>
      <c r="X617" s="5">
        <f t="shared" si="21"/>
        <v>0</v>
      </c>
    </row>
    <row r="618" spans="1:24" x14ac:dyDescent="0.25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5">
        <v>0</v>
      </c>
      <c r="W618" s="17">
        <f t="shared" si="20"/>
        <v>0</v>
      </c>
      <c r="X618" s="5">
        <f t="shared" si="21"/>
        <v>0</v>
      </c>
    </row>
    <row r="619" spans="1:24" x14ac:dyDescent="0.25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5">
        <v>0</v>
      </c>
      <c r="W619" s="17">
        <f t="shared" si="20"/>
        <v>0</v>
      </c>
      <c r="X619" s="5">
        <f t="shared" si="21"/>
        <v>0</v>
      </c>
    </row>
    <row r="620" spans="1:24" x14ac:dyDescent="0.25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5">
        <v>0</v>
      </c>
      <c r="W620" s="17">
        <f t="shared" si="20"/>
        <v>0</v>
      </c>
      <c r="X620" s="5">
        <f t="shared" si="21"/>
        <v>0</v>
      </c>
    </row>
    <row r="621" spans="1:24" x14ac:dyDescent="0.25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5">
        <v>0</v>
      </c>
      <c r="W621" s="17">
        <f t="shared" si="20"/>
        <v>0</v>
      </c>
      <c r="X621" s="5">
        <f t="shared" si="21"/>
        <v>0</v>
      </c>
    </row>
    <row r="622" spans="1:24" x14ac:dyDescent="0.25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5">
        <v>0</v>
      </c>
      <c r="W622" s="17">
        <f t="shared" si="20"/>
        <v>0</v>
      </c>
      <c r="X622" s="5">
        <f t="shared" si="21"/>
        <v>0</v>
      </c>
    </row>
    <row r="623" spans="1:24" x14ac:dyDescent="0.25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5">
        <v>0</v>
      </c>
      <c r="W623" s="17">
        <f t="shared" si="20"/>
        <v>0</v>
      </c>
      <c r="X623" s="5">
        <f t="shared" si="21"/>
        <v>0</v>
      </c>
    </row>
    <row r="624" spans="1:24" x14ac:dyDescent="0.25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5">
        <v>0</v>
      </c>
      <c r="W624" s="17">
        <f t="shared" si="20"/>
        <v>0</v>
      </c>
      <c r="X624" s="5">
        <f t="shared" si="21"/>
        <v>0</v>
      </c>
    </row>
    <row r="625" spans="1:24" x14ac:dyDescent="0.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5">
        <v>0</v>
      </c>
      <c r="W625" s="17">
        <f t="shared" si="20"/>
        <v>0</v>
      </c>
      <c r="X625" s="5">
        <f t="shared" si="21"/>
        <v>0</v>
      </c>
    </row>
    <row r="626" spans="1:24" x14ac:dyDescent="0.25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5">
        <v>0</v>
      </c>
      <c r="W626" s="17">
        <f t="shared" si="20"/>
        <v>0</v>
      </c>
      <c r="X626" s="5">
        <f t="shared" si="21"/>
        <v>0</v>
      </c>
    </row>
    <row r="627" spans="1:24" x14ac:dyDescent="0.25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5">
        <v>0</v>
      </c>
      <c r="W627" s="17">
        <f t="shared" si="20"/>
        <v>0</v>
      </c>
      <c r="X627" s="5">
        <f t="shared" si="21"/>
        <v>0</v>
      </c>
    </row>
    <row r="628" spans="1:24" x14ac:dyDescent="0.25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5">
        <v>0</v>
      </c>
      <c r="W628" s="17">
        <f t="shared" si="20"/>
        <v>0</v>
      </c>
      <c r="X628" s="5">
        <f t="shared" si="21"/>
        <v>0</v>
      </c>
    </row>
    <row r="629" spans="1:24" x14ac:dyDescent="0.25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5">
        <v>0</v>
      </c>
      <c r="W629" s="17">
        <f t="shared" si="20"/>
        <v>0</v>
      </c>
      <c r="X629" s="5">
        <f t="shared" si="21"/>
        <v>0</v>
      </c>
    </row>
    <row r="630" spans="1:24" x14ac:dyDescent="0.25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5">
        <v>0</v>
      </c>
      <c r="W630" s="17">
        <f t="shared" si="20"/>
        <v>0</v>
      </c>
      <c r="X630" s="5">
        <f t="shared" si="21"/>
        <v>0</v>
      </c>
    </row>
    <row r="631" spans="1:24" x14ac:dyDescent="0.25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5">
        <v>0</v>
      </c>
      <c r="W631" s="17">
        <f t="shared" si="20"/>
        <v>0</v>
      </c>
      <c r="X631" s="5">
        <f t="shared" si="21"/>
        <v>0</v>
      </c>
    </row>
    <row r="632" spans="1:24" x14ac:dyDescent="0.25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5">
        <v>0</v>
      </c>
      <c r="W632" s="17">
        <f t="shared" si="20"/>
        <v>0</v>
      </c>
      <c r="X632" s="5">
        <f t="shared" si="21"/>
        <v>0</v>
      </c>
    </row>
    <row r="633" spans="1:24" x14ac:dyDescent="0.25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5">
        <v>0</v>
      </c>
      <c r="W633" s="17">
        <f t="shared" si="20"/>
        <v>0</v>
      </c>
      <c r="X633" s="5">
        <f t="shared" si="21"/>
        <v>0</v>
      </c>
    </row>
    <row r="634" spans="1:24" x14ac:dyDescent="0.25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5">
        <v>0</v>
      </c>
      <c r="W634" s="17">
        <f t="shared" si="20"/>
        <v>0</v>
      </c>
      <c r="X634" s="5">
        <f t="shared" si="21"/>
        <v>0</v>
      </c>
    </row>
    <row r="635" spans="1:24" x14ac:dyDescent="0.2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5">
        <v>0</v>
      </c>
      <c r="W635" s="17">
        <f t="shared" si="20"/>
        <v>0</v>
      </c>
      <c r="X635" s="5">
        <f t="shared" si="21"/>
        <v>0</v>
      </c>
    </row>
    <row r="636" spans="1:24" x14ac:dyDescent="0.25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5">
        <v>0</v>
      </c>
      <c r="W636" s="17">
        <f t="shared" si="20"/>
        <v>0</v>
      </c>
      <c r="X636" s="5">
        <f t="shared" si="21"/>
        <v>0</v>
      </c>
    </row>
    <row r="637" spans="1:24" x14ac:dyDescent="0.25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5">
        <v>0</v>
      </c>
      <c r="W637" s="17">
        <f t="shared" si="20"/>
        <v>0</v>
      </c>
      <c r="X637" s="5">
        <f t="shared" si="21"/>
        <v>0</v>
      </c>
    </row>
    <row r="638" spans="1:24" x14ac:dyDescent="0.25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5">
        <v>0</v>
      </c>
      <c r="W638" s="17">
        <f t="shared" si="20"/>
        <v>0</v>
      </c>
      <c r="X638" s="5">
        <f t="shared" si="21"/>
        <v>0</v>
      </c>
    </row>
    <row r="639" spans="1:24" x14ac:dyDescent="0.25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5">
        <v>0</v>
      </c>
      <c r="W639" s="17">
        <f t="shared" si="20"/>
        <v>0</v>
      </c>
      <c r="X639" s="5">
        <f t="shared" si="21"/>
        <v>0</v>
      </c>
    </row>
    <row r="640" spans="1:24" x14ac:dyDescent="0.25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5">
        <v>0</v>
      </c>
      <c r="W640" s="17">
        <f t="shared" si="20"/>
        <v>0</v>
      </c>
      <c r="X640" s="5">
        <f t="shared" si="21"/>
        <v>0</v>
      </c>
    </row>
    <row r="641" spans="1:24" x14ac:dyDescent="0.25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5">
        <v>0</v>
      </c>
      <c r="W641" s="17">
        <f t="shared" si="20"/>
        <v>0</v>
      </c>
      <c r="X641" s="5">
        <f t="shared" si="21"/>
        <v>0</v>
      </c>
    </row>
    <row r="642" spans="1:24" x14ac:dyDescent="0.25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5">
        <v>0</v>
      </c>
      <c r="W642" s="17">
        <f t="shared" si="20"/>
        <v>0</v>
      </c>
      <c r="X642" s="5">
        <f t="shared" si="21"/>
        <v>0</v>
      </c>
    </row>
    <row r="643" spans="1:24" x14ac:dyDescent="0.25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5">
        <v>0</v>
      </c>
      <c r="W643" s="17">
        <f t="shared" ref="W643:W706" si="22">HOUR(E643)</f>
        <v>0</v>
      </c>
      <c r="X643" s="5">
        <f t="shared" ref="X643:X706" si="23">IF(D643=D642,0,1)</f>
        <v>0</v>
      </c>
    </row>
    <row r="644" spans="1:24" x14ac:dyDescent="0.25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5">
        <v>0</v>
      </c>
      <c r="W644" s="17">
        <f t="shared" si="22"/>
        <v>0</v>
      </c>
      <c r="X644" s="5">
        <f t="shared" si="23"/>
        <v>0</v>
      </c>
    </row>
    <row r="645" spans="1:24" x14ac:dyDescent="0.2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5">
        <v>0</v>
      </c>
      <c r="W645" s="17">
        <f t="shared" si="22"/>
        <v>0</v>
      </c>
      <c r="X645" s="5">
        <f t="shared" si="23"/>
        <v>0</v>
      </c>
    </row>
    <row r="646" spans="1:24" x14ac:dyDescent="0.25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5">
        <v>0</v>
      </c>
      <c r="W646" s="17">
        <f t="shared" si="22"/>
        <v>0</v>
      </c>
      <c r="X646" s="5">
        <f t="shared" si="23"/>
        <v>0</v>
      </c>
    </row>
    <row r="647" spans="1:24" x14ac:dyDescent="0.25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5">
        <v>0</v>
      </c>
      <c r="W647" s="17">
        <f t="shared" si="22"/>
        <v>0</v>
      </c>
      <c r="X647" s="5">
        <f t="shared" si="23"/>
        <v>0</v>
      </c>
    </row>
    <row r="648" spans="1:24" x14ac:dyDescent="0.25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5">
        <v>0</v>
      </c>
      <c r="W648" s="17">
        <f t="shared" si="22"/>
        <v>0</v>
      </c>
      <c r="X648" s="5">
        <f t="shared" si="23"/>
        <v>0</v>
      </c>
    </row>
    <row r="649" spans="1:24" x14ac:dyDescent="0.25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5">
        <v>0</v>
      </c>
      <c r="W649" s="17">
        <f t="shared" si="22"/>
        <v>0</v>
      </c>
      <c r="X649" s="5">
        <f t="shared" si="23"/>
        <v>0</v>
      </c>
    </row>
    <row r="650" spans="1:24" x14ac:dyDescent="0.25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5">
        <v>0</v>
      </c>
      <c r="W650" s="17">
        <f t="shared" si="22"/>
        <v>0</v>
      </c>
      <c r="X650" s="5">
        <f t="shared" si="23"/>
        <v>0</v>
      </c>
    </row>
    <row r="651" spans="1:24" x14ac:dyDescent="0.25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5">
        <v>0</v>
      </c>
      <c r="W651" s="17">
        <f t="shared" si="22"/>
        <v>0</v>
      </c>
      <c r="X651" s="5">
        <f t="shared" si="23"/>
        <v>0</v>
      </c>
    </row>
    <row r="652" spans="1:24" x14ac:dyDescent="0.25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5">
        <v>0</v>
      </c>
      <c r="W652" s="17">
        <f t="shared" si="22"/>
        <v>0</v>
      </c>
      <c r="X652" s="5">
        <f t="shared" si="23"/>
        <v>0</v>
      </c>
    </row>
    <row r="653" spans="1:24" x14ac:dyDescent="0.25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5">
        <v>0</v>
      </c>
      <c r="W653" s="17">
        <f t="shared" si="22"/>
        <v>0</v>
      </c>
      <c r="X653" s="5">
        <f t="shared" si="23"/>
        <v>0</v>
      </c>
    </row>
    <row r="654" spans="1:24" x14ac:dyDescent="0.25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5">
        <v>0</v>
      </c>
      <c r="W654" s="17">
        <f t="shared" si="22"/>
        <v>0</v>
      </c>
      <c r="X654" s="5">
        <f t="shared" si="23"/>
        <v>0</v>
      </c>
    </row>
    <row r="655" spans="1:24" x14ac:dyDescent="0.2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5">
        <v>0</v>
      </c>
      <c r="W655" s="17">
        <f t="shared" si="22"/>
        <v>0</v>
      </c>
      <c r="X655" s="5">
        <f t="shared" si="23"/>
        <v>0</v>
      </c>
    </row>
    <row r="656" spans="1:24" x14ac:dyDescent="0.25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5">
        <v>0</v>
      </c>
      <c r="W656" s="17">
        <f t="shared" si="22"/>
        <v>0</v>
      </c>
      <c r="X656" s="5">
        <f t="shared" si="23"/>
        <v>0</v>
      </c>
    </row>
    <row r="657" spans="1:24" x14ac:dyDescent="0.25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5">
        <v>0</v>
      </c>
      <c r="W657" s="17">
        <f t="shared" si="22"/>
        <v>0</v>
      </c>
      <c r="X657" s="5">
        <f t="shared" si="23"/>
        <v>0</v>
      </c>
    </row>
    <row r="658" spans="1:24" x14ac:dyDescent="0.25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5">
        <v>0</v>
      </c>
      <c r="W658" s="17">
        <f t="shared" si="22"/>
        <v>0</v>
      </c>
      <c r="X658" s="5">
        <f t="shared" si="23"/>
        <v>0</v>
      </c>
    </row>
    <row r="659" spans="1:24" x14ac:dyDescent="0.25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5">
        <v>0</v>
      </c>
      <c r="W659" s="17">
        <f t="shared" si="22"/>
        <v>0</v>
      </c>
      <c r="X659" s="5">
        <f t="shared" si="23"/>
        <v>0</v>
      </c>
    </row>
    <row r="660" spans="1:24" x14ac:dyDescent="0.25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5">
        <v>0</v>
      </c>
      <c r="W660" s="17">
        <f t="shared" si="22"/>
        <v>0</v>
      </c>
      <c r="X660" s="5">
        <f t="shared" si="23"/>
        <v>0</v>
      </c>
    </row>
    <row r="661" spans="1:24" x14ac:dyDescent="0.25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5">
        <v>0</v>
      </c>
      <c r="W661" s="17">
        <f t="shared" si="22"/>
        <v>0</v>
      </c>
      <c r="X661" s="5">
        <f t="shared" si="23"/>
        <v>0</v>
      </c>
    </row>
    <row r="662" spans="1:24" x14ac:dyDescent="0.25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5">
        <v>0</v>
      </c>
      <c r="W662" s="17">
        <f t="shared" si="22"/>
        <v>0</v>
      </c>
      <c r="X662" s="5">
        <f t="shared" si="23"/>
        <v>0</v>
      </c>
    </row>
    <row r="663" spans="1:24" x14ac:dyDescent="0.25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5">
        <v>0</v>
      </c>
      <c r="W663" s="17">
        <f t="shared" si="22"/>
        <v>0</v>
      </c>
      <c r="X663" s="5">
        <f t="shared" si="23"/>
        <v>0</v>
      </c>
    </row>
    <row r="664" spans="1:24" x14ac:dyDescent="0.25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5">
        <v>0</v>
      </c>
      <c r="W664" s="17">
        <f t="shared" si="22"/>
        <v>0</v>
      </c>
      <c r="X664" s="5">
        <f t="shared" si="23"/>
        <v>0</v>
      </c>
    </row>
    <row r="665" spans="1:24" x14ac:dyDescent="0.2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5">
        <v>0</v>
      </c>
      <c r="W665" s="17">
        <f t="shared" si="22"/>
        <v>0</v>
      </c>
      <c r="X665" s="5">
        <f t="shared" si="23"/>
        <v>0</v>
      </c>
    </row>
    <row r="666" spans="1:24" x14ac:dyDescent="0.25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5">
        <v>0</v>
      </c>
      <c r="W666" s="17">
        <f t="shared" si="22"/>
        <v>0</v>
      </c>
      <c r="X666" s="5">
        <f t="shared" si="23"/>
        <v>0</v>
      </c>
    </row>
    <row r="667" spans="1:24" x14ac:dyDescent="0.25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5">
        <v>0</v>
      </c>
      <c r="W667" s="17">
        <f t="shared" si="22"/>
        <v>0</v>
      </c>
      <c r="X667" s="5">
        <f t="shared" si="23"/>
        <v>0</v>
      </c>
    </row>
    <row r="668" spans="1:24" x14ac:dyDescent="0.25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5">
        <v>0</v>
      </c>
      <c r="W668" s="17">
        <f t="shared" si="22"/>
        <v>0</v>
      </c>
      <c r="X668" s="5">
        <f t="shared" si="23"/>
        <v>0</v>
      </c>
    </row>
    <row r="669" spans="1:24" x14ac:dyDescent="0.25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5">
        <v>0</v>
      </c>
      <c r="W669" s="17">
        <f t="shared" si="22"/>
        <v>0</v>
      </c>
      <c r="X669" s="5">
        <f t="shared" si="23"/>
        <v>0</v>
      </c>
    </row>
    <row r="670" spans="1:24" x14ac:dyDescent="0.25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5">
        <v>0</v>
      </c>
      <c r="W670" s="17">
        <f t="shared" si="22"/>
        <v>0</v>
      </c>
      <c r="X670" s="5">
        <f t="shared" si="23"/>
        <v>0</v>
      </c>
    </row>
    <row r="671" spans="1:24" x14ac:dyDescent="0.25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5">
        <v>0</v>
      </c>
      <c r="W671" s="17">
        <f t="shared" si="22"/>
        <v>0</v>
      </c>
      <c r="X671" s="5">
        <f t="shared" si="23"/>
        <v>0</v>
      </c>
    </row>
    <row r="672" spans="1:24" x14ac:dyDescent="0.25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5">
        <v>0</v>
      </c>
      <c r="W672" s="17">
        <f t="shared" si="22"/>
        <v>0</v>
      </c>
      <c r="X672" s="5">
        <f t="shared" si="23"/>
        <v>0</v>
      </c>
    </row>
    <row r="673" spans="1:24" x14ac:dyDescent="0.25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5">
        <v>0</v>
      </c>
      <c r="W673" s="17">
        <f t="shared" si="22"/>
        <v>0</v>
      </c>
      <c r="X673" s="5">
        <f t="shared" si="23"/>
        <v>0</v>
      </c>
    </row>
    <row r="674" spans="1:24" x14ac:dyDescent="0.25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5">
        <v>0</v>
      </c>
      <c r="W674" s="17">
        <f t="shared" si="22"/>
        <v>0</v>
      </c>
      <c r="X674" s="5">
        <f t="shared" si="23"/>
        <v>0</v>
      </c>
    </row>
    <row r="675" spans="1:24" x14ac:dyDescent="0.2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5">
        <v>0</v>
      </c>
      <c r="W675" s="17">
        <f t="shared" si="22"/>
        <v>0</v>
      </c>
      <c r="X675" s="5">
        <f t="shared" si="23"/>
        <v>0</v>
      </c>
    </row>
    <row r="676" spans="1:24" x14ac:dyDescent="0.25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5">
        <v>0</v>
      </c>
      <c r="W676" s="17">
        <f t="shared" si="22"/>
        <v>0</v>
      </c>
      <c r="X676" s="5">
        <f t="shared" si="23"/>
        <v>0</v>
      </c>
    </row>
    <row r="677" spans="1:24" x14ac:dyDescent="0.25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5">
        <v>0</v>
      </c>
      <c r="W677" s="17">
        <f t="shared" si="22"/>
        <v>0</v>
      </c>
      <c r="X677" s="5">
        <f t="shared" si="23"/>
        <v>0</v>
      </c>
    </row>
    <row r="678" spans="1:24" x14ac:dyDescent="0.25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5">
        <v>0</v>
      </c>
      <c r="W678" s="17">
        <f t="shared" si="22"/>
        <v>0</v>
      </c>
      <c r="X678" s="5">
        <f t="shared" si="23"/>
        <v>0</v>
      </c>
    </row>
    <row r="679" spans="1:24" x14ac:dyDescent="0.25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5">
        <v>0</v>
      </c>
      <c r="W679" s="17">
        <f t="shared" si="22"/>
        <v>0</v>
      </c>
      <c r="X679" s="5">
        <f t="shared" si="23"/>
        <v>0</v>
      </c>
    </row>
    <row r="680" spans="1:24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8">
        <v>0</v>
      </c>
      <c r="W680" s="17">
        <f t="shared" si="22"/>
        <v>0</v>
      </c>
      <c r="X680" s="5">
        <f t="shared" si="23"/>
        <v>0</v>
      </c>
    </row>
    <row r="681" spans="1:24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8">
        <v>0</v>
      </c>
      <c r="W681" s="17">
        <f t="shared" si="22"/>
        <v>0</v>
      </c>
      <c r="X681" s="5">
        <f t="shared" si="23"/>
        <v>0</v>
      </c>
    </row>
    <row r="682" spans="1:24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8">
        <v>0</v>
      </c>
      <c r="W682" s="17">
        <f t="shared" si="22"/>
        <v>0</v>
      </c>
      <c r="X682" s="5">
        <f t="shared" si="23"/>
        <v>0</v>
      </c>
    </row>
    <row r="683" spans="1:24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8">
        <v>0</v>
      </c>
      <c r="W683" s="17">
        <f t="shared" si="22"/>
        <v>0</v>
      </c>
      <c r="X683" s="5">
        <f t="shared" si="23"/>
        <v>0</v>
      </c>
    </row>
    <row r="684" spans="1:24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8">
        <v>0</v>
      </c>
      <c r="W684" s="17">
        <f t="shared" si="22"/>
        <v>0</v>
      </c>
      <c r="X684" s="5">
        <f t="shared" si="23"/>
        <v>0</v>
      </c>
    </row>
    <row r="685" spans="1:24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8">
        <v>0</v>
      </c>
      <c r="W685" s="17">
        <f t="shared" si="22"/>
        <v>0</v>
      </c>
      <c r="X685" s="5">
        <f t="shared" si="23"/>
        <v>0</v>
      </c>
    </row>
    <row r="686" spans="1:24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8">
        <v>0</v>
      </c>
      <c r="W686" s="17">
        <f t="shared" si="22"/>
        <v>0</v>
      </c>
      <c r="X686" s="5">
        <f t="shared" si="23"/>
        <v>0</v>
      </c>
    </row>
    <row r="687" spans="1:24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8">
        <v>0</v>
      </c>
      <c r="W687" s="17">
        <f t="shared" si="22"/>
        <v>0</v>
      </c>
      <c r="X687" s="5">
        <f t="shared" si="23"/>
        <v>0</v>
      </c>
    </row>
    <row r="688" spans="1:24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8">
        <v>0</v>
      </c>
      <c r="W688" s="17">
        <f t="shared" si="22"/>
        <v>0</v>
      </c>
      <c r="X688" s="5">
        <f t="shared" si="23"/>
        <v>0</v>
      </c>
    </row>
    <row r="689" spans="1:24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8">
        <v>0</v>
      </c>
      <c r="W689" s="17">
        <f t="shared" si="22"/>
        <v>0</v>
      </c>
      <c r="X689" s="5">
        <f t="shared" si="23"/>
        <v>0</v>
      </c>
    </row>
    <row r="690" spans="1:24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8">
        <v>0</v>
      </c>
      <c r="W690" s="17">
        <f t="shared" si="22"/>
        <v>0</v>
      </c>
      <c r="X690" s="5">
        <f t="shared" si="23"/>
        <v>0</v>
      </c>
    </row>
    <row r="691" spans="1:24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8">
        <v>0</v>
      </c>
      <c r="W691" s="17">
        <f t="shared" si="22"/>
        <v>0</v>
      </c>
      <c r="X691" s="5">
        <f t="shared" si="23"/>
        <v>0</v>
      </c>
    </row>
    <row r="692" spans="1:24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8">
        <v>0</v>
      </c>
      <c r="W692" s="17">
        <f t="shared" si="22"/>
        <v>0</v>
      </c>
      <c r="X692" s="5">
        <f t="shared" si="23"/>
        <v>0</v>
      </c>
    </row>
    <row r="693" spans="1:24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8">
        <v>0</v>
      </c>
      <c r="W693" s="17">
        <f t="shared" si="22"/>
        <v>0</v>
      </c>
      <c r="X693" s="5">
        <f t="shared" si="23"/>
        <v>0</v>
      </c>
    </row>
    <row r="694" spans="1:24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8">
        <v>0</v>
      </c>
      <c r="W694" s="17">
        <f t="shared" si="22"/>
        <v>0</v>
      </c>
      <c r="X694" s="5">
        <f t="shared" si="23"/>
        <v>0</v>
      </c>
    </row>
    <row r="695" spans="1:24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8">
        <v>0</v>
      </c>
      <c r="W695" s="17">
        <f t="shared" si="22"/>
        <v>0</v>
      </c>
      <c r="X695" s="5">
        <f t="shared" si="23"/>
        <v>0</v>
      </c>
    </row>
    <row r="696" spans="1:24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8">
        <v>0</v>
      </c>
      <c r="W696" s="17">
        <f t="shared" si="22"/>
        <v>0</v>
      </c>
      <c r="X696" s="5">
        <f t="shared" si="23"/>
        <v>0</v>
      </c>
    </row>
    <row r="697" spans="1:24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8">
        <v>0</v>
      </c>
      <c r="W697" s="17">
        <f t="shared" si="22"/>
        <v>0</v>
      </c>
      <c r="X697" s="5">
        <f t="shared" si="23"/>
        <v>0</v>
      </c>
    </row>
    <row r="698" spans="1:24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8">
        <v>0</v>
      </c>
      <c r="W698" s="17">
        <f t="shared" si="22"/>
        <v>0</v>
      </c>
      <c r="X698" s="5">
        <f t="shared" si="23"/>
        <v>0</v>
      </c>
    </row>
    <row r="699" spans="1:24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8">
        <v>0</v>
      </c>
      <c r="W699" s="17">
        <f t="shared" si="22"/>
        <v>0</v>
      </c>
      <c r="X699" s="5">
        <f t="shared" si="23"/>
        <v>0</v>
      </c>
    </row>
    <row r="700" spans="1:24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8">
        <v>0</v>
      </c>
      <c r="W700" s="17">
        <f t="shared" si="22"/>
        <v>0</v>
      </c>
      <c r="X700" s="5">
        <f t="shared" si="23"/>
        <v>0</v>
      </c>
    </row>
    <row r="701" spans="1:24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8">
        <v>0</v>
      </c>
      <c r="W701" s="17">
        <f t="shared" si="22"/>
        <v>0</v>
      </c>
      <c r="X701" s="5">
        <f t="shared" si="23"/>
        <v>0</v>
      </c>
    </row>
    <row r="702" spans="1:24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8">
        <v>0</v>
      </c>
      <c r="W702" s="17">
        <f t="shared" si="22"/>
        <v>0</v>
      </c>
      <c r="X702" s="5">
        <f t="shared" si="23"/>
        <v>0</v>
      </c>
    </row>
    <row r="703" spans="1:24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8">
        <v>0</v>
      </c>
      <c r="W703" s="17">
        <f t="shared" si="22"/>
        <v>0</v>
      </c>
      <c r="X703" s="5">
        <f t="shared" si="23"/>
        <v>0</v>
      </c>
    </row>
    <row r="704" spans="1:24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8">
        <v>0</v>
      </c>
      <c r="W704" s="17">
        <f t="shared" si="22"/>
        <v>0</v>
      </c>
      <c r="X704" s="5">
        <f t="shared" si="23"/>
        <v>0</v>
      </c>
    </row>
    <row r="705" spans="1:24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8">
        <v>0</v>
      </c>
      <c r="W705" s="17">
        <f t="shared" si="22"/>
        <v>0</v>
      </c>
      <c r="X705" s="5">
        <f t="shared" si="23"/>
        <v>0</v>
      </c>
    </row>
    <row r="706" spans="1:24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8">
        <v>0</v>
      </c>
      <c r="W706" s="17">
        <f t="shared" si="22"/>
        <v>0</v>
      </c>
      <c r="X706" s="5">
        <f t="shared" si="23"/>
        <v>0</v>
      </c>
    </row>
    <row r="707" spans="1:24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8">
        <v>0</v>
      </c>
      <c r="W707" s="17">
        <f t="shared" ref="W707:W770" si="24">HOUR(E707)</f>
        <v>0</v>
      </c>
      <c r="X707" s="5">
        <f t="shared" ref="X707:X770" si="25">IF(D707=D706,0,1)</f>
        <v>0</v>
      </c>
    </row>
    <row r="708" spans="1:24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8">
        <v>0</v>
      </c>
      <c r="W708" s="17">
        <f t="shared" si="24"/>
        <v>0</v>
      </c>
      <c r="X708" s="5">
        <f t="shared" si="25"/>
        <v>0</v>
      </c>
    </row>
    <row r="709" spans="1:24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8">
        <v>0</v>
      </c>
      <c r="W709" s="17">
        <f t="shared" si="24"/>
        <v>0</v>
      </c>
      <c r="X709" s="5">
        <f t="shared" si="25"/>
        <v>0</v>
      </c>
    </row>
    <row r="710" spans="1:24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8">
        <v>0</v>
      </c>
      <c r="W710" s="17">
        <f t="shared" si="24"/>
        <v>0</v>
      </c>
      <c r="X710" s="5">
        <f t="shared" si="25"/>
        <v>0</v>
      </c>
    </row>
    <row r="711" spans="1:24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8">
        <v>0</v>
      </c>
      <c r="W711" s="17">
        <f t="shared" si="24"/>
        <v>0</v>
      </c>
      <c r="X711" s="5">
        <f t="shared" si="25"/>
        <v>0</v>
      </c>
    </row>
    <row r="712" spans="1:24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8">
        <v>0</v>
      </c>
      <c r="W712" s="17">
        <f t="shared" si="24"/>
        <v>0</v>
      </c>
      <c r="X712" s="5">
        <f t="shared" si="25"/>
        <v>0</v>
      </c>
    </row>
    <row r="713" spans="1:24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8">
        <v>0</v>
      </c>
      <c r="W713" s="17">
        <f t="shared" si="24"/>
        <v>0</v>
      </c>
      <c r="X713" s="5">
        <f t="shared" si="25"/>
        <v>0</v>
      </c>
    </row>
    <row r="714" spans="1:24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8">
        <v>0</v>
      </c>
      <c r="W714" s="17">
        <f t="shared" si="24"/>
        <v>0</v>
      </c>
      <c r="X714" s="5">
        <f t="shared" si="25"/>
        <v>0</v>
      </c>
    </row>
    <row r="715" spans="1:24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8">
        <v>0</v>
      </c>
      <c r="W715" s="17">
        <f t="shared" si="24"/>
        <v>0</v>
      </c>
      <c r="X715" s="5">
        <f t="shared" si="25"/>
        <v>0</v>
      </c>
    </row>
    <row r="716" spans="1:24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8">
        <v>0</v>
      </c>
      <c r="W716" s="17">
        <f t="shared" si="24"/>
        <v>0</v>
      </c>
      <c r="X716" s="5">
        <f t="shared" si="25"/>
        <v>0</v>
      </c>
    </row>
    <row r="717" spans="1:24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8">
        <v>0</v>
      </c>
      <c r="W717" s="17">
        <f t="shared" si="24"/>
        <v>0</v>
      </c>
      <c r="X717" s="5">
        <f t="shared" si="25"/>
        <v>0</v>
      </c>
    </row>
    <row r="718" spans="1:24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8">
        <v>0</v>
      </c>
      <c r="W718" s="17">
        <f t="shared" si="24"/>
        <v>0</v>
      </c>
      <c r="X718" s="5">
        <f t="shared" si="25"/>
        <v>0</v>
      </c>
    </row>
    <row r="719" spans="1:24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8">
        <v>0</v>
      </c>
      <c r="W719" s="17">
        <f t="shared" si="24"/>
        <v>0</v>
      </c>
      <c r="X719" s="5">
        <f t="shared" si="25"/>
        <v>0</v>
      </c>
    </row>
    <row r="720" spans="1:24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8">
        <v>0</v>
      </c>
      <c r="W720" s="17">
        <f t="shared" si="24"/>
        <v>0</v>
      </c>
      <c r="X720" s="5">
        <f t="shared" si="25"/>
        <v>0</v>
      </c>
    </row>
    <row r="721" spans="1:24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8">
        <v>0</v>
      </c>
      <c r="W721" s="17">
        <f t="shared" si="24"/>
        <v>0</v>
      </c>
      <c r="X721" s="5">
        <f t="shared" si="25"/>
        <v>0</v>
      </c>
    </row>
    <row r="722" spans="1:24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8">
        <v>0</v>
      </c>
      <c r="W722" s="17">
        <f t="shared" si="24"/>
        <v>0</v>
      </c>
      <c r="X722" s="5">
        <f t="shared" si="25"/>
        <v>0</v>
      </c>
    </row>
    <row r="723" spans="1:24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8">
        <v>0</v>
      </c>
      <c r="W723" s="17">
        <f t="shared" si="24"/>
        <v>0</v>
      </c>
      <c r="X723" s="5">
        <f t="shared" si="25"/>
        <v>0</v>
      </c>
    </row>
    <row r="724" spans="1:24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8">
        <v>0</v>
      </c>
      <c r="W724" s="17">
        <f t="shared" si="24"/>
        <v>0</v>
      </c>
      <c r="X724" s="5">
        <f t="shared" si="25"/>
        <v>0</v>
      </c>
    </row>
    <row r="725" spans="1:24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8">
        <v>0</v>
      </c>
      <c r="W725" s="17">
        <f t="shared" si="24"/>
        <v>0</v>
      </c>
      <c r="X725" s="5">
        <f t="shared" si="25"/>
        <v>0</v>
      </c>
    </row>
    <row r="726" spans="1:24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8">
        <v>0</v>
      </c>
      <c r="W726" s="17">
        <f t="shared" si="24"/>
        <v>0</v>
      </c>
      <c r="X726" s="5">
        <f t="shared" si="25"/>
        <v>0</v>
      </c>
    </row>
    <row r="727" spans="1:24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8">
        <v>0</v>
      </c>
      <c r="W727" s="17">
        <f t="shared" si="24"/>
        <v>0</v>
      </c>
      <c r="X727" s="5">
        <f t="shared" si="25"/>
        <v>0</v>
      </c>
    </row>
    <row r="728" spans="1:24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8">
        <v>0</v>
      </c>
      <c r="W728" s="17">
        <f t="shared" si="24"/>
        <v>0</v>
      </c>
      <c r="X728" s="5">
        <f t="shared" si="25"/>
        <v>0</v>
      </c>
    </row>
    <row r="729" spans="1:24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8">
        <v>0</v>
      </c>
      <c r="W729" s="17">
        <f t="shared" si="24"/>
        <v>0</v>
      </c>
      <c r="X729" s="5">
        <f t="shared" si="25"/>
        <v>0</v>
      </c>
    </row>
    <row r="730" spans="1:24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8">
        <v>0</v>
      </c>
      <c r="W730" s="17">
        <f t="shared" si="24"/>
        <v>0</v>
      </c>
      <c r="X730" s="5">
        <f t="shared" si="25"/>
        <v>0</v>
      </c>
    </row>
    <row r="731" spans="1:24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8">
        <v>0</v>
      </c>
      <c r="W731" s="17">
        <f t="shared" si="24"/>
        <v>0</v>
      </c>
      <c r="X731" s="5">
        <f t="shared" si="25"/>
        <v>0</v>
      </c>
    </row>
    <row r="732" spans="1:24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8">
        <v>0</v>
      </c>
      <c r="W732" s="17">
        <f t="shared" si="24"/>
        <v>0</v>
      </c>
      <c r="X732" s="5">
        <f t="shared" si="25"/>
        <v>0</v>
      </c>
    </row>
    <row r="733" spans="1:24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8">
        <v>0</v>
      </c>
      <c r="W733" s="17">
        <f t="shared" si="24"/>
        <v>0</v>
      </c>
      <c r="X733" s="5">
        <f t="shared" si="25"/>
        <v>0</v>
      </c>
    </row>
    <row r="734" spans="1:24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8">
        <v>0</v>
      </c>
      <c r="W734" s="17">
        <f t="shared" si="24"/>
        <v>0</v>
      </c>
      <c r="X734" s="5">
        <f t="shared" si="25"/>
        <v>0</v>
      </c>
    </row>
    <row r="735" spans="1:24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8">
        <v>0</v>
      </c>
      <c r="W735" s="17">
        <f t="shared" si="24"/>
        <v>0</v>
      </c>
      <c r="X735" s="5">
        <f t="shared" si="25"/>
        <v>0</v>
      </c>
    </row>
    <row r="736" spans="1:24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8">
        <v>0</v>
      </c>
      <c r="W736" s="17">
        <f t="shared" si="24"/>
        <v>0</v>
      </c>
      <c r="X736" s="5">
        <f t="shared" si="25"/>
        <v>0</v>
      </c>
    </row>
    <row r="737" spans="1:24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8">
        <v>0</v>
      </c>
      <c r="W737" s="17">
        <f t="shared" si="24"/>
        <v>0</v>
      </c>
      <c r="X737" s="5">
        <f t="shared" si="25"/>
        <v>0</v>
      </c>
    </row>
    <row r="738" spans="1:24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8">
        <v>0</v>
      </c>
      <c r="W738" s="17">
        <f t="shared" si="24"/>
        <v>0</v>
      </c>
      <c r="X738" s="5">
        <f t="shared" si="25"/>
        <v>0</v>
      </c>
    </row>
    <row r="739" spans="1:24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8">
        <v>0</v>
      </c>
      <c r="W739" s="17">
        <f t="shared" si="24"/>
        <v>0</v>
      </c>
      <c r="X739" s="5">
        <f t="shared" si="25"/>
        <v>0</v>
      </c>
    </row>
    <row r="740" spans="1:24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8">
        <v>0</v>
      </c>
      <c r="W740" s="17">
        <f t="shared" si="24"/>
        <v>0</v>
      </c>
      <c r="X740" s="5">
        <f t="shared" si="25"/>
        <v>0</v>
      </c>
    </row>
    <row r="741" spans="1:24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8">
        <v>0</v>
      </c>
      <c r="W741" s="17">
        <f t="shared" si="24"/>
        <v>0</v>
      </c>
      <c r="X741" s="5">
        <f t="shared" si="25"/>
        <v>0</v>
      </c>
    </row>
    <row r="742" spans="1:24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8">
        <v>0</v>
      </c>
      <c r="W742" s="17">
        <f t="shared" si="24"/>
        <v>0</v>
      </c>
      <c r="X742" s="5">
        <f t="shared" si="25"/>
        <v>0</v>
      </c>
    </row>
    <row r="743" spans="1:24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8">
        <v>0</v>
      </c>
      <c r="W743" s="17">
        <f t="shared" si="24"/>
        <v>0</v>
      </c>
      <c r="X743" s="5">
        <f t="shared" si="25"/>
        <v>0</v>
      </c>
    </row>
    <row r="744" spans="1:24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8">
        <v>0</v>
      </c>
      <c r="W744" s="17">
        <f t="shared" si="24"/>
        <v>0</v>
      </c>
      <c r="X744" s="5">
        <f t="shared" si="25"/>
        <v>0</v>
      </c>
    </row>
    <row r="745" spans="1:24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8">
        <v>0</v>
      </c>
      <c r="W745" s="17">
        <f t="shared" si="24"/>
        <v>0</v>
      </c>
      <c r="X745" s="5">
        <f t="shared" si="25"/>
        <v>0</v>
      </c>
    </row>
    <row r="746" spans="1:24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8">
        <v>0</v>
      </c>
      <c r="W746" s="17">
        <f t="shared" si="24"/>
        <v>0</v>
      </c>
      <c r="X746" s="5">
        <f t="shared" si="25"/>
        <v>0</v>
      </c>
    </row>
    <row r="747" spans="1:24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8">
        <v>0</v>
      </c>
      <c r="W747" s="17">
        <f t="shared" si="24"/>
        <v>0</v>
      </c>
      <c r="X747" s="5">
        <f t="shared" si="25"/>
        <v>0</v>
      </c>
    </row>
    <row r="748" spans="1:24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8">
        <v>0</v>
      </c>
      <c r="W748" s="17">
        <f t="shared" si="24"/>
        <v>0</v>
      </c>
      <c r="X748" s="5">
        <f t="shared" si="25"/>
        <v>0</v>
      </c>
    </row>
    <row r="749" spans="1:24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8">
        <v>0</v>
      </c>
      <c r="W749" s="17">
        <f t="shared" si="24"/>
        <v>0</v>
      </c>
      <c r="X749" s="5">
        <f t="shared" si="25"/>
        <v>0</v>
      </c>
    </row>
    <row r="750" spans="1:24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8">
        <v>0</v>
      </c>
      <c r="W750" s="17">
        <f t="shared" si="24"/>
        <v>0</v>
      </c>
      <c r="X750" s="5">
        <f t="shared" si="25"/>
        <v>0</v>
      </c>
    </row>
    <row r="751" spans="1:24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8">
        <v>0</v>
      </c>
      <c r="W751" s="17">
        <f t="shared" si="24"/>
        <v>0</v>
      </c>
      <c r="X751" s="5">
        <f t="shared" si="25"/>
        <v>0</v>
      </c>
    </row>
    <row r="752" spans="1:24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8">
        <v>0</v>
      </c>
      <c r="W752" s="17">
        <f t="shared" si="24"/>
        <v>0</v>
      </c>
      <c r="X752" s="5">
        <f t="shared" si="25"/>
        <v>0</v>
      </c>
    </row>
    <row r="753" spans="1:24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8">
        <v>0</v>
      </c>
      <c r="W753" s="17">
        <f t="shared" si="24"/>
        <v>0</v>
      </c>
      <c r="X753" s="5">
        <f t="shared" si="25"/>
        <v>0</v>
      </c>
    </row>
    <row r="754" spans="1:24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8">
        <v>0</v>
      </c>
      <c r="W754" s="17">
        <f t="shared" si="24"/>
        <v>0</v>
      </c>
      <c r="X754" s="5">
        <f t="shared" si="25"/>
        <v>0</v>
      </c>
    </row>
    <row r="755" spans="1:24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8">
        <v>0</v>
      </c>
      <c r="W755" s="17">
        <f t="shared" si="24"/>
        <v>0</v>
      </c>
      <c r="X755" s="5">
        <f t="shared" si="25"/>
        <v>0</v>
      </c>
    </row>
    <row r="756" spans="1:24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8">
        <v>0</v>
      </c>
      <c r="W756" s="17">
        <f t="shared" si="24"/>
        <v>0</v>
      </c>
      <c r="X756" s="5">
        <f t="shared" si="25"/>
        <v>0</v>
      </c>
    </row>
    <row r="757" spans="1:24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8">
        <v>0</v>
      </c>
      <c r="W757" s="17">
        <f t="shared" si="24"/>
        <v>0</v>
      </c>
      <c r="X757" s="5">
        <f t="shared" si="25"/>
        <v>0</v>
      </c>
    </row>
    <row r="758" spans="1:24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8">
        <v>0</v>
      </c>
      <c r="W758" s="17">
        <f t="shared" si="24"/>
        <v>0</v>
      </c>
      <c r="X758" s="5">
        <f t="shared" si="25"/>
        <v>0</v>
      </c>
    </row>
    <row r="759" spans="1:24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8">
        <v>0</v>
      </c>
      <c r="W759" s="17">
        <f t="shared" si="24"/>
        <v>0</v>
      </c>
      <c r="X759" s="5">
        <f t="shared" si="25"/>
        <v>0</v>
      </c>
    </row>
    <row r="760" spans="1:24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8">
        <v>0</v>
      </c>
      <c r="W760" s="17">
        <f t="shared" si="24"/>
        <v>0</v>
      </c>
      <c r="X760" s="5">
        <f t="shared" si="25"/>
        <v>0</v>
      </c>
    </row>
    <row r="761" spans="1:24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8">
        <v>0</v>
      </c>
      <c r="W761" s="17">
        <f t="shared" si="24"/>
        <v>0</v>
      </c>
      <c r="X761" s="5">
        <f t="shared" si="25"/>
        <v>0</v>
      </c>
    </row>
    <row r="762" spans="1:24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8">
        <v>0</v>
      </c>
      <c r="W762" s="17">
        <f t="shared" si="24"/>
        <v>0</v>
      </c>
      <c r="X762" s="5">
        <f t="shared" si="25"/>
        <v>0</v>
      </c>
    </row>
    <row r="763" spans="1:24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8">
        <v>0</v>
      </c>
      <c r="W763" s="17">
        <f t="shared" si="24"/>
        <v>0</v>
      </c>
      <c r="X763" s="5">
        <f t="shared" si="25"/>
        <v>0</v>
      </c>
    </row>
    <row r="764" spans="1:24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8">
        <v>0</v>
      </c>
      <c r="W764" s="17">
        <f t="shared" si="24"/>
        <v>0</v>
      </c>
      <c r="X764" s="5">
        <f t="shared" si="25"/>
        <v>0</v>
      </c>
    </row>
    <row r="765" spans="1:24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8">
        <v>0</v>
      </c>
      <c r="W765" s="17">
        <f t="shared" si="24"/>
        <v>0</v>
      </c>
      <c r="X765" s="5">
        <f t="shared" si="25"/>
        <v>0</v>
      </c>
    </row>
    <row r="766" spans="1:24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8">
        <v>0</v>
      </c>
      <c r="W766" s="17">
        <f t="shared" si="24"/>
        <v>0</v>
      </c>
      <c r="X766" s="5">
        <f t="shared" si="25"/>
        <v>0</v>
      </c>
    </row>
    <row r="767" spans="1:24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8">
        <v>0</v>
      </c>
      <c r="W767" s="17">
        <f t="shared" si="24"/>
        <v>0</v>
      </c>
      <c r="X767" s="5">
        <f t="shared" si="25"/>
        <v>0</v>
      </c>
    </row>
    <row r="768" spans="1:24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8">
        <v>0</v>
      </c>
      <c r="W768" s="17">
        <f t="shared" si="24"/>
        <v>0</v>
      </c>
      <c r="X768" s="5">
        <f t="shared" si="25"/>
        <v>0</v>
      </c>
    </row>
    <row r="769" spans="1:24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8">
        <v>0</v>
      </c>
      <c r="W769" s="17">
        <f t="shared" si="24"/>
        <v>0</v>
      </c>
      <c r="X769" s="5">
        <f t="shared" si="25"/>
        <v>0</v>
      </c>
    </row>
    <row r="770" spans="1:24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8">
        <v>0</v>
      </c>
      <c r="W770" s="17">
        <f t="shared" si="24"/>
        <v>0</v>
      </c>
      <c r="X770" s="5">
        <f t="shared" si="25"/>
        <v>0</v>
      </c>
    </row>
    <row r="771" spans="1:24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8">
        <v>0</v>
      </c>
      <c r="W771" s="17">
        <f t="shared" ref="W771:W834" si="26">HOUR(E771)</f>
        <v>0</v>
      </c>
      <c r="X771" s="5">
        <f t="shared" ref="X771:X834" si="27">IF(D771=D770,0,1)</f>
        <v>0</v>
      </c>
    </row>
    <row r="772" spans="1:24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8">
        <v>0</v>
      </c>
      <c r="W772" s="17">
        <f t="shared" si="26"/>
        <v>0</v>
      </c>
      <c r="X772" s="5">
        <f t="shared" si="27"/>
        <v>0</v>
      </c>
    </row>
    <row r="773" spans="1:24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8">
        <v>0</v>
      </c>
      <c r="W773" s="17">
        <f t="shared" si="26"/>
        <v>0</v>
      </c>
      <c r="X773" s="5">
        <f t="shared" si="27"/>
        <v>0</v>
      </c>
    </row>
    <row r="774" spans="1:24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8">
        <v>0</v>
      </c>
      <c r="W774" s="17">
        <f t="shared" si="26"/>
        <v>0</v>
      </c>
      <c r="X774" s="5">
        <f t="shared" si="27"/>
        <v>0</v>
      </c>
    </row>
    <row r="775" spans="1:24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8">
        <v>0</v>
      </c>
      <c r="W775" s="17">
        <f t="shared" si="26"/>
        <v>0</v>
      </c>
      <c r="X775" s="5">
        <f t="shared" si="27"/>
        <v>0</v>
      </c>
    </row>
    <row r="776" spans="1:24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8">
        <v>0</v>
      </c>
      <c r="W776" s="17">
        <f t="shared" si="26"/>
        <v>0</v>
      </c>
      <c r="X776" s="5">
        <f t="shared" si="27"/>
        <v>0</v>
      </c>
    </row>
    <row r="777" spans="1:24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8">
        <v>0</v>
      </c>
      <c r="W777" s="17">
        <f t="shared" si="26"/>
        <v>0</v>
      </c>
      <c r="X777" s="5">
        <f t="shared" si="27"/>
        <v>0</v>
      </c>
    </row>
    <row r="778" spans="1:24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8">
        <v>0</v>
      </c>
      <c r="W778" s="17">
        <f t="shared" si="26"/>
        <v>0</v>
      </c>
      <c r="X778" s="5">
        <f t="shared" si="27"/>
        <v>0</v>
      </c>
    </row>
    <row r="779" spans="1:24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8">
        <v>0</v>
      </c>
      <c r="W779" s="17">
        <f t="shared" si="26"/>
        <v>0</v>
      </c>
      <c r="X779" s="5">
        <f t="shared" si="27"/>
        <v>0</v>
      </c>
    </row>
    <row r="780" spans="1:24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8">
        <v>0</v>
      </c>
      <c r="W780" s="17">
        <f t="shared" si="26"/>
        <v>0</v>
      </c>
      <c r="X780" s="5">
        <f t="shared" si="27"/>
        <v>0</v>
      </c>
    </row>
    <row r="781" spans="1:24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8">
        <v>0</v>
      </c>
      <c r="W781" s="17">
        <f t="shared" si="26"/>
        <v>0</v>
      </c>
      <c r="X781" s="5">
        <f t="shared" si="27"/>
        <v>0</v>
      </c>
    </row>
    <row r="782" spans="1:24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8">
        <v>0</v>
      </c>
      <c r="W782" s="17">
        <f t="shared" si="26"/>
        <v>0</v>
      </c>
      <c r="X782" s="5">
        <f t="shared" si="27"/>
        <v>0</v>
      </c>
    </row>
    <row r="783" spans="1:24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8">
        <v>0</v>
      </c>
      <c r="W783" s="17">
        <f t="shared" si="26"/>
        <v>0</v>
      </c>
      <c r="X783" s="5">
        <f t="shared" si="27"/>
        <v>0</v>
      </c>
    </row>
    <row r="784" spans="1:24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8">
        <v>0</v>
      </c>
      <c r="W784" s="17">
        <f t="shared" si="26"/>
        <v>0</v>
      </c>
      <c r="X784" s="5">
        <f t="shared" si="27"/>
        <v>0</v>
      </c>
    </row>
    <row r="785" spans="1:24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8">
        <v>0</v>
      </c>
      <c r="W785" s="17">
        <f t="shared" si="26"/>
        <v>0</v>
      </c>
      <c r="X785" s="5">
        <f t="shared" si="27"/>
        <v>0</v>
      </c>
    </row>
    <row r="786" spans="1:24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8">
        <v>0</v>
      </c>
      <c r="W786" s="17">
        <f t="shared" si="26"/>
        <v>0</v>
      </c>
      <c r="X786" s="5">
        <f t="shared" si="27"/>
        <v>0</v>
      </c>
    </row>
    <row r="787" spans="1:24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8">
        <v>0</v>
      </c>
      <c r="W787" s="17">
        <f t="shared" si="26"/>
        <v>0</v>
      </c>
      <c r="X787" s="5">
        <f t="shared" si="27"/>
        <v>0</v>
      </c>
    </row>
    <row r="788" spans="1:24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8">
        <v>0</v>
      </c>
      <c r="W788" s="17">
        <f t="shared" si="26"/>
        <v>0</v>
      </c>
      <c r="X788" s="5">
        <f t="shared" si="27"/>
        <v>0</v>
      </c>
    </row>
    <row r="789" spans="1:24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8">
        <v>0</v>
      </c>
      <c r="W789" s="17">
        <f t="shared" si="26"/>
        <v>0</v>
      </c>
      <c r="X789" s="5">
        <f t="shared" si="27"/>
        <v>0</v>
      </c>
    </row>
    <row r="790" spans="1:24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8">
        <v>0</v>
      </c>
      <c r="W790" s="17">
        <f t="shared" si="26"/>
        <v>0</v>
      </c>
      <c r="X790" s="5">
        <f t="shared" si="27"/>
        <v>0</v>
      </c>
    </row>
    <row r="791" spans="1:24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8">
        <v>0</v>
      </c>
      <c r="W791" s="17">
        <f t="shared" si="26"/>
        <v>0</v>
      </c>
      <c r="X791" s="5">
        <f t="shared" si="27"/>
        <v>0</v>
      </c>
    </row>
    <row r="792" spans="1:24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8">
        <v>0</v>
      </c>
      <c r="W792" s="17">
        <f t="shared" si="26"/>
        <v>0</v>
      </c>
      <c r="X792" s="5">
        <f t="shared" si="27"/>
        <v>0</v>
      </c>
    </row>
    <row r="793" spans="1:24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8">
        <v>0</v>
      </c>
      <c r="W793" s="17">
        <f t="shared" si="26"/>
        <v>0</v>
      </c>
      <c r="X793" s="5">
        <f t="shared" si="27"/>
        <v>0</v>
      </c>
    </row>
    <row r="794" spans="1:24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8">
        <v>0</v>
      </c>
      <c r="W794" s="17">
        <f t="shared" si="26"/>
        <v>0</v>
      </c>
      <c r="X794" s="5">
        <f t="shared" si="27"/>
        <v>0</v>
      </c>
    </row>
    <row r="795" spans="1:24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8">
        <v>0</v>
      </c>
      <c r="W795" s="17">
        <f t="shared" si="26"/>
        <v>0</v>
      </c>
      <c r="X795" s="5">
        <f t="shared" si="27"/>
        <v>0</v>
      </c>
    </row>
    <row r="796" spans="1:24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8">
        <v>0</v>
      </c>
      <c r="W796" s="17">
        <f t="shared" si="26"/>
        <v>0</v>
      </c>
      <c r="X796" s="5">
        <f t="shared" si="27"/>
        <v>0</v>
      </c>
    </row>
    <row r="797" spans="1:24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8">
        <v>0</v>
      </c>
      <c r="W797" s="17">
        <f t="shared" si="26"/>
        <v>0</v>
      </c>
      <c r="X797" s="5">
        <f t="shared" si="27"/>
        <v>0</v>
      </c>
    </row>
    <row r="798" spans="1:24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8">
        <v>0</v>
      </c>
      <c r="W798" s="17">
        <f t="shared" si="26"/>
        <v>0</v>
      </c>
      <c r="X798" s="5">
        <f t="shared" si="27"/>
        <v>0</v>
      </c>
    </row>
    <row r="799" spans="1:24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8">
        <v>0</v>
      </c>
      <c r="W799" s="17">
        <f t="shared" si="26"/>
        <v>0</v>
      </c>
      <c r="X799" s="5">
        <f t="shared" si="27"/>
        <v>0</v>
      </c>
    </row>
    <row r="800" spans="1:24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8">
        <v>0</v>
      </c>
      <c r="W800" s="17">
        <f t="shared" si="26"/>
        <v>0</v>
      </c>
      <c r="X800" s="5">
        <f t="shared" si="27"/>
        <v>0</v>
      </c>
    </row>
    <row r="801" spans="1:24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8">
        <v>0</v>
      </c>
      <c r="W801" s="17">
        <f t="shared" si="26"/>
        <v>0</v>
      </c>
      <c r="X801" s="5">
        <f t="shared" si="27"/>
        <v>0</v>
      </c>
    </row>
    <row r="802" spans="1:24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8">
        <v>0</v>
      </c>
      <c r="W802" s="17">
        <f t="shared" si="26"/>
        <v>0</v>
      </c>
      <c r="X802" s="5">
        <f t="shared" si="27"/>
        <v>0</v>
      </c>
    </row>
    <row r="803" spans="1:24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8">
        <v>0</v>
      </c>
      <c r="W803" s="17">
        <f t="shared" si="26"/>
        <v>0</v>
      </c>
      <c r="X803" s="5">
        <f t="shared" si="27"/>
        <v>0</v>
      </c>
    </row>
    <row r="804" spans="1:24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8">
        <v>0</v>
      </c>
      <c r="W804" s="17">
        <f t="shared" si="26"/>
        <v>0</v>
      </c>
      <c r="X804" s="5">
        <f t="shared" si="27"/>
        <v>0</v>
      </c>
    </row>
    <row r="805" spans="1:24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8">
        <v>0</v>
      </c>
      <c r="W805" s="17">
        <f t="shared" si="26"/>
        <v>0</v>
      </c>
      <c r="X805" s="5">
        <f t="shared" si="27"/>
        <v>0</v>
      </c>
    </row>
    <row r="806" spans="1:24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8">
        <v>0</v>
      </c>
      <c r="W806" s="17">
        <f t="shared" si="26"/>
        <v>0</v>
      </c>
      <c r="X806" s="5">
        <f t="shared" si="27"/>
        <v>0</v>
      </c>
    </row>
    <row r="807" spans="1:24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8">
        <v>0</v>
      </c>
      <c r="W807" s="17">
        <f t="shared" si="26"/>
        <v>0</v>
      </c>
      <c r="X807" s="5">
        <f t="shared" si="27"/>
        <v>0</v>
      </c>
    </row>
    <row r="808" spans="1:24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8">
        <v>0</v>
      </c>
      <c r="W808" s="17">
        <f t="shared" si="26"/>
        <v>0</v>
      </c>
      <c r="X808" s="5">
        <f t="shared" si="27"/>
        <v>0</v>
      </c>
    </row>
    <row r="809" spans="1:24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8">
        <v>0</v>
      </c>
      <c r="W809" s="17">
        <f t="shared" si="26"/>
        <v>0</v>
      </c>
      <c r="X809" s="5">
        <f t="shared" si="27"/>
        <v>0</v>
      </c>
    </row>
    <row r="810" spans="1:24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8">
        <v>0</v>
      </c>
      <c r="W810" s="17">
        <f t="shared" si="26"/>
        <v>0</v>
      </c>
      <c r="X810" s="5">
        <f t="shared" si="27"/>
        <v>0</v>
      </c>
    </row>
    <row r="811" spans="1:24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8">
        <v>0</v>
      </c>
      <c r="W811" s="17">
        <f t="shared" si="26"/>
        <v>0</v>
      </c>
      <c r="X811" s="5">
        <f t="shared" si="27"/>
        <v>0</v>
      </c>
    </row>
    <row r="812" spans="1:24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8">
        <v>0</v>
      </c>
      <c r="W812" s="17">
        <f t="shared" si="26"/>
        <v>0</v>
      </c>
      <c r="X812" s="5">
        <f t="shared" si="27"/>
        <v>0</v>
      </c>
    </row>
    <row r="813" spans="1:24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8">
        <v>0</v>
      </c>
      <c r="W813" s="17">
        <f t="shared" si="26"/>
        <v>0</v>
      </c>
      <c r="X813" s="5">
        <f t="shared" si="27"/>
        <v>0</v>
      </c>
    </row>
    <row r="814" spans="1:24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8">
        <v>0</v>
      </c>
      <c r="W814" s="17">
        <f t="shared" si="26"/>
        <v>0</v>
      </c>
      <c r="X814" s="5">
        <f t="shared" si="27"/>
        <v>0</v>
      </c>
    </row>
    <row r="815" spans="1:24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8">
        <v>0</v>
      </c>
      <c r="W815" s="17">
        <f t="shared" si="26"/>
        <v>0</v>
      </c>
      <c r="X815" s="5">
        <f t="shared" si="27"/>
        <v>0</v>
      </c>
    </row>
    <row r="816" spans="1:24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8">
        <v>0</v>
      </c>
      <c r="W816" s="17">
        <f t="shared" si="26"/>
        <v>0</v>
      </c>
      <c r="X816" s="5">
        <f t="shared" si="27"/>
        <v>0</v>
      </c>
    </row>
    <row r="817" spans="1:24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8">
        <v>0</v>
      </c>
      <c r="W817" s="17">
        <f t="shared" si="26"/>
        <v>0</v>
      </c>
      <c r="X817" s="5">
        <f t="shared" si="27"/>
        <v>0</v>
      </c>
    </row>
    <row r="818" spans="1:24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8">
        <v>0</v>
      </c>
      <c r="W818" s="17">
        <f t="shared" si="26"/>
        <v>0</v>
      </c>
      <c r="X818" s="5">
        <f t="shared" si="27"/>
        <v>0</v>
      </c>
    </row>
    <row r="819" spans="1:24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8">
        <v>0</v>
      </c>
      <c r="W819" s="17">
        <f t="shared" si="26"/>
        <v>0</v>
      </c>
      <c r="X819" s="5">
        <f t="shared" si="27"/>
        <v>0</v>
      </c>
    </row>
    <row r="820" spans="1:24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8">
        <v>0</v>
      </c>
      <c r="W820" s="17">
        <f t="shared" si="26"/>
        <v>0</v>
      </c>
      <c r="X820" s="5">
        <f t="shared" si="27"/>
        <v>0</v>
      </c>
    </row>
    <row r="821" spans="1:24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8">
        <v>0</v>
      </c>
      <c r="W821" s="17">
        <f t="shared" si="26"/>
        <v>0</v>
      </c>
      <c r="X821" s="5">
        <f t="shared" si="27"/>
        <v>0</v>
      </c>
    </row>
    <row r="822" spans="1:24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8">
        <v>0</v>
      </c>
      <c r="W822" s="17">
        <f t="shared" si="26"/>
        <v>0</v>
      </c>
      <c r="X822" s="5">
        <f t="shared" si="27"/>
        <v>0</v>
      </c>
    </row>
    <row r="823" spans="1:24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8">
        <v>0</v>
      </c>
      <c r="W823" s="17">
        <f t="shared" si="26"/>
        <v>0</v>
      </c>
      <c r="X823" s="5">
        <f t="shared" si="27"/>
        <v>0</v>
      </c>
    </row>
    <row r="824" spans="1:24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8">
        <v>0</v>
      </c>
      <c r="W824" s="17">
        <f t="shared" si="26"/>
        <v>0</v>
      </c>
      <c r="X824" s="5">
        <f t="shared" si="27"/>
        <v>0</v>
      </c>
    </row>
    <row r="825" spans="1:24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8">
        <v>0</v>
      </c>
      <c r="W825" s="17">
        <f t="shared" si="26"/>
        <v>0</v>
      </c>
      <c r="X825" s="5">
        <f t="shared" si="27"/>
        <v>0</v>
      </c>
    </row>
    <row r="826" spans="1:24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8">
        <v>0</v>
      </c>
      <c r="W826" s="17">
        <f t="shared" si="26"/>
        <v>0</v>
      </c>
      <c r="X826" s="5">
        <f t="shared" si="27"/>
        <v>0</v>
      </c>
    </row>
    <row r="827" spans="1:24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8">
        <v>0</v>
      </c>
      <c r="W827" s="17">
        <f t="shared" si="26"/>
        <v>0</v>
      </c>
      <c r="X827" s="5">
        <f t="shared" si="27"/>
        <v>0</v>
      </c>
    </row>
    <row r="828" spans="1:24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8">
        <v>0</v>
      </c>
      <c r="W828" s="17">
        <f t="shared" si="26"/>
        <v>0</v>
      </c>
      <c r="X828" s="5">
        <f t="shared" si="27"/>
        <v>0</v>
      </c>
    </row>
    <row r="829" spans="1:24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8">
        <v>0</v>
      </c>
      <c r="W829" s="17">
        <f t="shared" si="26"/>
        <v>0</v>
      </c>
      <c r="X829" s="5">
        <f t="shared" si="27"/>
        <v>0</v>
      </c>
    </row>
    <row r="830" spans="1:24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8">
        <v>0</v>
      </c>
      <c r="W830" s="17">
        <f t="shared" si="26"/>
        <v>0</v>
      </c>
      <c r="X830" s="5">
        <f t="shared" si="27"/>
        <v>0</v>
      </c>
    </row>
    <row r="831" spans="1:24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8">
        <v>0</v>
      </c>
      <c r="W831" s="17">
        <f t="shared" si="26"/>
        <v>0</v>
      </c>
      <c r="X831" s="5">
        <f t="shared" si="27"/>
        <v>0</v>
      </c>
    </row>
    <row r="832" spans="1:24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8">
        <v>0</v>
      </c>
      <c r="W832" s="17">
        <f t="shared" si="26"/>
        <v>0</v>
      </c>
      <c r="X832" s="5">
        <f t="shared" si="27"/>
        <v>0</v>
      </c>
    </row>
    <row r="833" spans="1:24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8">
        <v>0</v>
      </c>
      <c r="W833" s="17">
        <f t="shared" si="26"/>
        <v>0</v>
      </c>
      <c r="X833" s="5">
        <f t="shared" si="27"/>
        <v>0</v>
      </c>
    </row>
    <row r="834" spans="1:24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8">
        <v>0</v>
      </c>
      <c r="W834" s="17">
        <f t="shared" si="26"/>
        <v>0</v>
      </c>
      <c r="X834" s="5">
        <f t="shared" si="27"/>
        <v>0</v>
      </c>
    </row>
    <row r="835" spans="1:24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8">
        <v>0</v>
      </c>
      <c r="W835" s="17">
        <f t="shared" ref="W835:W898" si="28">HOUR(E835)</f>
        <v>0</v>
      </c>
      <c r="X835" s="5">
        <f t="shared" ref="X835:X898" si="29">IF(D835=D834,0,1)</f>
        <v>0</v>
      </c>
    </row>
    <row r="836" spans="1:24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8">
        <v>0</v>
      </c>
      <c r="W836" s="17">
        <f t="shared" si="28"/>
        <v>0</v>
      </c>
      <c r="X836" s="5">
        <f t="shared" si="29"/>
        <v>0</v>
      </c>
    </row>
    <row r="837" spans="1:24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8">
        <v>0</v>
      </c>
      <c r="W837" s="17">
        <f t="shared" si="28"/>
        <v>0</v>
      </c>
      <c r="X837" s="5">
        <f t="shared" si="29"/>
        <v>0</v>
      </c>
    </row>
    <row r="838" spans="1:24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8">
        <v>0</v>
      </c>
      <c r="W838" s="17">
        <f t="shared" si="28"/>
        <v>0</v>
      </c>
      <c r="X838" s="5">
        <f t="shared" si="29"/>
        <v>0</v>
      </c>
    </row>
    <row r="839" spans="1:24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8">
        <v>0</v>
      </c>
      <c r="W839" s="17">
        <f t="shared" si="28"/>
        <v>0</v>
      </c>
      <c r="X839" s="5">
        <f t="shared" si="29"/>
        <v>0</v>
      </c>
    </row>
    <row r="840" spans="1:24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8">
        <v>0</v>
      </c>
      <c r="W840" s="17">
        <f t="shared" si="28"/>
        <v>0</v>
      </c>
      <c r="X840" s="5">
        <f t="shared" si="29"/>
        <v>0</v>
      </c>
    </row>
    <row r="841" spans="1:24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8">
        <v>0</v>
      </c>
      <c r="W841" s="17">
        <f t="shared" si="28"/>
        <v>0</v>
      </c>
      <c r="X841" s="5">
        <f t="shared" si="29"/>
        <v>0</v>
      </c>
    </row>
    <row r="842" spans="1:24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8">
        <v>0</v>
      </c>
      <c r="W842" s="17">
        <f t="shared" si="28"/>
        <v>0</v>
      </c>
      <c r="X842" s="5">
        <f t="shared" si="29"/>
        <v>0</v>
      </c>
    </row>
    <row r="843" spans="1:24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8">
        <v>0</v>
      </c>
      <c r="W843" s="17">
        <f t="shared" si="28"/>
        <v>0</v>
      </c>
      <c r="X843" s="5">
        <f t="shared" si="29"/>
        <v>0</v>
      </c>
    </row>
    <row r="844" spans="1:24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8">
        <v>0</v>
      </c>
      <c r="W844" s="17">
        <f t="shared" si="28"/>
        <v>0</v>
      </c>
      <c r="X844" s="5">
        <f t="shared" si="29"/>
        <v>0</v>
      </c>
    </row>
    <row r="845" spans="1:24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8">
        <v>0</v>
      </c>
      <c r="W845" s="17">
        <f t="shared" si="28"/>
        <v>0</v>
      </c>
      <c r="X845" s="5">
        <f t="shared" si="29"/>
        <v>0</v>
      </c>
    </row>
    <row r="846" spans="1:24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8">
        <v>0</v>
      </c>
      <c r="W846" s="17">
        <f t="shared" si="28"/>
        <v>0</v>
      </c>
      <c r="X846" s="5">
        <f t="shared" si="29"/>
        <v>0</v>
      </c>
    </row>
    <row r="847" spans="1:24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8">
        <v>0</v>
      </c>
      <c r="W847" s="17">
        <f t="shared" si="28"/>
        <v>0</v>
      </c>
      <c r="X847" s="5">
        <f t="shared" si="29"/>
        <v>0</v>
      </c>
    </row>
    <row r="848" spans="1:24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8">
        <v>0</v>
      </c>
      <c r="W848" s="17">
        <f t="shared" si="28"/>
        <v>0</v>
      </c>
      <c r="X848" s="5">
        <f t="shared" si="29"/>
        <v>0</v>
      </c>
    </row>
    <row r="849" spans="1:24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8">
        <v>0</v>
      </c>
      <c r="W849" s="17">
        <f t="shared" si="28"/>
        <v>0</v>
      </c>
      <c r="X849" s="5">
        <f t="shared" si="29"/>
        <v>0</v>
      </c>
    </row>
    <row r="850" spans="1:24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8">
        <v>0</v>
      </c>
      <c r="W850" s="17">
        <f t="shared" si="28"/>
        <v>0</v>
      </c>
      <c r="X850" s="5">
        <f t="shared" si="29"/>
        <v>0</v>
      </c>
    </row>
    <row r="851" spans="1:24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8">
        <v>0</v>
      </c>
      <c r="W851" s="17">
        <f t="shared" si="28"/>
        <v>0</v>
      </c>
      <c r="X851" s="5">
        <f t="shared" si="29"/>
        <v>0</v>
      </c>
    </row>
    <row r="852" spans="1:24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8">
        <v>0</v>
      </c>
      <c r="W852" s="17">
        <f t="shared" si="28"/>
        <v>0</v>
      </c>
      <c r="X852" s="5">
        <f t="shared" si="29"/>
        <v>0</v>
      </c>
    </row>
    <row r="853" spans="1:24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8">
        <v>0</v>
      </c>
      <c r="W853" s="17">
        <f t="shared" si="28"/>
        <v>0</v>
      </c>
      <c r="X853" s="5">
        <f t="shared" si="29"/>
        <v>0</v>
      </c>
    </row>
    <row r="854" spans="1:24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8">
        <v>0</v>
      </c>
      <c r="W854" s="17">
        <f t="shared" si="28"/>
        <v>0</v>
      </c>
      <c r="X854" s="5">
        <f t="shared" si="29"/>
        <v>0</v>
      </c>
    </row>
    <row r="855" spans="1:24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8">
        <v>0</v>
      </c>
      <c r="W855" s="17">
        <f t="shared" si="28"/>
        <v>0</v>
      </c>
      <c r="X855" s="5">
        <f t="shared" si="29"/>
        <v>0</v>
      </c>
    </row>
    <row r="856" spans="1:24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8">
        <v>0</v>
      </c>
      <c r="W856" s="17">
        <f t="shared" si="28"/>
        <v>0</v>
      </c>
      <c r="X856" s="5">
        <f t="shared" si="29"/>
        <v>0</v>
      </c>
    </row>
    <row r="857" spans="1:24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8">
        <v>0</v>
      </c>
      <c r="W857" s="17">
        <f t="shared" si="28"/>
        <v>0</v>
      </c>
      <c r="X857" s="5">
        <f t="shared" si="29"/>
        <v>0</v>
      </c>
    </row>
    <row r="858" spans="1:24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8">
        <v>0</v>
      </c>
      <c r="W858" s="17">
        <f t="shared" si="28"/>
        <v>0</v>
      </c>
      <c r="X858" s="5">
        <f t="shared" si="29"/>
        <v>0</v>
      </c>
    </row>
    <row r="859" spans="1:24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8">
        <v>0</v>
      </c>
      <c r="W859" s="17">
        <f t="shared" si="28"/>
        <v>0</v>
      </c>
      <c r="X859" s="5">
        <f t="shared" si="29"/>
        <v>0</v>
      </c>
    </row>
    <row r="860" spans="1:24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8">
        <v>0</v>
      </c>
      <c r="W860" s="17">
        <f t="shared" si="28"/>
        <v>0</v>
      </c>
      <c r="X860" s="5">
        <f t="shared" si="29"/>
        <v>0</v>
      </c>
    </row>
    <row r="861" spans="1:24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8">
        <v>0</v>
      </c>
      <c r="W861" s="17">
        <f t="shared" si="28"/>
        <v>0</v>
      </c>
      <c r="X861" s="5">
        <f t="shared" si="29"/>
        <v>0</v>
      </c>
    </row>
    <row r="862" spans="1:24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8">
        <v>0</v>
      </c>
      <c r="W862" s="17">
        <f t="shared" si="28"/>
        <v>0</v>
      </c>
      <c r="X862" s="5">
        <f t="shared" si="29"/>
        <v>0</v>
      </c>
    </row>
    <row r="863" spans="1:24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8">
        <v>0</v>
      </c>
      <c r="W863" s="17">
        <f t="shared" si="28"/>
        <v>0</v>
      </c>
      <c r="X863" s="5">
        <f t="shared" si="29"/>
        <v>0</v>
      </c>
    </row>
    <row r="864" spans="1:24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8">
        <v>0</v>
      </c>
      <c r="W864" s="17">
        <f t="shared" si="28"/>
        <v>0</v>
      </c>
      <c r="X864" s="5">
        <f t="shared" si="29"/>
        <v>0</v>
      </c>
    </row>
    <row r="865" spans="1:24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8">
        <v>0</v>
      </c>
      <c r="W865" s="17">
        <f t="shared" si="28"/>
        <v>0</v>
      </c>
      <c r="X865" s="5">
        <f t="shared" si="29"/>
        <v>0</v>
      </c>
    </row>
    <row r="866" spans="1:24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8">
        <v>0</v>
      </c>
      <c r="W866" s="17">
        <f t="shared" si="28"/>
        <v>0</v>
      </c>
      <c r="X866" s="5">
        <f t="shared" si="29"/>
        <v>0</v>
      </c>
    </row>
    <row r="867" spans="1:24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8">
        <v>0</v>
      </c>
      <c r="W867" s="17">
        <f t="shared" si="28"/>
        <v>0</v>
      </c>
      <c r="X867" s="5">
        <f t="shared" si="29"/>
        <v>0</v>
      </c>
    </row>
    <row r="868" spans="1:24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8">
        <v>0</v>
      </c>
      <c r="W868" s="17">
        <f t="shared" si="28"/>
        <v>0</v>
      </c>
      <c r="X868" s="5">
        <f t="shared" si="29"/>
        <v>0</v>
      </c>
    </row>
    <row r="869" spans="1:24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8">
        <v>0</v>
      </c>
      <c r="W869" s="17">
        <f t="shared" si="28"/>
        <v>0</v>
      </c>
      <c r="X869" s="5">
        <f t="shared" si="29"/>
        <v>0</v>
      </c>
    </row>
    <row r="870" spans="1:24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8">
        <v>0</v>
      </c>
      <c r="W870" s="17">
        <f t="shared" si="28"/>
        <v>0</v>
      </c>
      <c r="X870" s="5">
        <f t="shared" si="29"/>
        <v>0</v>
      </c>
    </row>
    <row r="871" spans="1:24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8">
        <v>0</v>
      </c>
      <c r="W871" s="17">
        <f t="shared" si="28"/>
        <v>0</v>
      </c>
      <c r="X871" s="5">
        <f t="shared" si="29"/>
        <v>0</v>
      </c>
    </row>
    <row r="872" spans="1:24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8">
        <v>0</v>
      </c>
      <c r="W872" s="17">
        <f t="shared" si="28"/>
        <v>0</v>
      </c>
      <c r="X872" s="5">
        <f t="shared" si="29"/>
        <v>0</v>
      </c>
    </row>
    <row r="873" spans="1:24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8">
        <v>0</v>
      </c>
      <c r="W873" s="17">
        <f t="shared" si="28"/>
        <v>0</v>
      </c>
      <c r="X873" s="5">
        <f t="shared" si="29"/>
        <v>0</v>
      </c>
    </row>
    <row r="874" spans="1:24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8">
        <v>0</v>
      </c>
      <c r="W874" s="17">
        <f t="shared" si="28"/>
        <v>0</v>
      </c>
      <c r="X874" s="5">
        <f t="shared" si="29"/>
        <v>0</v>
      </c>
    </row>
    <row r="875" spans="1:24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8">
        <v>0</v>
      </c>
      <c r="W875" s="17">
        <f t="shared" si="28"/>
        <v>0</v>
      </c>
      <c r="X875" s="5">
        <f t="shared" si="29"/>
        <v>0</v>
      </c>
    </row>
    <row r="876" spans="1:24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8">
        <v>0</v>
      </c>
      <c r="W876" s="17">
        <f t="shared" si="28"/>
        <v>0</v>
      </c>
      <c r="X876" s="5">
        <f t="shared" si="29"/>
        <v>0</v>
      </c>
    </row>
    <row r="877" spans="1:24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8">
        <v>0</v>
      </c>
      <c r="W877" s="17">
        <f t="shared" si="28"/>
        <v>0</v>
      </c>
      <c r="X877" s="5">
        <f t="shared" si="29"/>
        <v>0</v>
      </c>
    </row>
    <row r="878" spans="1:24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8">
        <v>0</v>
      </c>
      <c r="W878" s="17">
        <f t="shared" si="28"/>
        <v>0</v>
      </c>
      <c r="X878" s="5">
        <f t="shared" si="29"/>
        <v>0</v>
      </c>
    </row>
    <row r="879" spans="1:24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8">
        <v>0</v>
      </c>
      <c r="W879" s="17">
        <f t="shared" si="28"/>
        <v>0</v>
      </c>
      <c r="X879" s="5">
        <f t="shared" si="29"/>
        <v>0</v>
      </c>
    </row>
    <row r="880" spans="1:24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8">
        <v>0</v>
      </c>
      <c r="W880" s="17">
        <f t="shared" si="28"/>
        <v>0</v>
      </c>
      <c r="X880" s="5">
        <f t="shared" si="29"/>
        <v>0</v>
      </c>
    </row>
    <row r="881" spans="1:24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8">
        <v>0</v>
      </c>
      <c r="W881" s="17">
        <f t="shared" si="28"/>
        <v>0</v>
      </c>
      <c r="X881" s="5">
        <f t="shared" si="29"/>
        <v>0</v>
      </c>
    </row>
    <row r="882" spans="1:24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8">
        <v>0</v>
      </c>
      <c r="W882" s="17">
        <f t="shared" si="28"/>
        <v>0</v>
      </c>
      <c r="X882" s="5">
        <f t="shared" si="29"/>
        <v>0</v>
      </c>
    </row>
    <row r="883" spans="1:24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8">
        <v>0</v>
      </c>
      <c r="W883" s="17">
        <f t="shared" si="28"/>
        <v>0</v>
      </c>
      <c r="X883" s="5">
        <f t="shared" si="29"/>
        <v>0</v>
      </c>
    </row>
    <row r="884" spans="1:24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8">
        <v>0</v>
      </c>
      <c r="W884" s="17">
        <f t="shared" si="28"/>
        <v>0</v>
      </c>
      <c r="X884" s="5">
        <f t="shared" si="29"/>
        <v>0</v>
      </c>
    </row>
    <row r="885" spans="1:24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8">
        <v>0</v>
      </c>
      <c r="W885" s="17">
        <f t="shared" si="28"/>
        <v>0</v>
      </c>
      <c r="X885" s="5">
        <f t="shared" si="29"/>
        <v>0</v>
      </c>
    </row>
    <row r="886" spans="1:24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8">
        <v>0</v>
      </c>
      <c r="W886" s="17">
        <f t="shared" si="28"/>
        <v>0</v>
      </c>
      <c r="X886" s="5">
        <f t="shared" si="29"/>
        <v>0</v>
      </c>
    </row>
    <row r="887" spans="1:24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8">
        <v>0</v>
      </c>
      <c r="W887" s="17">
        <f t="shared" si="28"/>
        <v>0</v>
      </c>
      <c r="X887" s="5">
        <f t="shared" si="29"/>
        <v>0</v>
      </c>
    </row>
    <row r="888" spans="1:24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8">
        <v>0</v>
      </c>
      <c r="W888" s="17">
        <f t="shared" si="28"/>
        <v>0</v>
      </c>
      <c r="X888" s="5">
        <f t="shared" si="29"/>
        <v>0</v>
      </c>
    </row>
    <row r="889" spans="1:24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8">
        <v>0</v>
      </c>
      <c r="W889" s="17">
        <f t="shared" si="28"/>
        <v>0</v>
      </c>
      <c r="X889" s="5">
        <f t="shared" si="29"/>
        <v>0</v>
      </c>
    </row>
    <row r="890" spans="1:24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8">
        <v>0</v>
      </c>
      <c r="W890" s="17">
        <f t="shared" si="28"/>
        <v>0</v>
      </c>
      <c r="X890" s="5">
        <f t="shared" si="29"/>
        <v>0</v>
      </c>
    </row>
    <row r="891" spans="1:24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8">
        <v>0</v>
      </c>
      <c r="W891" s="17">
        <f t="shared" si="28"/>
        <v>0</v>
      </c>
      <c r="X891" s="5">
        <f t="shared" si="29"/>
        <v>0</v>
      </c>
    </row>
    <row r="892" spans="1:24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8">
        <v>0</v>
      </c>
      <c r="W892" s="17">
        <f t="shared" si="28"/>
        <v>0</v>
      </c>
      <c r="X892" s="5">
        <f t="shared" si="29"/>
        <v>0</v>
      </c>
    </row>
    <row r="893" spans="1:24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8">
        <v>0</v>
      </c>
      <c r="W893" s="17">
        <f t="shared" si="28"/>
        <v>0</v>
      </c>
      <c r="X893" s="5">
        <f t="shared" si="29"/>
        <v>0</v>
      </c>
    </row>
    <row r="894" spans="1:24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8">
        <v>0</v>
      </c>
      <c r="W894" s="17">
        <f t="shared" si="28"/>
        <v>0</v>
      </c>
      <c r="X894" s="5">
        <f t="shared" si="29"/>
        <v>0</v>
      </c>
    </row>
    <row r="895" spans="1:24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8">
        <v>0</v>
      </c>
      <c r="W895" s="17">
        <f t="shared" si="28"/>
        <v>0</v>
      </c>
      <c r="X895" s="5">
        <f t="shared" si="29"/>
        <v>0</v>
      </c>
    </row>
    <row r="896" spans="1:24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8">
        <v>0</v>
      </c>
      <c r="W896" s="17">
        <f t="shared" si="28"/>
        <v>0</v>
      </c>
      <c r="X896" s="5">
        <f t="shared" si="29"/>
        <v>0</v>
      </c>
    </row>
    <row r="897" spans="1:24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8">
        <v>0</v>
      </c>
      <c r="W897" s="17">
        <f t="shared" si="28"/>
        <v>0</v>
      </c>
      <c r="X897" s="5">
        <f t="shared" si="29"/>
        <v>0</v>
      </c>
    </row>
    <row r="898" spans="1:24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8">
        <v>0</v>
      </c>
      <c r="W898" s="17">
        <f t="shared" si="28"/>
        <v>0</v>
      </c>
      <c r="X898" s="5">
        <f t="shared" si="29"/>
        <v>0</v>
      </c>
    </row>
    <row r="899" spans="1:24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8">
        <v>0</v>
      </c>
      <c r="W899" s="17">
        <f t="shared" ref="W899:W962" si="30">HOUR(E899)</f>
        <v>0</v>
      </c>
      <c r="X899" s="5">
        <f t="shared" ref="X899:X962" si="31">IF(D899=D898,0,1)</f>
        <v>0</v>
      </c>
    </row>
    <row r="900" spans="1:24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8">
        <v>0</v>
      </c>
      <c r="W900" s="17">
        <f t="shared" si="30"/>
        <v>0</v>
      </c>
      <c r="X900" s="5">
        <f t="shared" si="31"/>
        <v>0</v>
      </c>
    </row>
    <row r="901" spans="1:24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8">
        <v>0</v>
      </c>
      <c r="W901" s="17">
        <f t="shared" si="30"/>
        <v>0</v>
      </c>
      <c r="X901" s="5">
        <f t="shared" si="31"/>
        <v>0</v>
      </c>
    </row>
    <row r="902" spans="1:24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8">
        <v>0</v>
      </c>
      <c r="W902" s="17">
        <f t="shared" si="30"/>
        <v>0</v>
      </c>
      <c r="X902" s="5">
        <f t="shared" si="31"/>
        <v>0</v>
      </c>
    </row>
    <row r="903" spans="1:24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8">
        <v>0</v>
      </c>
      <c r="W903" s="17">
        <f t="shared" si="30"/>
        <v>0</v>
      </c>
      <c r="X903" s="5">
        <f t="shared" si="31"/>
        <v>0</v>
      </c>
    </row>
    <row r="904" spans="1:24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8">
        <v>0</v>
      </c>
      <c r="W904" s="17">
        <f t="shared" si="30"/>
        <v>0</v>
      </c>
      <c r="X904" s="5">
        <f t="shared" si="31"/>
        <v>0</v>
      </c>
    </row>
    <row r="905" spans="1:24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8">
        <v>0</v>
      </c>
      <c r="W905" s="17">
        <f t="shared" si="30"/>
        <v>0</v>
      </c>
      <c r="X905" s="5">
        <f t="shared" si="31"/>
        <v>0</v>
      </c>
    </row>
    <row r="906" spans="1:24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8">
        <v>0</v>
      </c>
      <c r="W906" s="17">
        <f t="shared" si="30"/>
        <v>0</v>
      </c>
      <c r="X906" s="5">
        <f t="shared" si="31"/>
        <v>0</v>
      </c>
    </row>
    <row r="907" spans="1:24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8">
        <v>0</v>
      </c>
      <c r="W907" s="17">
        <f t="shared" si="30"/>
        <v>0</v>
      </c>
      <c r="X907" s="5">
        <f t="shared" si="31"/>
        <v>0</v>
      </c>
    </row>
    <row r="908" spans="1:24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8">
        <v>0</v>
      </c>
      <c r="W908" s="17">
        <f t="shared" si="30"/>
        <v>0</v>
      </c>
      <c r="X908" s="5">
        <f t="shared" si="31"/>
        <v>0</v>
      </c>
    </row>
    <row r="909" spans="1:24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8">
        <v>0</v>
      </c>
      <c r="W909" s="17">
        <f t="shared" si="30"/>
        <v>0</v>
      </c>
      <c r="X909" s="5">
        <f t="shared" si="31"/>
        <v>0</v>
      </c>
    </row>
    <row r="910" spans="1:24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8">
        <v>0</v>
      </c>
      <c r="W910" s="17">
        <f t="shared" si="30"/>
        <v>0</v>
      </c>
      <c r="X910" s="5">
        <f t="shared" si="31"/>
        <v>0</v>
      </c>
    </row>
    <row r="911" spans="1:24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8">
        <v>0</v>
      </c>
      <c r="W911" s="17">
        <f t="shared" si="30"/>
        <v>0</v>
      </c>
      <c r="X911" s="5">
        <f t="shared" si="31"/>
        <v>0</v>
      </c>
    </row>
    <row r="912" spans="1:24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8">
        <v>0</v>
      </c>
      <c r="W912" s="17">
        <f t="shared" si="30"/>
        <v>0</v>
      </c>
      <c r="X912" s="5">
        <f t="shared" si="31"/>
        <v>0</v>
      </c>
    </row>
    <row r="913" spans="1:24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8">
        <v>0</v>
      </c>
      <c r="W913" s="17">
        <f t="shared" si="30"/>
        <v>0</v>
      </c>
      <c r="X913" s="5">
        <f t="shared" si="31"/>
        <v>0</v>
      </c>
    </row>
    <row r="914" spans="1:24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8">
        <v>0</v>
      </c>
      <c r="W914" s="17">
        <f t="shared" si="30"/>
        <v>0</v>
      </c>
      <c r="X914" s="5">
        <f t="shared" si="31"/>
        <v>0</v>
      </c>
    </row>
    <row r="915" spans="1:24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8">
        <v>0</v>
      </c>
      <c r="W915" s="17">
        <f t="shared" si="30"/>
        <v>0</v>
      </c>
      <c r="X915" s="5">
        <f t="shared" si="31"/>
        <v>0</v>
      </c>
    </row>
    <row r="916" spans="1:24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8">
        <v>0</v>
      </c>
      <c r="W916" s="17">
        <f t="shared" si="30"/>
        <v>0</v>
      </c>
      <c r="X916" s="5">
        <f t="shared" si="31"/>
        <v>0</v>
      </c>
    </row>
    <row r="917" spans="1:24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8">
        <v>0</v>
      </c>
      <c r="W917" s="17">
        <f t="shared" si="30"/>
        <v>0</v>
      </c>
      <c r="X917" s="5">
        <f t="shared" si="31"/>
        <v>0</v>
      </c>
    </row>
    <row r="918" spans="1:24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8">
        <v>0</v>
      </c>
      <c r="W918" s="17">
        <f t="shared" si="30"/>
        <v>0</v>
      </c>
      <c r="X918" s="5">
        <f t="shared" si="31"/>
        <v>0</v>
      </c>
    </row>
    <row r="919" spans="1:24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8">
        <v>0</v>
      </c>
      <c r="W919" s="17">
        <f t="shared" si="30"/>
        <v>0</v>
      </c>
      <c r="X919" s="5">
        <f t="shared" si="31"/>
        <v>0</v>
      </c>
    </row>
    <row r="920" spans="1:24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8">
        <v>0</v>
      </c>
      <c r="W920" s="17">
        <f t="shared" si="30"/>
        <v>0</v>
      </c>
      <c r="X920" s="5">
        <f t="shared" si="31"/>
        <v>0</v>
      </c>
    </row>
    <row r="921" spans="1:24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8">
        <v>0</v>
      </c>
      <c r="W921" s="17">
        <f t="shared" si="30"/>
        <v>0</v>
      </c>
      <c r="X921" s="5">
        <f t="shared" si="31"/>
        <v>0</v>
      </c>
    </row>
    <row r="922" spans="1:24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8">
        <v>0</v>
      </c>
      <c r="W922" s="17">
        <f t="shared" si="30"/>
        <v>0</v>
      </c>
      <c r="X922" s="5">
        <f t="shared" si="31"/>
        <v>0</v>
      </c>
    </row>
    <row r="923" spans="1:24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8">
        <v>0</v>
      </c>
      <c r="W923" s="17">
        <f t="shared" si="30"/>
        <v>0</v>
      </c>
      <c r="X923" s="5">
        <f t="shared" si="31"/>
        <v>0</v>
      </c>
    </row>
    <row r="924" spans="1:24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8">
        <v>0</v>
      </c>
      <c r="W924" s="17">
        <f t="shared" si="30"/>
        <v>0</v>
      </c>
      <c r="X924" s="5">
        <f t="shared" si="31"/>
        <v>0</v>
      </c>
    </row>
    <row r="925" spans="1:24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8">
        <v>0</v>
      </c>
      <c r="W925" s="17">
        <f t="shared" si="30"/>
        <v>0</v>
      </c>
      <c r="X925" s="5">
        <f t="shared" si="31"/>
        <v>0</v>
      </c>
    </row>
    <row r="926" spans="1:24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8">
        <v>0</v>
      </c>
      <c r="W926" s="17">
        <f t="shared" si="30"/>
        <v>0</v>
      </c>
      <c r="X926" s="5">
        <f t="shared" si="31"/>
        <v>0</v>
      </c>
    </row>
    <row r="927" spans="1:24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8">
        <v>0</v>
      </c>
      <c r="W927" s="17">
        <f t="shared" si="30"/>
        <v>0</v>
      </c>
      <c r="X927" s="5">
        <f t="shared" si="31"/>
        <v>0</v>
      </c>
    </row>
    <row r="928" spans="1:24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8">
        <v>0</v>
      </c>
      <c r="W928" s="17">
        <f t="shared" si="30"/>
        <v>0</v>
      </c>
      <c r="X928" s="5">
        <f t="shared" si="31"/>
        <v>0</v>
      </c>
    </row>
    <row r="929" spans="1:24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8">
        <v>0</v>
      </c>
      <c r="W929" s="17">
        <f t="shared" si="30"/>
        <v>0</v>
      </c>
      <c r="X929" s="5">
        <f t="shared" si="31"/>
        <v>0</v>
      </c>
    </row>
    <row r="930" spans="1:24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8">
        <v>0</v>
      </c>
      <c r="W930" s="17">
        <f t="shared" si="30"/>
        <v>0</v>
      </c>
      <c r="X930" s="5">
        <f t="shared" si="31"/>
        <v>0</v>
      </c>
    </row>
    <row r="931" spans="1:24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8">
        <v>0</v>
      </c>
      <c r="W931" s="17">
        <f t="shared" si="30"/>
        <v>0</v>
      </c>
      <c r="X931" s="5">
        <f t="shared" si="31"/>
        <v>0</v>
      </c>
    </row>
    <row r="932" spans="1:24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8">
        <v>0</v>
      </c>
      <c r="W932" s="17">
        <f t="shared" si="30"/>
        <v>0</v>
      </c>
      <c r="X932" s="5">
        <f t="shared" si="31"/>
        <v>0</v>
      </c>
    </row>
    <row r="933" spans="1:24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8">
        <v>0</v>
      </c>
      <c r="W933" s="17">
        <f t="shared" si="30"/>
        <v>0</v>
      </c>
      <c r="X933" s="5">
        <f t="shared" si="31"/>
        <v>0</v>
      </c>
    </row>
    <row r="934" spans="1:24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8">
        <v>0</v>
      </c>
      <c r="W934" s="17">
        <f t="shared" si="30"/>
        <v>0</v>
      </c>
      <c r="X934" s="5">
        <f t="shared" si="31"/>
        <v>0</v>
      </c>
    </row>
    <row r="935" spans="1:24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8">
        <v>0</v>
      </c>
      <c r="W935" s="17">
        <f t="shared" si="30"/>
        <v>0</v>
      </c>
      <c r="X935" s="5">
        <f t="shared" si="31"/>
        <v>0</v>
      </c>
    </row>
    <row r="936" spans="1:24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8">
        <v>0</v>
      </c>
      <c r="W936" s="17">
        <f t="shared" si="30"/>
        <v>0</v>
      </c>
      <c r="X936" s="5">
        <f t="shared" si="31"/>
        <v>0</v>
      </c>
    </row>
    <row r="937" spans="1:24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8">
        <v>0</v>
      </c>
      <c r="W937" s="17">
        <f t="shared" si="30"/>
        <v>0</v>
      </c>
      <c r="X937" s="5">
        <f t="shared" si="31"/>
        <v>0</v>
      </c>
    </row>
    <row r="938" spans="1:24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8">
        <v>0</v>
      </c>
      <c r="W938" s="17">
        <f t="shared" si="30"/>
        <v>0</v>
      </c>
      <c r="X938" s="5">
        <f t="shared" si="31"/>
        <v>0</v>
      </c>
    </row>
    <row r="939" spans="1:24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8">
        <v>0</v>
      </c>
      <c r="W939" s="17">
        <f t="shared" si="30"/>
        <v>0</v>
      </c>
      <c r="X939" s="5">
        <f t="shared" si="31"/>
        <v>0</v>
      </c>
    </row>
    <row r="940" spans="1:24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8">
        <v>0</v>
      </c>
      <c r="W940" s="17">
        <f t="shared" si="30"/>
        <v>0</v>
      </c>
      <c r="X940" s="5">
        <f t="shared" si="31"/>
        <v>0</v>
      </c>
    </row>
    <row r="941" spans="1:24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8">
        <v>0</v>
      </c>
      <c r="W941" s="17">
        <f t="shared" si="30"/>
        <v>0</v>
      </c>
      <c r="X941" s="5">
        <f t="shared" si="31"/>
        <v>0</v>
      </c>
    </row>
    <row r="942" spans="1:24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8">
        <v>0</v>
      </c>
      <c r="W942" s="17">
        <f t="shared" si="30"/>
        <v>0</v>
      </c>
      <c r="X942" s="5">
        <f t="shared" si="31"/>
        <v>0</v>
      </c>
    </row>
    <row r="943" spans="1:24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8">
        <v>0</v>
      </c>
      <c r="W943" s="17">
        <f t="shared" si="30"/>
        <v>0</v>
      </c>
      <c r="X943" s="5">
        <f t="shared" si="31"/>
        <v>0</v>
      </c>
    </row>
    <row r="944" spans="1:24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8">
        <v>0</v>
      </c>
      <c r="W944" s="17">
        <f t="shared" si="30"/>
        <v>0</v>
      </c>
      <c r="X944" s="5">
        <f t="shared" si="31"/>
        <v>0</v>
      </c>
    </row>
    <row r="945" spans="1:24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8">
        <v>0</v>
      </c>
      <c r="W945" s="17">
        <f t="shared" si="30"/>
        <v>0</v>
      </c>
      <c r="X945" s="5">
        <f t="shared" si="31"/>
        <v>0</v>
      </c>
    </row>
    <row r="946" spans="1:24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8">
        <v>0</v>
      </c>
      <c r="W946" s="17">
        <f t="shared" si="30"/>
        <v>0</v>
      </c>
      <c r="X946" s="5">
        <f t="shared" si="31"/>
        <v>0</v>
      </c>
    </row>
    <row r="947" spans="1:24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8">
        <v>0</v>
      </c>
      <c r="W947" s="17">
        <f t="shared" si="30"/>
        <v>0</v>
      </c>
      <c r="X947" s="5">
        <f t="shared" si="31"/>
        <v>0</v>
      </c>
    </row>
    <row r="948" spans="1:24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8">
        <v>0</v>
      </c>
      <c r="W948" s="17">
        <f t="shared" si="30"/>
        <v>0</v>
      </c>
      <c r="X948" s="5">
        <f t="shared" si="31"/>
        <v>0</v>
      </c>
    </row>
    <row r="949" spans="1:24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8">
        <v>0</v>
      </c>
      <c r="W949" s="17">
        <f t="shared" si="30"/>
        <v>0</v>
      </c>
      <c r="X949" s="5">
        <f t="shared" si="31"/>
        <v>0</v>
      </c>
    </row>
    <row r="950" spans="1:24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8">
        <v>0</v>
      </c>
      <c r="W950" s="17">
        <f t="shared" si="30"/>
        <v>0</v>
      </c>
      <c r="X950" s="5">
        <f t="shared" si="31"/>
        <v>0</v>
      </c>
    </row>
    <row r="951" spans="1:24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8">
        <v>0</v>
      </c>
      <c r="W951" s="17">
        <f t="shared" si="30"/>
        <v>0</v>
      </c>
      <c r="X951" s="5">
        <f t="shared" si="31"/>
        <v>0</v>
      </c>
    </row>
    <row r="952" spans="1:24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8">
        <v>0</v>
      </c>
      <c r="W952" s="17">
        <f t="shared" si="30"/>
        <v>0</v>
      </c>
      <c r="X952" s="5">
        <f t="shared" si="31"/>
        <v>0</v>
      </c>
    </row>
    <row r="953" spans="1:24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8">
        <v>0</v>
      </c>
      <c r="W953" s="17">
        <f t="shared" si="30"/>
        <v>0</v>
      </c>
      <c r="X953" s="5">
        <f t="shared" si="31"/>
        <v>0</v>
      </c>
    </row>
    <row r="954" spans="1:24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8">
        <v>0</v>
      </c>
      <c r="W954" s="17">
        <f t="shared" si="30"/>
        <v>0</v>
      </c>
      <c r="X954" s="5">
        <f t="shared" si="31"/>
        <v>0</v>
      </c>
    </row>
    <row r="955" spans="1:24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8">
        <v>0</v>
      </c>
      <c r="W955" s="17">
        <f t="shared" si="30"/>
        <v>0</v>
      </c>
      <c r="X955" s="5">
        <f t="shared" si="31"/>
        <v>0</v>
      </c>
    </row>
    <row r="956" spans="1:24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8">
        <v>0</v>
      </c>
      <c r="W956" s="17">
        <f t="shared" si="30"/>
        <v>0</v>
      </c>
      <c r="X956" s="5">
        <f t="shared" si="31"/>
        <v>0</v>
      </c>
    </row>
    <row r="957" spans="1:24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8">
        <v>0</v>
      </c>
      <c r="W957" s="17">
        <f t="shared" si="30"/>
        <v>0</v>
      </c>
      <c r="X957" s="5">
        <f t="shared" si="31"/>
        <v>0</v>
      </c>
    </row>
    <row r="958" spans="1:24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8">
        <v>0</v>
      </c>
      <c r="W958" s="17">
        <f t="shared" si="30"/>
        <v>0</v>
      </c>
      <c r="X958" s="5">
        <f t="shared" si="31"/>
        <v>0</v>
      </c>
    </row>
    <row r="959" spans="1:24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8">
        <v>0</v>
      </c>
      <c r="W959" s="17">
        <f t="shared" si="30"/>
        <v>0</v>
      </c>
      <c r="X959" s="5">
        <f t="shared" si="31"/>
        <v>0</v>
      </c>
    </row>
    <row r="960" spans="1:24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8">
        <v>0</v>
      </c>
      <c r="W960" s="17">
        <f t="shared" si="30"/>
        <v>0</v>
      </c>
      <c r="X960" s="5">
        <f t="shared" si="31"/>
        <v>0</v>
      </c>
    </row>
    <row r="961" spans="1:24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8">
        <v>0</v>
      </c>
      <c r="W961" s="17">
        <f t="shared" si="30"/>
        <v>0</v>
      </c>
      <c r="X961" s="5">
        <f t="shared" si="31"/>
        <v>0</v>
      </c>
    </row>
    <row r="962" spans="1:24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8">
        <v>0</v>
      </c>
      <c r="W962" s="17">
        <f t="shared" si="30"/>
        <v>0</v>
      </c>
      <c r="X962" s="5">
        <f t="shared" si="31"/>
        <v>0</v>
      </c>
    </row>
    <row r="963" spans="1:24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8">
        <v>0</v>
      </c>
      <c r="W963" s="17">
        <f t="shared" ref="W963:W1026" si="32">HOUR(E963)</f>
        <v>0</v>
      </c>
      <c r="X963" s="5">
        <f t="shared" ref="X963:X1026" si="33">IF(D963=D962,0,1)</f>
        <v>0</v>
      </c>
    </row>
    <row r="964" spans="1:24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8">
        <v>0</v>
      </c>
      <c r="W964" s="17">
        <f t="shared" si="32"/>
        <v>0</v>
      </c>
      <c r="X964" s="5">
        <f t="shared" si="33"/>
        <v>0</v>
      </c>
    </row>
    <row r="965" spans="1:24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8">
        <v>0</v>
      </c>
      <c r="W965" s="17">
        <f t="shared" si="32"/>
        <v>0</v>
      </c>
      <c r="X965" s="5">
        <f t="shared" si="33"/>
        <v>0</v>
      </c>
    </row>
    <row r="966" spans="1:24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8">
        <v>0</v>
      </c>
      <c r="W966" s="17">
        <f t="shared" si="32"/>
        <v>0</v>
      </c>
      <c r="X966" s="5">
        <f t="shared" si="33"/>
        <v>0</v>
      </c>
    </row>
    <row r="967" spans="1:24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8">
        <v>0</v>
      </c>
      <c r="W967" s="17">
        <f t="shared" si="32"/>
        <v>0</v>
      </c>
      <c r="X967" s="5">
        <f t="shared" si="33"/>
        <v>0</v>
      </c>
    </row>
    <row r="968" spans="1:24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8">
        <v>0</v>
      </c>
      <c r="W968" s="17">
        <f t="shared" si="32"/>
        <v>0</v>
      </c>
      <c r="X968" s="5">
        <f t="shared" si="33"/>
        <v>0</v>
      </c>
    </row>
    <row r="969" spans="1:24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8">
        <v>0</v>
      </c>
      <c r="W969" s="17">
        <f t="shared" si="32"/>
        <v>0</v>
      </c>
      <c r="X969" s="5">
        <f t="shared" si="33"/>
        <v>0</v>
      </c>
    </row>
    <row r="970" spans="1:24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8">
        <v>0</v>
      </c>
      <c r="W970" s="17">
        <f t="shared" si="32"/>
        <v>0</v>
      </c>
      <c r="X970" s="5">
        <f t="shared" si="33"/>
        <v>0</v>
      </c>
    </row>
    <row r="971" spans="1:24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8">
        <v>0</v>
      </c>
      <c r="W971" s="17">
        <f t="shared" si="32"/>
        <v>0</v>
      </c>
      <c r="X971" s="5">
        <f t="shared" si="33"/>
        <v>0</v>
      </c>
    </row>
    <row r="972" spans="1:24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8">
        <v>0</v>
      </c>
      <c r="W972" s="17">
        <f t="shared" si="32"/>
        <v>0</v>
      </c>
      <c r="X972" s="5">
        <f t="shared" si="33"/>
        <v>0</v>
      </c>
    </row>
    <row r="973" spans="1:24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8">
        <v>0</v>
      </c>
      <c r="W973" s="17">
        <f t="shared" si="32"/>
        <v>0</v>
      </c>
      <c r="X973" s="5">
        <f t="shared" si="33"/>
        <v>0</v>
      </c>
    </row>
    <row r="974" spans="1:24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8">
        <v>0</v>
      </c>
      <c r="W974" s="17">
        <f t="shared" si="32"/>
        <v>0</v>
      </c>
      <c r="X974" s="5">
        <f t="shared" si="33"/>
        <v>0</v>
      </c>
    </row>
    <row r="975" spans="1:24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8">
        <v>0</v>
      </c>
      <c r="W975" s="17">
        <f t="shared" si="32"/>
        <v>0</v>
      </c>
      <c r="X975" s="5">
        <f t="shared" si="33"/>
        <v>0</v>
      </c>
    </row>
    <row r="976" spans="1:24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8">
        <v>0</v>
      </c>
      <c r="W976" s="17">
        <f t="shared" si="32"/>
        <v>0</v>
      </c>
      <c r="X976" s="5">
        <f t="shared" si="33"/>
        <v>0</v>
      </c>
    </row>
    <row r="977" spans="1:24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8">
        <v>0</v>
      </c>
      <c r="W977" s="17">
        <f t="shared" si="32"/>
        <v>0</v>
      </c>
      <c r="X977" s="5">
        <f t="shared" si="33"/>
        <v>0</v>
      </c>
    </row>
    <row r="978" spans="1:24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8">
        <v>0</v>
      </c>
      <c r="W978" s="17">
        <f t="shared" si="32"/>
        <v>0</v>
      </c>
      <c r="X978" s="5">
        <f t="shared" si="33"/>
        <v>0</v>
      </c>
    </row>
    <row r="979" spans="1:24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8">
        <v>0</v>
      </c>
      <c r="W979" s="17">
        <f t="shared" si="32"/>
        <v>0</v>
      </c>
      <c r="X979" s="5">
        <f t="shared" si="33"/>
        <v>0</v>
      </c>
    </row>
    <row r="980" spans="1:24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8">
        <v>0</v>
      </c>
      <c r="W980" s="17">
        <f t="shared" si="32"/>
        <v>0</v>
      </c>
      <c r="X980" s="5">
        <f t="shared" si="33"/>
        <v>0</v>
      </c>
    </row>
    <row r="981" spans="1:24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8">
        <v>0</v>
      </c>
      <c r="W981" s="17">
        <f t="shared" si="32"/>
        <v>0</v>
      </c>
      <c r="X981" s="5">
        <f t="shared" si="33"/>
        <v>0</v>
      </c>
    </row>
    <row r="982" spans="1:24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8">
        <v>0</v>
      </c>
      <c r="W982" s="17">
        <f t="shared" si="32"/>
        <v>0</v>
      </c>
      <c r="X982" s="5">
        <f t="shared" si="33"/>
        <v>0</v>
      </c>
    </row>
    <row r="983" spans="1:24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8">
        <v>0</v>
      </c>
      <c r="W983" s="17">
        <f t="shared" si="32"/>
        <v>0</v>
      </c>
      <c r="X983" s="5">
        <f t="shared" si="33"/>
        <v>0</v>
      </c>
    </row>
    <row r="984" spans="1:24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8">
        <v>0</v>
      </c>
      <c r="W984" s="17">
        <f t="shared" si="32"/>
        <v>0</v>
      </c>
      <c r="X984" s="5">
        <f t="shared" si="33"/>
        <v>0</v>
      </c>
    </row>
    <row r="985" spans="1:24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8">
        <v>0</v>
      </c>
      <c r="W985" s="17">
        <f t="shared" si="32"/>
        <v>0</v>
      </c>
      <c r="X985" s="5">
        <f t="shared" si="33"/>
        <v>0</v>
      </c>
    </row>
    <row r="986" spans="1:24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8">
        <v>0</v>
      </c>
      <c r="W986" s="17">
        <f t="shared" si="32"/>
        <v>0</v>
      </c>
      <c r="X986" s="5">
        <f t="shared" si="33"/>
        <v>0</v>
      </c>
    </row>
    <row r="987" spans="1:24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8">
        <v>0</v>
      </c>
      <c r="W987" s="17">
        <f t="shared" si="32"/>
        <v>0</v>
      </c>
      <c r="X987" s="5">
        <f t="shared" si="33"/>
        <v>0</v>
      </c>
    </row>
    <row r="988" spans="1:24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8">
        <v>0</v>
      </c>
      <c r="W988" s="17">
        <f t="shared" si="32"/>
        <v>0</v>
      </c>
      <c r="X988" s="5">
        <f t="shared" si="33"/>
        <v>0</v>
      </c>
    </row>
    <row r="989" spans="1:24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8">
        <v>0</v>
      </c>
      <c r="W989" s="17">
        <f t="shared" si="32"/>
        <v>0</v>
      </c>
      <c r="X989" s="5">
        <f t="shared" si="33"/>
        <v>0</v>
      </c>
    </row>
    <row r="990" spans="1:24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8">
        <v>0</v>
      </c>
      <c r="W990" s="17">
        <f t="shared" si="32"/>
        <v>0</v>
      </c>
      <c r="X990" s="5">
        <f t="shared" si="33"/>
        <v>0</v>
      </c>
    </row>
    <row r="991" spans="1:24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8">
        <v>0</v>
      </c>
      <c r="W991" s="17">
        <f t="shared" si="32"/>
        <v>0</v>
      </c>
      <c r="X991" s="5">
        <f t="shared" si="33"/>
        <v>0</v>
      </c>
    </row>
    <row r="992" spans="1:24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8">
        <v>0</v>
      </c>
      <c r="W992" s="17">
        <f t="shared" si="32"/>
        <v>0</v>
      </c>
      <c r="X992" s="5">
        <f t="shared" si="33"/>
        <v>0</v>
      </c>
    </row>
    <row r="993" spans="1:24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8">
        <v>0</v>
      </c>
      <c r="W993" s="17">
        <f t="shared" si="32"/>
        <v>0</v>
      </c>
      <c r="X993" s="5">
        <f t="shared" si="33"/>
        <v>0</v>
      </c>
    </row>
    <row r="994" spans="1:24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8">
        <v>0</v>
      </c>
      <c r="W994" s="17">
        <f t="shared" si="32"/>
        <v>0</v>
      </c>
      <c r="X994" s="5">
        <f t="shared" si="33"/>
        <v>0</v>
      </c>
    </row>
    <row r="995" spans="1:24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8">
        <v>0</v>
      </c>
      <c r="W995" s="17">
        <f t="shared" si="32"/>
        <v>0</v>
      </c>
      <c r="X995" s="5">
        <f t="shared" si="33"/>
        <v>0</v>
      </c>
    </row>
    <row r="996" spans="1:24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8">
        <v>0</v>
      </c>
      <c r="W996" s="17">
        <f t="shared" si="32"/>
        <v>0</v>
      </c>
      <c r="X996" s="5">
        <f t="shared" si="33"/>
        <v>0</v>
      </c>
    </row>
    <row r="997" spans="1:24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8">
        <v>0</v>
      </c>
      <c r="W997" s="17">
        <f t="shared" si="32"/>
        <v>0</v>
      </c>
      <c r="X997" s="5">
        <f t="shared" si="33"/>
        <v>0</v>
      </c>
    </row>
    <row r="998" spans="1:24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8">
        <v>0</v>
      </c>
      <c r="W998" s="17">
        <f t="shared" si="32"/>
        <v>0</v>
      </c>
      <c r="X998" s="5">
        <f t="shared" si="33"/>
        <v>0</v>
      </c>
    </row>
    <row r="999" spans="1:24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8">
        <v>0</v>
      </c>
      <c r="W999" s="17">
        <f t="shared" si="32"/>
        <v>0</v>
      </c>
      <c r="X999" s="5">
        <f t="shared" si="33"/>
        <v>0</v>
      </c>
    </row>
    <row r="1000" spans="1:24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8">
        <v>0</v>
      </c>
      <c r="W1000" s="17">
        <f t="shared" si="32"/>
        <v>0</v>
      </c>
      <c r="X1000" s="5">
        <f t="shared" si="33"/>
        <v>0</v>
      </c>
    </row>
    <row r="1001" spans="1:24" x14ac:dyDescent="0.25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8">
        <v>0</v>
      </c>
      <c r="W1001" s="17">
        <f t="shared" si="32"/>
        <v>0</v>
      </c>
      <c r="X1001" s="5">
        <f t="shared" si="33"/>
        <v>0</v>
      </c>
    </row>
    <row r="1002" spans="1:24" x14ac:dyDescent="0.25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8">
        <v>0</v>
      </c>
      <c r="W1002" s="17">
        <f t="shared" si="32"/>
        <v>0</v>
      </c>
      <c r="X1002" s="5">
        <f t="shared" si="33"/>
        <v>0</v>
      </c>
    </row>
    <row r="1003" spans="1:24" x14ac:dyDescent="0.25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8">
        <v>0</v>
      </c>
      <c r="W1003" s="17">
        <f t="shared" si="32"/>
        <v>0</v>
      </c>
      <c r="X1003" s="5">
        <f t="shared" si="33"/>
        <v>0</v>
      </c>
    </row>
    <row r="1004" spans="1:24" x14ac:dyDescent="0.25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8">
        <v>0</v>
      </c>
      <c r="W1004" s="17">
        <f t="shared" si="32"/>
        <v>0</v>
      </c>
      <c r="X1004" s="5">
        <f t="shared" si="33"/>
        <v>0</v>
      </c>
    </row>
    <row r="1005" spans="1:24" x14ac:dyDescent="0.25">
      <c r="A1005" s="17"/>
      <c r="B1005" s="17"/>
      <c r="C1005" s="17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8">
        <v>0</v>
      </c>
      <c r="W1005" s="17">
        <f t="shared" si="32"/>
        <v>0</v>
      </c>
      <c r="X1005" s="5">
        <f t="shared" si="33"/>
        <v>0</v>
      </c>
    </row>
    <row r="1006" spans="1:24" x14ac:dyDescent="0.25">
      <c r="A1006" s="17"/>
      <c r="B1006" s="17"/>
      <c r="C1006" s="17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8">
        <v>0</v>
      </c>
      <c r="W1006" s="17">
        <f t="shared" si="32"/>
        <v>0</v>
      </c>
      <c r="X1006" s="5">
        <f t="shared" si="33"/>
        <v>0</v>
      </c>
    </row>
    <row r="1007" spans="1:24" x14ac:dyDescent="0.25">
      <c r="A1007" s="17"/>
      <c r="B1007" s="17"/>
      <c r="C1007" s="17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8">
        <v>0</v>
      </c>
      <c r="W1007" s="17">
        <f t="shared" si="32"/>
        <v>0</v>
      </c>
      <c r="X1007" s="5">
        <f t="shared" si="33"/>
        <v>0</v>
      </c>
    </row>
    <row r="1008" spans="1:24" x14ac:dyDescent="0.25">
      <c r="A1008" s="17"/>
      <c r="B1008" s="17"/>
      <c r="C1008" s="17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8">
        <v>0</v>
      </c>
      <c r="W1008" s="17">
        <f t="shared" si="32"/>
        <v>0</v>
      </c>
      <c r="X1008" s="5">
        <f t="shared" si="33"/>
        <v>0</v>
      </c>
    </row>
    <row r="1009" spans="1:24" x14ac:dyDescent="0.25">
      <c r="A1009" s="17"/>
      <c r="B1009" s="17"/>
      <c r="C1009" s="17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8">
        <v>0</v>
      </c>
      <c r="W1009" s="17">
        <f t="shared" si="32"/>
        <v>0</v>
      </c>
      <c r="X1009" s="5">
        <f t="shared" si="33"/>
        <v>0</v>
      </c>
    </row>
    <row r="1010" spans="1:24" x14ac:dyDescent="0.25">
      <c r="A1010" s="17"/>
      <c r="B1010" s="17"/>
      <c r="C1010" s="17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8">
        <v>0</v>
      </c>
      <c r="W1010" s="17">
        <f t="shared" si="32"/>
        <v>0</v>
      </c>
      <c r="X1010" s="5">
        <f t="shared" si="33"/>
        <v>0</v>
      </c>
    </row>
    <row r="1011" spans="1:24" x14ac:dyDescent="0.25">
      <c r="A1011" s="17"/>
      <c r="B1011" s="17"/>
      <c r="C1011" s="17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8">
        <v>0</v>
      </c>
      <c r="W1011" s="17">
        <f t="shared" si="32"/>
        <v>0</v>
      </c>
      <c r="X1011" s="5">
        <f t="shared" si="33"/>
        <v>0</v>
      </c>
    </row>
    <row r="1012" spans="1:24" x14ac:dyDescent="0.25">
      <c r="A1012" s="17"/>
      <c r="B1012" s="17"/>
      <c r="C1012" s="17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8">
        <v>0</v>
      </c>
      <c r="W1012" s="17">
        <f t="shared" si="32"/>
        <v>0</v>
      </c>
      <c r="X1012" s="5">
        <f t="shared" si="33"/>
        <v>0</v>
      </c>
    </row>
    <row r="1013" spans="1:24" x14ac:dyDescent="0.25">
      <c r="A1013" s="17"/>
      <c r="B1013" s="17"/>
      <c r="C1013" s="17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8">
        <v>0</v>
      </c>
      <c r="W1013" s="17">
        <f t="shared" si="32"/>
        <v>0</v>
      </c>
      <c r="X1013" s="5">
        <f t="shared" si="33"/>
        <v>0</v>
      </c>
    </row>
    <row r="1014" spans="1:24" x14ac:dyDescent="0.25">
      <c r="A1014" s="17"/>
      <c r="B1014" s="17"/>
      <c r="C1014" s="17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8">
        <v>0</v>
      </c>
      <c r="W1014" s="17">
        <f t="shared" si="32"/>
        <v>0</v>
      </c>
      <c r="X1014" s="5">
        <f t="shared" si="33"/>
        <v>0</v>
      </c>
    </row>
    <row r="1015" spans="1:24" x14ac:dyDescent="0.25">
      <c r="A1015" s="17"/>
      <c r="B1015" s="17"/>
      <c r="C1015" s="17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8">
        <v>0</v>
      </c>
      <c r="W1015" s="17">
        <f t="shared" si="32"/>
        <v>0</v>
      </c>
      <c r="X1015" s="5">
        <f t="shared" si="33"/>
        <v>0</v>
      </c>
    </row>
    <row r="1016" spans="1:24" x14ac:dyDescent="0.25">
      <c r="A1016" s="17"/>
      <c r="B1016" s="17"/>
      <c r="C1016" s="17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8">
        <v>0</v>
      </c>
      <c r="W1016" s="17">
        <f t="shared" si="32"/>
        <v>0</v>
      </c>
      <c r="X1016" s="5">
        <f t="shared" si="33"/>
        <v>0</v>
      </c>
    </row>
    <row r="1017" spans="1:24" x14ac:dyDescent="0.25">
      <c r="A1017" s="17"/>
      <c r="B1017" s="17"/>
      <c r="C1017" s="17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8">
        <v>0</v>
      </c>
      <c r="W1017" s="17">
        <f t="shared" si="32"/>
        <v>0</v>
      </c>
      <c r="X1017" s="5">
        <f t="shared" si="33"/>
        <v>0</v>
      </c>
    </row>
    <row r="1018" spans="1:24" x14ac:dyDescent="0.25">
      <c r="A1018" s="17"/>
      <c r="B1018" s="17"/>
      <c r="C1018" s="17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8">
        <v>0</v>
      </c>
      <c r="W1018" s="17">
        <f t="shared" si="32"/>
        <v>0</v>
      </c>
      <c r="X1018" s="5">
        <f t="shared" si="33"/>
        <v>0</v>
      </c>
    </row>
    <row r="1019" spans="1:24" x14ac:dyDescent="0.25">
      <c r="A1019" s="17"/>
      <c r="B1019" s="17"/>
      <c r="C1019" s="17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8">
        <v>0</v>
      </c>
      <c r="W1019" s="17">
        <f t="shared" si="32"/>
        <v>0</v>
      </c>
      <c r="X1019" s="5">
        <f t="shared" si="33"/>
        <v>0</v>
      </c>
    </row>
    <row r="1020" spans="1:24" x14ac:dyDescent="0.25">
      <c r="A1020" s="17"/>
      <c r="B1020" s="17"/>
      <c r="C1020" s="17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8">
        <v>0</v>
      </c>
      <c r="W1020" s="17">
        <f t="shared" si="32"/>
        <v>0</v>
      </c>
      <c r="X1020" s="5">
        <f t="shared" si="33"/>
        <v>0</v>
      </c>
    </row>
    <row r="1021" spans="1:24" x14ac:dyDescent="0.25">
      <c r="A1021" s="17"/>
      <c r="B1021" s="17"/>
      <c r="C1021" s="17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8">
        <v>0</v>
      </c>
      <c r="W1021" s="17">
        <f t="shared" si="32"/>
        <v>0</v>
      </c>
      <c r="X1021" s="5">
        <f t="shared" si="33"/>
        <v>0</v>
      </c>
    </row>
    <row r="1022" spans="1:24" x14ac:dyDescent="0.25">
      <c r="A1022" s="17"/>
      <c r="B1022" s="17"/>
      <c r="C1022" s="17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8">
        <v>0</v>
      </c>
      <c r="W1022" s="17">
        <f t="shared" si="32"/>
        <v>0</v>
      </c>
      <c r="X1022" s="5">
        <f t="shared" si="33"/>
        <v>0</v>
      </c>
    </row>
    <row r="1023" spans="1:24" x14ac:dyDescent="0.25">
      <c r="A1023" s="17"/>
      <c r="B1023" s="17"/>
      <c r="C1023" s="17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8">
        <v>0</v>
      </c>
      <c r="W1023" s="17">
        <f t="shared" si="32"/>
        <v>0</v>
      </c>
      <c r="X1023" s="5">
        <f t="shared" si="33"/>
        <v>0</v>
      </c>
    </row>
    <row r="1024" spans="1:24" x14ac:dyDescent="0.25">
      <c r="A1024" s="17"/>
      <c r="B1024" s="17"/>
      <c r="C1024" s="17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8">
        <v>0</v>
      </c>
      <c r="W1024" s="17">
        <f t="shared" si="32"/>
        <v>0</v>
      </c>
      <c r="X1024" s="5">
        <f t="shared" si="33"/>
        <v>0</v>
      </c>
    </row>
    <row r="1025" spans="1:24" x14ac:dyDescent="0.25">
      <c r="A1025" s="17"/>
      <c r="B1025" s="17"/>
      <c r="C1025" s="17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8">
        <v>0</v>
      </c>
      <c r="W1025" s="17">
        <f t="shared" si="32"/>
        <v>0</v>
      </c>
      <c r="X1025" s="5">
        <f t="shared" si="33"/>
        <v>0</v>
      </c>
    </row>
    <row r="1026" spans="1:24" x14ac:dyDescent="0.25">
      <c r="A1026" s="17"/>
      <c r="B1026" s="17"/>
      <c r="C1026" s="17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8">
        <v>0</v>
      </c>
      <c r="W1026" s="17">
        <f t="shared" si="32"/>
        <v>0</v>
      </c>
      <c r="X1026" s="5">
        <f t="shared" si="33"/>
        <v>0</v>
      </c>
    </row>
    <row r="1027" spans="1:24" x14ac:dyDescent="0.25">
      <c r="A1027" s="17"/>
      <c r="B1027" s="17"/>
      <c r="C1027" s="17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8">
        <v>0</v>
      </c>
      <c r="W1027" s="17">
        <f t="shared" ref="W1027:W1090" si="34">HOUR(E1027)</f>
        <v>0</v>
      </c>
      <c r="X1027" s="5">
        <f t="shared" ref="X1027:X1090" si="35">IF(D1027=D1026,0,1)</f>
        <v>0</v>
      </c>
    </row>
    <row r="1028" spans="1:24" x14ac:dyDescent="0.25">
      <c r="A1028" s="17"/>
      <c r="B1028" s="17"/>
      <c r="C1028" s="17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8">
        <v>0</v>
      </c>
      <c r="W1028" s="17">
        <f t="shared" si="34"/>
        <v>0</v>
      </c>
      <c r="X1028" s="5">
        <f t="shared" si="35"/>
        <v>0</v>
      </c>
    </row>
    <row r="1029" spans="1:24" x14ac:dyDescent="0.25">
      <c r="A1029" s="17"/>
      <c r="B1029" s="17"/>
      <c r="C1029" s="17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8">
        <v>0</v>
      </c>
      <c r="W1029" s="17">
        <f t="shared" si="34"/>
        <v>0</v>
      </c>
      <c r="X1029" s="5">
        <f t="shared" si="35"/>
        <v>0</v>
      </c>
    </row>
    <row r="1030" spans="1:24" x14ac:dyDescent="0.25">
      <c r="A1030" s="17"/>
      <c r="B1030" s="17"/>
      <c r="C1030" s="17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8">
        <v>0</v>
      </c>
      <c r="W1030" s="17">
        <f t="shared" si="34"/>
        <v>0</v>
      </c>
      <c r="X1030" s="5">
        <f t="shared" si="35"/>
        <v>0</v>
      </c>
    </row>
    <row r="1031" spans="1:24" x14ac:dyDescent="0.25">
      <c r="A1031" s="17"/>
      <c r="B1031" s="17"/>
      <c r="C1031" s="17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8">
        <v>0</v>
      </c>
      <c r="W1031" s="17">
        <f t="shared" si="34"/>
        <v>0</v>
      </c>
      <c r="X1031" s="5">
        <f t="shared" si="35"/>
        <v>0</v>
      </c>
    </row>
    <row r="1032" spans="1:24" x14ac:dyDescent="0.25">
      <c r="A1032" s="17"/>
      <c r="B1032" s="17"/>
      <c r="C1032" s="17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8">
        <v>0</v>
      </c>
      <c r="W1032" s="17">
        <f t="shared" si="34"/>
        <v>0</v>
      </c>
      <c r="X1032" s="5">
        <f t="shared" si="35"/>
        <v>0</v>
      </c>
    </row>
    <row r="1033" spans="1:24" x14ac:dyDescent="0.25">
      <c r="A1033" s="17"/>
      <c r="B1033" s="17"/>
      <c r="C1033" s="17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8">
        <v>0</v>
      </c>
      <c r="W1033" s="17">
        <f t="shared" si="34"/>
        <v>0</v>
      </c>
      <c r="X1033" s="5">
        <f t="shared" si="35"/>
        <v>0</v>
      </c>
    </row>
    <row r="1034" spans="1:24" x14ac:dyDescent="0.25">
      <c r="A1034" s="17"/>
      <c r="B1034" s="17"/>
      <c r="C1034" s="17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8">
        <v>0</v>
      </c>
      <c r="W1034" s="17">
        <f t="shared" si="34"/>
        <v>0</v>
      </c>
      <c r="X1034" s="5">
        <f t="shared" si="35"/>
        <v>0</v>
      </c>
    </row>
    <row r="1035" spans="1:24" x14ac:dyDescent="0.25">
      <c r="A1035" s="17"/>
      <c r="B1035" s="17"/>
      <c r="C1035" s="17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8">
        <v>0</v>
      </c>
      <c r="W1035" s="17">
        <f t="shared" si="34"/>
        <v>0</v>
      </c>
      <c r="X1035" s="5">
        <f t="shared" si="35"/>
        <v>0</v>
      </c>
    </row>
    <row r="1036" spans="1:24" x14ac:dyDescent="0.25">
      <c r="A1036" s="17"/>
      <c r="B1036" s="17"/>
      <c r="C1036" s="17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8">
        <v>0</v>
      </c>
      <c r="W1036" s="17">
        <f t="shared" si="34"/>
        <v>0</v>
      </c>
      <c r="X1036" s="5">
        <f t="shared" si="35"/>
        <v>0</v>
      </c>
    </row>
    <row r="1037" spans="1:24" x14ac:dyDescent="0.25">
      <c r="A1037" s="17"/>
      <c r="B1037" s="17"/>
      <c r="C1037" s="17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8">
        <v>0</v>
      </c>
      <c r="W1037" s="17">
        <f t="shared" si="34"/>
        <v>0</v>
      </c>
      <c r="X1037" s="5">
        <f t="shared" si="35"/>
        <v>0</v>
      </c>
    </row>
    <row r="1038" spans="1:24" x14ac:dyDescent="0.25">
      <c r="A1038" s="17"/>
      <c r="B1038" s="17"/>
      <c r="C1038" s="17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8">
        <v>0</v>
      </c>
      <c r="W1038" s="17">
        <f t="shared" si="34"/>
        <v>0</v>
      </c>
      <c r="X1038" s="5">
        <f t="shared" si="35"/>
        <v>0</v>
      </c>
    </row>
    <row r="1039" spans="1:24" x14ac:dyDescent="0.25">
      <c r="A1039" s="17"/>
      <c r="B1039" s="17"/>
      <c r="C1039" s="17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8">
        <v>0</v>
      </c>
      <c r="W1039" s="17">
        <f t="shared" si="34"/>
        <v>0</v>
      </c>
      <c r="X1039" s="5">
        <f t="shared" si="35"/>
        <v>0</v>
      </c>
    </row>
    <row r="1040" spans="1:24" x14ac:dyDescent="0.25">
      <c r="A1040" s="17"/>
      <c r="B1040" s="17"/>
      <c r="C1040" s="17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8">
        <v>0</v>
      </c>
      <c r="W1040" s="17">
        <f t="shared" si="34"/>
        <v>0</v>
      </c>
      <c r="X1040" s="5">
        <f t="shared" si="35"/>
        <v>0</v>
      </c>
    </row>
    <row r="1041" spans="1:24" x14ac:dyDescent="0.25">
      <c r="A1041" s="17"/>
      <c r="B1041" s="17"/>
      <c r="C1041" s="17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8">
        <v>0</v>
      </c>
      <c r="W1041" s="17">
        <f t="shared" si="34"/>
        <v>0</v>
      </c>
      <c r="X1041" s="5">
        <f t="shared" si="35"/>
        <v>0</v>
      </c>
    </row>
    <row r="1042" spans="1:24" x14ac:dyDescent="0.25">
      <c r="A1042" s="17"/>
      <c r="B1042" s="17"/>
      <c r="C1042" s="17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8">
        <v>0</v>
      </c>
      <c r="W1042" s="17">
        <f t="shared" si="34"/>
        <v>0</v>
      </c>
      <c r="X1042" s="5">
        <f t="shared" si="35"/>
        <v>0</v>
      </c>
    </row>
    <row r="1043" spans="1:24" x14ac:dyDescent="0.25">
      <c r="A1043" s="17"/>
      <c r="B1043" s="17"/>
      <c r="C1043" s="17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8">
        <v>0</v>
      </c>
      <c r="W1043" s="17">
        <f t="shared" si="34"/>
        <v>0</v>
      </c>
      <c r="X1043" s="5">
        <f t="shared" si="35"/>
        <v>0</v>
      </c>
    </row>
    <row r="1044" spans="1:24" x14ac:dyDescent="0.25">
      <c r="A1044" s="17"/>
      <c r="B1044" s="17"/>
      <c r="C1044" s="17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8">
        <v>0</v>
      </c>
      <c r="W1044" s="17">
        <f t="shared" si="34"/>
        <v>0</v>
      </c>
      <c r="X1044" s="5">
        <f t="shared" si="35"/>
        <v>0</v>
      </c>
    </row>
    <row r="1045" spans="1:24" x14ac:dyDescent="0.25">
      <c r="A1045" s="17"/>
      <c r="B1045" s="17"/>
      <c r="C1045" s="17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8">
        <v>0</v>
      </c>
      <c r="W1045" s="17">
        <f t="shared" si="34"/>
        <v>0</v>
      </c>
      <c r="X1045" s="5">
        <f t="shared" si="35"/>
        <v>0</v>
      </c>
    </row>
    <row r="1046" spans="1:24" x14ac:dyDescent="0.25">
      <c r="A1046" s="17"/>
      <c r="B1046" s="17"/>
      <c r="C1046" s="17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8">
        <v>0</v>
      </c>
      <c r="W1046" s="17">
        <f t="shared" si="34"/>
        <v>0</v>
      </c>
      <c r="X1046" s="5">
        <f t="shared" si="35"/>
        <v>0</v>
      </c>
    </row>
    <row r="1047" spans="1:24" x14ac:dyDescent="0.25">
      <c r="A1047" s="17"/>
      <c r="B1047" s="17"/>
      <c r="C1047" s="17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8">
        <v>0</v>
      </c>
      <c r="W1047" s="17">
        <f t="shared" si="34"/>
        <v>0</v>
      </c>
      <c r="X1047" s="5">
        <f t="shared" si="35"/>
        <v>0</v>
      </c>
    </row>
    <row r="1048" spans="1:24" x14ac:dyDescent="0.25">
      <c r="A1048" s="17"/>
      <c r="B1048" s="17"/>
      <c r="C1048" s="17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8">
        <v>0</v>
      </c>
      <c r="W1048" s="17">
        <f t="shared" si="34"/>
        <v>0</v>
      </c>
      <c r="X1048" s="5">
        <f t="shared" si="35"/>
        <v>0</v>
      </c>
    </row>
    <row r="1049" spans="1:24" x14ac:dyDescent="0.25">
      <c r="A1049" s="17"/>
      <c r="B1049" s="17"/>
      <c r="C1049" s="17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8">
        <v>0</v>
      </c>
      <c r="W1049" s="17">
        <f t="shared" si="34"/>
        <v>0</v>
      </c>
      <c r="X1049" s="5">
        <f t="shared" si="35"/>
        <v>0</v>
      </c>
    </row>
    <row r="1050" spans="1:24" x14ac:dyDescent="0.25">
      <c r="A1050" s="17"/>
      <c r="B1050" s="17"/>
      <c r="C1050" s="17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8">
        <v>0</v>
      </c>
      <c r="W1050" s="17">
        <f t="shared" si="34"/>
        <v>0</v>
      </c>
      <c r="X1050" s="5">
        <f t="shared" si="35"/>
        <v>0</v>
      </c>
    </row>
    <row r="1051" spans="1:24" x14ac:dyDescent="0.25">
      <c r="A1051" s="17"/>
      <c r="B1051" s="17"/>
      <c r="C1051" s="17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8">
        <v>0</v>
      </c>
      <c r="W1051" s="17">
        <f t="shared" si="34"/>
        <v>0</v>
      </c>
      <c r="X1051" s="5">
        <f t="shared" si="35"/>
        <v>0</v>
      </c>
    </row>
    <row r="1052" spans="1:24" x14ac:dyDescent="0.25">
      <c r="A1052" s="17"/>
      <c r="B1052" s="17"/>
      <c r="C1052" s="17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8">
        <v>0</v>
      </c>
      <c r="W1052" s="17">
        <f t="shared" si="34"/>
        <v>0</v>
      </c>
      <c r="X1052" s="5">
        <f t="shared" si="35"/>
        <v>0</v>
      </c>
    </row>
    <row r="1053" spans="1:24" x14ac:dyDescent="0.25">
      <c r="A1053" s="17"/>
      <c r="B1053" s="17"/>
      <c r="C1053" s="17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8">
        <v>0</v>
      </c>
      <c r="W1053" s="17">
        <f t="shared" si="34"/>
        <v>0</v>
      </c>
      <c r="X1053" s="5">
        <f t="shared" si="35"/>
        <v>0</v>
      </c>
    </row>
    <row r="1054" spans="1:24" x14ac:dyDescent="0.25">
      <c r="A1054" s="17"/>
      <c r="B1054" s="17"/>
      <c r="C1054" s="17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8">
        <v>0</v>
      </c>
      <c r="W1054" s="17">
        <f t="shared" si="34"/>
        <v>0</v>
      </c>
      <c r="X1054" s="5">
        <f t="shared" si="35"/>
        <v>0</v>
      </c>
    </row>
    <row r="1055" spans="1:24" x14ac:dyDescent="0.25">
      <c r="A1055" s="17"/>
      <c r="B1055" s="17"/>
      <c r="C1055" s="17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8">
        <v>0</v>
      </c>
      <c r="W1055" s="17">
        <f t="shared" si="34"/>
        <v>0</v>
      </c>
      <c r="X1055" s="5">
        <f t="shared" si="35"/>
        <v>0</v>
      </c>
    </row>
    <row r="1056" spans="1:24" x14ac:dyDescent="0.25">
      <c r="A1056" s="17"/>
      <c r="B1056" s="17"/>
      <c r="C1056" s="17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8">
        <v>0</v>
      </c>
      <c r="W1056" s="17">
        <f t="shared" si="34"/>
        <v>0</v>
      </c>
      <c r="X1056" s="5">
        <f t="shared" si="35"/>
        <v>0</v>
      </c>
    </row>
    <row r="1057" spans="1:24" x14ac:dyDescent="0.25">
      <c r="A1057" s="17"/>
      <c r="B1057" s="17"/>
      <c r="C1057" s="17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8">
        <v>0</v>
      </c>
      <c r="W1057" s="17">
        <f t="shared" si="34"/>
        <v>0</v>
      </c>
      <c r="X1057" s="5">
        <f t="shared" si="35"/>
        <v>0</v>
      </c>
    </row>
    <row r="1058" spans="1:24" x14ac:dyDescent="0.25">
      <c r="A1058" s="17"/>
      <c r="B1058" s="17"/>
      <c r="C1058" s="17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8">
        <v>0</v>
      </c>
      <c r="W1058" s="17">
        <f t="shared" si="34"/>
        <v>0</v>
      </c>
      <c r="X1058" s="5">
        <f t="shared" si="35"/>
        <v>0</v>
      </c>
    </row>
    <row r="1059" spans="1:24" x14ac:dyDescent="0.25">
      <c r="A1059" s="17"/>
      <c r="B1059" s="17"/>
      <c r="C1059" s="17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8">
        <v>0</v>
      </c>
      <c r="W1059" s="17">
        <f t="shared" si="34"/>
        <v>0</v>
      </c>
      <c r="X1059" s="5">
        <f t="shared" si="35"/>
        <v>0</v>
      </c>
    </row>
    <row r="1060" spans="1:24" x14ac:dyDescent="0.25">
      <c r="A1060" s="17"/>
      <c r="B1060" s="17"/>
      <c r="C1060" s="17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8">
        <v>0</v>
      </c>
      <c r="W1060" s="17">
        <f t="shared" si="34"/>
        <v>0</v>
      </c>
      <c r="X1060" s="5">
        <f t="shared" si="35"/>
        <v>0</v>
      </c>
    </row>
    <row r="1061" spans="1:24" x14ac:dyDescent="0.25">
      <c r="A1061" s="17"/>
      <c r="B1061" s="17"/>
      <c r="C1061" s="17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8">
        <v>0</v>
      </c>
      <c r="W1061" s="17">
        <f t="shared" si="34"/>
        <v>0</v>
      </c>
      <c r="X1061" s="5">
        <f t="shared" si="35"/>
        <v>0</v>
      </c>
    </row>
    <row r="1062" spans="1:24" x14ac:dyDescent="0.25">
      <c r="A1062" s="17"/>
      <c r="B1062" s="17"/>
      <c r="C1062" s="17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8">
        <v>0</v>
      </c>
      <c r="W1062" s="17">
        <f t="shared" si="34"/>
        <v>0</v>
      </c>
      <c r="X1062" s="5">
        <f t="shared" si="35"/>
        <v>0</v>
      </c>
    </row>
    <row r="1063" spans="1:24" x14ac:dyDescent="0.25">
      <c r="A1063" s="17"/>
      <c r="B1063" s="17"/>
      <c r="C1063" s="17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8">
        <v>0</v>
      </c>
      <c r="W1063" s="17">
        <f t="shared" si="34"/>
        <v>0</v>
      </c>
      <c r="X1063" s="5">
        <f t="shared" si="35"/>
        <v>0</v>
      </c>
    </row>
    <row r="1064" spans="1:24" x14ac:dyDescent="0.25">
      <c r="A1064" s="17"/>
      <c r="B1064" s="17"/>
      <c r="C1064" s="17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  <c r="N1064" s="17"/>
      <c r="O1064" s="17"/>
      <c r="P1064" s="17"/>
      <c r="Q1064" s="17"/>
      <c r="R1064" s="17"/>
      <c r="S1064" s="17"/>
      <c r="T1064" s="17"/>
      <c r="U1064" s="17"/>
      <c r="V1064" s="18">
        <v>0</v>
      </c>
      <c r="W1064" s="17">
        <f t="shared" si="34"/>
        <v>0</v>
      </c>
      <c r="X1064" s="5">
        <f t="shared" si="35"/>
        <v>0</v>
      </c>
    </row>
    <row r="1065" spans="1:24" x14ac:dyDescent="0.25">
      <c r="A1065" s="17"/>
      <c r="B1065" s="17"/>
      <c r="C1065" s="17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8">
        <v>0</v>
      </c>
      <c r="W1065" s="17">
        <f t="shared" si="34"/>
        <v>0</v>
      </c>
      <c r="X1065" s="5">
        <f t="shared" si="35"/>
        <v>0</v>
      </c>
    </row>
    <row r="1066" spans="1:24" x14ac:dyDescent="0.25">
      <c r="A1066" s="17"/>
      <c r="B1066" s="17"/>
      <c r="C1066" s="17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  <c r="N1066" s="17"/>
      <c r="O1066" s="17"/>
      <c r="P1066" s="17"/>
      <c r="Q1066" s="17"/>
      <c r="R1066" s="17"/>
      <c r="S1066" s="17"/>
      <c r="T1066" s="17"/>
      <c r="U1066" s="17"/>
      <c r="V1066" s="18">
        <v>0</v>
      </c>
      <c r="W1066" s="17">
        <f t="shared" si="34"/>
        <v>0</v>
      </c>
      <c r="X1066" s="5">
        <f t="shared" si="35"/>
        <v>0</v>
      </c>
    </row>
    <row r="1067" spans="1:24" x14ac:dyDescent="0.25">
      <c r="A1067" s="17"/>
      <c r="B1067" s="17"/>
      <c r="C1067" s="17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8">
        <v>0</v>
      </c>
      <c r="W1067" s="17">
        <f t="shared" si="34"/>
        <v>0</v>
      </c>
      <c r="X1067" s="5">
        <f t="shared" si="35"/>
        <v>0</v>
      </c>
    </row>
    <row r="1068" spans="1:24" x14ac:dyDescent="0.25">
      <c r="A1068" s="17"/>
      <c r="B1068" s="17"/>
      <c r="C1068" s="17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8">
        <v>0</v>
      </c>
      <c r="W1068" s="17">
        <f t="shared" si="34"/>
        <v>0</v>
      </c>
      <c r="X1068" s="5">
        <f t="shared" si="35"/>
        <v>0</v>
      </c>
    </row>
    <row r="1069" spans="1:24" x14ac:dyDescent="0.25">
      <c r="A1069" s="17"/>
      <c r="B1069" s="17"/>
      <c r="C1069" s="17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8">
        <v>0</v>
      </c>
      <c r="W1069" s="17">
        <f t="shared" si="34"/>
        <v>0</v>
      </c>
      <c r="X1069" s="5">
        <f t="shared" si="35"/>
        <v>0</v>
      </c>
    </row>
    <row r="1070" spans="1:24" x14ac:dyDescent="0.25">
      <c r="A1070" s="17"/>
      <c r="B1070" s="17"/>
      <c r="C1070" s="17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8">
        <v>0</v>
      </c>
      <c r="W1070" s="17">
        <f t="shared" si="34"/>
        <v>0</v>
      </c>
      <c r="X1070" s="5">
        <f t="shared" si="35"/>
        <v>0</v>
      </c>
    </row>
    <row r="1071" spans="1:24" x14ac:dyDescent="0.25">
      <c r="A1071" s="17"/>
      <c r="B1071" s="17"/>
      <c r="C1071" s="17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8">
        <v>0</v>
      </c>
      <c r="W1071" s="17">
        <f t="shared" si="34"/>
        <v>0</v>
      </c>
      <c r="X1071" s="5">
        <f t="shared" si="35"/>
        <v>0</v>
      </c>
    </row>
    <row r="1072" spans="1:24" x14ac:dyDescent="0.25">
      <c r="A1072" s="17"/>
      <c r="B1072" s="17"/>
      <c r="C1072" s="17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8">
        <v>0</v>
      </c>
      <c r="W1072" s="17">
        <f t="shared" si="34"/>
        <v>0</v>
      </c>
      <c r="X1072" s="5">
        <f t="shared" si="35"/>
        <v>0</v>
      </c>
    </row>
    <row r="1073" spans="1:24" x14ac:dyDescent="0.25">
      <c r="A1073" s="17"/>
      <c r="B1073" s="17"/>
      <c r="C1073" s="17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8">
        <v>0</v>
      </c>
      <c r="W1073" s="17">
        <f t="shared" si="34"/>
        <v>0</v>
      </c>
      <c r="X1073" s="5">
        <f t="shared" si="35"/>
        <v>0</v>
      </c>
    </row>
    <row r="1074" spans="1:24" x14ac:dyDescent="0.25">
      <c r="A1074" s="17"/>
      <c r="B1074" s="17"/>
      <c r="C1074" s="17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8">
        <v>0</v>
      </c>
      <c r="W1074" s="17">
        <f t="shared" si="34"/>
        <v>0</v>
      </c>
      <c r="X1074" s="5">
        <f t="shared" si="35"/>
        <v>0</v>
      </c>
    </row>
    <row r="1075" spans="1:24" x14ac:dyDescent="0.25">
      <c r="A1075" s="17"/>
      <c r="B1075" s="17"/>
      <c r="C1075" s="17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8">
        <v>0</v>
      </c>
      <c r="W1075" s="17">
        <f t="shared" si="34"/>
        <v>0</v>
      </c>
      <c r="X1075" s="5">
        <f t="shared" si="35"/>
        <v>0</v>
      </c>
    </row>
    <row r="1076" spans="1:24" x14ac:dyDescent="0.25">
      <c r="A1076" s="17"/>
      <c r="B1076" s="17"/>
      <c r="C1076" s="17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8">
        <v>0</v>
      </c>
      <c r="W1076" s="17">
        <f t="shared" si="34"/>
        <v>0</v>
      </c>
      <c r="X1076" s="5">
        <f t="shared" si="35"/>
        <v>0</v>
      </c>
    </row>
    <row r="1077" spans="1:24" x14ac:dyDescent="0.25">
      <c r="A1077" s="17"/>
      <c r="B1077" s="17"/>
      <c r="C1077" s="17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8">
        <v>0</v>
      </c>
      <c r="W1077" s="17">
        <f t="shared" si="34"/>
        <v>0</v>
      </c>
      <c r="X1077" s="5">
        <f t="shared" si="35"/>
        <v>0</v>
      </c>
    </row>
    <row r="1078" spans="1:24" x14ac:dyDescent="0.25">
      <c r="A1078" s="17"/>
      <c r="B1078" s="17"/>
      <c r="C1078" s="17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8">
        <v>0</v>
      </c>
      <c r="W1078" s="17">
        <f t="shared" si="34"/>
        <v>0</v>
      </c>
      <c r="X1078" s="5">
        <f t="shared" si="35"/>
        <v>0</v>
      </c>
    </row>
    <row r="1079" spans="1:24" x14ac:dyDescent="0.25">
      <c r="A1079" s="17"/>
      <c r="B1079" s="17"/>
      <c r="C1079" s="17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8">
        <v>0</v>
      </c>
      <c r="W1079" s="17">
        <f t="shared" si="34"/>
        <v>0</v>
      </c>
      <c r="X1079" s="5">
        <f t="shared" si="35"/>
        <v>0</v>
      </c>
    </row>
    <row r="1080" spans="1:24" x14ac:dyDescent="0.25">
      <c r="A1080" s="17"/>
      <c r="B1080" s="17"/>
      <c r="C1080" s="17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8">
        <v>0</v>
      </c>
      <c r="W1080" s="17">
        <f t="shared" si="34"/>
        <v>0</v>
      </c>
      <c r="X1080" s="5">
        <f t="shared" si="35"/>
        <v>0</v>
      </c>
    </row>
    <row r="1081" spans="1:24" x14ac:dyDescent="0.25">
      <c r="A1081" s="17"/>
      <c r="B1081" s="17"/>
      <c r="C1081" s="17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8">
        <v>0</v>
      </c>
      <c r="W1081" s="17">
        <f t="shared" si="34"/>
        <v>0</v>
      </c>
      <c r="X1081" s="5">
        <f t="shared" si="35"/>
        <v>0</v>
      </c>
    </row>
    <row r="1082" spans="1:24" x14ac:dyDescent="0.25">
      <c r="A1082" s="17"/>
      <c r="B1082" s="17"/>
      <c r="C1082" s="17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8">
        <v>0</v>
      </c>
      <c r="W1082" s="17">
        <f t="shared" si="34"/>
        <v>0</v>
      </c>
      <c r="X1082" s="5">
        <f t="shared" si="35"/>
        <v>0</v>
      </c>
    </row>
    <row r="1083" spans="1:24" x14ac:dyDescent="0.25">
      <c r="A1083" s="17"/>
      <c r="B1083" s="17"/>
      <c r="C1083" s="17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8">
        <v>0</v>
      </c>
      <c r="W1083" s="17">
        <f t="shared" si="34"/>
        <v>0</v>
      </c>
      <c r="X1083" s="5">
        <f t="shared" si="35"/>
        <v>0</v>
      </c>
    </row>
    <row r="1084" spans="1:24" x14ac:dyDescent="0.25">
      <c r="A1084" s="17"/>
      <c r="B1084" s="17"/>
      <c r="C1084" s="17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8">
        <v>0</v>
      </c>
      <c r="W1084" s="17">
        <f t="shared" si="34"/>
        <v>0</v>
      </c>
      <c r="X1084" s="5">
        <f t="shared" si="35"/>
        <v>0</v>
      </c>
    </row>
    <row r="1085" spans="1:24" x14ac:dyDescent="0.25">
      <c r="A1085" s="17"/>
      <c r="B1085" s="17"/>
      <c r="C1085" s="17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8">
        <v>0</v>
      </c>
      <c r="W1085" s="17">
        <f t="shared" si="34"/>
        <v>0</v>
      </c>
      <c r="X1085" s="5">
        <f t="shared" si="35"/>
        <v>0</v>
      </c>
    </row>
    <row r="1086" spans="1:24" x14ac:dyDescent="0.25">
      <c r="A1086" s="17"/>
      <c r="B1086" s="17"/>
      <c r="C1086" s="17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8">
        <v>0</v>
      </c>
      <c r="W1086" s="17">
        <f t="shared" si="34"/>
        <v>0</v>
      </c>
      <c r="X1086" s="5">
        <f t="shared" si="35"/>
        <v>0</v>
      </c>
    </row>
    <row r="1087" spans="1:24" x14ac:dyDescent="0.25">
      <c r="A1087" s="17"/>
      <c r="B1087" s="17"/>
      <c r="C1087" s="17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  <c r="N1087" s="17"/>
      <c r="O1087" s="17"/>
      <c r="P1087" s="17"/>
      <c r="Q1087" s="17"/>
      <c r="R1087" s="17"/>
      <c r="S1087" s="17"/>
      <c r="T1087" s="17"/>
      <c r="U1087" s="17"/>
      <c r="V1087" s="18">
        <v>0</v>
      </c>
      <c r="W1087" s="17">
        <f t="shared" si="34"/>
        <v>0</v>
      </c>
      <c r="X1087" s="5">
        <f t="shared" si="35"/>
        <v>0</v>
      </c>
    </row>
    <row r="1088" spans="1:24" x14ac:dyDescent="0.25">
      <c r="A1088" s="17"/>
      <c r="B1088" s="17"/>
      <c r="C1088" s="17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8">
        <v>0</v>
      </c>
      <c r="W1088" s="17">
        <f t="shared" si="34"/>
        <v>0</v>
      </c>
      <c r="X1088" s="5">
        <f t="shared" si="35"/>
        <v>0</v>
      </c>
    </row>
    <row r="1089" spans="1:24" x14ac:dyDescent="0.25">
      <c r="A1089" s="17"/>
      <c r="B1089" s="17"/>
      <c r="C1089" s="17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8">
        <v>0</v>
      </c>
      <c r="W1089" s="17">
        <f t="shared" si="34"/>
        <v>0</v>
      </c>
      <c r="X1089" s="5">
        <f t="shared" si="35"/>
        <v>0</v>
      </c>
    </row>
    <row r="1090" spans="1:24" x14ac:dyDescent="0.25">
      <c r="A1090" s="17"/>
      <c r="B1090" s="17"/>
      <c r="C1090" s="17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8">
        <v>0</v>
      </c>
      <c r="W1090" s="17">
        <f t="shared" si="34"/>
        <v>0</v>
      </c>
      <c r="X1090" s="5">
        <f t="shared" si="35"/>
        <v>0</v>
      </c>
    </row>
    <row r="1091" spans="1:24" x14ac:dyDescent="0.25">
      <c r="A1091" s="17"/>
      <c r="B1091" s="17"/>
      <c r="C1091" s="17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8">
        <v>0</v>
      </c>
      <c r="W1091" s="17">
        <f t="shared" ref="W1091:W1154" si="36">HOUR(E1091)</f>
        <v>0</v>
      </c>
      <c r="X1091" s="5">
        <f t="shared" ref="X1091:X1154" si="37">IF(D1091=D1090,0,1)</f>
        <v>0</v>
      </c>
    </row>
    <row r="1092" spans="1:24" x14ac:dyDescent="0.25">
      <c r="A1092" s="17"/>
      <c r="B1092" s="17"/>
      <c r="C1092" s="17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8">
        <v>0</v>
      </c>
      <c r="W1092" s="17">
        <f t="shared" si="36"/>
        <v>0</v>
      </c>
      <c r="X1092" s="5">
        <f t="shared" si="37"/>
        <v>0</v>
      </c>
    </row>
    <row r="1093" spans="1:24" x14ac:dyDescent="0.25">
      <c r="A1093" s="17"/>
      <c r="B1093" s="17"/>
      <c r="C1093" s="17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8">
        <v>0</v>
      </c>
      <c r="W1093" s="17">
        <f t="shared" si="36"/>
        <v>0</v>
      </c>
      <c r="X1093" s="5">
        <f t="shared" si="37"/>
        <v>0</v>
      </c>
    </row>
    <row r="1094" spans="1:24" x14ac:dyDescent="0.25">
      <c r="A1094" s="17"/>
      <c r="B1094" s="17"/>
      <c r="C1094" s="17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8">
        <v>0</v>
      </c>
      <c r="W1094" s="17">
        <f t="shared" si="36"/>
        <v>0</v>
      </c>
      <c r="X1094" s="5">
        <f t="shared" si="37"/>
        <v>0</v>
      </c>
    </row>
    <row r="1095" spans="1:24" x14ac:dyDescent="0.25">
      <c r="A1095" s="17"/>
      <c r="B1095" s="17"/>
      <c r="C1095" s="17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8">
        <v>0</v>
      </c>
      <c r="W1095" s="17">
        <f t="shared" si="36"/>
        <v>0</v>
      </c>
      <c r="X1095" s="5">
        <f t="shared" si="37"/>
        <v>0</v>
      </c>
    </row>
    <row r="1096" spans="1:24" x14ac:dyDescent="0.25">
      <c r="A1096" s="17"/>
      <c r="B1096" s="17"/>
      <c r="C1096" s="17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8">
        <v>0</v>
      </c>
      <c r="W1096" s="17">
        <f t="shared" si="36"/>
        <v>0</v>
      </c>
      <c r="X1096" s="5">
        <f t="shared" si="37"/>
        <v>0</v>
      </c>
    </row>
    <row r="1097" spans="1:24" x14ac:dyDescent="0.25">
      <c r="A1097" s="17"/>
      <c r="B1097" s="17"/>
      <c r="C1097" s="17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8">
        <v>0</v>
      </c>
      <c r="W1097" s="17">
        <f t="shared" si="36"/>
        <v>0</v>
      </c>
      <c r="X1097" s="5">
        <f t="shared" si="37"/>
        <v>0</v>
      </c>
    </row>
    <row r="1098" spans="1:24" x14ac:dyDescent="0.25">
      <c r="A1098" s="17"/>
      <c r="B1098" s="17"/>
      <c r="C1098" s="17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8">
        <v>0</v>
      </c>
      <c r="W1098" s="17">
        <f t="shared" si="36"/>
        <v>0</v>
      </c>
      <c r="X1098" s="5">
        <f t="shared" si="37"/>
        <v>0</v>
      </c>
    </row>
    <row r="1099" spans="1:24" x14ac:dyDescent="0.25">
      <c r="A1099" s="17"/>
      <c r="B1099" s="17"/>
      <c r="C1099" s="17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8">
        <v>0</v>
      </c>
      <c r="W1099" s="17">
        <f t="shared" si="36"/>
        <v>0</v>
      </c>
      <c r="X1099" s="5">
        <f t="shared" si="37"/>
        <v>0</v>
      </c>
    </row>
    <row r="1100" spans="1:24" x14ac:dyDescent="0.25">
      <c r="A1100" s="17"/>
      <c r="B1100" s="17"/>
      <c r="C1100" s="17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8">
        <v>0</v>
      </c>
      <c r="W1100" s="17">
        <f t="shared" si="36"/>
        <v>0</v>
      </c>
      <c r="X1100" s="5">
        <f t="shared" si="37"/>
        <v>0</v>
      </c>
    </row>
    <row r="1101" spans="1:24" x14ac:dyDescent="0.25">
      <c r="A1101" s="17"/>
      <c r="B1101" s="17"/>
      <c r="C1101" s="17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8">
        <v>0</v>
      </c>
      <c r="W1101" s="17">
        <f t="shared" si="36"/>
        <v>0</v>
      </c>
      <c r="X1101" s="5">
        <f t="shared" si="37"/>
        <v>0</v>
      </c>
    </row>
    <row r="1102" spans="1:24" x14ac:dyDescent="0.25">
      <c r="A1102" s="17"/>
      <c r="B1102" s="17"/>
      <c r="C1102" s="17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8">
        <v>0</v>
      </c>
      <c r="W1102" s="17">
        <f t="shared" si="36"/>
        <v>0</v>
      </c>
      <c r="X1102" s="5">
        <f t="shared" si="37"/>
        <v>0</v>
      </c>
    </row>
    <row r="1103" spans="1:24" x14ac:dyDescent="0.25">
      <c r="A1103" s="17"/>
      <c r="B1103" s="17"/>
      <c r="C1103" s="17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8">
        <v>0</v>
      </c>
      <c r="W1103" s="17">
        <f t="shared" si="36"/>
        <v>0</v>
      </c>
      <c r="X1103" s="5">
        <f t="shared" si="37"/>
        <v>0</v>
      </c>
    </row>
    <row r="1104" spans="1:24" x14ac:dyDescent="0.25">
      <c r="A1104" s="17"/>
      <c r="B1104" s="17"/>
      <c r="C1104" s="17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8">
        <v>0</v>
      </c>
      <c r="W1104" s="17">
        <f t="shared" si="36"/>
        <v>0</v>
      </c>
      <c r="X1104" s="5">
        <f t="shared" si="37"/>
        <v>0</v>
      </c>
    </row>
    <row r="1105" spans="1:24" x14ac:dyDescent="0.25">
      <c r="A1105" s="17"/>
      <c r="B1105" s="17"/>
      <c r="C1105" s="17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8">
        <v>0</v>
      </c>
      <c r="W1105" s="17">
        <f t="shared" si="36"/>
        <v>0</v>
      </c>
      <c r="X1105" s="5">
        <f t="shared" si="37"/>
        <v>0</v>
      </c>
    </row>
    <row r="1106" spans="1:24" x14ac:dyDescent="0.25">
      <c r="A1106" s="17"/>
      <c r="B1106" s="17"/>
      <c r="C1106" s="17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8">
        <v>0</v>
      </c>
      <c r="W1106" s="17">
        <f t="shared" si="36"/>
        <v>0</v>
      </c>
      <c r="X1106" s="5">
        <f t="shared" si="37"/>
        <v>0</v>
      </c>
    </row>
    <row r="1107" spans="1:24" x14ac:dyDescent="0.25">
      <c r="A1107" s="17"/>
      <c r="B1107" s="17"/>
      <c r="C1107" s="17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8">
        <v>0</v>
      </c>
      <c r="W1107" s="17">
        <f t="shared" si="36"/>
        <v>0</v>
      </c>
      <c r="X1107" s="5">
        <f t="shared" si="37"/>
        <v>0</v>
      </c>
    </row>
    <row r="1108" spans="1:24" x14ac:dyDescent="0.25">
      <c r="A1108" s="17"/>
      <c r="B1108" s="17"/>
      <c r="C1108" s="17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8">
        <v>0</v>
      </c>
      <c r="W1108" s="17">
        <f t="shared" si="36"/>
        <v>0</v>
      </c>
      <c r="X1108" s="5">
        <f t="shared" si="37"/>
        <v>0</v>
      </c>
    </row>
    <row r="1109" spans="1:24" x14ac:dyDescent="0.25">
      <c r="A1109" s="17"/>
      <c r="B1109" s="17"/>
      <c r="C1109" s="17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8">
        <v>0</v>
      </c>
      <c r="W1109" s="17">
        <f t="shared" si="36"/>
        <v>0</v>
      </c>
      <c r="X1109" s="5">
        <f t="shared" si="37"/>
        <v>0</v>
      </c>
    </row>
    <row r="1110" spans="1:24" x14ac:dyDescent="0.25">
      <c r="A1110" s="17"/>
      <c r="B1110" s="17"/>
      <c r="C1110" s="17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8">
        <v>0</v>
      </c>
      <c r="W1110" s="17">
        <f t="shared" si="36"/>
        <v>0</v>
      </c>
      <c r="X1110" s="5">
        <f t="shared" si="37"/>
        <v>0</v>
      </c>
    </row>
    <row r="1111" spans="1:24" x14ac:dyDescent="0.25">
      <c r="A1111" s="17"/>
      <c r="B1111" s="17"/>
      <c r="C1111" s="17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8">
        <v>0</v>
      </c>
      <c r="W1111" s="17">
        <f t="shared" si="36"/>
        <v>0</v>
      </c>
      <c r="X1111" s="5">
        <f t="shared" si="37"/>
        <v>0</v>
      </c>
    </row>
    <row r="1112" spans="1:24" x14ac:dyDescent="0.25">
      <c r="A1112" s="17"/>
      <c r="B1112" s="17"/>
      <c r="C1112" s="17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8">
        <v>0</v>
      </c>
      <c r="W1112" s="17">
        <f t="shared" si="36"/>
        <v>0</v>
      </c>
      <c r="X1112" s="5">
        <f t="shared" si="37"/>
        <v>0</v>
      </c>
    </row>
    <row r="1113" spans="1:24" x14ac:dyDescent="0.25">
      <c r="A1113" s="17"/>
      <c r="B1113" s="17"/>
      <c r="C1113" s="17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8">
        <v>0</v>
      </c>
      <c r="W1113" s="17">
        <f t="shared" si="36"/>
        <v>0</v>
      </c>
      <c r="X1113" s="5">
        <f t="shared" si="37"/>
        <v>0</v>
      </c>
    </row>
    <row r="1114" spans="1:24" x14ac:dyDescent="0.25">
      <c r="A1114" s="17"/>
      <c r="B1114" s="17"/>
      <c r="C1114" s="17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8">
        <v>0</v>
      </c>
      <c r="W1114" s="17">
        <f t="shared" si="36"/>
        <v>0</v>
      </c>
      <c r="X1114" s="5">
        <f t="shared" si="37"/>
        <v>0</v>
      </c>
    </row>
    <row r="1115" spans="1:24" x14ac:dyDescent="0.25">
      <c r="A1115" s="17"/>
      <c r="B1115" s="17"/>
      <c r="C1115" s="17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8">
        <v>0</v>
      </c>
      <c r="W1115" s="17">
        <f t="shared" si="36"/>
        <v>0</v>
      </c>
      <c r="X1115" s="5">
        <f t="shared" si="37"/>
        <v>0</v>
      </c>
    </row>
    <row r="1116" spans="1:24" x14ac:dyDescent="0.25">
      <c r="A1116" s="17"/>
      <c r="B1116" s="17"/>
      <c r="C1116" s="17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8">
        <v>0</v>
      </c>
      <c r="W1116" s="17">
        <f t="shared" si="36"/>
        <v>0</v>
      </c>
      <c r="X1116" s="5">
        <f t="shared" si="37"/>
        <v>0</v>
      </c>
    </row>
    <row r="1117" spans="1:24" x14ac:dyDescent="0.25">
      <c r="A1117" s="17"/>
      <c r="B1117" s="17"/>
      <c r="C1117" s="17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8">
        <v>0</v>
      </c>
      <c r="W1117" s="17">
        <f t="shared" si="36"/>
        <v>0</v>
      </c>
      <c r="X1117" s="5">
        <f t="shared" si="37"/>
        <v>0</v>
      </c>
    </row>
    <row r="1118" spans="1:24" x14ac:dyDescent="0.25">
      <c r="A1118" s="17"/>
      <c r="B1118" s="17"/>
      <c r="C1118" s="17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8">
        <v>0</v>
      </c>
      <c r="W1118" s="17">
        <f t="shared" si="36"/>
        <v>0</v>
      </c>
      <c r="X1118" s="5">
        <f t="shared" si="37"/>
        <v>0</v>
      </c>
    </row>
    <row r="1119" spans="1:24" x14ac:dyDescent="0.25">
      <c r="A1119" s="17"/>
      <c r="B1119" s="17"/>
      <c r="C1119" s="17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8">
        <v>0</v>
      </c>
      <c r="W1119" s="17">
        <f t="shared" si="36"/>
        <v>0</v>
      </c>
      <c r="X1119" s="5">
        <f t="shared" si="37"/>
        <v>0</v>
      </c>
    </row>
    <row r="1120" spans="1:24" x14ac:dyDescent="0.25">
      <c r="A1120" s="17"/>
      <c r="B1120" s="17"/>
      <c r="C1120" s="17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8">
        <v>0</v>
      </c>
      <c r="W1120" s="17">
        <f t="shared" si="36"/>
        <v>0</v>
      </c>
      <c r="X1120" s="5">
        <f t="shared" si="37"/>
        <v>0</v>
      </c>
    </row>
    <row r="1121" spans="1:24" x14ac:dyDescent="0.25">
      <c r="A1121" s="17"/>
      <c r="B1121" s="17"/>
      <c r="C1121" s="17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8">
        <v>0</v>
      </c>
      <c r="W1121" s="17">
        <f t="shared" si="36"/>
        <v>0</v>
      </c>
      <c r="X1121" s="5">
        <f t="shared" si="37"/>
        <v>0</v>
      </c>
    </row>
    <row r="1122" spans="1:24" x14ac:dyDescent="0.25">
      <c r="A1122" s="17"/>
      <c r="B1122" s="17"/>
      <c r="C1122" s="17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8">
        <v>0</v>
      </c>
      <c r="W1122" s="17">
        <f t="shared" si="36"/>
        <v>0</v>
      </c>
      <c r="X1122" s="5">
        <f t="shared" si="37"/>
        <v>0</v>
      </c>
    </row>
    <row r="1123" spans="1:24" x14ac:dyDescent="0.25">
      <c r="A1123" s="17"/>
      <c r="B1123" s="17"/>
      <c r="C1123" s="17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8">
        <v>0</v>
      </c>
      <c r="W1123" s="17">
        <f t="shared" si="36"/>
        <v>0</v>
      </c>
      <c r="X1123" s="5">
        <f t="shared" si="37"/>
        <v>0</v>
      </c>
    </row>
    <row r="1124" spans="1:24" x14ac:dyDescent="0.25">
      <c r="A1124" s="17"/>
      <c r="B1124" s="17"/>
      <c r="C1124" s="17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8">
        <v>0</v>
      </c>
      <c r="W1124" s="17">
        <f t="shared" si="36"/>
        <v>0</v>
      </c>
      <c r="X1124" s="5">
        <f t="shared" si="37"/>
        <v>0</v>
      </c>
    </row>
    <row r="1125" spans="1:24" x14ac:dyDescent="0.25">
      <c r="A1125" s="17"/>
      <c r="B1125" s="17"/>
      <c r="C1125" s="17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8">
        <v>0</v>
      </c>
      <c r="W1125" s="17">
        <f t="shared" si="36"/>
        <v>0</v>
      </c>
      <c r="X1125" s="5">
        <f t="shared" si="37"/>
        <v>0</v>
      </c>
    </row>
    <row r="1126" spans="1:24" x14ac:dyDescent="0.25">
      <c r="A1126" s="17"/>
      <c r="B1126" s="17"/>
      <c r="C1126" s="17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8">
        <v>0</v>
      </c>
      <c r="W1126" s="17">
        <f t="shared" si="36"/>
        <v>0</v>
      </c>
      <c r="X1126" s="5">
        <f t="shared" si="37"/>
        <v>0</v>
      </c>
    </row>
    <row r="1127" spans="1:24" x14ac:dyDescent="0.25">
      <c r="A1127" s="17"/>
      <c r="B1127" s="17"/>
      <c r="C1127" s="17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8">
        <v>0</v>
      </c>
      <c r="W1127" s="17">
        <f t="shared" si="36"/>
        <v>0</v>
      </c>
      <c r="X1127" s="5">
        <f t="shared" si="37"/>
        <v>0</v>
      </c>
    </row>
    <row r="1128" spans="1:24" x14ac:dyDescent="0.25">
      <c r="A1128" s="17"/>
      <c r="B1128" s="17"/>
      <c r="C1128" s="17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8">
        <v>0</v>
      </c>
      <c r="W1128" s="17">
        <f t="shared" si="36"/>
        <v>0</v>
      </c>
      <c r="X1128" s="5">
        <f t="shared" si="37"/>
        <v>0</v>
      </c>
    </row>
    <row r="1129" spans="1:24" x14ac:dyDescent="0.25">
      <c r="A1129" s="17"/>
      <c r="B1129" s="17"/>
      <c r="C1129" s="17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8">
        <v>0</v>
      </c>
      <c r="W1129" s="17">
        <f t="shared" si="36"/>
        <v>0</v>
      </c>
      <c r="X1129" s="5">
        <f t="shared" si="37"/>
        <v>0</v>
      </c>
    </row>
    <row r="1130" spans="1:24" x14ac:dyDescent="0.25">
      <c r="A1130" s="17"/>
      <c r="B1130" s="17"/>
      <c r="C1130" s="17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8">
        <v>0</v>
      </c>
      <c r="W1130" s="17">
        <f t="shared" si="36"/>
        <v>0</v>
      </c>
      <c r="X1130" s="5">
        <f t="shared" si="37"/>
        <v>0</v>
      </c>
    </row>
    <row r="1131" spans="1:24" x14ac:dyDescent="0.25">
      <c r="A1131" s="17"/>
      <c r="B1131" s="17"/>
      <c r="C1131" s="17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8">
        <v>0</v>
      </c>
      <c r="W1131" s="17">
        <f t="shared" si="36"/>
        <v>0</v>
      </c>
      <c r="X1131" s="5">
        <f t="shared" si="37"/>
        <v>0</v>
      </c>
    </row>
    <row r="1132" spans="1:24" x14ac:dyDescent="0.25">
      <c r="A1132" s="17"/>
      <c r="B1132" s="17"/>
      <c r="C1132" s="17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8">
        <v>0</v>
      </c>
      <c r="W1132" s="17">
        <f t="shared" si="36"/>
        <v>0</v>
      </c>
      <c r="X1132" s="5">
        <f t="shared" si="37"/>
        <v>0</v>
      </c>
    </row>
    <row r="1133" spans="1:24" x14ac:dyDescent="0.25">
      <c r="A1133" s="17"/>
      <c r="B1133" s="17"/>
      <c r="C1133" s="17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8">
        <v>0</v>
      </c>
      <c r="W1133" s="17">
        <f t="shared" si="36"/>
        <v>0</v>
      </c>
      <c r="X1133" s="5">
        <f t="shared" si="37"/>
        <v>0</v>
      </c>
    </row>
    <row r="1134" spans="1:24" x14ac:dyDescent="0.25">
      <c r="A1134" s="17"/>
      <c r="B1134" s="17"/>
      <c r="C1134" s="17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8">
        <v>0</v>
      </c>
      <c r="W1134" s="17">
        <f t="shared" si="36"/>
        <v>0</v>
      </c>
      <c r="X1134" s="5">
        <f t="shared" si="37"/>
        <v>0</v>
      </c>
    </row>
    <row r="1135" spans="1:24" x14ac:dyDescent="0.25">
      <c r="A1135" s="17"/>
      <c r="B1135" s="17"/>
      <c r="C1135" s="17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8">
        <v>0</v>
      </c>
      <c r="W1135" s="17">
        <f t="shared" si="36"/>
        <v>0</v>
      </c>
      <c r="X1135" s="5">
        <f t="shared" si="37"/>
        <v>0</v>
      </c>
    </row>
    <row r="1136" spans="1:24" x14ac:dyDescent="0.25">
      <c r="A1136" s="17"/>
      <c r="B1136" s="17"/>
      <c r="C1136" s="17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8">
        <v>0</v>
      </c>
      <c r="W1136" s="17">
        <f t="shared" si="36"/>
        <v>0</v>
      </c>
      <c r="X1136" s="5">
        <f t="shared" si="37"/>
        <v>0</v>
      </c>
    </row>
    <row r="1137" spans="1:24" x14ac:dyDescent="0.25">
      <c r="A1137" s="17"/>
      <c r="B1137" s="17"/>
      <c r="C1137" s="17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8">
        <v>0</v>
      </c>
      <c r="W1137" s="17">
        <f t="shared" si="36"/>
        <v>0</v>
      </c>
      <c r="X1137" s="5">
        <f t="shared" si="37"/>
        <v>0</v>
      </c>
    </row>
    <row r="1138" spans="1:24" x14ac:dyDescent="0.25">
      <c r="A1138" s="17"/>
      <c r="B1138" s="17"/>
      <c r="C1138" s="17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8">
        <v>0</v>
      </c>
      <c r="W1138" s="17">
        <f t="shared" si="36"/>
        <v>0</v>
      </c>
      <c r="X1138" s="5">
        <f t="shared" si="37"/>
        <v>0</v>
      </c>
    </row>
    <row r="1139" spans="1:24" x14ac:dyDescent="0.25">
      <c r="A1139" s="17"/>
      <c r="B1139" s="17"/>
      <c r="C1139" s="17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  <c r="N1139" s="17"/>
      <c r="O1139" s="17"/>
      <c r="P1139" s="17"/>
      <c r="Q1139" s="17"/>
      <c r="R1139" s="17"/>
      <c r="S1139" s="17"/>
      <c r="T1139" s="17"/>
      <c r="U1139" s="17"/>
      <c r="V1139" s="18">
        <v>0</v>
      </c>
      <c r="W1139" s="17">
        <f t="shared" si="36"/>
        <v>0</v>
      </c>
      <c r="X1139" s="5">
        <f t="shared" si="37"/>
        <v>0</v>
      </c>
    </row>
    <row r="1140" spans="1:24" x14ac:dyDescent="0.25">
      <c r="A1140" s="17"/>
      <c r="B1140" s="17"/>
      <c r="C1140" s="17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8">
        <v>0</v>
      </c>
      <c r="W1140" s="17">
        <f t="shared" si="36"/>
        <v>0</v>
      </c>
      <c r="X1140" s="5">
        <f t="shared" si="37"/>
        <v>0</v>
      </c>
    </row>
    <row r="1141" spans="1:24" x14ac:dyDescent="0.25">
      <c r="A1141" s="17"/>
      <c r="B1141" s="17"/>
      <c r="C1141" s="17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8">
        <v>0</v>
      </c>
      <c r="W1141" s="17">
        <f t="shared" si="36"/>
        <v>0</v>
      </c>
      <c r="X1141" s="5">
        <f t="shared" si="37"/>
        <v>0</v>
      </c>
    </row>
    <row r="1142" spans="1:24" x14ac:dyDescent="0.25">
      <c r="A1142" s="17"/>
      <c r="B1142" s="17"/>
      <c r="C1142" s="17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8">
        <v>0</v>
      </c>
      <c r="W1142" s="17">
        <f t="shared" si="36"/>
        <v>0</v>
      </c>
      <c r="X1142" s="5">
        <f t="shared" si="37"/>
        <v>0</v>
      </c>
    </row>
    <row r="1143" spans="1:24" x14ac:dyDescent="0.25">
      <c r="A1143" s="17"/>
      <c r="B1143" s="17"/>
      <c r="C1143" s="17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8">
        <v>0</v>
      </c>
      <c r="W1143" s="17">
        <f t="shared" si="36"/>
        <v>0</v>
      </c>
      <c r="X1143" s="5">
        <f t="shared" si="37"/>
        <v>0</v>
      </c>
    </row>
    <row r="1144" spans="1:24" x14ac:dyDescent="0.25">
      <c r="A1144" s="17"/>
      <c r="B1144" s="17"/>
      <c r="C1144" s="17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8">
        <v>0</v>
      </c>
      <c r="W1144" s="17">
        <f t="shared" si="36"/>
        <v>0</v>
      </c>
      <c r="X1144" s="5">
        <f t="shared" si="37"/>
        <v>0</v>
      </c>
    </row>
    <row r="1145" spans="1:24" x14ac:dyDescent="0.25">
      <c r="A1145" s="17"/>
      <c r="B1145" s="17"/>
      <c r="C1145" s="17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8">
        <v>0</v>
      </c>
      <c r="W1145" s="17">
        <f t="shared" si="36"/>
        <v>0</v>
      </c>
      <c r="X1145" s="5">
        <f t="shared" si="37"/>
        <v>0</v>
      </c>
    </row>
    <row r="1146" spans="1:24" x14ac:dyDescent="0.25">
      <c r="A1146" s="17"/>
      <c r="B1146" s="17"/>
      <c r="C1146" s="17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8">
        <v>0</v>
      </c>
      <c r="W1146" s="17">
        <f t="shared" si="36"/>
        <v>0</v>
      </c>
      <c r="X1146" s="5">
        <f t="shared" si="37"/>
        <v>0</v>
      </c>
    </row>
    <row r="1147" spans="1:24" x14ac:dyDescent="0.25">
      <c r="A1147" s="17"/>
      <c r="B1147" s="17"/>
      <c r="C1147" s="17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8">
        <v>0</v>
      </c>
      <c r="W1147" s="17">
        <f t="shared" si="36"/>
        <v>0</v>
      </c>
      <c r="X1147" s="5">
        <f t="shared" si="37"/>
        <v>0</v>
      </c>
    </row>
    <row r="1148" spans="1:24" x14ac:dyDescent="0.25">
      <c r="A1148" s="17"/>
      <c r="B1148" s="17"/>
      <c r="C1148" s="17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8">
        <v>0</v>
      </c>
      <c r="W1148" s="17">
        <f t="shared" si="36"/>
        <v>0</v>
      </c>
      <c r="X1148" s="5">
        <f t="shared" si="37"/>
        <v>0</v>
      </c>
    </row>
    <row r="1149" spans="1:24" x14ac:dyDescent="0.25">
      <c r="A1149" s="17"/>
      <c r="B1149" s="17"/>
      <c r="C1149" s="17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8">
        <v>0</v>
      </c>
      <c r="W1149" s="17">
        <f t="shared" si="36"/>
        <v>0</v>
      </c>
      <c r="X1149" s="5">
        <f t="shared" si="37"/>
        <v>0</v>
      </c>
    </row>
    <row r="1150" spans="1:24" x14ac:dyDescent="0.25">
      <c r="A1150" s="17"/>
      <c r="B1150" s="17"/>
      <c r="C1150" s="17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8">
        <v>0</v>
      </c>
      <c r="W1150" s="17">
        <f t="shared" si="36"/>
        <v>0</v>
      </c>
      <c r="X1150" s="5">
        <f t="shared" si="37"/>
        <v>0</v>
      </c>
    </row>
    <row r="1151" spans="1:24" x14ac:dyDescent="0.25">
      <c r="A1151" s="17"/>
      <c r="B1151" s="17"/>
      <c r="C1151" s="17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8">
        <v>0</v>
      </c>
      <c r="W1151" s="17">
        <f t="shared" si="36"/>
        <v>0</v>
      </c>
      <c r="X1151" s="5">
        <f t="shared" si="37"/>
        <v>0</v>
      </c>
    </row>
    <row r="1152" spans="1:24" x14ac:dyDescent="0.25">
      <c r="A1152" s="17"/>
      <c r="B1152" s="17"/>
      <c r="C1152" s="17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8">
        <v>0</v>
      </c>
      <c r="W1152" s="17">
        <f t="shared" si="36"/>
        <v>0</v>
      </c>
      <c r="X1152" s="5">
        <f t="shared" si="37"/>
        <v>0</v>
      </c>
    </row>
    <row r="1153" spans="1:24" x14ac:dyDescent="0.25">
      <c r="A1153" s="17"/>
      <c r="B1153" s="17"/>
      <c r="C1153" s="17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8">
        <v>0</v>
      </c>
      <c r="W1153" s="17">
        <f t="shared" si="36"/>
        <v>0</v>
      </c>
      <c r="X1153" s="5">
        <f t="shared" si="37"/>
        <v>0</v>
      </c>
    </row>
    <row r="1154" spans="1:24" x14ac:dyDescent="0.25">
      <c r="A1154" s="17"/>
      <c r="B1154" s="17"/>
      <c r="C1154" s="17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8">
        <v>0</v>
      </c>
      <c r="W1154" s="17">
        <f t="shared" si="36"/>
        <v>0</v>
      </c>
      <c r="X1154" s="5">
        <f t="shared" si="37"/>
        <v>0</v>
      </c>
    </row>
    <row r="1155" spans="1:24" x14ac:dyDescent="0.25">
      <c r="A1155" s="17"/>
      <c r="B1155" s="17"/>
      <c r="C1155" s="17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8">
        <v>0</v>
      </c>
      <c r="W1155" s="17">
        <f t="shared" ref="W1155:W1218" si="38">HOUR(E1155)</f>
        <v>0</v>
      </c>
      <c r="X1155" s="5">
        <f t="shared" ref="X1155:X1218" si="39">IF(D1155=D1154,0,1)</f>
        <v>0</v>
      </c>
    </row>
    <row r="1156" spans="1:24" x14ac:dyDescent="0.25">
      <c r="A1156" s="17"/>
      <c r="B1156" s="17"/>
      <c r="C1156" s="17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8">
        <v>0</v>
      </c>
      <c r="W1156" s="17">
        <f t="shared" si="38"/>
        <v>0</v>
      </c>
      <c r="X1156" s="5">
        <f t="shared" si="39"/>
        <v>0</v>
      </c>
    </row>
    <row r="1157" spans="1:24" x14ac:dyDescent="0.25">
      <c r="A1157" s="17"/>
      <c r="B1157" s="17"/>
      <c r="C1157" s="17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  <c r="N1157" s="17"/>
      <c r="O1157" s="17"/>
      <c r="P1157" s="17"/>
      <c r="Q1157" s="17"/>
      <c r="R1157" s="17"/>
      <c r="S1157" s="17"/>
      <c r="T1157" s="17"/>
      <c r="U1157" s="17"/>
      <c r="V1157" s="18">
        <v>0</v>
      </c>
      <c r="W1157" s="17">
        <f t="shared" si="38"/>
        <v>0</v>
      </c>
      <c r="X1157" s="5">
        <f t="shared" si="39"/>
        <v>0</v>
      </c>
    </row>
    <row r="1158" spans="1:24" x14ac:dyDescent="0.25">
      <c r="A1158" s="17"/>
      <c r="B1158" s="17"/>
      <c r="C1158" s="17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8">
        <v>0</v>
      </c>
      <c r="W1158" s="17">
        <f t="shared" si="38"/>
        <v>0</v>
      </c>
      <c r="X1158" s="5">
        <f t="shared" si="39"/>
        <v>0</v>
      </c>
    </row>
    <row r="1159" spans="1:24" x14ac:dyDescent="0.25">
      <c r="A1159" s="17"/>
      <c r="B1159" s="17"/>
      <c r="C1159" s="17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8">
        <v>0</v>
      </c>
      <c r="W1159" s="17">
        <f t="shared" si="38"/>
        <v>0</v>
      </c>
      <c r="X1159" s="5">
        <f t="shared" si="39"/>
        <v>0</v>
      </c>
    </row>
    <row r="1160" spans="1:24" x14ac:dyDescent="0.25">
      <c r="A1160" s="17"/>
      <c r="B1160" s="17"/>
      <c r="C1160" s="17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8">
        <v>0</v>
      </c>
      <c r="W1160" s="17">
        <f t="shared" si="38"/>
        <v>0</v>
      </c>
      <c r="X1160" s="5">
        <f t="shared" si="39"/>
        <v>0</v>
      </c>
    </row>
    <row r="1161" spans="1:24" x14ac:dyDescent="0.25">
      <c r="A1161" s="17"/>
      <c r="B1161" s="17"/>
      <c r="C1161" s="17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8">
        <v>0</v>
      </c>
      <c r="W1161" s="17">
        <f t="shared" si="38"/>
        <v>0</v>
      </c>
      <c r="X1161" s="5">
        <f t="shared" si="39"/>
        <v>0</v>
      </c>
    </row>
    <row r="1162" spans="1:24" x14ac:dyDescent="0.25">
      <c r="A1162" s="17"/>
      <c r="B1162" s="17"/>
      <c r="C1162" s="17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8">
        <v>0</v>
      </c>
      <c r="W1162" s="17">
        <f t="shared" si="38"/>
        <v>0</v>
      </c>
      <c r="X1162" s="5">
        <f t="shared" si="39"/>
        <v>0</v>
      </c>
    </row>
    <row r="1163" spans="1:24" x14ac:dyDescent="0.25">
      <c r="A1163" s="17"/>
      <c r="B1163" s="17"/>
      <c r="C1163" s="17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8">
        <v>0</v>
      </c>
      <c r="W1163" s="17">
        <f t="shared" si="38"/>
        <v>0</v>
      </c>
      <c r="X1163" s="5">
        <f t="shared" si="39"/>
        <v>0</v>
      </c>
    </row>
    <row r="1164" spans="1:24" x14ac:dyDescent="0.25">
      <c r="A1164" s="17"/>
      <c r="B1164" s="17"/>
      <c r="C1164" s="17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8">
        <v>0</v>
      </c>
      <c r="W1164" s="17">
        <f t="shared" si="38"/>
        <v>0</v>
      </c>
      <c r="X1164" s="5">
        <f t="shared" si="39"/>
        <v>0</v>
      </c>
    </row>
    <row r="1165" spans="1:24" x14ac:dyDescent="0.25">
      <c r="A1165" s="17"/>
      <c r="B1165" s="17"/>
      <c r="C1165" s="17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8">
        <v>0</v>
      </c>
      <c r="W1165" s="17">
        <f t="shared" si="38"/>
        <v>0</v>
      </c>
      <c r="X1165" s="5">
        <f t="shared" si="39"/>
        <v>0</v>
      </c>
    </row>
    <row r="1166" spans="1:24" x14ac:dyDescent="0.25">
      <c r="A1166" s="17"/>
      <c r="B1166" s="17"/>
      <c r="C1166" s="17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8">
        <v>0</v>
      </c>
      <c r="W1166" s="17">
        <f t="shared" si="38"/>
        <v>0</v>
      </c>
      <c r="X1166" s="5">
        <f t="shared" si="39"/>
        <v>0</v>
      </c>
    </row>
    <row r="1167" spans="1:24" x14ac:dyDescent="0.25">
      <c r="A1167" s="17"/>
      <c r="B1167" s="17"/>
      <c r="C1167" s="17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8">
        <v>0</v>
      </c>
      <c r="W1167" s="17">
        <f t="shared" si="38"/>
        <v>0</v>
      </c>
      <c r="X1167" s="5">
        <f t="shared" si="39"/>
        <v>0</v>
      </c>
    </row>
    <row r="1168" spans="1:24" x14ac:dyDescent="0.25">
      <c r="A1168" s="17"/>
      <c r="B1168" s="17"/>
      <c r="C1168" s="17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  <c r="N1168" s="17"/>
      <c r="O1168" s="17"/>
      <c r="P1168" s="17"/>
      <c r="Q1168" s="17"/>
      <c r="R1168" s="17"/>
      <c r="S1168" s="17"/>
      <c r="T1168" s="17"/>
      <c r="U1168" s="17"/>
      <c r="V1168" s="18">
        <v>0</v>
      </c>
      <c r="W1168" s="17">
        <f t="shared" si="38"/>
        <v>0</v>
      </c>
      <c r="X1168" s="5">
        <f t="shared" si="39"/>
        <v>0</v>
      </c>
    </row>
    <row r="1169" spans="1:24" x14ac:dyDescent="0.25">
      <c r="A1169" s="17"/>
      <c r="B1169" s="17"/>
      <c r="C1169" s="17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8">
        <v>0</v>
      </c>
      <c r="W1169" s="17">
        <f t="shared" si="38"/>
        <v>0</v>
      </c>
      <c r="X1169" s="5">
        <f t="shared" si="39"/>
        <v>0</v>
      </c>
    </row>
    <row r="1170" spans="1:24" x14ac:dyDescent="0.25">
      <c r="A1170" s="17"/>
      <c r="B1170" s="17"/>
      <c r="C1170" s="17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8">
        <v>0</v>
      </c>
      <c r="W1170" s="17">
        <f t="shared" si="38"/>
        <v>0</v>
      </c>
      <c r="X1170" s="5">
        <f t="shared" si="39"/>
        <v>0</v>
      </c>
    </row>
    <row r="1171" spans="1:24" x14ac:dyDescent="0.25">
      <c r="A1171" s="17"/>
      <c r="B1171" s="17"/>
      <c r="C1171" s="17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8">
        <v>0</v>
      </c>
      <c r="W1171" s="17">
        <f t="shared" si="38"/>
        <v>0</v>
      </c>
      <c r="X1171" s="5">
        <f t="shared" si="39"/>
        <v>0</v>
      </c>
    </row>
    <row r="1172" spans="1:24" x14ac:dyDescent="0.25">
      <c r="A1172" s="17"/>
      <c r="B1172" s="17"/>
      <c r="C1172" s="17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8">
        <v>0</v>
      </c>
      <c r="W1172" s="17">
        <f t="shared" si="38"/>
        <v>0</v>
      </c>
      <c r="X1172" s="5">
        <f t="shared" si="39"/>
        <v>0</v>
      </c>
    </row>
    <row r="1173" spans="1:24" x14ac:dyDescent="0.25">
      <c r="A1173" s="17"/>
      <c r="B1173" s="17"/>
      <c r="C1173" s="17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8">
        <v>0</v>
      </c>
      <c r="W1173" s="17">
        <f t="shared" si="38"/>
        <v>0</v>
      </c>
      <c r="X1173" s="5">
        <f t="shared" si="39"/>
        <v>0</v>
      </c>
    </row>
    <row r="1174" spans="1:24" x14ac:dyDescent="0.25">
      <c r="A1174" s="17"/>
      <c r="B1174" s="17"/>
      <c r="C1174" s="17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8">
        <v>0</v>
      </c>
      <c r="W1174" s="17">
        <f t="shared" si="38"/>
        <v>0</v>
      </c>
      <c r="X1174" s="5">
        <f t="shared" si="39"/>
        <v>0</v>
      </c>
    </row>
    <row r="1175" spans="1:24" x14ac:dyDescent="0.25">
      <c r="A1175" s="17"/>
      <c r="B1175" s="17"/>
      <c r="C1175" s="17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8">
        <v>0</v>
      </c>
      <c r="W1175" s="17">
        <f t="shared" si="38"/>
        <v>0</v>
      </c>
      <c r="X1175" s="5">
        <f t="shared" si="39"/>
        <v>0</v>
      </c>
    </row>
    <row r="1176" spans="1:24" x14ac:dyDescent="0.25">
      <c r="A1176" s="17"/>
      <c r="B1176" s="17"/>
      <c r="C1176" s="17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8">
        <v>0</v>
      </c>
      <c r="W1176" s="17">
        <f t="shared" si="38"/>
        <v>0</v>
      </c>
      <c r="X1176" s="5">
        <f t="shared" si="39"/>
        <v>0</v>
      </c>
    </row>
    <row r="1177" spans="1:24" x14ac:dyDescent="0.25">
      <c r="A1177" s="17"/>
      <c r="B1177" s="17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8">
        <v>0</v>
      </c>
      <c r="W1177" s="17">
        <f t="shared" si="38"/>
        <v>0</v>
      </c>
      <c r="X1177" s="5">
        <f t="shared" si="39"/>
        <v>0</v>
      </c>
    </row>
    <row r="1178" spans="1:24" x14ac:dyDescent="0.25">
      <c r="A1178" s="17"/>
      <c r="B1178" s="17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8">
        <v>0</v>
      </c>
      <c r="W1178" s="17">
        <f t="shared" si="38"/>
        <v>0</v>
      </c>
      <c r="X1178" s="5">
        <f t="shared" si="39"/>
        <v>0</v>
      </c>
    </row>
    <row r="1179" spans="1:24" x14ac:dyDescent="0.25">
      <c r="A1179" s="17"/>
      <c r="B1179" s="17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8">
        <v>0</v>
      </c>
      <c r="W1179" s="17">
        <f t="shared" si="38"/>
        <v>0</v>
      </c>
      <c r="X1179" s="5">
        <f t="shared" si="39"/>
        <v>0</v>
      </c>
    </row>
    <row r="1180" spans="1:24" x14ac:dyDescent="0.25">
      <c r="A1180" s="17"/>
      <c r="B1180" s="17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8">
        <v>0</v>
      </c>
      <c r="W1180" s="17">
        <f t="shared" si="38"/>
        <v>0</v>
      </c>
      <c r="X1180" s="5">
        <f t="shared" si="39"/>
        <v>0</v>
      </c>
    </row>
    <row r="1181" spans="1:24" x14ac:dyDescent="0.25">
      <c r="A1181" s="17"/>
      <c r="B1181" s="17"/>
      <c r="C1181" s="17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8">
        <v>0</v>
      </c>
      <c r="W1181" s="17">
        <f t="shared" si="38"/>
        <v>0</v>
      </c>
      <c r="X1181" s="5">
        <f t="shared" si="39"/>
        <v>0</v>
      </c>
    </row>
    <row r="1182" spans="1:24" x14ac:dyDescent="0.25">
      <c r="A1182" s="17"/>
      <c r="B1182" s="17"/>
      <c r="C1182" s="17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8">
        <v>0</v>
      </c>
      <c r="W1182" s="17">
        <f t="shared" si="38"/>
        <v>0</v>
      </c>
      <c r="X1182" s="5">
        <f t="shared" si="39"/>
        <v>0</v>
      </c>
    </row>
    <row r="1183" spans="1:24" x14ac:dyDescent="0.25">
      <c r="A1183" s="17"/>
      <c r="B1183" s="17"/>
      <c r="C1183" s="17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8">
        <v>0</v>
      </c>
      <c r="W1183" s="17">
        <f t="shared" si="38"/>
        <v>0</v>
      </c>
      <c r="X1183" s="5">
        <f t="shared" si="39"/>
        <v>0</v>
      </c>
    </row>
    <row r="1184" spans="1:24" x14ac:dyDescent="0.25">
      <c r="A1184" s="17"/>
      <c r="B1184" s="17"/>
      <c r="C1184" s="17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8">
        <v>0</v>
      </c>
      <c r="W1184" s="17">
        <f t="shared" si="38"/>
        <v>0</v>
      </c>
      <c r="X1184" s="5">
        <f t="shared" si="39"/>
        <v>0</v>
      </c>
    </row>
    <row r="1185" spans="1:24" x14ac:dyDescent="0.25">
      <c r="A1185" s="17"/>
      <c r="B1185" s="17"/>
      <c r="C1185" s="17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8">
        <v>0</v>
      </c>
      <c r="W1185" s="17">
        <f t="shared" si="38"/>
        <v>0</v>
      </c>
      <c r="X1185" s="5">
        <f t="shared" si="39"/>
        <v>0</v>
      </c>
    </row>
    <row r="1186" spans="1:24" x14ac:dyDescent="0.25">
      <c r="A1186" s="17"/>
      <c r="B1186" s="17"/>
      <c r="C1186" s="17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8">
        <v>0</v>
      </c>
      <c r="W1186" s="17">
        <f t="shared" si="38"/>
        <v>0</v>
      </c>
      <c r="X1186" s="5">
        <f t="shared" si="39"/>
        <v>0</v>
      </c>
    </row>
    <row r="1187" spans="1:24" x14ac:dyDescent="0.25">
      <c r="A1187" s="17"/>
      <c r="B1187" s="17"/>
      <c r="C1187" s="17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8">
        <v>0</v>
      </c>
      <c r="W1187" s="17">
        <f t="shared" si="38"/>
        <v>0</v>
      </c>
      <c r="X1187" s="5">
        <f t="shared" si="39"/>
        <v>0</v>
      </c>
    </row>
    <row r="1188" spans="1:24" x14ac:dyDescent="0.25">
      <c r="A1188" s="17"/>
      <c r="B1188" s="17"/>
      <c r="C1188" s="17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8">
        <v>0</v>
      </c>
      <c r="W1188" s="17">
        <f t="shared" si="38"/>
        <v>0</v>
      </c>
      <c r="X1188" s="5">
        <f t="shared" si="39"/>
        <v>0</v>
      </c>
    </row>
    <row r="1189" spans="1:24" x14ac:dyDescent="0.25">
      <c r="A1189" s="17"/>
      <c r="B1189" s="17"/>
      <c r="C1189" s="17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8">
        <v>0</v>
      </c>
      <c r="W1189" s="17">
        <f t="shared" si="38"/>
        <v>0</v>
      </c>
      <c r="X1189" s="5">
        <f t="shared" si="39"/>
        <v>0</v>
      </c>
    </row>
    <row r="1190" spans="1:24" x14ac:dyDescent="0.25">
      <c r="A1190" s="17"/>
      <c r="B1190" s="17"/>
      <c r="C1190" s="17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8">
        <v>0</v>
      </c>
      <c r="W1190" s="17">
        <f t="shared" si="38"/>
        <v>0</v>
      </c>
      <c r="X1190" s="5">
        <f t="shared" si="39"/>
        <v>0</v>
      </c>
    </row>
    <row r="1191" spans="1:24" x14ac:dyDescent="0.25">
      <c r="A1191" s="17"/>
      <c r="B1191" s="17"/>
      <c r="C1191" s="17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8">
        <v>0</v>
      </c>
      <c r="W1191" s="17">
        <f t="shared" si="38"/>
        <v>0</v>
      </c>
      <c r="X1191" s="5">
        <f t="shared" si="39"/>
        <v>0</v>
      </c>
    </row>
    <row r="1192" spans="1:24" x14ac:dyDescent="0.25">
      <c r="A1192" s="17"/>
      <c r="B1192" s="17"/>
      <c r="C1192" s="17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  <c r="N1192" s="17"/>
      <c r="O1192" s="17"/>
      <c r="P1192" s="17"/>
      <c r="Q1192" s="17"/>
      <c r="R1192" s="17"/>
      <c r="S1192" s="17"/>
      <c r="T1192" s="17"/>
      <c r="U1192" s="17"/>
      <c r="V1192" s="18">
        <v>0</v>
      </c>
      <c r="W1192" s="17">
        <f t="shared" si="38"/>
        <v>0</v>
      </c>
      <c r="X1192" s="5">
        <f t="shared" si="39"/>
        <v>0</v>
      </c>
    </row>
    <row r="1193" spans="1:24" x14ac:dyDescent="0.25">
      <c r="A1193" s="17"/>
      <c r="B1193" s="17"/>
      <c r="C1193" s="17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  <c r="N1193" s="17"/>
      <c r="O1193" s="17"/>
      <c r="P1193" s="17"/>
      <c r="Q1193" s="17"/>
      <c r="R1193" s="17"/>
      <c r="S1193" s="17"/>
      <c r="T1193" s="17"/>
      <c r="U1193" s="17"/>
      <c r="V1193" s="18">
        <v>0</v>
      </c>
      <c r="W1193" s="17">
        <f t="shared" si="38"/>
        <v>0</v>
      </c>
      <c r="X1193" s="5">
        <f t="shared" si="39"/>
        <v>0</v>
      </c>
    </row>
    <row r="1194" spans="1:24" x14ac:dyDescent="0.25">
      <c r="A1194" s="17"/>
      <c r="B1194" s="17"/>
      <c r="C1194" s="17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  <c r="N1194" s="17"/>
      <c r="O1194" s="17"/>
      <c r="P1194" s="17"/>
      <c r="Q1194" s="17"/>
      <c r="R1194" s="17"/>
      <c r="S1194" s="17"/>
      <c r="T1194" s="17"/>
      <c r="U1194" s="17"/>
      <c r="V1194" s="18">
        <v>0</v>
      </c>
      <c r="W1194" s="17">
        <f t="shared" si="38"/>
        <v>0</v>
      </c>
      <c r="X1194" s="5">
        <f t="shared" si="39"/>
        <v>0</v>
      </c>
    </row>
    <row r="1195" spans="1:24" x14ac:dyDescent="0.25">
      <c r="A1195" s="17"/>
      <c r="B1195" s="17"/>
      <c r="C1195" s="17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8">
        <v>0</v>
      </c>
      <c r="W1195" s="17">
        <f t="shared" si="38"/>
        <v>0</v>
      </c>
      <c r="X1195" s="5">
        <f t="shared" si="39"/>
        <v>0</v>
      </c>
    </row>
    <row r="1196" spans="1:24" x14ac:dyDescent="0.25">
      <c r="A1196" s="17"/>
      <c r="B1196" s="17"/>
      <c r="C1196" s="17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8">
        <v>0</v>
      </c>
      <c r="W1196" s="17">
        <f t="shared" si="38"/>
        <v>0</v>
      </c>
      <c r="X1196" s="5">
        <f t="shared" si="39"/>
        <v>0</v>
      </c>
    </row>
    <row r="1197" spans="1:24" x14ac:dyDescent="0.25">
      <c r="A1197" s="17"/>
      <c r="B1197" s="17"/>
      <c r="C1197" s="17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8">
        <v>0</v>
      </c>
      <c r="W1197" s="17">
        <f t="shared" si="38"/>
        <v>0</v>
      </c>
      <c r="X1197" s="5">
        <f t="shared" si="39"/>
        <v>0</v>
      </c>
    </row>
    <row r="1198" spans="1:24" x14ac:dyDescent="0.25">
      <c r="A1198" s="17"/>
      <c r="B1198" s="17"/>
      <c r="C1198" s="17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8">
        <v>0</v>
      </c>
      <c r="W1198" s="17">
        <f t="shared" si="38"/>
        <v>0</v>
      </c>
      <c r="X1198" s="5">
        <f t="shared" si="39"/>
        <v>0</v>
      </c>
    </row>
    <row r="1199" spans="1:24" x14ac:dyDescent="0.25">
      <c r="A1199" s="17"/>
      <c r="B1199" s="17"/>
      <c r="C1199" s="17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8">
        <v>0</v>
      </c>
      <c r="W1199" s="17">
        <f t="shared" si="38"/>
        <v>0</v>
      </c>
      <c r="X1199" s="5">
        <f t="shared" si="39"/>
        <v>0</v>
      </c>
    </row>
    <row r="1200" spans="1:24" x14ac:dyDescent="0.25">
      <c r="A1200" s="17"/>
      <c r="B1200" s="17"/>
      <c r="C1200" s="17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  <c r="N1200" s="17"/>
      <c r="O1200" s="17"/>
      <c r="P1200" s="17"/>
      <c r="Q1200" s="17"/>
      <c r="R1200" s="17"/>
      <c r="S1200" s="17"/>
      <c r="T1200" s="17"/>
      <c r="U1200" s="17"/>
      <c r="V1200" s="18">
        <v>0</v>
      </c>
      <c r="W1200" s="17">
        <f t="shared" si="38"/>
        <v>0</v>
      </c>
      <c r="X1200" s="5">
        <f t="shared" si="39"/>
        <v>0</v>
      </c>
    </row>
    <row r="1201" spans="1:24" x14ac:dyDescent="0.25">
      <c r="A1201" s="17"/>
      <c r="B1201" s="17"/>
      <c r="C1201" s="17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  <c r="N1201" s="17"/>
      <c r="O1201" s="17"/>
      <c r="P1201" s="17"/>
      <c r="Q1201" s="17"/>
      <c r="R1201" s="17"/>
      <c r="S1201" s="17"/>
      <c r="T1201" s="17"/>
      <c r="U1201" s="17"/>
      <c r="V1201" s="18">
        <v>0</v>
      </c>
      <c r="W1201" s="17">
        <f t="shared" si="38"/>
        <v>0</v>
      </c>
      <c r="X1201" s="5">
        <f t="shared" si="39"/>
        <v>0</v>
      </c>
    </row>
    <row r="1202" spans="1:24" x14ac:dyDescent="0.25">
      <c r="A1202" s="17"/>
      <c r="B1202" s="17"/>
      <c r="C1202" s="17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  <c r="N1202" s="17"/>
      <c r="O1202" s="17"/>
      <c r="P1202" s="17"/>
      <c r="Q1202" s="17"/>
      <c r="R1202" s="17"/>
      <c r="S1202" s="17"/>
      <c r="T1202" s="17"/>
      <c r="U1202" s="17"/>
      <c r="V1202" s="18">
        <v>0</v>
      </c>
      <c r="W1202" s="17">
        <f t="shared" si="38"/>
        <v>0</v>
      </c>
      <c r="X1202" s="5">
        <f t="shared" si="39"/>
        <v>0</v>
      </c>
    </row>
    <row r="1203" spans="1:24" x14ac:dyDescent="0.25">
      <c r="A1203" s="17"/>
      <c r="B1203" s="17"/>
      <c r="C1203" s="17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  <c r="N1203" s="17"/>
      <c r="O1203" s="17"/>
      <c r="P1203" s="17"/>
      <c r="Q1203" s="17"/>
      <c r="R1203" s="17"/>
      <c r="S1203" s="17"/>
      <c r="T1203" s="17"/>
      <c r="U1203" s="17"/>
      <c r="V1203" s="18">
        <v>0</v>
      </c>
      <c r="W1203" s="17">
        <f t="shared" si="38"/>
        <v>0</v>
      </c>
      <c r="X1203" s="5">
        <f t="shared" si="39"/>
        <v>0</v>
      </c>
    </row>
    <row r="1204" spans="1:24" x14ac:dyDescent="0.25">
      <c r="A1204" s="17"/>
      <c r="B1204" s="17"/>
      <c r="C1204" s="17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  <c r="N1204" s="17"/>
      <c r="O1204" s="17"/>
      <c r="P1204" s="17"/>
      <c r="Q1204" s="17"/>
      <c r="R1204" s="17"/>
      <c r="S1204" s="17"/>
      <c r="T1204" s="17"/>
      <c r="U1204" s="17"/>
      <c r="V1204" s="18">
        <v>0</v>
      </c>
      <c r="W1204" s="17">
        <f t="shared" si="38"/>
        <v>0</v>
      </c>
      <c r="X1204" s="5">
        <f t="shared" si="39"/>
        <v>0</v>
      </c>
    </row>
    <row r="1205" spans="1:24" x14ac:dyDescent="0.25">
      <c r="A1205" s="17"/>
      <c r="B1205" s="17"/>
      <c r="C1205" s="17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  <c r="N1205" s="17"/>
      <c r="O1205" s="17"/>
      <c r="P1205" s="17"/>
      <c r="Q1205" s="17"/>
      <c r="R1205" s="17"/>
      <c r="S1205" s="17"/>
      <c r="T1205" s="17"/>
      <c r="U1205" s="17"/>
      <c r="V1205" s="18">
        <v>0</v>
      </c>
      <c r="W1205" s="17">
        <f t="shared" si="38"/>
        <v>0</v>
      </c>
      <c r="X1205" s="5">
        <f t="shared" si="39"/>
        <v>0</v>
      </c>
    </row>
    <row r="1206" spans="1:24" x14ac:dyDescent="0.25">
      <c r="A1206" s="17"/>
      <c r="B1206" s="17"/>
      <c r="C1206" s="17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  <c r="N1206" s="17"/>
      <c r="O1206" s="17"/>
      <c r="P1206" s="17"/>
      <c r="Q1206" s="17"/>
      <c r="R1206" s="17"/>
      <c r="S1206" s="17"/>
      <c r="T1206" s="17"/>
      <c r="U1206" s="17"/>
      <c r="V1206" s="18">
        <v>0</v>
      </c>
      <c r="W1206" s="17">
        <f t="shared" si="38"/>
        <v>0</v>
      </c>
      <c r="X1206" s="5">
        <f t="shared" si="39"/>
        <v>0</v>
      </c>
    </row>
    <row r="1207" spans="1:24" x14ac:dyDescent="0.25">
      <c r="A1207" s="17"/>
      <c r="B1207" s="17"/>
      <c r="C1207" s="17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  <c r="N1207" s="17"/>
      <c r="O1207" s="17"/>
      <c r="P1207" s="17"/>
      <c r="Q1207" s="17"/>
      <c r="R1207" s="17"/>
      <c r="S1207" s="17"/>
      <c r="T1207" s="17"/>
      <c r="U1207" s="17"/>
      <c r="V1207" s="18">
        <v>0</v>
      </c>
      <c r="W1207" s="17">
        <f t="shared" si="38"/>
        <v>0</v>
      </c>
      <c r="X1207" s="5">
        <f t="shared" si="39"/>
        <v>0</v>
      </c>
    </row>
    <row r="1208" spans="1:24" x14ac:dyDescent="0.25">
      <c r="A1208" s="17"/>
      <c r="B1208" s="17"/>
      <c r="C1208" s="17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  <c r="N1208" s="17"/>
      <c r="O1208" s="17"/>
      <c r="P1208" s="17"/>
      <c r="Q1208" s="17"/>
      <c r="R1208" s="17"/>
      <c r="S1208" s="17"/>
      <c r="T1208" s="17"/>
      <c r="U1208" s="17"/>
      <c r="V1208" s="18">
        <v>0</v>
      </c>
      <c r="W1208" s="17">
        <f t="shared" si="38"/>
        <v>0</v>
      </c>
      <c r="X1208" s="5">
        <f t="shared" si="39"/>
        <v>0</v>
      </c>
    </row>
    <row r="1209" spans="1:24" x14ac:dyDescent="0.25">
      <c r="A1209" s="17"/>
      <c r="B1209" s="17"/>
      <c r="C1209" s="17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8">
        <v>0</v>
      </c>
      <c r="W1209" s="17">
        <f t="shared" si="38"/>
        <v>0</v>
      </c>
      <c r="X1209" s="5">
        <f t="shared" si="39"/>
        <v>0</v>
      </c>
    </row>
    <row r="1210" spans="1:24" x14ac:dyDescent="0.25">
      <c r="A1210" s="17"/>
      <c r="B1210" s="17"/>
      <c r="C1210" s="17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8">
        <v>0</v>
      </c>
      <c r="W1210" s="17">
        <f t="shared" si="38"/>
        <v>0</v>
      </c>
      <c r="X1210" s="5">
        <f t="shared" si="39"/>
        <v>0</v>
      </c>
    </row>
    <row r="1211" spans="1:24" x14ac:dyDescent="0.25">
      <c r="A1211" s="17"/>
      <c r="B1211" s="17"/>
      <c r="C1211" s="17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  <c r="N1211" s="17"/>
      <c r="O1211" s="17"/>
      <c r="P1211" s="17"/>
      <c r="Q1211" s="17"/>
      <c r="R1211" s="17"/>
      <c r="S1211" s="17"/>
      <c r="T1211" s="17"/>
      <c r="U1211" s="17"/>
      <c r="V1211" s="18">
        <v>0</v>
      </c>
      <c r="W1211" s="17">
        <f t="shared" si="38"/>
        <v>0</v>
      </c>
      <c r="X1211" s="5">
        <f t="shared" si="39"/>
        <v>0</v>
      </c>
    </row>
    <row r="1212" spans="1:24" x14ac:dyDescent="0.25">
      <c r="A1212" s="17"/>
      <c r="B1212" s="17"/>
      <c r="C1212" s="17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  <c r="N1212" s="17"/>
      <c r="O1212" s="17"/>
      <c r="P1212" s="17"/>
      <c r="Q1212" s="17"/>
      <c r="R1212" s="17"/>
      <c r="S1212" s="17"/>
      <c r="T1212" s="17"/>
      <c r="U1212" s="17"/>
      <c r="V1212" s="18">
        <v>0</v>
      </c>
      <c r="W1212" s="17">
        <f t="shared" si="38"/>
        <v>0</v>
      </c>
      <c r="X1212" s="5">
        <f t="shared" si="39"/>
        <v>0</v>
      </c>
    </row>
    <row r="1213" spans="1:24" x14ac:dyDescent="0.25">
      <c r="A1213" s="17"/>
      <c r="B1213" s="17"/>
      <c r="C1213" s="17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  <c r="N1213" s="17"/>
      <c r="O1213" s="17"/>
      <c r="P1213" s="17"/>
      <c r="Q1213" s="17"/>
      <c r="R1213" s="17"/>
      <c r="S1213" s="17"/>
      <c r="T1213" s="17"/>
      <c r="U1213" s="17"/>
      <c r="V1213" s="18">
        <v>0</v>
      </c>
      <c r="W1213" s="17">
        <f t="shared" si="38"/>
        <v>0</v>
      </c>
      <c r="X1213" s="5">
        <f t="shared" si="39"/>
        <v>0</v>
      </c>
    </row>
    <row r="1214" spans="1:24" x14ac:dyDescent="0.25">
      <c r="A1214" s="17"/>
      <c r="B1214" s="17"/>
      <c r="C1214" s="17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8">
        <v>0</v>
      </c>
      <c r="W1214" s="17">
        <f t="shared" si="38"/>
        <v>0</v>
      </c>
      <c r="X1214" s="5">
        <f t="shared" si="39"/>
        <v>0</v>
      </c>
    </row>
    <row r="1215" spans="1:24" x14ac:dyDescent="0.25">
      <c r="A1215" s="17"/>
      <c r="B1215" s="17"/>
      <c r="C1215" s="17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8">
        <v>0</v>
      </c>
      <c r="W1215" s="17">
        <f t="shared" si="38"/>
        <v>0</v>
      </c>
      <c r="X1215" s="5">
        <f t="shared" si="39"/>
        <v>0</v>
      </c>
    </row>
    <row r="1216" spans="1:24" x14ac:dyDescent="0.25">
      <c r="A1216" s="17"/>
      <c r="B1216" s="17"/>
      <c r="C1216" s="17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8">
        <v>0</v>
      </c>
      <c r="W1216" s="17">
        <f t="shared" si="38"/>
        <v>0</v>
      </c>
      <c r="X1216" s="5">
        <f t="shared" si="39"/>
        <v>0</v>
      </c>
    </row>
    <row r="1217" spans="1:24" x14ac:dyDescent="0.25">
      <c r="A1217" s="17"/>
      <c r="B1217" s="17"/>
      <c r="C1217" s="17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8">
        <v>0</v>
      </c>
      <c r="W1217" s="17">
        <f t="shared" si="38"/>
        <v>0</v>
      </c>
      <c r="X1217" s="5">
        <f t="shared" si="39"/>
        <v>0</v>
      </c>
    </row>
    <row r="1218" spans="1:24" x14ac:dyDescent="0.25">
      <c r="A1218" s="17"/>
      <c r="B1218" s="17"/>
      <c r="C1218" s="17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8">
        <v>0</v>
      </c>
      <c r="W1218" s="17">
        <f t="shared" si="38"/>
        <v>0</v>
      </c>
      <c r="X1218" s="5">
        <f t="shared" si="39"/>
        <v>0</v>
      </c>
    </row>
    <row r="1219" spans="1:24" x14ac:dyDescent="0.25">
      <c r="A1219" s="17"/>
      <c r="B1219" s="17"/>
      <c r="C1219" s="17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8">
        <v>0</v>
      </c>
      <c r="W1219" s="17">
        <f t="shared" ref="W1219:W1282" si="40">HOUR(E1219)</f>
        <v>0</v>
      </c>
      <c r="X1219" s="5">
        <f t="shared" ref="X1219:X1282" si="41">IF(D1219=D1218,0,1)</f>
        <v>0</v>
      </c>
    </row>
    <row r="1220" spans="1:24" x14ac:dyDescent="0.25">
      <c r="A1220" s="17"/>
      <c r="B1220" s="17"/>
      <c r="C1220" s="17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8">
        <v>0</v>
      </c>
      <c r="W1220" s="17">
        <f t="shared" si="40"/>
        <v>0</v>
      </c>
      <c r="X1220" s="5">
        <f t="shared" si="41"/>
        <v>0</v>
      </c>
    </row>
    <row r="1221" spans="1:24" x14ac:dyDescent="0.25">
      <c r="A1221" s="17"/>
      <c r="B1221" s="17"/>
      <c r="C1221" s="17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  <c r="N1221" s="17"/>
      <c r="O1221" s="17"/>
      <c r="P1221" s="17"/>
      <c r="Q1221" s="17"/>
      <c r="R1221" s="17"/>
      <c r="S1221" s="17"/>
      <c r="T1221" s="17"/>
      <c r="U1221" s="17"/>
      <c r="V1221" s="18">
        <v>0</v>
      </c>
      <c r="W1221" s="17">
        <f t="shared" si="40"/>
        <v>0</v>
      </c>
      <c r="X1221" s="5">
        <f t="shared" si="41"/>
        <v>0</v>
      </c>
    </row>
    <row r="1222" spans="1:24" x14ac:dyDescent="0.25">
      <c r="A1222" s="17"/>
      <c r="B1222" s="17"/>
      <c r="C1222" s="17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  <c r="N1222" s="17"/>
      <c r="O1222" s="17"/>
      <c r="P1222" s="17"/>
      <c r="Q1222" s="17"/>
      <c r="R1222" s="17"/>
      <c r="S1222" s="17"/>
      <c r="T1222" s="17"/>
      <c r="U1222" s="17"/>
      <c r="V1222" s="18">
        <v>0</v>
      </c>
      <c r="W1222" s="17">
        <f t="shared" si="40"/>
        <v>0</v>
      </c>
      <c r="X1222" s="5">
        <f t="shared" si="41"/>
        <v>0</v>
      </c>
    </row>
    <row r="1223" spans="1:24" x14ac:dyDescent="0.25">
      <c r="A1223" s="17"/>
      <c r="B1223" s="17"/>
      <c r="C1223" s="17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  <c r="N1223" s="17"/>
      <c r="O1223" s="17"/>
      <c r="P1223" s="17"/>
      <c r="Q1223" s="17"/>
      <c r="R1223" s="17"/>
      <c r="S1223" s="17"/>
      <c r="T1223" s="17"/>
      <c r="U1223" s="17"/>
      <c r="V1223" s="18">
        <v>0</v>
      </c>
      <c r="W1223" s="17">
        <f t="shared" si="40"/>
        <v>0</v>
      </c>
      <c r="X1223" s="5">
        <f t="shared" si="41"/>
        <v>0</v>
      </c>
    </row>
    <row r="1224" spans="1:24" x14ac:dyDescent="0.25">
      <c r="A1224" s="17"/>
      <c r="B1224" s="17"/>
      <c r="C1224" s="17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8">
        <v>0</v>
      </c>
      <c r="W1224" s="17">
        <f t="shared" si="40"/>
        <v>0</v>
      </c>
      <c r="X1224" s="5">
        <f t="shared" si="41"/>
        <v>0</v>
      </c>
    </row>
    <row r="1225" spans="1:24" x14ac:dyDescent="0.25">
      <c r="A1225" s="17"/>
      <c r="B1225" s="17"/>
      <c r="C1225" s="17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  <c r="N1225" s="17"/>
      <c r="O1225" s="17"/>
      <c r="P1225" s="17"/>
      <c r="Q1225" s="17"/>
      <c r="R1225" s="17"/>
      <c r="S1225" s="17"/>
      <c r="T1225" s="17"/>
      <c r="U1225" s="17"/>
      <c r="V1225" s="18">
        <v>0</v>
      </c>
      <c r="W1225" s="17">
        <f t="shared" si="40"/>
        <v>0</v>
      </c>
      <c r="X1225" s="5">
        <f t="shared" si="41"/>
        <v>0</v>
      </c>
    </row>
    <row r="1226" spans="1:24" x14ac:dyDescent="0.25">
      <c r="A1226" s="17"/>
      <c r="B1226" s="17"/>
      <c r="C1226" s="17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  <c r="N1226" s="17"/>
      <c r="O1226" s="17"/>
      <c r="P1226" s="17"/>
      <c r="Q1226" s="17"/>
      <c r="R1226" s="17"/>
      <c r="S1226" s="17"/>
      <c r="T1226" s="17"/>
      <c r="U1226" s="17"/>
      <c r="V1226" s="18">
        <v>0</v>
      </c>
      <c r="W1226" s="17">
        <f t="shared" si="40"/>
        <v>0</v>
      </c>
      <c r="X1226" s="5">
        <f t="shared" si="41"/>
        <v>0</v>
      </c>
    </row>
    <row r="1227" spans="1:24" x14ac:dyDescent="0.25">
      <c r="A1227" s="17"/>
      <c r="B1227" s="17"/>
      <c r="C1227" s="17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8">
        <v>0</v>
      </c>
      <c r="W1227" s="17">
        <f t="shared" si="40"/>
        <v>0</v>
      </c>
      <c r="X1227" s="5">
        <f t="shared" si="41"/>
        <v>0</v>
      </c>
    </row>
    <row r="1228" spans="1:24" x14ac:dyDescent="0.25">
      <c r="A1228" s="17"/>
      <c r="B1228" s="17"/>
      <c r="C1228" s="17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8">
        <v>0</v>
      </c>
      <c r="W1228" s="17">
        <f t="shared" si="40"/>
        <v>0</v>
      </c>
      <c r="X1228" s="5">
        <f t="shared" si="41"/>
        <v>0</v>
      </c>
    </row>
    <row r="1229" spans="1:24" x14ac:dyDescent="0.25">
      <c r="A1229" s="17"/>
      <c r="B1229" s="17"/>
      <c r="C1229" s="17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8">
        <v>0</v>
      </c>
      <c r="W1229" s="17">
        <f t="shared" si="40"/>
        <v>0</v>
      </c>
      <c r="X1229" s="5">
        <f t="shared" si="41"/>
        <v>0</v>
      </c>
    </row>
    <row r="1230" spans="1:24" x14ac:dyDescent="0.25">
      <c r="A1230" s="17"/>
      <c r="B1230" s="17"/>
      <c r="C1230" s="17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8">
        <v>0</v>
      </c>
      <c r="W1230" s="17">
        <f t="shared" si="40"/>
        <v>0</v>
      </c>
      <c r="X1230" s="5">
        <f t="shared" si="41"/>
        <v>0</v>
      </c>
    </row>
    <row r="1231" spans="1:24" x14ac:dyDescent="0.25">
      <c r="A1231" s="17"/>
      <c r="B1231" s="17"/>
      <c r="C1231" s="17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8">
        <v>0</v>
      </c>
      <c r="W1231" s="17">
        <f t="shared" si="40"/>
        <v>0</v>
      </c>
      <c r="X1231" s="5">
        <f t="shared" si="41"/>
        <v>0</v>
      </c>
    </row>
    <row r="1232" spans="1:24" x14ac:dyDescent="0.25">
      <c r="A1232" s="17"/>
      <c r="B1232" s="17"/>
      <c r="C1232" s="17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8">
        <v>0</v>
      </c>
      <c r="W1232" s="17">
        <f t="shared" si="40"/>
        <v>0</v>
      </c>
      <c r="X1232" s="5">
        <f t="shared" si="41"/>
        <v>0</v>
      </c>
    </row>
    <row r="1233" spans="1:24" x14ac:dyDescent="0.25">
      <c r="A1233" s="17"/>
      <c r="B1233" s="17"/>
      <c r="C1233" s="17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8">
        <v>0</v>
      </c>
      <c r="W1233" s="17">
        <f t="shared" si="40"/>
        <v>0</v>
      </c>
      <c r="X1233" s="5">
        <f t="shared" si="41"/>
        <v>0</v>
      </c>
    </row>
    <row r="1234" spans="1:24" x14ac:dyDescent="0.25">
      <c r="A1234" s="17"/>
      <c r="B1234" s="17"/>
      <c r="C1234" s="17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8">
        <v>0</v>
      </c>
      <c r="W1234" s="17">
        <f t="shared" si="40"/>
        <v>0</v>
      </c>
      <c r="X1234" s="5">
        <f t="shared" si="41"/>
        <v>0</v>
      </c>
    </row>
    <row r="1235" spans="1:24" x14ac:dyDescent="0.25">
      <c r="A1235" s="17"/>
      <c r="B1235" s="17"/>
      <c r="C1235" s="17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8">
        <v>0</v>
      </c>
      <c r="W1235" s="17">
        <f t="shared" si="40"/>
        <v>0</v>
      </c>
      <c r="X1235" s="5">
        <f t="shared" si="41"/>
        <v>0</v>
      </c>
    </row>
    <row r="1236" spans="1:24" x14ac:dyDescent="0.25">
      <c r="A1236" s="17"/>
      <c r="B1236" s="17"/>
      <c r="C1236" s="17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8">
        <v>0</v>
      </c>
      <c r="W1236" s="17">
        <f t="shared" si="40"/>
        <v>0</v>
      </c>
      <c r="X1236" s="5">
        <f t="shared" si="41"/>
        <v>0</v>
      </c>
    </row>
    <row r="1237" spans="1:24" x14ac:dyDescent="0.25">
      <c r="A1237" s="17"/>
      <c r="B1237" s="17"/>
      <c r="C1237" s="17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8">
        <v>0</v>
      </c>
      <c r="W1237" s="17">
        <f t="shared" si="40"/>
        <v>0</v>
      </c>
      <c r="X1237" s="5">
        <f t="shared" si="41"/>
        <v>0</v>
      </c>
    </row>
    <row r="1238" spans="1:24" x14ac:dyDescent="0.25">
      <c r="A1238" s="17"/>
      <c r="B1238" s="17"/>
      <c r="C1238" s="17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8">
        <v>0</v>
      </c>
      <c r="W1238" s="17">
        <f t="shared" si="40"/>
        <v>0</v>
      </c>
      <c r="X1238" s="5">
        <f t="shared" si="41"/>
        <v>0</v>
      </c>
    </row>
    <row r="1239" spans="1:24" x14ac:dyDescent="0.25">
      <c r="A1239" s="17"/>
      <c r="B1239" s="17"/>
      <c r="C1239" s="17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8">
        <v>0</v>
      </c>
      <c r="W1239" s="17">
        <f t="shared" si="40"/>
        <v>0</v>
      </c>
      <c r="X1239" s="5">
        <f t="shared" si="41"/>
        <v>0</v>
      </c>
    </row>
    <row r="1240" spans="1:24" x14ac:dyDescent="0.25">
      <c r="A1240" s="17"/>
      <c r="B1240" s="17"/>
      <c r="C1240" s="17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  <c r="N1240" s="17"/>
      <c r="O1240" s="17"/>
      <c r="P1240" s="17"/>
      <c r="Q1240" s="17"/>
      <c r="R1240" s="17"/>
      <c r="S1240" s="17"/>
      <c r="T1240" s="17"/>
      <c r="U1240" s="17"/>
      <c r="V1240" s="18">
        <v>0</v>
      </c>
      <c r="W1240" s="17">
        <f t="shared" si="40"/>
        <v>0</v>
      </c>
      <c r="X1240" s="5">
        <f t="shared" si="41"/>
        <v>0</v>
      </c>
    </row>
    <row r="1241" spans="1:24" x14ac:dyDescent="0.25">
      <c r="A1241" s="17"/>
      <c r="B1241" s="17"/>
      <c r="C1241" s="17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8">
        <v>0</v>
      </c>
      <c r="W1241" s="17">
        <f t="shared" si="40"/>
        <v>0</v>
      </c>
      <c r="X1241" s="5">
        <f t="shared" si="41"/>
        <v>0</v>
      </c>
    </row>
    <row r="1242" spans="1:24" x14ac:dyDescent="0.25">
      <c r="A1242" s="17"/>
      <c r="B1242" s="17"/>
      <c r="C1242" s="17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8">
        <v>0</v>
      </c>
      <c r="W1242" s="17">
        <f t="shared" si="40"/>
        <v>0</v>
      </c>
      <c r="X1242" s="5">
        <f t="shared" si="41"/>
        <v>0</v>
      </c>
    </row>
    <row r="1243" spans="1:24" x14ac:dyDescent="0.25">
      <c r="A1243" s="17"/>
      <c r="B1243" s="17"/>
      <c r="C1243" s="17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8">
        <v>0</v>
      </c>
      <c r="W1243" s="17">
        <f t="shared" si="40"/>
        <v>0</v>
      </c>
      <c r="X1243" s="5">
        <f t="shared" si="41"/>
        <v>0</v>
      </c>
    </row>
    <row r="1244" spans="1:24" x14ac:dyDescent="0.25">
      <c r="A1244" s="17"/>
      <c r="B1244" s="17"/>
      <c r="C1244" s="17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8">
        <v>0</v>
      </c>
      <c r="W1244" s="17">
        <f t="shared" si="40"/>
        <v>0</v>
      </c>
      <c r="X1244" s="5">
        <f t="shared" si="41"/>
        <v>0</v>
      </c>
    </row>
    <row r="1245" spans="1:24" x14ac:dyDescent="0.25">
      <c r="A1245" s="17"/>
      <c r="B1245" s="17"/>
      <c r="C1245" s="17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8">
        <v>0</v>
      </c>
      <c r="W1245" s="17">
        <f t="shared" si="40"/>
        <v>0</v>
      </c>
      <c r="X1245" s="5">
        <f t="shared" si="41"/>
        <v>0</v>
      </c>
    </row>
    <row r="1246" spans="1:24" x14ac:dyDescent="0.25">
      <c r="A1246" s="17"/>
      <c r="B1246" s="17"/>
      <c r="C1246" s="17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8">
        <v>0</v>
      </c>
      <c r="W1246" s="17">
        <f t="shared" si="40"/>
        <v>0</v>
      </c>
      <c r="X1246" s="5">
        <f t="shared" si="41"/>
        <v>0</v>
      </c>
    </row>
    <row r="1247" spans="1:24" x14ac:dyDescent="0.25">
      <c r="A1247" s="17"/>
      <c r="B1247" s="17"/>
      <c r="C1247" s="17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8">
        <v>0</v>
      </c>
      <c r="W1247" s="17">
        <f t="shared" si="40"/>
        <v>0</v>
      </c>
      <c r="X1247" s="5">
        <f t="shared" si="41"/>
        <v>0</v>
      </c>
    </row>
    <row r="1248" spans="1:24" x14ac:dyDescent="0.25">
      <c r="A1248" s="17"/>
      <c r="B1248" s="17"/>
      <c r="C1248" s="17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8">
        <v>0</v>
      </c>
      <c r="W1248" s="17">
        <f t="shared" si="40"/>
        <v>0</v>
      </c>
      <c r="X1248" s="5">
        <f t="shared" si="41"/>
        <v>0</v>
      </c>
    </row>
    <row r="1249" spans="1:24" x14ac:dyDescent="0.25">
      <c r="A1249" s="17"/>
      <c r="B1249" s="17"/>
      <c r="C1249" s="17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8">
        <v>0</v>
      </c>
      <c r="W1249" s="17">
        <f t="shared" si="40"/>
        <v>0</v>
      </c>
      <c r="X1249" s="5">
        <f t="shared" si="41"/>
        <v>0</v>
      </c>
    </row>
    <row r="1250" spans="1:24" x14ac:dyDescent="0.25">
      <c r="A1250" s="17"/>
      <c r="B1250" s="17"/>
      <c r="C1250" s="17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8">
        <v>0</v>
      </c>
      <c r="W1250" s="17">
        <f t="shared" si="40"/>
        <v>0</v>
      </c>
      <c r="X1250" s="5">
        <f t="shared" si="41"/>
        <v>0</v>
      </c>
    </row>
    <row r="1251" spans="1:24" x14ac:dyDescent="0.25">
      <c r="A1251" s="17"/>
      <c r="B1251" s="17"/>
      <c r="C1251" s="17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8">
        <v>0</v>
      </c>
      <c r="W1251" s="17">
        <f t="shared" si="40"/>
        <v>0</v>
      </c>
      <c r="X1251" s="5">
        <f t="shared" si="41"/>
        <v>0</v>
      </c>
    </row>
    <row r="1252" spans="1:24" x14ac:dyDescent="0.25">
      <c r="A1252" s="17"/>
      <c r="B1252" s="17"/>
      <c r="C1252" s="17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8">
        <v>0</v>
      </c>
      <c r="W1252" s="17">
        <f t="shared" si="40"/>
        <v>0</v>
      </c>
      <c r="X1252" s="5">
        <f t="shared" si="41"/>
        <v>0</v>
      </c>
    </row>
    <row r="1253" spans="1:24" x14ac:dyDescent="0.25">
      <c r="A1253" s="17"/>
      <c r="B1253" s="17"/>
      <c r="C1253" s="17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8">
        <v>0</v>
      </c>
      <c r="W1253" s="17">
        <f t="shared" si="40"/>
        <v>0</v>
      </c>
      <c r="X1253" s="5">
        <f t="shared" si="41"/>
        <v>0</v>
      </c>
    </row>
    <row r="1254" spans="1:24" x14ac:dyDescent="0.25">
      <c r="A1254" s="17"/>
      <c r="B1254" s="17"/>
      <c r="C1254" s="17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  <c r="N1254" s="17"/>
      <c r="O1254" s="17"/>
      <c r="P1254" s="17"/>
      <c r="Q1254" s="17"/>
      <c r="R1254" s="17"/>
      <c r="S1254" s="17"/>
      <c r="T1254" s="17"/>
      <c r="U1254" s="17"/>
      <c r="V1254" s="18">
        <v>0</v>
      </c>
      <c r="W1254" s="17">
        <f t="shared" si="40"/>
        <v>0</v>
      </c>
      <c r="X1254" s="5">
        <f t="shared" si="41"/>
        <v>0</v>
      </c>
    </row>
    <row r="1255" spans="1:24" x14ac:dyDescent="0.25">
      <c r="A1255" s="17"/>
      <c r="B1255" s="17"/>
      <c r="C1255" s="17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8">
        <v>0</v>
      </c>
      <c r="W1255" s="17">
        <f t="shared" si="40"/>
        <v>0</v>
      </c>
      <c r="X1255" s="5">
        <f t="shared" si="41"/>
        <v>0</v>
      </c>
    </row>
    <row r="1256" spans="1:24" x14ac:dyDescent="0.25">
      <c r="A1256" s="17"/>
      <c r="B1256" s="17"/>
      <c r="C1256" s="17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8">
        <v>0</v>
      </c>
      <c r="W1256" s="17">
        <f t="shared" si="40"/>
        <v>0</v>
      </c>
      <c r="X1256" s="5">
        <f t="shared" si="41"/>
        <v>0</v>
      </c>
    </row>
    <row r="1257" spans="1:24" x14ac:dyDescent="0.25">
      <c r="A1257" s="17"/>
      <c r="B1257" s="17"/>
      <c r="C1257" s="17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8">
        <v>0</v>
      </c>
      <c r="W1257" s="17">
        <f t="shared" si="40"/>
        <v>0</v>
      </c>
      <c r="X1257" s="5">
        <f t="shared" si="41"/>
        <v>0</v>
      </c>
    </row>
    <row r="1258" spans="1:24" x14ac:dyDescent="0.25">
      <c r="A1258" s="17"/>
      <c r="B1258" s="17"/>
      <c r="C1258" s="17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8">
        <v>0</v>
      </c>
      <c r="W1258" s="17">
        <f t="shared" si="40"/>
        <v>0</v>
      </c>
      <c r="X1258" s="5">
        <f t="shared" si="41"/>
        <v>0</v>
      </c>
    </row>
    <row r="1259" spans="1:24" x14ac:dyDescent="0.25">
      <c r="A1259" s="17"/>
      <c r="B1259" s="17"/>
      <c r="C1259" s="17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8">
        <v>0</v>
      </c>
      <c r="W1259" s="17">
        <f t="shared" si="40"/>
        <v>0</v>
      </c>
      <c r="X1259" s="5">
        <f t="shared" si="41"/>
        <v>0</v>
      </c>
    </row>
    <row r="1260" spans="1:24" x14ac:dyDescent="0.25">
      <c r="A1260" s="17"/>
      <c r="B1260" s="17"/>
      <c r="C1260" s="17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8">
        <v>0</v>
      </c>
      <c r="W1260" s="17">
        <f t="shared" si="40"/>
        <v>0</v>
      </c>
      <c r="X1260" s="5">
        <f t="shared" si="41"/>
        <v>0</v>
      </c>
    </row>
    <row r="1261" spans="1:24" x14ac:dyDescent="0.25">
      <c r="A1261" s="17"/>
      <c r="B1261" s="17"/>
      <c r="C1261" s="17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8">
        <v>0</v>
      </c>
      <c r="W1261" s="17">
        <f t="shared" si="40"/>
        <v>0</v>
      </c>
      <c r="X1261" s="5">
        <f t="shared" si="41"/>
        <v>0</v>
      </c>
    </row>
    <row r="1262" spans="1:24" x14ac:dyDescent="0.25">
      <c r="A1262" s="17"/>
      <c r="B1262" s="17"/>
      <c r="C1262" s="17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8">
        <v>0</v>
      </c>
      <c r="W1262" s="17">
        <f t="shared" si="40"/>
        <v>0</v>
      </c>
      <c r="X1262" s="5">
        <f t="shared" si="41"/>
        <v>0</v>
      </c>
    </row>
    <row r="1263" spans="1:24" x14ac:dyDescent="0.25">
      <c r="A1263" s="17"/>
      <c r="B1263" s="17"/>
      <c r="C1263" s="17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8">
        <v>0</v>
      </c>
      <c r="W1263" s="17">
        <f t="shared" si="40"/>
        <v>0</v>
      </c>
      <c r="X1263" s="5">
        <f t="shared" si="41"/>
        <v>0</v>
      </c>
    </row>
    <row r="1264" spans="1:24" x14ac:dyDescent="0.25">
      <c r="A1264" s="17"/>
      <c r="B1264" s="17"/>
      <c r="C1264" s="17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8">
        <v>0</v>
      </c>
      <c r="W1264" s="17">
        <f t="shared" si="40"/>
        <v>0</v>
      </c>
      <c r="X1264" s="5">
        <f t="shared" si="41"/>
        <v>0</v>
      </c>
    </row>
    <row r="1265" spans="1:24" x14ac:dyDescent="0.25">
      <c r="A1265" s="17"/>
      <c r="B1265" s="17"/>
      <c r="C1265" s="17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8">
        <v>0</v>
      </c>
      <c r="W1265" s="17">
        <f t="shared" si="40"/>
        <v>0</v>
      </c>
      <c r="X1265" s="5">
        <f t="shared" si="41"/>
        <v>0</v>
      </c>
    </row>
    <row r="1266" spans="1:24" x14ac:dyDescent="0.25">
      <c r="A1266" s="17"/>
      <c r="B1266" s="17"/>
      <c r="C1266" s="17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8">
        <v>0</v>
      </c>
      <c r="W1266" s="17">
        <f t="shared" si="40"/>
        <v>0</v>
      </c>
      <c r="X1266" s="5">
        <f t="shared" si="41"/>
        <v>0</v>
      </c>
    </row>
    <row r="1267" spans="1:24" x14ac:dyDescent="0.25">
      <c r="A1267" s="17"/>
      <c r="B1267" s="17"/>
      <c r="C1267" s="17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8">
        <v>0</v>
      </c>
      <c r="W1267" s="17">
        <f t="shared" si="40"/>
        <v>0</v>
      </c>
      <c r="X1267" s="5">
        <f t="shared" si="41"/>
        <v>0</v>
      </c>
    </row>
    <row r="1268" spans="1:24" x14ac:dyDescent="0.25">
      <c r="A1268" s="17"/>
      <c r="B1268" s="17"/>
      <c r="C1268" s="17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8">
        <v>0</v>
      </c>
      <c r="W1268" s="17">
        <f t="shared" si="40"/>
        <v>0</v>
      </c>
      <c r="X1268" s="5">
        <f t="shared" si="41"/>
        <v>0</v>
      </c>
    </row>
    <row r="1269" spans="1:24" x14ac:dyDescent="0.25">
      <c r="A1269" s="17"/>
      <c r="B1269" s="17"/>
      <c r="C1269" s="17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8">
        <v>0</v>
      </c>
      <c r="W1269" s="17">
        <f t="shared" si="40"/>
        <v>0</v>
      </c>
      <c r="X1269" s="5">
        <f t="shared" si="41"/>
        <v>0</v>
      </c>
    </row>
    <row r="1270" spans="1:24" x14ac:dyDescent="0.25">
      <c r="A1270" s="17"/>
      <c r="B1270" s="17"/>
      <c r="C1270" s="17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8">
        <v>0</v>
      </c>
      <c r="W1270" s="17">
        <f t="shared" si="40"/>
        <v>0</v>
      </c>
      <c r="X1270" s="5">
        <f t="shared" si="41"/>
        <v>0</v>
      </c>
    </row>
    <row r="1271" spans="1:24" x14ac:dyDescent="0.25">
      <c r="A1271" s="17"/>
      <c r="B1271" s="17"/>
      <c r="C1271" s="17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8">
        <v>0</v>
      </c>
      <c r="W1271" s="17">
        <f t="shared" si="40"/>
        <v>0</v>
      </c>
      <c r="X1271" s="5">
        <f t="shared" si="41"/>
        <v>0</v>
      </c>
    </row>
    <row r="1272" spans="1:24" x14ac:dyDescent="0.25">
      <c r="A1272" s="17"/>
      <c r="B1272" s="17"/>
      <c r="C1272" s="17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8">
        <v>0</v>
      </c>
      <c r="W1272" s="17">
        <f t="shared" si="40"/>
        <v>0</v>
      </c>
      <c r="X1272" s="5">
        <f t="shared" si="41"/>
        <v>0</v>
      </c>
    </row>
    <row r="1273" spans="1:24" x14ac:dyDescent="0.25">
      <c r="A1273" s="17"/>
      <c r="B1273" s="17"/>
      <c r="C1273" s="17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  <c r="N1273" s="17"/>
      <c r="O1273" s="17"/>
      <c r="P1273" s="17"/>
      <c r="Q1273" s="17"/>
      <c r="R1273" s="17"/>
      <c r="S1273" s="17"/>
      <c r="T1273" s="17"/>
      <c r="U1273" s="17"/>
      <c r="V1273" s="18">
        <v>0</v>
      </c>
      <c r="W1273" s="17">
        <f t="shared" si="40"/>
        <v>0</v>
      </c>
      <c r="X1273" s="5">
        <f t="shared" si="41"/>
        <v>0</v>
      </c>
    </row>
    <row r="1274" spans="1:24" x14ac:dyDescent="0.25">
      <c r="A1274" s="17"/>
      <c r="B1274" s="17"/>
      <c r="C1274" s="17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  <c r="N1274" s="17"/>
      <c r="O1274" s="17"/>
      <c r="P1274" s="17"/>
      <c r="Q1274" s="17"/>
      <c r="R1274" s="17"/>
      <c r="S1274" s="17"/>
      <c r="T1274" s="17"/>
      <c r="U1274" s="17"/>
      <c r="V1274" s="18">
        <v>0</v>
      </c>
      <c r="W1274" s="17">
        <f t="shared" si="40"/>
        <v>0</v>
      </c>
      <c r="X1274" s="5">
        <f t="shared" si="41"/>
        <v>0</v>
      </c>
    </row>
    <row r="1275" spans="1:24" x14ac:dyDescent="0.25">
      <c r="A1275" s="17"/>
      <c r="B1275" s="17"/>
      <c r="C1275" s="17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8">
        <v>0</v>
      </c>
      <c r="W1275" s="17">
        <f t="shared" si="40"/>
        <v>0</v>
      </c>
      <c r="X1275" s="5">
        <f t="shared" si="41"/>
        <v>0</v>
      </c>
    </row>
    <row r="1276" spans="1:24" x14ac:dyDescent="0.25">
      <c r="A1276" s="17"/>
      <c r="B1276" s="17"/>
      <c r="C1276" s="17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8">
        <v>0</v>
      </c>
      <c r="W1276" s="17">
        <f t="shared" si="40"/>
        <v>0</v>
      </c>
      <c r="X1276" s="5">
        <f t="shared" si="41"/>
        <v>0</v>
      </c>
    </row>
    <row r="1277" spans="1:24" x14ac:dyDescent="0.25">
      <c r="A1277" s="17"/>
      <c r="B1277" s="17"/>
      <c r="C1277" s="17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8">
        <v>0</v>
      </c>
      <c r="W1277" s="17">
        <f t="shared" si="40"/>
        <v>0</v>
      </c>
      <c r="X1277" s="5">
        <f t="shared" si="41"/>
        <v>0</v>
      </c>
    </row>
    <row r="1278" spans="1:24" x14ac:dyDescent="0.25">
      <c r="A1278" s="17"/>
      <c r="B1278" s="17"/>
      <c r="C1278" s="17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8">
        <v>0</v>
      </c>
      <c r="W1278" s="17">
        <f t="shared" si="40"/>
        <v>0</v>
      </c>
      <c r="X1278" s="5">
        <f t="shared" si="41"/>
        <v>0</v>
      </c>
    </row>
    <row r="1279" spans="1:24" x14ac:dyDescent="0.25">
      <c r="A1279" s="17"/>
      <c r="B1279" s="17"/>
      <c r="C1279" s="17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8">
        <v>0</v>
      </c>
      <c r="W1279" s="17">
        <f t="shared" si="40"/>
        <v>0</v>
      </c>
      <c r="X1279" s="5">
        <f t="shared" si="41"/>
        <v>0</v>
      </c>
    </row>
    <row r="1280" spans="1:24" x14ac:dyDescent="0.25">
      <c r="A1280" s="17"/>
      <c r="B1280" s="17"/>
      <c r="C1280" s="17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8">
        <v>0</v>
      </c>
      <c r="W1280" s="17">
        <f t="shared" si="40"/>
        <v>0</v>
      </c>
      <c r="X1280" s="5">
        <f t="shared" si="41"/>
        <v>0</v>
      </c>
    </row>
    <row r="1281" spans="1:24" x14ac:dyDescent="0.25">
      <c r="A1281" s="17"/>
      <c r="B1281" s="17"/>
      <c r="C1281" s="17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8">
        <v>0</v>
      </c>
      <c r="W1281" s="17">
        <f t="shared" si="40"/>
        <v>0</v>
      </c>
      <c r="X1281" s="5">
        <f t="shared" si="41"/>
        <v>0</v>
      </c>
    </row>
    <row r="1282" spans="1:24" x14ac:dyDescent="0.25">
      <c r="A1282" s="17"/>
      <c r="B1282" s="17"/>
      <c r="C1282" s="17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8">
        <v>0</v>
      </c>
      <c r="W1282" s="17">
        <f t="shared" si="40"/>
        <v>0</v>
      </c>
      <c r="X1282" s="5">
        <f t="shared" si="41"/>
        <v>0</v>
      </c>
    </row>
    <row r="1283" spans="1:24" x14ac:dyDescent="0.25">
      <c r="A1283" s="17"/>
      <c r="B1283" s="17"/>
      <c r="C1283" s="17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8">
        <v>0</v>
      </c>
      <c r="W1283" s="17">
        <f t="shared" ref="W1283:W1346" si="42">HOUR(E1283)</f>
        <v>0</v>
      </c>
      <c r="X1283" s="5">
        <f t="shared" ref="X1283:X1346" si="43">IF(D1283=D1282,0,1)</f>
        <v>0</v>
      </c>
    </row>
    <row r="1284" spans="1:24" x14ac:dyDescent="0.25">
      <c r="A1284" s="17"/>
      <c r="B1284" s="17"/>
      <c r="C1284" s="17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8">
        <v>0</v>
      </c>
      <c r="W1284" s="17">
        <f t="shared" si="42"/>
        <v>0</v>
      </c>
      <c r="X1284" s="5">
        <f t="shared" si="43"/>
        <v>0</v>
      </c>
    </row>
    <row r="1285" spans="1:24" x14ac:dyDescent="0.25">
      <c r="A1285" s="17"/>
      <c r="B1285" s="17"/>
      <c r="C1285" s="17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8">
        <v>0</v>
      </c>
      <c r="W1285" s="17">
        <f t="shared" si="42"/>
        <v>0</v>
      </c>
      <c r="X1285" s="5">
        <f t="shared" si="43"/>
        <v>0</v>
      </c>
    </row>
    <row r="1286" spans="1:24" x14ac:dyDescent="0.25">
      <c r="A1286" s="17"/>
      <c r="B1286" s="17"/>
      <c r="C1286" s="17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8">
        <v>0</v>
      </c>
      <c r="W1286" s="17">
        <f t="shared" si="42"/>
        <v>0</v>
      </c>
      <c r="X1286" s="5">
        <f t="shared" si="43"/>
        <v>0</v>
      </c>
    </row>
    <row r="1287" spans="1:24" x14ac:dyDescent="0.25">
      <c r="A1287" s="17"/>
      <c r="B1287" s="17"/>
      <c r="C1287" s="17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8">
        <v>0</v>
      </c>
      <c r="W1287" s="17">
        <f t="shared" si="42"/>
        <v>0</v>
      </c>
      <c r="X1287" s="5">
        <f t="shared" si="43"/>
        <v>0</v>
      </c>
    </row>
    <row r="1288" spans="1:24" x14ac:dyDescent="0.25">
      <c r="A1288" s="17"/>
      <c r="B1288" s="17"/>
      <c r="C1288" s="17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8">
        <v>0</v>
      </c>
      <c r="W1288" s="17">
        <f t="shared" si="42"/>
        <v>0</v>
      </c>
      <c r="X1288" s="5">
        <f t="shared" si="43"/>
        <v>0</v>
      </c>
    </row>
    <row r="1289" spans="1:24" x14ac:dyDescent="0.25">
      <c r="A1289" s="17"/>
      <c r="B1289" s="17"/>
      <c r="C1289" s="17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8">
        <v>0</v>
      </c>
      <c r="W1289" s="17">
        <f t="shared" si="42"/>
        <v>0</v>
      </c>
      <c r="X1289" s="5">
        <f t="shared" si="43"/>
        <v>0</v>
      </c>
    </row>
    <row r="1290" spans="1:24" x14ac:dyDescent="0.25">
      <c r="A1290" s="17"/>
      <c r="B1290" s="17"/>
      <c r="C1290" s="17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8">
        <v>0</v>
      </c>
      <c r="W1290" s="17">
        <f t="shared" si="42"/>
        <v>0</v>
      </c>
      <c r="X1290" s="5">
        <f t="shared" si="43"/>
        <v>0</v>
      </c>
    </row>
    <row r="1291" spans="1:24" x14ac:dyDescent="0.25">
      <c r="A1291" s="17"/>
      <c r="B1291" s="17"/>
      <c r="C1291" s="17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8">
        <v>0</v>
      </c>
      <c r="W1291" s="17">
        <f t="shared" si="42"/>
        <v>0</v>
      </c>
      <c r="X1291" s="5">
        <f t="shared" si="43"/>
        <v>0</v>
      </c>
    </row>
    <row r="1292" spans="1:24" x14ac:dyDescent="0.25">
      <c r="A1292" s="17"/>
      <c r="B1292" s="17"/>
      <c r="C1292" s="17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8">
        <v>0</v>
      </c>
      <c r="W1292" s="17">
        <f t="shared" si="42"/>
        <v>0</v>
      </c>
      <c r="X1292" s="5">
        <f t="shared" si="43"/>
        <v>0</v>
      </c>
    </row>
    <row r="1293" spans="1:24" x14ac:dyDescent="0.25">
      <c r="A1293" s="17"/>
      <c r="B1293" s="17"/>
      <c r="C1293" s="17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8">
        <v>0</v>
      </c>
      <c r="W1293" s="17">
        <f t="shared" si="42"/>
        <v>0</v>
      </c>
      <c r="X1293" s="5">
        <f t="shared" si="43"/>
        <v>0</v>
      </c>
    </row>
    <row r="1294" spans="1:24" x14ac:dyDescent="0.25">
      <c r="A1294" s="17"/>
      <c r="B1294" s="17"/>
      <c r="C1294" s="17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8">
        <v>0</v>
      </c>
      <c r="W1294" s="17">
        <f t="shared" si="42"/>
        <v>0</v>
      </c>
      <c r="X1294" s="5">
        <f t="shared" si="43"/>
        <v>0</v>
      </c>
    </row>
    <row r="1295" spans="1:24" x14ac:dyDescent="0.25">
      <c r="A1295" s="17"/>
      <c r="B1295" s="17"/>
      <c r="C1295" s="17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8">
        <v>0</v>
      </c>
      <c r="W1295" s="17">
        <f t="shared" si="42"/>
        <v>0</v>
      </c>
      <c r="X1295" s="5">
        <f t="shared" si="43"/>
        <v>0</v>
      </c>
    </row>
    <row r="1296" spans="1:24" x14ac:dyDescent="0.25">
      <c r="A1296" s="17"/>
      <c r="B1296" s="17"/>
      <c r="C1296" s="17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8">
        <v>0</v>
      </c>
      <c r="W1296" s="17">
        <f t="shared" si="42"/>
        <v>0</v>
      </c>
      <c r="X1296" s="5">
        <f t="shared" si="43"/>
        <v>0</v>
      </c>
    </row>
    <row r="1297" spans="1:24" x14ac:dyDescent="0.25">
      <c r="A1297" s="17"/>
      <c r="B1297" s="17"/>
      <c r="C1297" s="17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8">
        <v>0</v>
      </c>
      <c r="W1297" s="17">
        <f t="shared" si="42"/>
        <v>0</v>
      </c>
      <c r="X1297" s="5">
        <f t="shared" si="43"/>
        <v>0</v>
      </c>
    </row>
    <row r="1298" spans="1:24" x14ac:dyDescent="0.25">
      <c r="A1298" s="17"/>
      <c r="B1298" s="17"/>
      <c r="C1298" s="17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8">
        <v>0</v>
      </c>
      <c r="W1298" s="17">
        <f t="shared" si="42"/>
        <v>0</v>
      </c>
      <c r="X1298" s="5">
        <f t="shared" si="43"/>
        <v>0</v>
      </c>
    </row>
    <row r="1299" spans="1:24" x14ac:dyDescent="0.25">
      <c r="A1299" s="17"/>
      <c r="B1299" s="17"/>
      <c r="C1299" s="17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8">
        <v>0</v>
      </c>
      <c r="W1299" s="17">
        <f t="shared" si="42"/>
        <v>0</v>
      </c>
      <c r="X1299" s="5">
        <f t="shared" si="43"/>
        <v>0</v>
      </c>
    </row>
    <row r="1300" spans="1:24" x14ac:dyDescent="0.25">
      <c r="A1300" s="17"/>
      <c r="B1300" s="17"/>
      <c r="C1300" s="17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8">
        <v>0</v>
      </c>
      <c r="W1300" s="17">
        <f t="shared" si="42"/>
        <v>0</v>
      </c>
      <c r="X1300" s="5">
        <f t="shared" si="43"/>
        <v>0</v>
      </c>
    </row>
    <row r="1301" spans="1:24" x14ac:dyDescent="0.25">
      <c r="A1301" s="17"/>
      <c r="B1301" s="17"/>
      <c r="C1301" s="17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  <c r="N1301" s="17"/>
      <c r="O1301" s="17"/>
      <c r="P1301" s="17"/>
      <c r="Q1301" s="17"/>
      <c r="R1301" s="17"/>
      <c r="S1301" s="17"/>
      <c r="T1301" s="17"/>
      <c r="U1301" s="17"/>
      <c r="V1301" s="18">
        <v>0</v>
      </c>
      <c r="W1301" s="17">
        <f t="shared" si="42"/>
        <v>0</v>
      </c>
      <c r="X1301" s="5">
        <f t="shared" si="43"/>
        <v>0</v>
      </c>
    </row>
    <row r="1302" spans="1:24" x14ac:dyDescent="0.25">
      <c r="A1302" s="17"/>
      <c r="B1302" s="17"/>
      <c r="C1302" s="17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8">
        <v>0</v>
      </c>
      <c r="W1302" s="17">
        <f t="shared" si="42"/>
        <v>0</v>
      </c>
      <c r="X1302" s="5">
        <f t="shared" si="43"/>
        <v>0</v>
      </c>
    </row>
    <row r="1303" spans="1:24" x14ac:dyDescent="0.25">
      <c r="A1303" s="17"/>
      <c r="B1303" s="17"/>
      <c r="C1303" s="17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8">
        <v>0</v>
      </c>
      <c r="W1303" s="17">
        <f t="shared" si="42"/>
        <v>0</v>
      </c>
      <c r="X1303" s="5">
        <f t="shared" si="43"/>
        <v>0</v>
      </c>
    </row>
    <row r="1304" spans="1:24" x14ac:dyDescent="0.25">
      <c r="A1304" s="17"/>
      <c r="B1304" s="17"/>
      <c r="C1304" s="17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8">
        <v>0</v>
      </c>
      <c r="W1304" s="17">
        <f t="shared" si="42"/>
        <v>0</v>
      </c>
      <c r="X1304" s="5">
        <f t="shared" si="43"/>
        <v>0</v>
      </c>
    </row>
    <row r="1305" spans="1:24" x14ac:dyDescent="0.25">
      <c r="A1305" s="17"/>
      <c r="B1305" s="17"/>
      <c r="C1305" s="17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8">
        <v>0</v>
      </c>
      <c r="W1305" s="17">
        <f t="shared" si="42"/>
        <v>0</v>
      </c>
      <c r="X1305" s="5">
        <f t="shared" si="43"/>
        <v>0</v>
      </c>
    </row>
    <row r="1306" spans="1:24" x14ac:dyDescent="0.25">
      <c r="A1306" s="17"/>
      <c r="B1306" s="17"/>
      <c r="C1306" s="17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8">
        <v>0</v>
      </c>
      <c r="W1306" s="17">
        <f t="shared" si="42"/>
        <v>0</v>
      </c>
      <c r="X1306" s="5">
        <f t="shared" si="43"/>
        <v>0</v>
      </c>
    </row>
    <row r="1307" spans="1:24" x14ac:dyDescent="0.25">
      <c r="A1307" s="17"/>
      <c r="B1307" s="17"/>
      <c r="C1307" s="17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8">
        <v>0</v>
      </c>
      <c r="W1307" s="17">
        <f t="shared" si="42"/>
        <v>0</v>
      </c>
      <c r="X1307" s="5">
        <f t="shared" si="43"/>
        <v>0</v>
      </c>
    </row>
    <row r="1308" spans="1:24" x14ac:dyDescent="0.25">
      <c r="A1308" s="17"/>
      <c r="B1308" s="17"/>
      <c r="C1308" s="17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8">
        <v>0</v>
      </c>
      <c r="W1308" s="17">
        <f t="shared" si="42"/>
        <v>0</v>
      </c>
      <c r="X1308" s="5">
        <f t="shared" si="43"/>
        <v>0</v>
      </c>
    </row>
    <row r="1309" spans="1:24" x14ac:dyDescent="0.25">
      <c r="A1309" s="17"/>
      <c r="B1309" s="17"/>
      <c r="C1309" s="17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8">
        <v>0</v>
      </c>
      <c r="W1309" s="17">
        <f t="shared" si="42"/>
        <v>0</v>
      </c>
      <c r="X1309" s="5">
        <f t="shared" si="43"/>
        <v>0</v>
      </c>
    </row>
    <row r="1310" spans="1:24" x14ac:dyDescent="0.25">
      <c r="A1310" s="17"/>
      <c r="B1310" s="17"/>
      <c r="C1310" s="17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8">
        <v>0</v>
      </c>
      <c r="W1310" s="17">
        <f t="shared" si="42"/>
        <v>0</v>
      </c>
      <c r="X1310" s="5">
        <f t="shared" si="43"/>
        <v>0</v>
      </c>
    </row>
    <row r="1311" spans="1:24" x14ac:dyDescent="0.25">
      <c r="A1311" s="17"/>
      <c r="B1311" s="17"/>
      <c r="C1311" s="17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8">
        <v>0</v>
      </c>
      <c r="W1311" s="17">
        <f t="shared" si="42"/>
        <v>0</v>
      </c>
      <c r="X1311" s="5">
        <f t="shared" si="43"/>
        <v>0</v>
      </c>
    </row>
    <row r="1312" spans="1:24" x14ac:dyDescent="0.25">
      <c r="A1312" s="17"/>
      <c r="B1312" s="17"/>
      <c r="C1312" s="17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  <c r="N1312" s="17"/>
      <c r="O1312" s="17"/>
      <c r="P1312" s="17"/>
      <c r="Q1312" s="17"/>
      <c r="R1312" s="17"/>
      <c r="S1312" s="17"/>
      <c r="T1312" s="17"/>
      <c r="U1312" s="17"/>
      <c r="V1312" s="18">
        <v>0</v>
      </c>
      <c r="W1312" s="17">
        <f t="shared" si="42"/>
        <v>0</v>
      </c>
      <c r="X1312" s="5">
        <f t="shared" si="43"/>
        <v>0</v>
      </c>
    </row>
    <row r="1313" spans="1:24" x14ac:dyDescent="0.25">
      <c r="A1313" s="17"/>
      <c r="B1313" s="17"/>
      <c r="C1313" s="17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  <c r="N1313" s="17"/>
      <c r="O1313" s="17"/>
      <c r="P1313" s="17"/>
      <c r="Q1313" s="17"/>
      <c r="R1313" s="17"/>
      <c r="S1313" s="17"/>
      <c r="T1313" s="17"/>
      <c r="U1313" s="17"/>
      <c r="V1313" s="18">
        <v>0</v>
      </c>
      <c r="W1313" s="17">
        <f t="shared" si="42"/>
        <v>0</v>
      </c>
      <c r="X1313" s="5">
        <f t="shared" si="43"/>
        <v>0</v>
      </c>
    </row>
    <row r="1314" spans="1:24" x14ac:dyDescent="0.25">
      <c r="A1314" s="17"/>
      <c r="B1314" s="17"/>
      <c r="C1314" s="17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  <c r="N1314" s="17"/>
      <c r="O1314" s="17"/>
      <c r="P1314" s="17"/>
      <c r="Q1314" s="17"/>
      <c r="R1314" s="17"/>
      <c r="S1314" s="17"/>
      <c r="T1314" s="17"/>
      <c r="U1314" s="17"/>
      <c r="V1314" s="18">
        <v>0</v>
      </c>
      <c r="W1314" s="17">
        <f t="shared" si="42"/>
        <v>0</v>
      </c>
      <c r="X1314" s="5">
        <f t="shared" si="43"/>
        <v>0</v>
      </c>
    </row>
    <row r="1315" spans="1:24" x14ac:dyDescent="0.25">
      <c r="A1315" s="17"/>
      <c r="B1315" s="17"/>
      <c r="C1315" s="17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8">
        <v>0</v>
      </c>
      <c r="W1315" s="17">
        <f t="shared" si="42"/>
        <v>0</v>
      </c>
      <c r="X1315" s="5">
        <f t="shared" si="43"/>
        <v>0</v>
      </c>
    </row>
    <row r="1316" spans="1:24" x14ac:dyDescent="0.25">
      <c r="A1316" s="17"/>
      <c r="B1316" s="17"/>
      <c r="C1316" s="17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8">
        <v>0</v>
      </c>
      <c r="W1316" s="17">
        <f t="shared" si="42"/>
        <v>0</v>
      </c>
      <c r="X1316" s="5">
        <f t="shared" si="43"/>
        <v>0</v>
      </c>
    </row>
    <row r="1317" spans="1:24" x14ac:dyDescent="0.25">
      <c r="A1317" s="17"/>
      <c r="B1317" s="17"/>
      <c r="C1317" s="17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8">
        <v>0</v>
      </c>
      <c r="W1317" s="17">
        <f t="shared" si="42"/>
        <v>0</v>
      </c>
      <c r="X1317" s="5">
        <f t="shared" si="43"/>
        <v>0</v>
      </c>
    </row>
    <row r="1318" spans="1:24" x14ac:dyDescent="0.25">
      <c r="A1318" s="17"/>
      <c r="B1318" s="17"/>
      <c r="C1318" s="17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8">
        <v>0</v>
      </c>
      <c r="W1318" s="17">
        <f t="shared" si="42"/>
        <v>0</v>
      </c>
      <c r="X1318" s="5">
        <f t="shared" si="43"/>
        <v>0</v>
      </c>
    </row>
    <row r="1319" spans="1:24" x14ac:dyDescent="0.25">
      <c r="A1319" s="17"/>
      <c r="B1319" s="17"/>
      <c r="C1319" s="17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8">
        <v>0</v>
      </c>
      <c r="W1319" s="17">
        <f t="shared" si="42"/>
        <v>0</v>
      </c>
      <c r="X1319" s="5">
        <f t="shared" si="43"/>
        <v>0</v>
      </c>
    </row>
    <row r="1320" spans="1:24" x14ac:dyDescent="0.25">
      <c r="A1320" s="17"/>
      <c r="B1320" s="17"/>
      <c r="C1320" s="17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8">
        <v>0</v>
      </c>
      <c r="W1320" s="17">
        <f t="shared" si="42"/>
        <v>0</v>
      </c>
      <c r="X1320" s="5">
        <f t="shared" si="43"/>
        <v>0</v>
      </c>
    </row>
    <row r="1321" spans="1:24" x14ac:dyDescent="0.25">
      <c r="A1321" s="17"/>
      <c r="B1321" s="17"/>
      <c r="C1321" s="17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8">
        <v>0</v>
      </c>
      <c r="W1321" s="17">
        <f t="shared" si="42"/>
        <v>0</v>
      </c>
      <c r="X1321" s="5">
        <f t="shared" si="43"/>
        <v>0</v>
      </c>
    </row>
    <row r="1322" spans="1:24" x14ac:dyDescent="0.25">
      <c r="A1322" s="17"/>
      <c r="B1322" s="17"/>
      <c r="C1322" s="17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8">
        <v>0</v>
      </c>
      <c r="W1322" s="17">
        <f t="shared" si="42"/>
        <v>0</v>
      </c>
      <c r="X1322" s="5">
        <f t="shared" si="43"/>
        <v>0</v>
      </c>
    </row>
    <row r="1323" spans="1:24" x14ac:dyDescent="0.25">
      <c r="A1323" s="17"/>
      <c r="B1323" s="17"/>
      <c r="C1323" s="17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8">
        <v>0</v>
      </c>
      <c r="W1323" s="17">
        <f t="shared" si="42"/>
        <v>0</v>
      </c>
      <c r="X1323" s="5">
        <f t="shared" si="43"/>
        <v>0</v>
      </c>
    </row>
    <row r="1324" spans="1:24" x14ac:dyDescent="0.25">
      <c r="A1324" s="17"/>
      <c r="B1324" s="17"/>
      <c r="C1324" s="17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8">
        <v>0</v>
      </c>
      <c r="W1324" s="17">
        <f t="shared" si="42"/>
        <v>0</v>
      </c>
      <c r="X1324" s="5">
        <f t="shared" si="43"/>
        <v>0</v>
      </c>
    </row>
    <row r="1325" spans="1:24" x14ac:dyDescent="0.25">
      <c r="A1325" s="17"/>
      <c r="B1325" s="17"/>
      <c r="C1325" s="17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8">
        <v>0</v>
      </c>
      <c r="W1325" s="17">
        <f t="shared" si="42"/>
        <v>0</v>
      </c>
      <c r="X1325" s="5">
        <f t="shared" si="43"/>
        <v>0</v>
      </c>
    </row>
    <row r="1326" spans="1:24" x14ac:dyDescent="0.25">
      <c r="A1326" s="17"/>
      <c r="B1326" s="17"/>
      <c r="C1326" s="17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8">
        <v>0</v>
      </c>
      <c r="W1326" s="17">
        <f t="shared" si="42"/>
        <v>0</v>
      </c>
      <c r="X1326" s="5">
        <f t="shared" si="43"/>
        <v>0</v>
      </c>
    </row>
    <row r="1327" spans="1:24" x14ac:dyDescent="0.25">
      <c r="A1327" s="17"/>
      <c r="B1327" s="17"/>
      <c r="C1327" s="17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8">
        <v>0</v>
      </c>
      <c r="W1327" s="17">
        <f t="shared" si="42"/>
        <v>0</v>
      </c>
      <c r="X1327" s="5">
        <f t="shared" si="43"/>
        <v>0</v>
      </c>
    </row>
    <row r="1328" spans="1:24" x14ac:dyDescent="0.25">
      <c r="A1328" s="17"/>
      <c r="B1328" s="17"/>
      <c r="C1328" s="17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8">
        <v>0</v>
      </c>
      <c r="W1328" s="17">
        <f t="shared" si="42"/>
        <v>0</v>
      </c>
      <c r="X1328" s="5">
        <f t="shared" si="43"/>
        <v>0</v>
      </c>
    </row>
    <row r="1329" spans="1:24" x14ac:dyDescent="0.25">
      <c r="A1329" s="17"/>
      <c r="B1329" s="17"/>
      <c r="C1329" s="17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8">
        <v>0</v>
      </c>
      <c r="W1329" s="17">
        <f t="shared" si="42"/>
        <v>0</v>
      </c>
      <c r="X1329" s="5">
        <f t="shared" si="43"/>
        <v>0</v>
      </c>
    </row>
    <row r="1330" spans="1:24" x14ac:dyDescent="0.25">
      <c r="A1330" s="17"/>
      <c r="B1330" s="17"/>
      <c r="C1330" s="17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8">
        <v>0</v>
      </c>
      <c r="W1330" s="17">
        <f t="shared" si="42"/>
        <v>0</v>
      </c>
      <c r="X1330" s="5">
        <f t="shared" si="43"/>
        <v>0</v>
      </c>
    </row>
    <row r="1331" spans="1:24" x14ac:dyDescent="0.25">
      <c r="A1331" s="17"/>
      <c r="B1331" s="17"/>
      <c r="C1331" s="17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8">
        <v>0</v>
      </c>
      <c r="W1331" s="17">
        <f t="shared" si="42"/>
        <v>0</v>
      </c>
      <c r="X1331" s="5">
        <f t="shared" si="43"/>
        <v>0</v>
      </c>
    </row>
    <row r="1332" spans="1:24" x14ac:dyDescent="0.25">
      <c r="A1332" s="17"/>
      <c r="B1332" s="17"/>
      <c r="C1332" s="17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8">
        <v>0</v>
      </c>
      <c r="W1332" s="17">
        <f t="shared" si="42"/>
        <v>0</v>
      </c>
      <c r="X1332" s="5">
        <f t="shared" si="43"/>
        <v>0</v>
      </c>
    </row>
    <row r="1333" spans="1:24" x14ac:dyDescent="0.25">
      <c r="A1333" s="17"/>
      <c r="B1333" s="17"/>
      <c r="C1333" s="17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8">
        <v>0</v>
      </c>
      <c r="W1333" s="17">
        <f t="shared" si="42"/>
        <v>0</v>
      </c>
      <c r="X1333" s="5">
        <f t="shared" si="43"/>
        <v>0</v>
      </c>
    </row>
    <row r="1334" spans="1:24" x14ac:dyDescent="0.25">
      <c r="A1334" s="17"/>
      <c r="B1334" s="17"/>
      <c r="C1334" s="17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8">
        <v>0</v>
      </c>
      <c r="W1334" s="17">
        <f t="shared" si="42"/>
        <v>0</v>
      </c>
      <c r="X1334" s="5">
        <f t="shared" si="43"/>
        <v>0</v>
      </c>
    </row>
    <row r="1335" spans="1:24" x14ac:dyDescent="0.25">
      <c r="A1335" s="17"/>
      <c r="B1335" s="17"/>
      <c r="C1335" s="17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8">
        <v>0</v>
      </c>
      <c r="W1335" s="17">
        <f t="shared" si="42"/>
        <v>0</v>
      </c>
      <c r="X1335" s="5">
        <f t="shared" si="43"/>
        <v>0</v>
      </c>
    </row>
    <row r="1336" spans="1:24" x14ac:dyDescent="0.25">
      <c r="A1336" s="17"/>
      <c r="B1336" s="17"/>
      <c r="C1336" s="17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8">
        <v>0</v>
      </c>
      <c r="W1336" s="17">
        <f t="shared" si="42"/>
        <v>0</v>
      </c>
      <c r="X1336" s="5">
        <f t="shared" si="43"/>
        <v>0</v>
      </c>
    </row>
    <row r="1337" spans="1:24" x14ac:dyDescent="0.25">
      <c r="A1337" s="17"/>
      <c r="B1337" s="17"/>
      <c r="C1337" s="17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8">
        <v>0</v>
      </c>
      <c r="W1337" s="17">
        <f t="shared" si="42"/>
        <v>0</v>
      </c>
      <c r="X1337" s="5">
        <f t="shared" si="43"/>
        <v>0</v>
      </c>
    </row>
    <row r="1338" spans="1:24" x14ac:dyDescent="0.25">
      <c r="A1338" s="17"/>
      <c r="B1338" s="17"/>
      <c r="C1338" s="17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8">
        <v>0</v>
      </c>
      <c r="W1338" s="17">
        <f t="shared" si="42"/>
        <v>0</v>
      </c>
      <c r="X1338" s="5">
        <f t="shared" si="43"/>
        <v>0</v>
      </c>
    </row>
    <row r="1339" spans="1:24" x14ac:dyDescent="0.25">
      <c r="A1339" s="17"/>
      <c r="B1339" s="17"/>
      <c r="C1339" s="17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8">
        <v>0</v>
      </c>
      <c r="W1339" s="17">
        <f t="shared" si="42"/>
        <v>0</v>
      </c>
      <c r="X1339" s="5">
        <f t="shared" si="43"/>
        <v>0</v>
      </c>
    </row>
    <row r="1340" spans="1:24" x14ac:dyDescent="0.25">
      <c r="A1340" s="17"/>
      <c r="B1340" s="17"/>
      <c r="C1340" s="17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8">
        <v>0</v>
      </c>
      <c r="W1340" s="17">
        <f t="shared" si="42"/>
        <v>0</v>
      </c>
      <c r="X1340" s="5">
        <f t="shared" si="43"/>
        <v>0</v>
      </c>
    </row>
    <row r="1341" spans="1:24" x14ac:dyDescent="0.25">
      <c r="A1341" s="17"/>
      <c r="B1341" s="17"/>
      <c r="C1341" s="17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8">
        <v>0</v>
      </c>
      <c r="W1341" s="17">
        <f t="shared" si="42"/>
        <v>0</v>
      </c>
      <c r="X1341" s="5">
        <f t="shared" si="43"/>
        <v>0</v>
      </c>
    </row>
    <row r="1342" spans="1:24" x14ac:dyDescent="0.25">
      <c r="A1342" s="17"/>
      <c r="B1342" s="17"/>
      <c r="C1342" s="17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8">
        <v>0</v>
      </c>
      <c r="W1342" s="17">
        <f t="shared" si="42"/>
        <v>0</v>
      </c>
      <c r="X1342" s="5">
        <f t="shared" si="43"/>
        <v>0</v>
      </c>
    </row>
    <row r="1343" spans="1:24" x14ac:dyDescent="0.25">
      <c r="A1343" s="17"/>
      <c r="B1343" s="17"/>
      <c r="C1343" s="17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8">
        <v>0</v>
      </c>
      <c r="W1343" s="17">
        <f t="shared" si="42"/>
        <v>0</v>
      </c>
      <c r="X1343" s="5">
        <f t="shared" si="43"/>
        <v>0</v>
      </c>
    </row>
    <row r="1344" spans="1:24" x14ac:dyDescent="0.25">
      <c r="A1344" s="17"/>
      <c r="B1344" s="17"/>
      <c r="C1344" s="17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8">
        <v>0</v>
      </c>
      <c r="W1344" s="17">
        <f t="shared" si="42"/>
        <v>0</v>
      </c>
      <c r="X1344" s="5">
        <f t="shared" si="43"/>
        <v>0</v>
      </c>
    </row>
    <row r="1345" spans="1:24" x14ac:dyDescent="0.25">
      <c r="A1345" s="17"/>
      <c r="B1345" s="17"/>
      <c r="C1345" s="17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8">
        <v>0</v>
      </c>
      <c r="W1345" s="17">
        <f t="shared" si="42"/>
        <v>0</v>
      </c>
      <c r="X1345" s="5">
        <f t="shared" si="43"/>
        <v>0</v>
      </c>
    </row>
    <row r="1346" spans="1:24" x14ac:dyDescent="0.25">
      <c r="A1346" s="17"/>
      <c r="B1346" s="17"/>
      <c r="C1346" s="17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8">
        <v>0</v>
      </c>
      <c r="W1346" s="17">
        <f t="shared" si="42"/>
        <v>0</v>
      </c>
      <c r="X1346" s="5">
        <f t="shared" si="43"/>
        <v>0</v>
      </c>
    </row>
    <row r="1347" spans="1:24" x14ac:dyDescent="0.25">
      <c r="A1347" s="17"/>
      <c r="B1347" s="17"/>
      <c r="C1347" s="17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8">
        <v>0</v>
      </c>
      <c r="W1347" s="17">
        <f t="shared" ref="W1347:W1410" si="44">HOUR(E1347)</f>
        <v>0</v>
      </c>
      <c r="X1347" s="5">
        <f t="shared" ref="X1347:X1410" si="45">IF(D1347=D1346,0,1)</f>
        <v>0</v>
      </c>
    </row>
    <row r="1348" spans="1:24" x14ac:dyDescent="0.25">
      <c r="A1348" s="17"/>
      <c r="B1348" s="17"/>
      <c r="C1348" s="17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8">
        <v>0</v>
      </c>
      <c r="W1348" s="17">
        <f t="shared" si="44"/>
        <v>0</v>
      </c>
      <c r="X1348" s="5">
        <f t="shared" si="45"/>
        <v>0</v>
      </c>
    </row>
    <row r="1349" spans="1:24" x14ac:dyDescent="0.25">
      <c r="A1349" s="17"/>
      <c r="B1349" s="17"/>
      <c r="C1349" s="17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8">
        <v>0</v>
      </c>
      <c r="W1349" s="17">
        <f t="shared" si="44"/>
        <v>0</v>
      </c>
      <c r="X1349" s="5">
        <f t="shared" si="45"/>
        <v>0</v>
      </c>
    </row>
    <row r="1350" spans="1:24" x14ac:dyDescent="0.25">
      <c r="A1350" s="17"/>
      <c r="B1350" s="17"/>
      <c r="C1350" s="17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8">
        <v>0</v>
      </c>
      <c r="W1350" s="17">
        <f t="shared" si="44"/>
        <v>0</v>
      </c>
      <c r="X1350" s="5">
        <f t="shared" si="45"/>
        <v>0</v>
      </c>
    </row>
    <row r="1351" spans="1:24" x14ac:dyDescent="0.25">
      <c r="A1351" s="17"/>
      <c r="B1351" s="17"/>
      <c r="C1351" s="17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8">
        <v>0</v>
      </c>
      <c r="W1351" s="17">
        <f t="shared" si="44"/>
        <v>0</v>
      </c>
      <c r="X1351" s="5">
        <f t="shared" si="45"/>
        <v>0</v>
      </c>
    </row>
    <row r="1352" spans="1:24" x14ac:dyDescent="0.25">
      <c r="A1352" s="17"/>
      <c r="B1352" s="17"/>
      <c r="C1352" s="17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  <c r="N1352" s="17"/>
      <c r="O1352" s="17"/>
      <c r="P1352" s="17"/>
      <c r="Q1352" s="17"/>
      <c r="R1352" s="17"/>
      <c r="S1352" s="17"/>
      <c r="T1352" s="17"/>
      <c r="U1352" s="17"/>
      <c r="V1352" s="18">
        <v>0</v>
      </c>
      <c r="W1352" s="17">
        <f t="shared" si="44"/>
        <v>0</v>
      </c>
      <c r="X1352" s="5">
        <f t="shared" si="45"/>
        <v>0</v>
      </c>
    </row>
    <row r="1353" spans="1:24" x14ac:dyDescent="0.25">
      <c r="A1353" s="17"/>
      <c r="B1353" s="17"/>
      <c r="C1353" s="17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8">
        <v>0</v>
      </c>
      <c r="W1353" s="17">
        <f t="shared" si="44"/>
        <v>0</v>
      </c>
      <c r="X1353" s="5">
        <f t="shared" si="45"/>
        <v>0</v>
      </c>
    </row>
    <row r="1354" spans="1:24" x14ac:dyDescent="0.25">
      <c r="A1354" s="17"/>
      <c r="B1354" s="17"/>
      <c r="C1354" s="17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8">
        <v>0</v>
      </c>
      <c r="W1354" s="17">
        <f t="shared" si="44"/>
        <v>0</v>
      </c>
      <c r="X1354" s="5">
        <f t="shared" si="45"/>
        <v>0</v>
      </c>
    </row>
    <row r="1355" spans="1:24" x14ac:dyDescent="0.25">
      <c r="A1355" s="17"/>
      <c r="B1355" s="17"/>
      <c r="C1355" s="17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8">
        <v>0</v>
      </c>
      <c r="W1355" s="17">
        <f t="shared" si="44"/>
        <v>0</v>
      </c>
      <c r="X1355" s="5">
        <f t="shared" si="45"/>
        <v>0</v>
      </c>
    </row>
    <row r="1356" spans="1:24" x14ac:dyDescent="0.25">
      <c r="A1356" s="17"/>
      <c r="B1356" s="17"/>
      <c r="C1356" s="17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8">
        <v>0</v>
      </c>
      <c r="W1356" s="17">
        <f t="shared" si="44"/>
        <v>0</v>
      </c>
      <c r="X1356" s="5">
        <f t="shared" si="45"/>
        <v>0</v>
      </c>
    </row>
    <row r="1357" spans="1:24" x14ac:dyDescent="0.25">
      <c r="A1357" s="17"/>
      <c r="B1357" s="17"/>
      <c r="C1357" s="17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8">
        <v>0</v>
      </c>
      <c r="W1357" s="17">
        <f t="shared" si="44"/>
        <v>0</v>
      </c>
      <c r="X1357" s="5">
        <f t="shared" si="45"/>
        <v>0</v>
      </c>
    </row>
    <row r="1358" spans="1:24" x14ac:dyDescent="0.25">
      <c r="A1358" s="17"/>
      <c r="B1358" s="17"/>
      <c r="C1358" s="17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  <c r="N1358" s="17"/>
      <c r="O1358" s="17"/>
      <c r="P1358" s="17"/>
      <c r="Q1358" s="17"/>
      <c r="R1358" s="17"/>
      <c r="S1358" s="17"/>
      <c r="T1358" s="17"/>
      <c r="U1358" s="17"/>
      <c r="V1358" s="18">
        <v>0</v>
      </c>
      <c r="W1358" s="17">
        <f t="shared" si="44"/>
        <v>0</v>
      </c>
      <c r="X1358" s="5">
        <f t="shared" si="45"/>
        <v>0</v>
      </c>
    </row>
    <row r="1359" spans="1:24" x14ac:dyDescent="0.25">
      <c r="A1359" s="17"/>
      <c r="B1359" s="17"/>
      <c r="C1359" s="17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8">
        <v>0</v>
      </c>
      <c r="W1359" s="17">
        <f t="shared" si="44"/>
        <v>0</v>
      </c>
      <c r="X1359" s="5">
        <f t="shared" si="45"/>
        <v>0</v>
      </c>
    </row>
    <row r="1360" spans="1:24" x14ac:dyDescent="0.25">
      <c r="A1360" s="17"/>
      <c r="B1360" s="17"/>
      <c r="C1360" s="17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8">
        <v>0</v>
      </c>
      <c r="W1360" s="17">
        <f t="shared" si="44"/>
        <v>0</v>
      </c>
      <c r="X1360" s="5">
        <f t="shared" si="45"/>
        <v>0</v>
      </c>
    </row>
    <row r="1361" spans="1:24" x14ac:dyDescent="0.25">
      <c r="A1361" s="17"/>
      <c r="B1361" s="17"/>
      <c r="C1361" s="17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8">
        <v>0</v>
      </c>
      <c r="W1361" s="17">
        <f t="shared" si="44"/>
        <v>0</v>
      </c>
      <c r="X1361" s="5">
        <f t="shared" si="45"/>
        <v>0</v>
      </c>
    </row>
    <row r="1362" spans="1:24" x14ac:dyDescent="0.25">
      <c r="A1362" s="17"/>
      <c r="B1362" s="17"/>
      <c r="C1362" s="17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8">
        <v>0</v>
      </c>
      <c r="W1362" s="17">
        <f t="shared" si="44"/>
        <v>0</v>
      </c>
      <c r="X1362" s="5">
        <f t="shared" si="45"/>
        <v>0</v>
      </c>
    </row>
    <row r="1363" spans="1:24" x14ac:dyDescent="0.25">
      <c r="A1363" s="17"/>
      <c r="B1363" s="17"/>
      <c r="C1363" s="17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8">
        <v>0</v>
      </c>
      <c r="W1363" s="17">
        <f t="shared" si="44"/>
        <v>0</v>
      </c>
      <c r="X1363" s="5">
        <f t="shared" si="45"/>
        <v>0</v>
      </c>
    </row>
    <row r="1364" spans="1:24" x14ac:dyDescent="0.25">
      <c r="A1364" s="17"/>
      <c r="B1364" s="17"/>
      <c r="C1364" s="17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8">
        <v>0</v>
      </c>
      <c r="W1364" s="17">
        <f t="shared" si="44"/>
        <v>0</v>
      </c>
      <c r="X1364" s="5">
        <f t="shared" si="45"/>
        <v>0</v>
      </c>
    </row>
    <row r="1365" spans="1:24" x14ac:dyDescent="0.25">
      <c r="A1365" s="17"/>
      <c r="B1365" s="17"/>
      <c r="C1365" s="17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8">
        <v>0</v>
      </c>
      <c r="W1365" s="17">
        <f t="shared" si="44"/>
        <v>0</v>
      </c>
      <c r="X1365" s="5">
        <f t="shared" si="45"/>
        <v>0</v>
      </c>
    </row>
    <row r="1366" spans="1:24" x14ac:dyDescent="0.25">
      <c r="A1366" s="17"/>
      <c r="B1366" s="17"/>
      <c r="C1366" s="17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8">
        <v>0</v>
      </c>
      <c r="W1366" s="17">
        <f t="shared" si="44"/>
        <v>0</v>
      </c>
      <c r="X1366" s="5">
        <f t="shared" si="45"/>
        <v>0</v>
      </c>
    </row>
    <row r="1367" spans="1:24" x14ac:dyDescent="0.25">
      <c r="A1367" s="17"/>
      <c r="B1367" s="17"/>
      <c r="C1367" s="17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8">
        <v>0</v>
      </c>
      <c r="W1367" s="17">
        <f t="shared" si="44"/>
        <v>0</v>
      </c>
      <c r="X1367" s="5">
        <f t="shared" si="45"/>
        <v>0</v>
      </c>
    </row>
    <row r="1368" spans="1:24" x14ac:dyDescent="0.25">
      <c r="A1368" s="17"/>
      <c r="B1368" s="17"/>
      <c r="C1368" s="17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8">
        <v>0</v>
      </c>
      <c r="W1368" s="17">
        <f t="shared" si="44"/>
        <v>0</v>
      </c>
      <c r="X1368" s="5">
        <f t="shared" si="45"/>
        <v>0</v>
      </c>
    </row>
    <row r="1369" spans="1:24" x14ac:dyDescent="0.25">
      <c r="A1369" s="17"/>
      <c r="B1369" s="17"/>
      <c r="C1369" s="17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8">
        <v>0</v>
      </c>
      <c r="W1369" s="17">
        <f t="shared" si="44"/>
        <v>0</v>
      </c>
      <c r="X1369" s="5">
        <f t="shared" si="45"/>
        <v>0</v>
      </c>
    </row>
    <row r="1370" spans="1:24" x14ac:dyDescent="0.25">
      <c r="A1370" s="17"/>
      <c r="B1370" s="17"/>
      <c r="C1370" s="17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8">
        <v>0</v>
      </c>
      <c r="W1370" s="17">
        <f t="shared" si="44"/>
        <v>0</v>
      </c>
      <c r="X1370" s="5">
        <f t="shared" si="45"/>
        <v>0</v>
      </c>
    </row>
    <row r="1371" spans="1:24" x14ac:dyDescent="0.25">
      <c r="A1371" s="17"/>
      <c r="B1371" s="17"/>
      <c r="C1371" s="17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8">
        <v>0</v>
      </c>
      <c r="W1371" s="17">
        <f t="shared" si="44"/>
        <v>0</v>
      </c>
      <c r="X1371" s="5">
        <f t="shared" si="45"/>
        <v>0</v>
      </c>
    </row>
    <row r="1372" spans="1:24" x14ac:dyDescent="0.25">
      <c r="A1372" s="17"/>
      <c r="B1372" s="17"/>
      <c r="C1372" s="17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8">
        <v>0</v>
      </c>
      <c r="W1372" s="17">
        <f t="shared" si="44"/>
        <v>0</v>
      </c>
      <c r="X1372" s="5">
        <f t="shared" si="45"/>
        <v>0</v>
      </c>
    </row>
    <row r="1373" spans="1:24" x14ac:dyDescent="0.25">
      <c r="A1373" s="17"/>
      <c r="B1373" s="17"/>
      <c r="C1373" s="17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8">
        <v>0</v>
      </c>
      <c r="W1373" s="17">
        <f t="shared" si="44"/>
        <v>0</v>
      </c>
      <c r="X1373" s="5">
        <f t="shared" si="45"/>
        <v>0</v>
      </c>
    </row>
    <row r="1374" spans="1:24" x14ac:dyDescent="0.25">
      <c r="A1374" s="17"/>
      <c r="B1374" s="17"/>
      <c r="C1374" s="17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8">
        <v>0</v>
      </c>
      <c r="W1374" s="17">
        <f t="shared" si="44"/>
        <v>0</v>
      </c>
      <c r="X1374" s="5">
        <f t="shared" si="45"/>
        <v>0</v>
      </c>
    </row>
    <row r="1375" spans="1:24" x14ac:dyDescent="0.25">
      <c r="A1375" s="17"/>
      <c r="B1375" s="17"/>
      <c r="C1375" s="17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8">
        <v>0</v>
      </c>
      <c r="W1375" s="17">
        <f t="shared" si="44"/>
        <v>0</v>
      </c>
      <c r="X1375" s="5">
        <f t="shared" si="45"/>
        <v>0</v>
      </c>
    </row>
    <row r="1376" spans="1:24" x14ac:dyDescent="0.25">
      <c r="A1376" s="17"/>
      <c r="B1376" s="17"/>
      <c r="C1376" s="17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8">
        <v>0</v>
      </c>
      <c r="W1376" s="17">
        <f t="shared" si="44"/>
        <v>0</v>
      </c>
      <c r="X1376" s="5">
        <f t="shared" si="45"/>
        <v>0</v>
      </c>
    </row>
    <row r="1377" spans="1:24" x14ac:dyDescent="0.25">
      <c r="A1377" s="17"/>
      <c r="B1377" s="17"/>
      <c r="C1377" s="17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  <c r="N1377" s="17"/>
      <c r="O1377" s="17"/>
      <c r="P1377" s="17"/>
      <c r="Q1377" s="17"/>
      <c r="R1377" s="17"/>
      <c r="S1377" s="17"/>
      <c r="T1377" s="17"/>
      <c r="U1377" s="17"/>
      <c r="V1377" s="18">
        <v>0</v>
      </c>
      <c r="W1377" s="17">
        <f t="shared" si="44"/>
        <v>0</v>
      </c>
      <c r="X1377" s="5">
        <f t="shared" si="45"/>
        <v>0</v>
      </c>
    </row>
    <row r="1378" spans="1:24" x14ac:dyDescent="0.25">
      <c r="A1378" s="17"/>
      <c r="B1378" s="17"/>
      <c r="C1378" s="17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  <c r="N1378" s="17"/>
      <c r="O1378" s="17"/>
      <c r="P1378" s="17"/>
      <c r="Q1378" s="17"/>
      <c r="R1378" s="17"/>
      <c r="S1378" s="17"/>
      <c r="T1378" s="17"/>
      <c r="U1378" s="17"/>
      <c r="V1378" s="18">
        <v>0</v>
      </c>
      <c r="W1378" s="17">
        <f t="shared" si="44"/>
        <v>0</v>
      </c>
      <c r="X1378" s="5">
        <f t="shared" si="45"/>
        <v>0</v>
      </c>
    </row>
    <row r="1379" spans="1:24" x14ac:dyDescent="0.25">
      <c r="A1379" s="17"/>
      <c r="B1379" s="17"/>
      <c r="C1379" s="17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  <c r="N1379" s="17"/>
      <c r="O1379" s="17"/>
      <c r="P1379" s="17"/>
      <c r="Q1379" s="17"/>
      <c r="R1379" s="17"/>
      <c r="S1379" s="17"/>
      <c r="T1379" s="17"/>
      <c r="U1379" s="17"/>
      <c r="V1379" s="18">
        <v>0</v>
      </c>
      <c r="W1379" s="17">
        <f t="shared" si="44"/>
        <v>0</v>
      </c>
      <c r="X1379" s="5">
        <f t="shared" si="45"/>
        <v>0</v>
      </c>
    </row>
    <row r="1380" spans="1:24" x14ac:dyDescent="0.25">
      <c r="A1380" s="17"/>
      <c r="B1380" s="17"/>
      <c r="C1380" s="17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  <c r="N1380" s="17"/>
      <c r="O1380" s="17"/>
      <c r="P1380" s="17"/>
      <c r="Q1380" s="17"/>
      <c r="R1380" s="17"/>
      <c r="S1380" s="17"/>
      <c r="T1380" s="17"/>
      <c r="U1380" s="17"/>
      <c r="V1380" s="18">
        <v>0</v>
      </c>
      <c r="W1380" s="17">
        <f t="shared" si="44"/>
        <v>0</v>
      </c>
      <c r="X1380" s="5">
        <f t="shared" si="45"/>
        <v>0</v>
      </c>
    </row>
    <row r="1381" spans="1:24" x14ac:dyDescent="0.25">
      <c r="A1381" s="17"/>
      <c r="B1381" s="17"/>
      <c r="C1381" s="17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  <c r="N1381" s="17"/>
      <c r="O1381" s="17"/>
      <c r="P1381" s="17"/>
      <c r="Q1381" s="17"/>
      <c r="R1381" s="17"/>
      <c r="S1381" s="17"/>
      <c r="T1381" s="17"/>
      <c r="U1381" s="17"/>
      <c r="V1381" s="18">
        <v>0</v>
      </c>
      <c r="W1381" s="17">
        <f t="shared" si="44"/>
        <v>0</v>
      </c>
      <c r="X1381" s="5">
        <f t="shared" si="45"/>
        <v>0</v>
      </c>
    </row>
    <row r="1382" spans="1:24" x14ac:dyDescent="0.25">
      <c r="A1382" s="17"/>
      <c r="B1382" s="17"/>
      <c r="C1382" s="17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  <c r="N1382" s="17"/>
      <c r="O1382" s="17"/>
      <c r="P1382" s="17"/>
      <c r="Q1382" s="17"/>
      <c r="R1382" s="17"/>
      <c r="S1382" s="17"/>
      <c r="T1382" s="17"/>
      <c r="U1382" s="17"/>
      <c r="V1382" s="18">
        <v>0</v>
      </c>
      <c r="W1382" s="17">
        <f t="shared" si="44"/>
        <v>0</v>
      </c>
      <c r="X1382" s="5">
        <f t="shared" si="45"/>
        <v>0</v>
      </c>
    </row>
    <row r="1383" spans="1:24" x14ac:dyDescent="0.25">
      <c r="A1383" s="17"/>
      <c r="B1383" s="17"/>
      <c r="C1383" s="17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  <c r="N1383" s="17"/>
      <c r="O1383" s="17"/>
      <c r="P1383" s="17"/>
      <c r="Q1383" s="17"/>
      <c r="R1383" s="17"/>
      <c r="S1383" s="17"/>
      <c r="T1383" s="17"/>
      <c r="U1383" s="17"/>
      <c r="V1383" s="18">
        <v>0</v>
      </c>
      <c r="W1383" s="17">
        <f t="shared" si="44"/>
        <v>0</v>
      </c>
      <c r="X1383" s="5">
        <f t="shared" si="45"/>
        <v>0</v>
      </c>
    </row>
    <row r="1384" spans="1:24" x14ac:dyDescent="0.25">
      <c r="A1384" s="17"/>
      <c r="B1384" s="17"/>
      <c r="C1384" s="17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  <c r="N1384" s="17"/>
      <c r="O1384" s="17"/>
      <c r="P1384" s="17"/>
      <c r="Q1384" s="17"/>
      <c r="R1384" s="17"/>
      <c r="S1384" s="17"/>
      <c r="T1384" s="17"/>
      <c r="U1384" s="17"/>
      <c r="V1384" s="18">
        <v>0</v>
      </c>
      <c r="W1384" s="17">
        <f t="shared" si="44"/>
        <v>0</v>
      </c>
      <c r="X1384" s="5">
        <f t="shared" si="45"/>
        <v>0</v>
      </c>
    </row>
    <row r="1385" spans="1:24" x14ac:dyDescent="0.25">
      <c r="A1385" s="17"/>
      <c r="B1385" s="17"/>
      <c r="C1385" s="17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  <c r="N1385" s="17"/>
      <c r="O1385" s="17"/>
      <c r="P1385" s="17"/>
      <c r="Q1385" s="17"/>
      <c r="R1385" s="17"/>
      <c r="S1385" s="17"/>
      <c r="T1385" s="17"/>
      <c r="U1385" s="17"/>
      <c r="V1385" s="18">
        <v>0</v>
      </c>
      <c r="W1385" s="17">
        <f t="shared" si="44"/>
        <v>0</v>
      </c>
      <c r="X1385" s="5">
        <f t="shared" si="45"/>
        <v>0</v>
      </c>
    </row>
    <row r="1386" spans="1:24" x14ac:dyDescent="0.25">
      <c r="A1386" s="17"/>
      <c r="B1386" s="17"/>
      <c r="C1386" s="17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8">
        <v>0</v>
      </c>
      <c r="W1386" s="17">
        <f t="shared" si="44"/>
        <v>0</v>
      </c>
      <c r="X1386" s="5">
        <f t="shared" si="45"/>
        <v>0</v>
      </c>
    </row>
    <row r="1387" spans="1:24" x14ac:dyDescent="0.25">
      <c r="A1387" s="17"/>
      <c r="B1387" s="17"/>
      <c r="C1387" s="17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8">
        <v>0</v>
      </c>
      <c r="W1387" s="17">
        <f t="shared" si="44"/>
        <v>0</v>
      </c>
      <c r="X1387" s="5">
        <f t="shared" si="45"/>
        <v>0</v>
      </c>
    </row>
    <row r="1388" spans="1:24" x14ac:dyDescent="0.25">
      <c r="A1388" s="17"/>
      <c r="B1388" s="17"/>
      <c r="C1388" s="17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8">
        <v>0</v>
      </c>
      <c r="W1388" s="17">
        <f t="shared" si="44"/>
        <v>0</v>
      </c>
      <c r="X1388" s="5">
        <f t="shared" si="45"/>
        <v>0</v>
      </c>
    </row>
    <row r="1389" spans="1:24" x14ac:dyDescent="0.25">
      <c r="A1389" s="17"/>
      <c r="B1389" s="17"/>
      <c r="C1389" s="17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  <c r="N1389" s="17"/>
      <c r="O1389" s="17"/>
      <c r="P1389" s="17"/>
      <c r="Q1389" s="17"/>
      <c r="R1389" s="17"/>
      <c r="S1389" s="17"/>
      <c r="T1389" s="17"/>
      <c r="U1389" s="17"/>
      <c r="V1389" s="18">
        <v>0</v>
      </c>
      <c r="W1389" s="17">
        <f t="shared" si="44"/>
        <v>0</v>
      </c>
      <c r="X1389" s="5">
        <f t="shared" si="45"/>
        <v>0</v>
      </c>
    </row>
    <row r="1390" spans="1:24" x14ac:dyDescent="0.25">
      <c r="A1390" s="17"/>
      <c r="B1390" s="17"/>
      <c r="C1390" s="17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  <c r="N1390" s="17"/>
      <c r="O1390" s="17"/>
      <c r="P1390" s="17"/>
      <c r="Q1390" s="17"/>
      <c r="R1390" s="17"/>
      <c r="S1390" s="17"/>
      <c r="T1390" s="17"/>
      <c r="U1390" s="17"/>
      <c r="V1390" s="18">
        <v>0</v>
      </c>
      <c r="W1390" s="17">
        <f t="shared" si="44"/>
        <v>0</v>
      </c>
      <c r="X1390" s="5">
        <f t="shared" si="45"/>
        <v>0</v>
      </c>
    </row>
    <row r="1391" spans="1:24" x14ac:dyDescent="0.25">
      <c r="A1391" s="17"/>
      <c r="B1391" s="17"/>
      <c r="C1391" s="17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  <c r="N1391" s="17"/>
      <c r="O1391" s="17"/>
      <c r="P1391" s="17"/>
      <c r="Q1391" s="17"/>
      <c r="R1391" s="17"/>
      <c r="S1391" s="17"/>
      <c r="T1391" s="17"/>
      <c r="U1391" s="17"/>
      <c r="V1391" s="18">
        <v>0</v>
      </c>
      <c r="W1391" s="17">
        <f t="shared" si="44"/>
        <v>0</v>
      </c>
      <c r="X1391" s="5">
        <f t="shared" si="45"/>
        <v>0</v>
      </c>
    </row>
    <row r="1392" spans="1:24" x14ac:dyDescent="0.25">
      <c r="A1392" s="17"/>
      <c r="B1392" s="17"/>
      <c r="C1392" s="17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8">
        <v>0</v>
      </c>
      <c r="W1392" s="17">
        <f t="shared" si="44"/>
        <v>0</v>
      </c>
      <c r="X1392" s="5">
        <f t="shared" si="45"/>
        <v>0</v>
      </c>
    </row>
    <row r="1393" spans="1:24" x14ac:dyDescent="0.25">
      <c r="A1393" s="17"/>
      <c r="B1393" s="17"/>
      <c r="C1393" s="17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8">
        <v>0</v>
      </c>
      <c r="W1393" s="17">
        <f t="shared" si="44"/>
        <v>0</v>
      </c>
      <c r="X1393" s="5">
        <f t="shared" si="45"/>
        <v>0</v>
      </c>
    </row>
    <row r="1394" spans="1:24" x14ac:dyDescent="0.25">
      <c r="A1394" s="17"/>
      <c r="B1394" s="17"/>
      <c r="C1394" s="17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8">
        <v>0</v>
      </c>
      <c r="W1394" s="17">
        <f t="shared" si="44"/>
        <v>0</v>
      </c>
      <c r="X1394" s="5">
        <f t="shared" si="45"/>
        <v>0</v>
      </c>
    </row>
    <row r="1395" spans="1:24" x14ac:dyDescent="0.25">
      <c r="A1395" s="17"/>
      <c r="B1395" s="17"/>
      <c r="C1395" s="17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  <c r="N1395" s="17"/>
      <c r="O1395" s="17"/>
      <c r="P1395" s="17"/>
      <c r="Q1395" s="17"/>
      <c r="R1395" s="17"/>
      <c r="S1395" s="17"/>
      <c r="T1395" s="17"/>
      <c r="U1395" s="17"/>
      <c r="V1395" s="18">
        <v>0</v>
      </c>
      <c r="W1395" s="17">
        <f t="shared" si="44"/>
        <v>0</v>
      </c>
      <c r="X1395" s="5">
        <f t="shared" si="45"/>
        <v>0</v>
      </c>
    </row>
    <row r="1396" spans="1:24" x14ac:dyDescent="0.25">
      <c r="A1396" s="17"/>
      <c r="B1396" s="17"/>
      <c r="C1396" s="17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  <c r="N1396" s="17"/>
      <c r="O1396" s="17"/>
      <c r="P1396" s="17"/>
      <c r="Q1396" s="17"/>
      <c r="R1396" s="17"/>
      <c r="S1396" s="17"/>
      <c r="T1396" s="17"/>
      <c r="U1396" s="17"/>
      <c r="V1396" s="18">
        <v>0</v>
      </c>
      <c r="W1396" s="17">
        <f t="shared" si="44"/>
        <v>0</v>
      </c>
      <c r="X1396" s="5">
        <f t="shared" si="45"/>
        <v>0</v>
      </c>
    </row>
    <row r="1397" spans="1:24" x14ac:dyDescent="0.25">
      <c r="A1397" s="17"/>
      <c r="B1397" s="17"/>
      <c r="C1397" s="17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8">
        <v>0</v>
      </c>
      <c r="W1397" s="17">
        <f t="shared" si="44"/>
        <v>0</v>
      </c>
      <c r="X1397" s="5">
        <f t="shared" si="45"/>
        <v>0</v>
      </c>
    </row>
    <row r="1398" spans="1:24" x14ac:dyDescent="0.25">
      <c r="A1398" s="17"/>
      <c r="B1398" s="17"/>
      <c r="C1398" s="17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8">
        <v>0</v>
      </c>
      <c r="W1398" s="17">
        <f t="shared" si="44"/>
        <v>0</v>
      </c>
      <c r="X1398" s="5">
        <f t="shared" si="45"/>
        <v>0</v>
      </c>
    </row>
    <row r="1399" spans="1:24" x14ac:dyDescent="0.25">
      <c r="A1399" s="17"/>
      <c r="B1399" s="17"/>
      <c r="C1399" s="17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8">
        <v>0</v>
      </c>
      <c r="W1399" s="17">
        <f t="shared" si="44"/>
        <v>0</v>
      </c>
      <c r="X1399" s="5">
        <f t="shared" si="45"/>
        <v>0</v>
      </c>
    </row>
    <row r="1400" spans="1:24" x14ac:dyDescent="0.25">
      <c r="A1400" s="17"/>
      <c r="B1400" s="17"/>
      <c r="C1400" s="17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8">
        <v>0</v>
      </c>
      <c r="W1400" s="17">
        <f t="shared" si="44"/>
        <v>0</v>
      </c>
      <c r="X1400" s="5">
        <f t="shared" si="45"/>
        <v>0</v>
      </c>
    </row>
    <row r="1401" spans="1:24" x14ac:dyDescent="0.25">
      <c r="A1401" s="17"/>
      <c r="B1401" s="17"/>
      <c r="C1401" s="17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8">
        <v>0</v>
      </c>
      <c r="W1401" s="17">
        <f t="shared" si="44"/>
        <v>0</v>
      </c>
      <c r="X1401" s="5">
        <f t="shared" si="45"/>
        <v>0</v>
      </c>
    </row>
    <row r="1402" spans="1:24" x14ac:dyDescent="0.25">
      <c r="A1402" s="17"/>
      <c r="B1402" s="17"/>
      <c r="C1402" s="17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8">
        <v>0</v>
      </c>
      <c r="W1402" s="17">
        <f t="shared" si="44"/>
        <v>0</v>
      </c>
      <c r="X1402" s="5">
        <f t="shared" si="45"/>
        <v>0</v>
      </c>
    </row>
    <row r="1403" spans="1:24" x14ac:dyDescent="0.25">
      <c r="A1403" s="17"/>
      <c r="B1403" s="17"/>
      <c r="C1403" s="17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8">
        <v>0</v>
      </c>
      <c r="W1403" s="17">
        <f t="shared" si="44"/>
        <v>0</v>
      </c>
      <c r="X1403" s="5">
        <f t="shared" si="45"/>
        <v>0</v>
      </c>
    </row>
    <row r="1404" spans="1:24" x14ac:dyDescent="0.25">
      <c r="A1404" s="17"/>
      <c r="B1404" s="17"/>
      <c r="C1404" s="17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8">
        <v>0</v>
      </c>
      <c r="W1404" s="17">
        <f t="shared" si="44"/>
        <v>0</v>
      </c>
      <c r="X1404" s="5">
        <f t="shared" si="45"/>
        <v>0</v>
      </c>
    </row>
    <row r="1405" spans="1:24" x14ac:dyDescent="0.25">
      <c r="A1405" s="17"/>
      <c r="B1405" s="17"/>
      <c r="C1405" s="17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8">
        <v>0</v>
      </c>
      <c r="W1405" s="17">
        <f t="shared" si="44"/>
        <v>0</v>
      </c>
      <c r="X1405" s="5">
        <f t="shared" si="45"/>
        <v>0</v>
      </c>
    </row>
    <row r="1406" spans="1:24" x14ac:dyDescent="0.25">
      <c r="A1406" s="17"/>
      <c r="B1406" s="17"/>
      <c r="C1406" s="17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8">
        <v>0</v>
      </c>
      <c r="W1406" s="17">
        <f t="shared" si="44"/>
        <v>0</v>
      </c>
      <c r="X1406" s="5">
        <f t="shared" si="45"/>
        <v>0</v>
      </c>
    </row>
    <row r="1407" spans="1:24" x14ac:dyDescent="0.25">
      <c r="A1407" s="17"/>
      <c r="B1407" s="17"/>
      <c r="C1407" s="17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8">
        <v>0</v>
      </c>
      <c r="W1407" s="17">
        <f t="shared" si="44"/>
        <v>0</v>
      </c>
      <c r="X1407" s="5">
        <f t="shared" si="45"/>
        <v>0</v>
      </c>
    </row>
    <row r="1408" spans="1:24" x14ac:dyDescent="0.25">
      <c r="A1408" s="17"/>
      <c r="B1408" s="17"/>
      <c r="C1408" s="17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8">
        <v>0</v>
      </c>
      <c r="W1408" s="17">
        <f t="shared" si="44"/>
        <v>0</v>
      </c>
      <c r="X1408" s="5">
        <f t="shared" si="45"/>
        <v>0</v>
      </c>
    </row>
    <row r="1409" spans="1:24" x14ac:dyDescent="0.25">
      <c r="A1409" s="17"/>
      <c r="B1409" s="17"/>
      <c r="C1409" s="17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8">
        <v>0</v>
      </c>
      <c r="W1409" s="17">
        <f t="shared" si="44"/>
        <v>0</v>
      </c>
      <c r="X1409" s="5">
        <f t="shared" si="45"/>
        <v>0</v>
      </c>
    </row>
    <row r="1410" spans="1:24" x14ac:dyDescent="0.25">
      <c r="A1410" s="17"/>
      <c r="B1410" s="17"/>
      <c r="C1410" s="17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8">
        <v>0</v>
      </c>
      <c r="W1410" s="17">
        <f t="shared" si="44"/>
        <v>0</v>
      </c>
      <c r="X1410" s="5">
        <f t="shared" si="45"/>
        <v>0</v>
      </c>
    </row>
    <row r="1411" spans="1:24" x14ac:dyDescent="0.25">
      <c r="A1411" s="17"/>
      <c r="B1411" s="17"/>
      <c r="C1411" s="17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8">
        <v>0</v>
      </c>
      <c r="W1411" s="17">
        <f t="shared" ref="W1411:W1474" si="46">HOUR(E1411)</f>
        <v>0</v>
      </c>
      <c r="X1411" s="5">
        <f t="shared" ref="X1411:X1474" si="47">IF(D1411=D1410,0,1)</f>
        <v>0</v>
      </c>
    </row>
    <row r="1412" spans="1:24" x14ac:dyDescent="0.25">
      <c r="A1412" s="17"/>
      <c r="B1412" s="17"/>
      <c r="C1412" s="17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8">
        <v>0</v>
      </c>
      <c r="W1412" s="17">
        <f t="shared" si="46"/>
        <v>0</v>
      </c>
      <c r="X1412" s="5">
        <f t="shared" si="47"/>
        <v>0</v>
      </c>
    </row>
    <row r="1413" spans="1:24" x14ac:dyDescent="0.25">
      <c r="A1413" s="17"/>
      <c r="B1413" s="17"/>
      <c r="C1413" s="17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8">
        <v>0</v>
      </c>
      <c r="W1413" s="17">
        <f t="shared" si="46"/>
        <v>0</v>
      </c>
      <c r="X1413" s="5">
        <f t="shared" si="47"/>
        <v>0</v>
      </c>
    </row>
    <row r="1414" spans="1:24" x14ac:dyDescent="0.25">
      <c r="A1414" s="17"/>
      <c r="B1414" s="17"/>
      <c r="C1414" s="17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8">
        <v>0</v>
      </c>
      <c r="W1414" s="17">
        <f t="shared" si="46"/>
        <v>0</v>
      </c>
      <c r="X1414" s="5">
        <f t="shared" si="47"/>
        <v>0</v>
      </c>
    </row>
    <row r="1415" spans="1:24" x14ac:dyDescent="0.25">
      <c r="A1415" s="17"/>
      <c r="B1415" s="17"/>
      <c r="C1415" s="17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8">
        <v>0</v>
      </c>
      <c r="W1415" s="17">
        <f t="shared" si="46"/>
        <v>0</v>
      </c>
      <c r="X1415" s="5">
        <f t="shared" si="47"/>
        <v>0</v>
      </c>
    </row>
    <row r="1416" spans="1:24" x14ac:dyDescent="0.25">
      <c r="A1416" s="17"/>
      <c r="B1416" s="17"/>
      <c r="C1416" s="17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  <c r="N1416" s="17"/>
      <c r="O1416" s="17"/>
      <c r="P1416" s="17"/>
      <c r="Q1416" s="17"/>
      <c r="R1416" s="17"/>
      <c r="S1416" s="17"/>
      <c r="T1416" s="17"/>
      <c r="U1416" s="17"/>
      <c r="V1416" s="18">
        <v>0</v>
      </c>
      <c r="W1416" s="17">
        <f t="shared" si="46"/>
        <v>0</v>
      </c>
      <c r="X1416" s="5">
        <f t="shared" si="47"/>
        <v>0</v>
      </c>
    </row>
    <row r="1417" spans="1:24" x14ac:dyDescent="0.25">
      <c r="A1417" s="17"/>
      <c r="B1417" s="17"/>
      <c r="C1417" s="17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  <c r="N1417" s="17"/>
      <c r="O1417" s="17"/>
      <c r="P1417" s="17"/>
      <c r="Q1417" s="17"/>
      <c r="R1417" s="17"/>
      <c r="S1417" s="17"/>
      <c r="T1417" s="17"/>
      <c r="U1417" s="17"/>
      <c r="V1417" s="18">
        <v>0</v>
      </c>
      <c r="W1417" s="17">
        <f t="shared" si="46"/>
        <v>0</v>
      </c>
      <c r="X1417" s="5">
        <f t="shared" si="47"/>
        <v>0</v>
      </c>
    </row>
    <row r="1418" spans="1:24" x14ac:dyDescent="0.25">
      <c r="A1418" s="17"/>
      <c r="B1418" s="17"/>
      <c r="C1418" s="17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8">
        <v>0</v>
      </c>
      <c r="W1418" s="17">
        <f t="shared" si="46"/>
        <v>0</v>
      </c>
      <c r="X1418" s="5">
        <f t="shared" si="47"/>
        <v>0</v>
      </c>
    </row>
    <row r="1419" spans="1:24" x14ac:dyDescent="0.25">
      <c r="A1419" s="17"/>
      <c r="B1419" s="17"/>
      <c r="C1419" s="17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8">
        <v>0</v>
      </c>
      <c r="W1419" s="17">
        <f t="shared" si="46"/>
        <v>0</v>
      </c>
      <c r="X1419" s="5">
        <f t="shared" si="47"/>
        <v>0</v>
      </c>
    </row>
    <row r="1420" spans="1:24" x14ac:dyDescent="0.25">
      <c r="A1420" s="17"/>
      <c r="B1420" s="17"/>
      <c r="C1420" s="17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8">
        <v>0</v>
      </c>
      <c r="W1420" s="17">
        <f t="shared" si="46"/>
        <v>0</v>
      </c>
      <c r="X1420" s="5">
        <f t="shared" si="47"/>
        <v>0</v>
      </c>
    </row>
    <row r="1421" spans="1:24" x14ac:dyDescent="0.25">
      <c r="A1421" s="17"/>
      <c r="B1421" s="17"/>
      <c r="C1421" s="17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8">
        <v>0</v>
      </c>
      <c r="W1421" s="17">
        <f t="shared" si="46"/>
        <v>0</v>
      </c>
      <c r="X1421" s="5">
        <f t="shared" si="47"/>
        <v>0</v>
      </c>
    </row>
    <row r="1422" spans="1:24" x14ac:dyDescent="0.25">
      <c r="A1422" s="17"/>
      <c r="B1422" s="17"/>
      <c r="C1422" s="17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8">
        <v>0</v>
      </c>
      <c r="W1422" s="17">
        <f t="shared" si="46"/>
        <v>0</v>
      </c>
      <c r="X1422" s="5">
        <f t="shared" si="47"/>
        <v>0</v>
      </c>
    </row>
    <row r="1423" spans="1:24" x14ac:dyDescent="0.25">
      <c r="A1423" s="17"/>
      <c r="B1423" s="17"/>
      <c r="C1423" s="17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8">
        <v>0</v>
      </c>
      <c r="W1423" s="17">
        <f t="shared" si="46"/>
        <v>0</v>
      </c>
      <c r="X1423" s="5">
        <f t="shared" si="47"/>
        <v>0</v>
      </c>
    </row>
    <row r="1424" spans="1:24" x14ac:dyDescent="0.25">
      <c r="A1424" s="17"/>
      <c r="B1424" s="17"/>
      <c r="C1424" s="17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8">
        <v>0</v>
      </c>
      <c r="W1424" s="17">
        <f t="shared" si="46"/>
        <v>0</v>
      </c>
      <c r="X1424" s="5">
        <f t="shared" si="47"/>
        <v>0</v>
      </c>
    </row>
    <row r="1425" spans="1:24" x14ac:dyDescent="0.25">
      <c r="A1425" s="17"/>
      <c r="B1425" s="17"/>
      <c r="C1425" s="17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8">
        <v>0</v>
      </c>
      <c r="W1425" s="17">
        <f t="shared" si="46"/>
        <v>0</v>
      </c>
      <c r="X1425" s="5">
        <f t="shared" si="47"/>
        <v>0</v>
      </c>
    </row>
    <row r="1426" spans="1:24" x14ac:dyDescent="0.25">
      <c r="A1426" s="17"/>
      <c r="B1426" s="17"/>
      <c r="C1426" s="17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8">
        <v>0</v>
      </c>
      <c r="W1426" s="17">
        <f t="shared" si="46"/>
        <v>0</v>
      </c>
      <c r="X1426" s="5">
        <f t="shared" si="47"/>
        <v>0</v>
      </c>
    </row>
    <row r="1427" spans="1:24" x14ac:dyDescent="0.25">
      <c r="A1427" s="17"/>
      <c r="B1427" s="17"/>
      <c r="C1427" s="17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8">
        <v>0</v>
      </c>
      <c r="W1427" s="17">
        <f t="shared" si="46"/>
        <v>0</v>
      </c>
      <c r="X1427" s="5">
        <f t="shared" si="47"/>
        <v>0</v>
      </c>
    </row>
    <row r="1428" spans="1:24" x14ac:dyDescent="0.25">
      <c r="A1428" s="17"/>
      <c r="B1428" s="17"/>
      <c r="C1428" s="17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8">
        <v>0</v>
      </c>
      <c r="W1428" s="17">
        <f t="shared" si="46"/>
        <v>0</v>
      </c>
      <c r="X1428" s="5">
        <f t="shared" si="47"/>
        <v>0</v>
      </c>
    </row>
    <row r="1429" spans="1:24" x14ac:dyDescent="0.25">
      <c r="A1429" s="17"/>
      <c r="B1429" s="17"/>
      <c r="C1429" s="17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8">
        <v>0</v>
      </c>
      <c r="W1429" s="17">
        <f t="shared" si="46"/>
        <v>0</v>
      </c>
      <c r="X1429" s="5">
        <f t="shared" si="47"/>
        <v>0</v>
      </c>
    </row>
    <row r="1430" spans="1:24" x14ac:dyDescent="0.25">
      <c r="A1430" s="17"/>
      <c r="B1430" s="17"/>
      <c r="C1430" s="17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8">
        <v>0</v>
      </c>
      <c r="W1430" s="17">
        <f t="shared" si="46"/>
        <v>0</v>
      </c>
      <c r="X1430" s="5">
        <f t="shared" si="47"/>
        <v>0</v>
      </c>
    </row>
    <row r="1431" spans="1:24" x14ac:dyDescent="0.25">
      <c r="A1431" s="17"/>
      <c r="B1431" s="17"/>
      <c r="C1431" s="17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8">
        <v>0</v>
      </c>
      <c r="W1431" s="17">
        <f t="shared" si="46"/>
        <v>0</v>
      </c>
      <c r="X1431" s="5">
        <f t="shared" si="47"/>
        <v>0</v>
      </c>
    </row>
    <row r="1432" spans="1:24" x14ac:dyDescent="0.25">
      <c r="A1432" s="17"/>
      <c r="B1432" s="17"/>
      <c r="C1432" s="17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  <c r="N1432" s="17"/>
      <c r="O1432" s="17"/>
      <c r="P1432" s="17"/>
      <c r="Q1432" s="17"/>
      <c r="R1432" s="17"/>
      <c r="S1432" s="17"/>
      <c r="T1432" s="17"/>
      <c r="U1432" s="17"/>
      <c r="V1432" s="18">
        <v>0</v>
      </c>
      <c r="W1432" s="17">
        <f t="shared" si="46"/>
        <v>0</v>
      </c>
      <c r="X1432" s="5">
        <f t="shared" si="47"/>
        <v>0</v>
      </c>
    </row>
    <row r="1433" spans="1:24" x14ac:dyDescent="0.25">
      <c r="A1433" s="17"/>
      <c r="B1433" s="17"/>
      <c r="C1433" s="17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  <c r="N1433" s="17"/>
      <c r="O1433" s="17"/>
      <c r="P1433" s="17"/>
      <c r="Q1433" s="17"/>
      <c r="R1433" s="17"/>
      <c r="S1433" s="17"/>
      <c r="T1433" s="17"/>
      <c r="U1433" s="17"/>
      <c r="V1433" s="18">
        <v>0</v>
      </c>
      <c r="W1433" s="17">
        <f t="shared" si="46"/>
        <v>0</v>
      </c>
      <c r="X1433" s="5">
        <f t="shared" si="47"/>
        <v>0</v>
      </c>
    </row>
    <row r="1434" spans="1:24" x14ac:dyDescent="0.25">
      <c r="A1434" s="17"/>
      <c r="B1434" s="17"/>
      <c r="C1434" s="17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8">
        <v>0</v>
      </c>
      <c r="W1434" s="17">
        <f t="shared" si="46"/>
        <v>0</v>
      </c>
      <c r="X1434" s="5">
        <f t="shared" si="47"/>
        <v>0</v>
      </c>
    </row>
    <row r="1435" spans="1:24" x14ac:dyDescent="0.25">
      <c r="A1435" s="17"/>
      <c r="B1435" s="17"/>
      <c r="C1435" s="17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8">
        <v>0</v>
      </c>
      <c r="W1435" s="17">
        <f t="shared" si="46"/>
        <v>0</v>
      </c>
      <c r="X1435" s="5">
        <f t="shared" si="47"/>
        <v>0</v>
      </c>
    </row>
    <row r="1436" spans="1:24" x14ac:dyDescent="0.25">
      <c r="A1436" s="17"/>
      <c r="B1436" s="17"/>
      <c r="C1436" s="17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8">
        <v>0</v>
      </c>
      <c r="W1436" s="17">
        <f t="shared" si="46"/>
        <v>0</v>
      </c>
      <c r="X1436" s="5">
        <f t="shared" si="47"/>
        <v>0</v>
      </c>
    </row>
    <row r="1437" spans="1:24" x14ac:dyDescent="0.25">
      <c r="A1437" s="17"/>
      <c r="B1437" s="17"/>
      <c r="C1437" s="17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8">
        <v>0</v>
      </c>
      <c r="W1437" s="17">
        <f t="shared" si="46"/>
        <v>0</v>
      </c>
      <c r="X1437" s="5">
        <f t="shared" si="47"/>
        <v>0</v>
      </c>
    </row>
    <row r="1438" spans="1:24" x14ac:dyDescent="0.25">
      <c r="A1438" s="17"/>
      <c r="B1438" s="17"/>
      <c r="C1438" s="17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8">
        <v>0</v>
      </c>
      <c r="W1438" s="17">
        <f t="shared" si="46"/>
        <v>0</v>
      </c>
      <c r="X1438" s="5">
        <f t="shared" si="47"/>
        <v>0</v>
      </c>
    </row>
    <row r="1439" spans="1:24" x14ac:dyDescent="0.25">
      <c r="A1439" s="17"/>
      <c r="B1439" s="17"/>
      <c r="C1439" s="17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8">
        <v>0</v>
      </c>
      <c r="W1439" s="17">
        <f t="shared" si="46"/>
        <v>0</v>
      </c>
      <c r="X1439" s="5">
        <f t="shared" si="47"/>
        <v>0</v>
      </c>
    </row>
    <row r="1440" spans="1:24" x14ac:dyDescent="0.25">
      <c r="A1440" s="17"/>
      <c r="B1440" s="17"/>
      <c r="C1440" s="17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8">
        <v>0</v>
      </c>
      <c r="W1440" s="17">
        <f t="shared" si="46"/>
        <v>0</v>
      </c>
      <c r="X1440" s="5">
        <f t="shared" si="47"/>
        <v>0</v>
      </c>
    </row>
    <row r="1441" spans="1:24" x14ac:dyDescent="0.25">
      <c r="A1441" s="17"/>
      <c r="B1441" s="17"/>
      <c r="C1441" s="17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8">
        <v>0</v>
      </c>
      <c r="W1441" s="17">
        <f t="shared" si="46"/>
        <v>0</v>
      </c>
      <c r="X1441" s="5">
        <f t="shared" si="47"/>
        <v>0</v>
      </c>
    </row>
    <row r="1442" spans="1:24" x14ac:dyDescent="0.25">
      <c r="A1442" s="17"/>
      <c r="B1442" s="17"/>
      <c r="C1442" s="17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8">
        <v>0</v>
      </c>
      <c r="W1442" s="17">
        <f t="shared" si="46"/>
        <v>0</v>
      </c>
      <c r="X1442" s="5">
        <f t="shared" si="47"/>
        <v>0</v>
      </c>
    </row>
    <row r="1443" spans="1:24" x14ac:dyDescent="0.25">
      <c r="A1443" s="17"/>
      <c r="B1443" s="17"/>
      <c r="C1443" s="17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8">
        <v>0</v>
      </c>
      <c r="W1443" s="17">
        <f t="shared" si="46"/>
        <v>0</v>
      </c>
      <c r="X1443" s="5">
        <f t="shared" si="47"/>
        <v>0</v>
      </c>
    </row>
    <row r="1444" spans="1:24" x14ac:dyDescent="0.25">
      <c r="A1444" s="17"/>
      <c r="B1444" s="17"/>
      <c r="C1444" s="17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8">
        <v>0</v>
      </c>
      <c r="W1444" s="17">
        <f t="shared" si="46"/>
        <v>0</v>
      </c>
      <c r="X1444" s="5">
        <f t="shared" si="47"/>
        <v>0</v>
      </c>
    </row>
    <row r="1445" spans="1:24" x14ac:dyDescent="0.25">
      <c r="A1445" s="17"/>
      <c r="B1445" s="17"/>
      <c r="C1445" s="17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8">
        <v>0</v>
      </c>
      <c r="W1445" s="17">
        <f t="shared" si="46"/>
        <v>0</v>
      </c>
      <c r="X1445" s="5">
        <f t="shared" si="47"/>
        <v>0</v>
      </c>
    </row>
    <row r="1446" spans="1:24" x14ac:dyDescent="0.25">
      <c r="A1446" s="17"/>
      <c r="B1446" s="17"/>
      <c r="C1446" s="17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8">
        <v>0</v>
      </c>
      <c r="W1446" s="17">
        <f t="shared" si="46"/>
        <v>0</v>
      </c>
      <c r="X1446" s="5">
        <f t="shared" si="47"/>
        <v>0</v>
      </c>
    </row>
    <row r="1447" spans="1:24" x14ac:dyDescent="0.25">
      <c r="A1447" s="17"/>
      <c r="B1447" s="17"/>
      <c r="C1447" s="17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8">
        <v>0</v>
      </c>
      <c r="W1447" s="17">
        <f t="shared" si="46"/>
        <v>0</v>
      </c>
      <c r="X1447" s="5">
        <f t="shared" si="47"/>
        <v>0</v>
      </c>
    </row>
    <row r="1448" spans="1:24" x14ac:dyDescent="0.25">
      <c r="A1448" s="17"/>
      <c r="B1448" s="17"/>
      <c r="C1448" s="17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8">
        <v>0</v>
      </c>
      <c r="W1448" s="17">
        <f t="shared" si="46"/>
        <v>0</v>
      </c>
      <c r="X1448" s="5">
        <f t="shared" si="47"/>
        <v>0</v>
      </c>
    </row>
    <row r="1449" spans="1:24" x14ac:dyDescent="0.25">
      <c r="A1449" s="17"/>
      <c r="B1449" s="17"/>
      <c r="C1449" s="17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8">
        <v>0</v>
      </c>
      <c r="W1449" s="17">
        <f t="shared" si="46"/>
        <v>0</v>
      </c>
      <c r="X1449" s="5">
        <f t="shared" si="47"/>
        <v>0</v>
      </c>
    </row>
    <row r="1450" spans="1:24" x14ac:dyDescent="0.25">
      <c r="A1450" s="17"/>
      <c r="B1450" s="17"/>
      <c r="C1450" s="17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8">
        <v>0</v>
      </c>
      <c r="W1450" s="17">
        <f t="shared" si="46"/>
        <v>0</v>
      </c>
      <c r="X1450" s="5">
        <f t="shared" si="47"/>
        <v>0</v>
      </c>
    </row>
    <row r="1451" spans="1:24" x14ac:dyDescent="0.25">
      <c r="A1451" s="17"/>
      <c r="B1451" s="17"/>
      <c r="C1451" s="17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8">
        <v>0</v>
      </c>
      <c r="W1451" s="17">
        <f t="shared" si="46"/>
        <v>0</v>
      </c>
      <c r="X1451" s="5">
        <f t="shared" si="47"/>
        <v>0</v>
      </c>
    </row>
    <row r="1452" spans="1:24" x14ac:dyDescent="0.25">
      <c r="A1452" s="17"/>
      <c r="B1452" s="17"/>
      <c r="C1452" s="17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8">
        <v>0</v>
      </c>
      <c r="W1452" s="17">
        <f t="shared" si="46"/>
        <v>0</v>
      </c>
      <c r="X1452" s="5">
        <f t="shared" si="47"/>
        <v>0</v>
      </c>
    </row>
    <row r="1453" spans="1:24" x14ac:dyDescent="0.25">
      <c r="A1453" s="17"/>
      <c r="B1453" s="17"/>
      <c r="C1453" s="17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8">
        <v>0</v>
      </c>
      <c r="W1453" s="17">
        <f t="shared" si="46"/>
        <v>0</v>
      </c>
      <c r="X1453" s="5">
        <f t="shared" si="47"/>
        <v>0</v>
      </c>
    </row>
    <row r="1454" spans="1:24" x14ac:dyDescent="0.25">
      <c r="A1454" s="17"/>
      <c r="B1454" s="17"/>
      <c r="C1454" s="17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8">
        <v>0</v>
      </c>
      <c r="W1454" s="17">
        <f t="shared" si="46"/>
        <v>0</v>
      </c>
      <c r="X1454" s="5">
        <f t="shared" si="47"/>
        <v>0</v>
      </c>
    </row>
    <row r="1455" spans="1:24" x14ac:dyDescent="0.25">
      <c r="A1455" s="17"/>
      <c r="B1455" s="17"/>
      <c r="C1455" s="17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8">
        <v>0</v>
      </c>
      <c r="W1455" s="17">
        <f t="shared" si="46"/>
        <v>0</v>
      </c>
      <c r="X1455" s="5">
        <f t="shared" si="47"/>
        <v>0</v>
      </c>
    </row>
    <row r="1456" spans="1:24" x14ac:dyDescent="0.25">
      <c r="A1456" s="17"/>
      <c r="B1456" s="17"/>
      <c r="C1456" s="17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8">
        <v>0</v>
      </c>
      <c r="W1456" s="17">
        <f t="shared" si="46"/>
        <v>0</v>
      </c>
      <c r="X1456" s="5">
        <f t="shared" si="47"/>
        <v>0</v>
      </c>
    </row>
    <row r="1457" spans="1:24" x14ac:dyDescent="0.25">
      <c r="A1457" s="17"/>
      <c r="B1457" s="17"/>
      <c r="C1457" s="17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8">
        <v>0</v>
      </c>
      <c r="W1457" s="17">
        <f t="shared" si="46"/>
        <v>0</v>
      </c>
      <c r="X1457" s="5">
        <f t="shared" si="47"/>
        <v>0</v>
      </c>
    </row>
    <row r="1458" spans="1:24" x14ac:dyDescent="0.25">
      <c r="A1458" s="17"/>
      <c r="B1458" s="17"/>
      <c r="C1458" s="17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8">
        <v>0</v>
      </c>
      <c r="W1458" s="17">
        <f t="shared" si="46"/>
        <v>0</v>
      </c>
      <c r="X1458" s="5">
        <f t="shared" si="47"/>
        <v>0</v>
      </c>
    </row>
    <row r="1459" spans="1:24" x14ac:dyDescent="0.25">
      <c r="A1459" s="17"/>
      <c r="B1459" s="17"/>
      <c r="C1459" s="17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8">
        <v>0</v>
      </c>
      <c r="W1459" s="17">
        <f t="shared" si="46"/>
        <v>0</v>
      </c>
      <c r="X1459" s="5">
        <f t="shared" si="47"/>
        <v>0</v>
      </c>
    </row>
    <row r="1460" spans="1:24" x14ac:dyDescent="0.25">
      <c r="A1460" s="17"/>
      <c r="B1460" s="17"/>
      <c r="C1460" s="17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8">
        <v>0</v>
      </c>
      <c r="W1460" s="17">
        <f t="shared" si="46"/>
        <v>0</v>
      </c>
      <c r="X1460" s="5">
        <f t="shared" si="47"/>
        <v>0</v>
      </c>
    </row>
    <row r="1461" spans="1:24" x14ac:dyDescent="0.25">
      <c r="A1461" s="17"/>
      <c r="B1461" s="17"/>
      <c r="C1461" s="17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8">
        <v>0</v>
      </c>
      <c r="W1461" s="17">
        <f t="shared" si="46"/>
        <v>0</v>
      </c>
      <c r="X1461" s="5">
        <f t="shared" si="47"/>
        <v>0</v>
      </c>
    </row>
    <row r="1462" spans="1:24" x14ac:dyDescent="0.25">
      <c r="A1462" s="17"/>
      <c r="B1462" s="17"/>
      <c r="C1462" s="17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8">
        <v>0</v>
      </c>
      <c r="W1462" s="17">
        <f t="shared" si="46"/>
        <v>0</v>
      </c>
      <c r="X1462" s="5">
        <f t="shared" si="47"/>
        <v>0</v>
      </c>
    </row>
    <row r="1463" spans="1:24" x14ac:dyDescent="0.25">
      <c r="A1463" s="17"/>
      <c r="B1463" s="17"/>
      <c r="C1463" s="17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8">
        <v>0</v>
      </c>
      <c r="W1463" s="17">
        <f t="shared" si="46"/>
        <v>0</v>
      </c>
      <c r="X1463" s="5">
        <f t="shared" si="47"/>
        <v>0</v>
      </c>
    </row>
    <row r="1464" spans="1:24" x14ac:dyDescent="0.25">
      <c r="A1464" s="17"/>
      <c r="B1464" s="17"/>
      <c r="C1464" s="17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8">
        <v>0</v>
      </c>
      <c r="W1464" s="17">
        <f t="shared" si="46"/>
        <v>0</v>
      </c>
      <c r="X1464" s="5">
        <f t="shared" si="47"/>
        <v>0</v>
      </c>
    </row>
    <row r="1465" spans="1:24" x14ac:dyDescent="0.25">
      <c r="A1465" s="17"/>
      <c r="B1465" s="17"/>
      <c r="C1465" s="17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8">
        <v>0</v>
      </c>
      <c r="W1465" s="17">
        <f t="shared" si="46"/>
        <v>0</v>
      </c>
      <c r="X1465" s="5">
        <f t="shared" si="47"/>
        <v>0</v>
      </c>
    </row>
    <row r="1466" spans="1:24" x14ac:dyDescent="0.25">
      <c r="A1466" s="17"/>
      <c r="B1466" s="17"/>
      <c r="C1466" s="17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8">
        <v>0</v>
      </c>
      <c r="W1466" s="17">
        <f t="shared" si="46"/>
        <v>0</v>
      </c>
      <c r="X1466" s="5">
        <f t="shared" si="47"/>
        <v>0</v>
      </c>
    </row>
    <row r="1467" spans="1:24" x14ac:dyDescent="0.25">
      <c r="A1467" s="17"/>
      <c r="B1467" s="17"/>
      <c r="C1467" s="17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8">
        <v>0</v>
      </c>
      <c r="W1467" s="17">
        <f t="shared" si="46"/>
        <v>0</v>
      </c>
      <c r="X1467" s="5">
        <f t="shared" si="47"/>
        <v>0</v>
      </c>
    </row>
    <row r="1468" spans="1:24" x14ac:dyDescent="0.25">
      <c r="A1468" s="17"/>
      <c r="B1468" s="17"/>
      <c r="C1468" s="17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8">
        <v>0</v>
      </c>
      <c r="W1468" s="17">
        <f t="shared" si="46"/>
        <v>0</v>
      </c>
      <c r="X1468" s="5">
        <f t="shared" si="47"/>
        <v>0</v>
      </c>
    </row>
    <row r="1469" spans="1:24" x14ac:dyDescent="0.25">
      <c r="A1469" s="17"/>
      <c r="B1469" s="17"/>
      <c r="C1469" s="17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8">
        <v>0</v>
      </c>
      <c r="W1469" s="17">
        <f t="shared" si="46"/>
        <v>0</v>
      </c>
      <c r="X1469" s="5">
        <f t="shared" si="47"/>
        <v>0</v>
      </c>
    </row>
    <row r="1470" spans="1:24" x14ac:dyDescent="0.25">
      <c r="A1470" s="17"/>
      <c r="B1470" s="17"/>
      <c r="C1470" s="17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8">
        <v>0</v>
      </c>
      <c r="W1470" s="17">
        <f t="shared" si="46"/>
        <v>0</v>
      </c>
      <c r="X1470" s="5">
        <f t="shared" si="47"/>
        <v>0</v>
      </c>
    </row>
    <row r="1471" spans="1:24" x14ac:dyDescent="0.25">
      <c r="A1471" s="17"/>
      <c r="B1471" s="17"/>
      <c r="C1471" s="17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8">
        <v>0</v>
      </c>
      <c r="W1471" s="17">
        <f t="shared" si="46"/>
        <v>0</v>
      </c>
      <c r="X1471" s="5">
        <f t="shared" si="47"/>
        <v>0</v>
      </c>
    </row>
    <row r="1472" spans="1:24" x14ac:dyDescent="0.25">
      <c r="A1472" s="17"/>
      <c r="B1472" s="17"/>
      <c r="C1472" s="17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8">
        <v>0</v>
      </c>
      <c r="W1472" s="17">
        <f t="shared" si="46"/>
        <v>0</v>
      </c>
      <c r="X1472" s="5">
        <f t="shared" si="47"/>
        <v>0</v>
      </c>
    </row>
    <row r="1473" spans="1:24" x14ac:dyDescent="0.25">
      <c r="A1473" s="17"/>
      <c r="B1473" s="17"/>
      <c r="C1473" s="17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8">
        <v>0</v>
      </c>
      <c r="W1473" s="17">
        <f t="shared" si="46"/>
        <v>0</v>
      </c>
      <c r="X1473" s="5">
        <f t="shared" si="47"/>
        <v>0</v>
      </c>
    </row>
    <row r="1474" spans="1:24" x14ac:dyDescent="0.25">
      <c r="A1474" s="17"/>
      <c r="B1474" s="17"/>
      <c r="C1474" s="17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8">
        <v>0</v>
      </c>
      <c r="W1474" s="17">
        <f t="shared" si="46"/>
        <v>0</v>
      </c>
      <c r="X1474" s="5">
        <f t="shared" si="47"/>
        <v>0</v>
      </c>
    </row>
    <row r="1475" spans="1:24" x14ac:dyDescent="0.25">
      <c r="A1475" s="17"/>
      <c r="B1475" s="17"/>
      <c r="C1475" s="17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8">
        <v>0</v>
      </c>
      <c r="W1475" s="17">
        <f t="shared" ref="W1475:W1538" si="48">HOUR(E1475)</f>
        <v>0</v>
      </c>
      <c r="X1475" s="5">
        <f t="shared" ref="X1475:X1538" si="49">IF(D1475=D1474,0,1)</f>
        <v>0</v>
      </c>
    </row>
    <row r="1476" spans="1:24" x14ac:dyDescent="0.25">
      <c r="A1476" s="17"/>
      <c r="B1476" s="17"/>
      <c r="C1476" s="17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8">
        <v>0</v>
      </c>
      <c r="W1476" s="17">
        <f t="shared" si="48"/>
        <v>0</v>
      </c>
      <c r="X1476" s="5">
        <f t="shared" si="49"/>
        <v>0</v>
      </c>
    </row>
    <row r="1477" spans="1:24" x14ac:dyDescent="0.25">
      <c r="A1477" s="17"/>
      <c r="B1477" s="17"/>
      <c r="C1477" s="17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8">
        <v>0</v>
      </c>
      <c r="W1477" s="17">
        <f t="shared" si="48"/>
        <v>0</v>
      </c>
      <c r="X1477" s="5">
        <f t="shared" si="49"/>
        <v>0</v>
      </c>
    </row>
    <row r="1478" spans="1:24" x14ac:dyDescent="0.25">
      <c r="A1478" s="17"/>
      <c r="B1478" s="17"/>
      <c r="C1478" s="17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8">
        <v>0</v>
      </c>
      <c r="W1478" s="17">
        <f t="shared" si="48"/>
        <v>0</v>
      </c>
      <c r="X1478" s="5">
        <f t="shared" si="49"/>
        <v>0</v>
      </c>
    </row>
    <row r="1479" spans="1:24" x14ac:dyDescent="0.25">
      <c r="A1479" s="17"/>
      <c r="B1479" s="17"/>
      <c r="C1479" s="17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8">
        <v>0</v>
      </c>
      <c r="W1479" s="17">
        <f t="shared" si="48"/>
        <v>0</v>
      </c>
      <c r="X1479" s="5">
        <f t="shared" si="49"/>
        <v>0</v>
      </c>
    </row>
    <row r="1480" spans="1:24" x14ac:dyDescent="0.25">
      <c r="A1480" s="17"/>
      <c r="B1480" s="17"/>
      <c r="C1480" s="17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8">
        <v>0</v>
      </c>
      <c r="W1480" s="17">
        <f t="shared" si="48"/>
        <v>0</v>
      </c>
      <c r="X1480" s="5">
        <f t="shared" si="49"/>
        <v>0</v>
      </c>
    </row>
    <row r="1481" spans="1:24" x14ac:dyDescent="0.25">
      <c r="A1481" s="17"/>
      <c r="B1481" s="17"/>
      <c r="C1481" s="17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8">
        <v>0</v>
      </c>
      <c r="W1481" s="17">
        <f t="shared" si="48"/>
        <v>0</v>
      </c>
      <c r="X1481" s="5">
        <f t="shared" si="49"/>
        <v>0</v>
      </c>
    </row>
    <row r="1482" spans="1:24" x14ac:dyDescent="0.25">
      <c r="A1482" s="17"/>
      <c r="B1482" s="17"/>
      <c r="C1482" s="17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8">
        <v>0</v>
      </c>
      <c r="W1482" s="17">
        <f t="shared" si="48"/>
        <v>0</v>
      </c>
      <c r="X1482" s="5">
        <f t="shared" si="49"/>
        <v>0</v>
      </c>
    </row>
    <row r="1483" spans="1:24" x14ac:dyDescent="0.25">
      <c r="A1483" s="17"/>
      <c r="B1483" s="17"/>
      <c r="C1483" s="17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8">
        <v>0</v>
      </c>
      <c r="W1483" s="17">
        <f t="shared" si="48"/>
        <v>0</v>
      </c>
      <c r="X1483" s="5">
        <f t="shared" si="49"/>
        <v>0</v>
      </c>
    </row>
    <row r="1484" spans="1:24" x14ac:dyDescent="0.25">
      <c r="A1484" s="17"/>
      <c r="B1484" s="17"/>
      <c r="C1484" s="17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8">
        <v>0</v>
      </c>
      <c r="W1484" s="17">
        <f t="shared" si="48"/>
        <v>0</v>
      </c>
      <c r="X1484" s="5">
        <f t="shared" si="49"/>
        <v>0</v>
      </c>
    </row>
    <row r="1485" spans="1:24" x14ac:dyDescent="0.25">
      <c r="A1485" s="17"/>
      <c r="B1485" s="17"/>
      <c r="C1485" s="17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8">
        <v>0</v>
      </c>
      <c r="W1485" s="17">
        <f t="shared" si="48"/>
        <v>0</v>
      </c>
      <c r="X1485" s="5">
        <f t="shared" si="49"/>
        <v>0</v>
      </c>
    </row>
    <row r="1486" spans="1:24" x14ac:dyDescent="0.25">
      <c r="A1486" s="17"/>
      <c r="B1486" s="17"/>
      <c r="C1486" s="17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8">
        <v>0</v>
      </c>
      <c r="W1486" s="17">
        <f t="shared" si="48"/>
        <v>0</v>
      </c>
      <c r="X1486" s="5">
        <f t="shared" si="49"/>
        <v>0</v>
      </c>
    </row>
    <row r="1487" spans="1:24" x14ac:dyDescent="0.25">
      <c r="A1487" s="17"/>
      <c r="B1487" s="17"/>
      <c r="C1487" s="17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8">
        <v>0</v>
      </c>
      <c r="W1487" s="17">
        <f t="shared" si="48"/>
        <v>0</v>
      </c>
      <c r="X1487" s="5">
        <f t="shared" si="49"/>
        <v>0</v>
      </c>
    </row>
    <row r="1488" spans="1:24" x14ac:dyDescent="0.25">
      <c r="A1488" s="17"/>
      <c r="B1488" s="17"/>
      <c r="C1488" s="17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8">
        <v>0</v>
      </c>
      <c r="W1488" s="17">
        <f t="shared" si="48"/>
        <v>0</v>
      </c>
      <c r="X1488" s="5">
        <f t="shared" si="49"/>
        <v>0</v>
      </c>
    </row>
    <row r="1489" spans="1:24" x14ac:dyDescent="0.25">
      <c r="A1489" s="17"/>
      <c r="B1489" s="17"/>
      <c r="C1489" s="17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8">
        <v>0</v>
      </c>
      <c r="W1489" s="17">
        <f t="shared" si="48"/>
        <v>0</v>
      </c>
      <c r="X1489" s="5">
        <f t="shared" si="49"/>
        <v>0</v>
      </c>
    </row>
    <row r="1490" spans="1:24" x14ac:dyDescent="0.25">
      <c r="A1490" s="17"/>
      <c r="B1490" s="17"/>
      <c r="C1490" s="17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8">
        <v>0</v>
      </c>
      <c r="W1490" s="17">
        <f t="shared" si="48"/>
        <v>0</v>
      </c>
      <c r="X1490" s="5">
        <f t="shared" si="49"/>
        <v>0</v>
      </c>
    </row>
    <row r="1491" spans="1:24" x14ac:dyDescent="0.25">
      <c r="A1491" s="17"/>
      <c r="B1491" s="17"/>
      <c r="C1491" s="17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8">
        <v>0</v>
      </c>
      <c r="W1491" s="17">
        <f t="shared" si="48"/>
        <v>0</v>
      </c>
      <c r="X1491" s="5">
        <f t="shared" si="49"/>
        <v>0</v>
      </c>
    </row>
    <row r="1492" spans="1:24" x14ac:dyDescent="0.25">
      <c r="A1492" s="17"/>
      <c r="B1492" s="17"/>
      <c r="C1492" s="17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8">
        <v>0</v>
      </c>
      <c r="W1492" s="17">
        <f t="shared" si="48"/>
        <v>0</v>
      </c>
      <c r="X1492" s="5">
        <f t="shared" si="49"/>
        <v>0</v>
      </c>
    </row>
    <row r="1493" spans="1:24" x14ac:dyDescent="0.25">
      <c r="A1493" s="17"/>
      <c r="B1493" s="17"/>
      <c r="C1493" s="17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8">
        <v>0</v>
      </c>
      <c r="W1493" s="17">
        <f t="shared" si="48"/>
        <v>0</v>
      </c>
      <c r="X1493" s="5">
        <f t="shared" si="49"/>
        <v>0</v>
      </c>
    </row>
    <row r="1494" spans="1:24" x14ac:dyDescent="0.25">
      <c r="A1494" s="17"/>
      <c r="B1494" s="17"/>
      <c r="C1494" s="17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8">
        <v>0</v>
      </c>
      <c r="W1494" s="17">
        <f t="shared" si="48"/>
        <v>0</v>
      </c>
      <c r="X1494" s="5">
        <f t="shared" si="49"/>
        <v>0</v>
      </c>
    </row>
    <row r="1495" spans="1:24" x14ac:dyDescent="0.25">
      <c r="A1495" s="17"/>
      <c r="B1495" s="17"/>
      <c r="C1495" s="17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8">
        <v>0</v>
      </c>
      <c r="W1495" s="17">
        <f t="shared" si="48"/>
        <v>0</v>
      </c>
      <c r="X1495" s="5">
        <f t="shared" si="49"/>
        <v>0</v>
      </c>
    </row>
    <row r="1496" spans="1:24" x14ac:dyDescent="0.25">
      <c r="A1496" s="17"/>
      <c r="B1496" s="17"/>
      <c r="C1496" s="17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8">
        <v>0</v>
      </c>
      <c r="W1496" s="17">
        <f t="shared" si="48"/>
        <v>0</v>
      </c>
      <c r="X1496" s="5">
        <f t="shared" si="49"/>
        <v>0</v>
      </c>
    </row>
    <row r="1497" spans="1:24" x14ac:dyDescent="0.25">
      <c r="A1497" s="17"/>
      <c r="B1497" s="17"/>
      <c r="C1497" s="17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8">
        <v>0</v>
      </c>
      <c r="W1497" s="17">
        <f t="shared" si="48"/>
        <v>0</v>
      </c>
      <c r="X1497" s="5">
        <f t="shared" si="49"/>
        <v>0</v>
      </c>
    </row>
    <row r="1498" spans="1:24" x14ac:dyDescent="0.25">
      <c r="A1498" s="17"/>
      <c r="B1498" s="17"/>
      <c r="C1498" s="17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8">
        <v>0</v>
      </c>
      <c r="W1498" s="17">
        <f t="shared" si="48"/>
        <v>0</v>
      </c>
      <c r="X1498" s="5">
        <f t="shared" si="49"/>
        <v>0</v>
      </c>
    </row>
    <row r="1499" spans="1:24" x14ac:dyDescent="0.25">
      <c r="A1499" s="17"/>
      <c r="B1499" s="17"/>
      <c r="C1499" s="17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8">
        <v>0</v>
      </c>
      <c r="W1499" s="17">
        <f t="shared" si="48"/>
        <v>0</v>
      </c>
      <c r="X1499" s="5">
        <f t="shared" si="49"/>
        <v>0</v>
      </c>
    </row>
    <row r="1500" spans="1:24" x14ac:dyDescent="0.25">
      <c r="A1500" s="17"/>
      <c r="B1500" s="17"/>
      <c r="C1500" s="17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8">
        <v>0</v>
      </c>
      <c r="W1500" s="17">
        <f t="shared" si="48"/>
        <v>0</v>
      </c>
      <c r="X1500" s="5">
        <f t="shared" si="49"/>
        <v>0</v>
      </c>
    </row>
    <row r="1501" spans="1:24" x14ac:dyDescent="0.25">
      <c r="A1501" s="17"/>
      <c r="B1501" s="17"/>
      <c r="C1501" s="17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8">
        <v>0</v>
      </c>
      <c r="W1501" s="17">
        <f t="shared" si="48"/>
        <v>0</v>
      </c>
      <c r="X1501" s="5">
        <f t="shared" si="49"/>
        <v>0</v>
      </c>
    </row>
    <row r="1502" spans="1:24" x14ac:dyDescent="0.25">
      <c r="A1502" s="17"/>
      <c r="B1502" s="17"/>
      <c r="C1502" s="17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8">
        <v>0</v>
      </c>
      <c r="W1502" s="17">
        <f t="shared" si="48"/>
        <v>0</v>
      </c>
      <c r="X1502" s="5">
        <f t="shared" si="49"/>
        <v>0</v>
      </c>
    </row>
    <row r="1503" spans="1:24" x14ac:dyDescent="0.25">
      <c r="A1503" s="17"/>
      <c r="B1503" s="17"/>
      <c r="C1503" s="17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8">
        <v>0</v>
      </c>
      <c r="W1503" s="17">
        <f t="shared" si="48"/>
        <v>0</v>
      </c>
      <c r="X1503" s="5">
        <f t="shared" si="49"/>
        <v>0</v>
      </c>
    </row>
    <row r="1504" spans="1:24" x14ac:dyDescent="0.25">
      <c r="A1504" s="17"/>
      <c r="B1504" s="17"/>
      <c r="C1504" s="17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8">
        <v>0</v>
      </c>
      <c r="W1504" s="17">
        <f t="shared" si="48"/>
        <v>0</v>
      </c>
      <c r="X1504" s="5">
        <f t="shared" si="49"/>
        <v>0</v>
      </c>
    </row>
    <row r="1505" spans="1:24" x14ac:dyDescent="0.25">
      <c r="A1505" s="17"/>
      <c r="B1505" s="17"/>
      <c r="C1505" s="17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8">
        <v>0</v>
      </c>
      <c r="W1505" s="17">
        <f t="shared" si="48"/>
        <v>0</v>
      </c>
      <c r="X1505" s="5">
        <f t="shared" si="49"/>
        <v>0</v>
      </c>
    </row>
    <row r="1506" spans="1:24" x14ac:dyDescent="0.25">
      <c r="A1506" s="17"/>
      <c r="B1506" s="17"/>
      <c r="C1506" s="17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8">
        <v>0</v>
      </c>
      <c r="W1506" s="17">
        <f t="shared" si="48"/>
        <v>0</v>
      </c>
      <c r="X1506" s="5">
        <f t="shared" si="49"/>
        <v>0</v>
      </c>
    </row>
    <row r="1507" spans="1:24" x14ac:dyDescent="0.25">
      <c r="A1507" s="17"/>
      <c r="B1507" s="17"/>
      <c r="C1507" s="17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  <c r="N1507" s="17"/>
      <c r="O1507" s="17"/>
      <c r="P1507" s="17"/>
      <c r="Q1507" s="17"/>
      <c r="R1507" s="17"/>
      <c r="S1507" s="17"/>
      <c r="T1507" s="17"/>
      <c r="U1507" s="17"/>
      <c r="V1507" s="18">
        <v>0</v>
      </c>
      <c r="W1507" s="17">
        <f t="shared" si="48"/>
        <v>0</v>
      </c>
      <c r="X1507" s="5">
        <f t="shared" si="49"/>
        <v>0</v>
      </c>
    </row>
    <row r="1508" spans="1:24" x14ac:dyDescent="0.25">
      <c r="A1508" s="17"/>
      <c r="B1508" s="17"/>
      <c r="C1508" s="17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  <c r="N1508" s="17"/>
      <c r="O1508" s="17"/>
      <c r="P1508" s="17"/>
      <c r="Q1508" s="17"/>
      <c r="R1508" s="17"/>
      <c r="S1508" s="17"/>
      <c r="T1508" s="17"/>
      <c r="U1508" s="17"/>
      <c r="V1508" s="18">
        <v>0</v>
      </c>
      <c r="W1508" s="17">
        <f t="shared" si="48"/>
        <v>0</v>
      </c>
      <c r="X1508" s="5">
        <f t="shared" si="49"/>
        <v>0</v>
      </c>
    </row>
    <row r="1509" spans="1:24" x14ac:dyDescent="0.25">
      <c r="A1509" s="17"/>
      <c r="B1509" s="17"/>
      <c r="C1509" s="17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  <c r="N1509" s="17"/>
      <c r="O1509" s="17"/>
      <c r="P1509" s="17"/>
      <c r="Q1509" s="17"/>
      <c r="R1509" s="17"/>
      <c r="S1509" s="17"/>
      <c r="T1509" s="17"/>
      <c r="U1509" s="17"/>
      <c r="V1509" s="18">
        <v>0</v>
      </c>
      <c r="W1509" s="17">
        <f t="shared" si="48"/>
        <v>0</v>
      </c>
      <c r="X1509" s="5">
        <f t="shared" si="49"/>
        <v>0</v>
      </c>
    </row>
    <row r="1510" spans="1:24" x14ac:dyDescent="0.25">
      <c r="A1510" s="17"/>
      <c r="B1510" s="17"/>
      <c r="C1510" s="17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8">
        <v>0</v>
      </c>
      <c r="W1510" s="17">
        <f t="shared" si="48"/>
        <v>0</v>
      </c>
      <c r="X1510" s="5">
        <f t="shared" si="49"/>
        <v>0</v>
      </c>
    </row>
    <row r="1511" spans="1:24" x14ac:dyDescent="0.25">
      <c r="A1511" s="17"/>
      <c r="B1511" s="17"/>
      <c r="C1511" s="17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8">
        <v>0</v>
      </c>
      <c r="W1511" s="17">
        <f t="shared" si="48"/>
        <v>0</v>
      </c>
      <c r="X1511" s="5">
        <f t="shared" si="49"/>
        <v>0</v>
      </c>
    </row>
    <row r="1512" spans="1:24" x14ac:dyDescent="0.25">
      <c r="A1512" s="17"/>
      <c r="B1512" s="17"/>
      <c r="C1512" s="17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8">
        <v>0</v>
      </c>
      <c r="W1512" s="17">
        <f t="shared" si="48"/>
        <v>0</v>
      </c>
      <c r="X1512" s="5">
        <f t="shared" si="49"/>
        <v>0</v>
      </c>
    </row>
    <row r="1513" spans="1:24" x14ac:dyDescent="0.25">
      <c r="A1513" s="17"/>
      <c r="B1513" s="17"/>
      <c r="C1513" s="17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8">
        <v>0</v>
      </c>
      <c r="W1513" s="17">
        <f t="shared" si="48"/>
        <v>0</v>
      </c>
      <c r="X1513" s="5">
        <f t="shared" si="49"/>
        <v>0</v>
      </c>
    </row>
    <row r="1514" spans="1:24" x14ac:dyDescent="0.25">
      <c r="A1514" s="17"/>
      <c r="B1514" s="17"/>
      <c r="C1514" s="17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8">
        <v>0</v>
      </c>
      <c r="W1514" s="17">
        <f t="shared" si="48"/>
        <v>0</v>
      </c>
      <c r="X1514" s="5">
        <f t="shared" si="49"/>
        <v>0</v>
      </c>
    </row>
    <row r="1515" spans="1:24" x14ac:dyDescent="0.25">
      <c r="A1515" s="17"/>
      <c r="B1515" s="17"/>
      <c r="C1515" s="17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  <c r="N1515" s="17"/>
      <c r="O1515" s="17"/>
      <c r="P1515" s="17"/>
      <c r="Q1515" s="17"/>
      <c r="R1515" s="17"/>
      <c r="S1515" s="17"/>
      <c r="T1515" s="17"/>
      <c r="U1515" s="17"/>
      <c r="V1515" s="18">
        <v>0</v>
      </c>
      <c r="W1515" s="17">
        <f t="shared" si="48"/>
        <v>0</v>
      </c>
      <c r="X1515" s="5">
        <f t="shared" si="49"/>
        <v>0</v>
      </c>
    </row>
    <row r="1516" spans="1:24" x14ac:dyDescent="0.25">
      <c r="A1516" s="17"/>
      <c r="B1516" s="17"/>
      <c r="C1516" s="17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  <c r="N1516" s="17"/>
      <c r="O1516" s="17"/>
      <c r="P1516" s="17"/>
      <c r="Q1516" s="17"/>
      <c r="R1516" s="17"/>
      <c r="S1516" s="17"/>
      <c r="T1516" s="17"/>
      <c r="U1516" s="17"/>
      <c r="V1516" s="18">
        <v>0</v>
      </c>
      <c r="W1516" s="17">
        <f t="shared" si="48"/>
        <v>0</v>
      </c>
      <c r="X1516" s="5">
        <f t="shared" si="49"/>
        <v>0</v>
      </c>
    </row>
    <row r="1517" spans="1:24" x14ac:dyDescent="0.25">
      <c r="A1517" s="17"/>
      <c r="B1517" s="17"/>
      <c r="C1517" s="17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  <c r="N1517" s="17"/>
      <c r="O1517" s="17"/>
      <c r="P1517" s="17"/>
      <c r="Q1517" s="17"/>
      <c r="R1517" s="17"/>
      <c r="S1517" s="17"/>
      <c r="T1517" s="17"/>
      <c r="U1517" s="17"/>
      <c r="V1517" s="18">
        <v>0</v>
      </c>
      <c r="W1517" s="17">
        <f t="shared" si="48"/>
        <v>0</v>
      </c>
      <c r="X1517" s="5">
        <f t="shared" si="49"/>
        <v>0</v>
      </c>
    </row>
    <row r="1518" spans="1:24" x14ac:dyDescent="0.25">
      <c r="A1518" s="17"/>
      <c r="B1518" s="17"/>
      <c r="C1518" s="17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8">
        <v>0</v>
      </c>
      <c r="W1518" s="17">
        <f t="shared" si="48"/>
        <v>0</v>
      </c>
      <c r="X1518" s="5">
        <f t="shared" si="49"/>
        <v>0</v>
      </c>
    </row>
    <row r="1519" spans="1:24" x14ac:dyDescent="0.25">
      <c r="A1519" s="17"/>
      <c r="B1519" s="17"/>
      <c r="C1519" s="17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8">
        <v>0</v>
      </c>
      <c r="W1519" s="17">
        <f t="shared" si="48"/>
        <v>0</v>
      </c>
      <c r="X1519" s="5">
        <f t="shared" si="49"/>
        <v>0</v>
      </c>
    </row>
    <row r="1520" spans="1:24" x14ac:dyDescent="0.25">
      <c r="A1520" s="17"/>
      <c r="B1520" s="17"/>
      <c r="C1520" s="17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  <c r="N1520" s="17"/>
      <c r="O1520" s="17"/>
      <c r="P1520" s="17"/>
      <c r="Q1520" s="17"/>
      <c r="R1520" s="17"/>
      <c r="S1520" s="17"/>
      <c r="T1520" s="17"/>
      <c r="U1520" s="17"/>
      <c r="V1520" s="18">
        <v>0</v>
      </c>
      <c r="W1520" s="17">
        <f t="shared" si="48"/>
        <v>0</v>
      </c>
      <c r="X1520" s="5">
        <f t="shared" si="49"/>
        <v>0</v>
      </c>
    </row>
    <row r="1521" spans="1:24" x14ac:dyDescent="0.25">
      <c r="A1521" s="17"/>
      <c r="B1521" s="17"/>
      <c r="C1521" s="17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  <c r="N1521" s="17"/>
      <c r="O1521" s="17"/>
      <c r="P1521" s="17"/>
      <c r="Q1521" s="17"/>
      <c r="R1521" s="17"/>
      <c r="S1521" s="17"/>
      <c r="T1521" s="17"/>
      <c r="U1521" s="17"/>
      <c r="V1521" s="18">
        <v>0</v>
      </c>
      <c r="W1521" s="17">
        <f t="shared" si="48"/>
        <v>0</v>
      </c>
      <c r="X1521" s="5">
        <f t="shared" si="49"/>
        <v>0</v>
      </c>
    </row>
    <row r="1522" spans="1:24" x14ac:dyDescent="0.25">
      <c r="A1522" s="17"/>
      <c r="B1522" s="17"/>
      <c r="C1522" s="17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  <c r="N1522" s="17"/>
      <c r="O1522" s="17"/>
      <c r="P1522" s="17"/>
      <c r="Q1522" s="17"/>
      <c r="R1522" s="17"/>
      <c r="S1522" s="17"/>
      <c r="T1522" s="17"/>
      <c r="U1522" s="17"/>
      <c r="V1522" s="18">
        <v>0</v>
      </c>
      <c r="W1522" s="17">
        <f t="shared" si="48"/>
        <v>0</v>
      </c>
      <c r="X1522" s="5">
        <f t="shared" si="49"/>
        <v>0</v>
      </c>
    </row>
    <row r="1523" spans="1:24" x14ac:dyDescent="0.25">
      <c r="A1523" s="17"/>
      <c r="B1523" s="17"/>
      <c r="C1523" s="17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8">
        <v>0</v>
      </c>
      <c r="W1523" s="17">
        <f t="shared" si="48"/>
        <v>0</v>
      </c>
      <c r="X1523" s="5">
        <f t="shared" si="49"/>
        <v>0</v>
      </c>
    </row>
    <row r="1524" spans="1:24" x14ac:dyDescent="0.25">
      <c r="A1524" s="17"/>
      <c r="B1524" s="17"/>
      <c r="C1524" s="17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8">
        <v>0</v>
      </c>
      <c r="W1524" s="17">
        <f t="shared" si="48"/>
        <v>0</v>
      </c>
      <c r="X1524" s="5">
        <f t="shared" si="49"/>
        <v>0</v>
      </c>
    </row>
    <row r="1525" spans="1:24" x14ac:dyDescent="0.25">
      <c r="A1525" s="17"/>
      <c r="B1525" s="17"/>
      <c r="C1525" s="17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8">
        <v>0</v>
      </c>
      <c r="W1525" s="17">
        <f t="shared" si="48"/>
        <v>0</v>
      </c>
      <c r="X1525" s="5">
        <f t="shared" si="49"/>
        <v>0</v>
      </c>
    </row>
    <row r="1526" spans="1:24" x14ac:dyDescent="0.25">
      <c r="A1526" s="17"/>
      <c r="B1526" s="17"/>
      <c r="C1526" s="17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8">
        <v>0</v>
      </c>
      <c r="W1526" s="17">
        <f t="shared" si="48"/>
        <v>0</v>
      </c>
      <c r="X1526" s="5">
        <f t="shared" si="49"/>
        <v>0</v>
      </c>
    </row>
    <row r="1527" spans="1:24" x14ac:dyDescent="0.25">
      <c r="A1527" s="17"/>
      <c r="B1527" s="17"/>
      <c r="C1527" s="17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  <c r="N1527" s="17"/>
      <c r="O1527" s="17"/>
      <c r="P1527" s="17"/>
      <c r="Q1527" s="17"/>
      <c r="R1527" s="17"/>
      <c r="S1527" s="17"/>
      <c r="T1527" s="17"/>
      <c r="U1527" s="17"/>
      <c r="V1527" s="18">
        <v>0</v>
      </c>
      <c r="W1527" s="17">
        <f t="shared" si="48"/>
        <v>0</v>
      </c>
      <c r="X1527" s="5">
        <f t="shared" si="49"/>
        <v>0</v>
      </c>
    </row>
    <row r="1528" spans="1:24" x14ac:dyDescent="0.25">
      <c r="A1528" s="17"/>
      <c r="B1528" s="17"/>
      <c r="C1528" s="17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  <c r="N1528" s="17"/>
      <c r="O1528" s="17"/>
      <c r="P1528" s="17"/>
      <c r="Q1528" s="17"/>
      <c r="R1528" s="17"/>
      <c r="S1528" s="17"/>
      <c r="T1528" s="17"/>
      <c r="U1528" s="17"/>
      <c r="V1528" s="18">
        <v>0</v>
      </c>
      <c r="W1528" s="17">
        <f t="shared" si="48"/>
        <v>0</v>
      </c>
      <c r="X1528" s="5">
        <f t="shared" si="49"/>
        <v>0</v>
      </c>
    </row>
    <row r="1529" spans="1:24" x14ac:dyDescent="0.25">
      <c r="A1529" s="17"/>
      <c r="B1529" s="17"/>
      <c r="C1529" s="17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  <c r="N1529" s="17"/>
      <c r="O1529" s="17"/>
      <c r="P1529" s="17"/>
      <c r="Q1529" s="17"/>
      <c r="R1529" s="17"/>
      <c r="S1529" s="17"/>
      <c r="T1529" s="17"/>
      <c r="U1529" s="17"/>
      <c r="V1529" s="18">
        <v>0</v>
      </c>
      <c r="W1529" s="17">
        <f t="shared" si="48"/>
        <v>0</v>
      </c>
      <c r="X1529" s="5">
        <f t="shared" si="49"/>
        <v>0</v>
      </c>
    </row>
    <row r="1530" spans="1:24" x14ac:dyDescent="0.25">
      <c r="A1530" s="17"/>
      <c r="B1530" s="17"/>
      <c r="C1530" s="17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8">
        <v>0</v>
      </c>
      <c r="W1530" s="17">
        <f t="shared" si="48"/>
        <v>0</v>
      </c>
      <c r="X1530" s="5">
        <f t="shared" si="49"/>
        <v>0</v>
      </c>
    </row>
    <row r="1531" spans="1:24" x14ac:dyDescent="0.25">
      <c r="A1531" s="17"/>
      <c r="B1531" s="17"/>
      <c r="C1531" s="17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8">
        <v>0</v>
      </c>
      <c r="W1531" s="17">
        <f t="shared" si="48"/>
        <v>0</v>
      </c>
      <c r="X1531" s="5">
        <f t="shared" si="49"/>
        <v>0</v>
      </c>
    </row>
    <row r="1532" spans="1:24" x14ac:dyDescent="0.25">
      <c r="A1532" s="17"/>
      <c r="B1532" s="17"/>
      <c r="C1532" s="17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8">
        <v>0</v>
      </c>
      <c r="W1532" s="17">
        <f t="shared" si="48"/>
        <v>0</v>
      </c>
      <c r="X1532" s="5">
        <f t="shared" si="49"/>
        <v>0</v>
      </c>
    </row>
    <row r="1533" spans="1:24" x14ac:dyDescent="0.25">
      <c r="A1533" s="17"/>
      <c r="B1533" s="17"/>
      <c r="C1533" s="17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8">
        <v>0</v>
      </c>
      <c r="W1533" s="17">
        <f t="shared" si="48"/>
        <v>0</v>
      </c>
      <c r="X1533" s="5">
        <f t="shared" si="49"/>
        <v>0</v>
      </c>
    </row>
    <row r="1534" spans="1:24" x14ac:dyDescent="0.25">
      <c r="A1534" s="17"/>
      <c r="B1534" s="17"/>
      <c r="C1534" s="17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8">
        <v>0</v>
      </c>
      <c r="W1534" s="17">
        <f t="shared" si="48"/>
        <v>0</v>
      </c>
      <c r="X1534" s="5">
        <f t="shared" si="49"/>
        <v>0</v>
      </c>
    </row>
    <row r="1535" spans="1:24" x14ac:dyDescent="0.25">
      <c r="A1535" s="17"/>
      <c r="B1535" s="17"/>
      <c r="C1535" s="17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  <c r="N1535" s="17"/>
      <c r="O1535" s="17"/>
      <c r="P1535" s="17"/>
      <c r="Q1535" s="17"/>
      <c r="R1535" s="17"/>
      <c r="S1535" s="17"/>
      <c r="T1535" s="17"/>
      <c r="U1535" s="17"/>
      <c r="V1535" s="18">
        <v>0</v>
      </c>
      <c r="W1535" s="17">
        <f t="shared" si="48"/>
        <v>0</v>
      </c>
      <c r="X1535" s="5">
        <f t="shared" si="49"/>
        <v>0</v>
      </c>
    </row>
    <row r="1536" spans="1:24" x14ac:dyDescent="0.25">
      <c r="A1536" s="17"/>
      <c r="B1536" s="17"/>
      <c r="C1536" s="17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  <c r="N1536" s="17"/>
      <c r="O1536" s="17"/>
      <c r="P1536" s="17"/>
      <c r="Q1536" s="17"/>
      <c r="R1536" s="17"/>
      <c r="S1536" s="17"/>
      <c r="T1536" s="17"/>
      <c r="U1536" s="17"/>
      <c r="V1536" s="18">
        <v>0</v>
      </c>
      <c r="W1536" s="17">
        <f t="shared" si="48"/>
        <v>0</v>
      </c>
      <c r="X1536" s="5">
        <f t="shared" si="49"/>
        <v>0</v>
      </c>
    </row>
    <row r="1537" spans="1:24" x14ac:dyDescent="0.25">
      <c r="A1537" s="17"/>
      <c r="B1537" s="17"/>
      <c r="C1537" s="17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  <c r="N1537" s="17"/>
      <c r="O1537" s="17"/>
      <c r="P1537" s="17"/>
      <c r="Q1537" s="17"/>
      <c r="R1537" s="17"/>
      <c r="S1537" s="17"/>
      <c r="T1537" s="17"/>
      <c r="U1537" s="17"/>
      <c r="V1537" s="18">
        <v>0</v>
      </c>
      <c r="W1537" s="17">
        <f t="shared" si="48"/>
        <v>0</v>
      </c>
      <c r="X1537" s="5">
        <f t="shared" si="49"/>
        <v>0</v>
      </c>
    </row>
    <row r="1538" spans="1:24" x14ac:dyDescent="0.25">
      <c r="A1538" s="17"/>
      <c r="B1538" s="17"/>
      <c r="C1538" s="17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  <c r="N1538" s="17"/>
      <c r="O1538" s="17"/>
      <c r="P1538" s="17"/>
      <c r="Q1538" s="17"/>
      <c r="R1538" s="17"/>
      <c r="S1538" s="17"/>
      <c r="T1538" s="17"/>
      <c r="U1538" s="17"/>
      <c r="V1538" s="18">
        <v>0</v>
      </c>
      <c r="W1538" s="17">
        <f t="shared" si="48"/>
        <v>0</v>
      </c>
      <c r="X1538" s="5">
        <f t="shared" si="49"/>
        <v>0</v>
      </c>
    </row>
    <row r="1539" spans="1:24" x14ac:dyDescent="0.25">
      <c r="A1539" s="17"/>
      <c r="B1539" s="17"/>
      <c r="C1539" s="17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  <c r="N1539" s="17"/>
      <c r="O1539" s="17"/>
      <c r="P1539" s="17"/>
      <c r="Q1539" s="17"/>
      <c r="R1539" s="17"/>
      <c r="S1539" s="17"/>
      <c r="T1539" s="17"/>
      <c r="U1539" s="17"/>
      <c r="V1539" s="18">
        <v>0</v>
      </c>
      <c r="W1539" s="17">
        <f t="shared" ref="W1539:W1602" si="50">HOUR(E1539)</f>
        <v>0</v>
      </c>
      <c r="X1539" s="5">
        <f t="shared" ref="X1539:X1602" si="51">IF(D1539=D1538,0,1)</f>
        <v>0</v>
      </c>
    </row>
    <row r="1540" spans="1:24" x14ac:dyDescent="0.25">
      <c r="A1540" s="17"/>
      <c r="B1540" s="17"/>
      <c r="C1540" s="17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  <c r="N1540" s="17"/>
      <c r="O1540" s="17"/>
      <c r="P1540" s="17"/>
      <c r="Q1540" s="17"/>
      <c r="R1540" s="17"/>
      <c r="S1540" s="17"/>
      <c r="T1540" s="17"/>
      <c r="U1540" s="17"/>
      <c r="V1540" s="18">
        <v>0</v>
      </c>
      <c r="W1540" s="17">
        <f t="shared" si="50"/>
        <v>0</v>
      </c>
      <c r="X1540" s="5">
        <f t="shared" si="51"/>
        <v>0</v>
      </c>
    </row>
    <row r="1541" spans="1:24" x14ac:dyDescent="0.25">
      <c r="A1541" s="17"/>
      <c r="B1541" s="17"/>
      <c r="C1541" s="17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  <c r="N1541" s="17"/>
      <c r="O1541" s="17"/>
      <c r="P1541" s="17"/>
      <c r="Q1541" s="17"/>
      <c r="R1541" s="17"/>
      <c r="S1541" s="17"/>
      <c r="T1541" s="17"/>
      <c r="U1541" s="17"/>
      <c r="V1541" s="18">
        <v>0</v>
      </c>
      <c r="W1541" s="17">
        <f t="shared" si="50"/>
        <v>0</v>
      </c>
      <c r="X1541" s="5">
        <f t="shared" si="51"/>
        <v>0</v>
      </c>
    </row>
    <row r="1542" spans="1:24" x14ac:dyDescent="0.25">
      <c r="A1542" s="17"/>
      <c r="B1542" s="17"/>
      <c r="C1542" s="17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8">
        <v>0</v>
      </c>
      <c r="W1542" s="17">
        <f t="shared" si="50"/>
        <v>0</v>
      </c>
      <c r="X1542" s="5">
        <f t="shared" si="51"/>
        <v>0</v>
      </c>
    </row>
    <row r="1543" spans="1:24" x14ac:dyDescent="0.25">
      <c r="A1543" s="17"/>
      <c r="B1543" s="17"/>
      <c r="C1543" s="17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8">
        <v>0</v>
      </c>
      <c r="W1543" s="17">
        <f t="shared" si="50"/>
        <v>0</v>
      </c>
      <c r="X1543" s="5">
        <f t="shared" si="51"/>
        <v>0</v>
      </c>
    </row>
    <row r="1544" spans="1:24" x14ac:dyDescent="0.25">
      <c r="A1544" s="17"/>
      <c r="B1544" s="17"/>
      <c r="C1544" s="17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8">
        <v>0</v>
      </c>
      <c r="W1544" s="17">
        <f t="shared" si="50"/>
        <v>0</v>
      </c>
      <c r="X1544" s="5">
        <f t="shared" si="51"/>
        <v>0</v>
      </c>
    </row>
    <row r="1545" spans="1:24" x14ac:dyDescent="0.25">
      <c r="A1545" s="17"/>
      <c r="B1545" s="17"/>
      <c r="C1545" s="17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8">
        <v>0</v>
      </c>
      <c r="W1545" s="17">
        <f t="shared" si="50"/>
        <v>0</v>
      </c>
      <c r="X1545" s="5">
        <f t="shared" si="51"/>
        <v>0</v>
      </c>
    </row>
    <row r="1546" spans="1:24" x14ac:dyDescent="0.25">
      <c r="A1546" s="17"/>
      <c r="B1546" s="17"/>
      <c r="C1546" s="17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8">
        <v>0</v>
      </c>
      <c r="W1546" s="17">
        <f t="shared" si="50"/>
        <v>0</v>
      </c>
      <c r="X1546" s="5">
        <f t="shared" si="51"/>
        <v>0</v>
      </c>
    </row>
    <row r="1547" spans="1:24" x14ac:dyDescent="0.25">
      <c r="A1547" s="17"/>
      <c r="B1547" s="17"/>
      <c r="C1547" s="17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8">
        <v>0</v>
      </c>
      <c r="W1547" s="17">
        <f t="shared" si="50"/>
        <v>0</v>
      </c>
      <c r="X1547" s="5">
        <f t="shared" si="51"/>
        <v>0</v>
      </c>
    </row>
    <row r="1548" spans="1:24" x14ac:dyDescent="0.25">
      <c r="A1548" s="17"/>
      <c r="B1548" s="17"/>
      <c r="C1548" s="17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8">
        <v>0</v>
      </c>
      <c r="W1548" s="17">
        <f t="shared" si="50"/>
        <v>0</v>
      </c>
      <c r="X1548" s="5">
        <f t="shared" si="51"/>
        <v>0</v>
      </c>
    </row>
    <row r="1549" spans="1:24" x14ac:dyDescent="0.25">
      <c r="A1549" s="17"/>
      <c r="B1549" s="17"/>
      <c r="C1549" s="17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8">
        <v>0</v>
      </c>
      <c r="W1549" s="17">
        <f t="shared" si="50"/>
        <v>0</v>
      </c>
      <c r="X1549" s="5">
        <f t="shared" si="51"/>
        <v>0</v>
      </c>
    </row>
    <row r="1550" spans="1:24" x14ac:dyDescent="0.25">
      <c r="A1550" s="17"/>
      <c r="B1550" s="17"/>
      <c r="C1550" s="17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8">
        <v>0</v>
      </c>
      <c r="W1550" s="17">
        <f t="shared" si="50"/>
        <v>0</v>
      </c>
      <c r="X1550" s="5">
        <f t="shared" si="51"/>
        <v>0</v>
      </c>
    </row>
    <row r="1551" spans="1:24" x14ac:dyDescent="0.25">
      <c r="A1551" s="17"/>
      <c r="B1551" s="17"/>
      <c r="C1551" s="17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8">
        <v>0</v>
      </c>
      <c r="W1551" s="17">
        <f t="shared" si="50"/>
        <v>0</v>
      </c>
      <c r="X1551" s="5">
        <f t="shared" si="51"/>
        <v>0</v>
      </c>
    </row>
    <row r="1552" spans="1:24" x14ac:dyDescent="0.25">
      <c r="A1552" s="17"/>
      <c r="B1552" s="17"/>
      <c r="C1552" s="17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8">
        <v>0</v>
      </c>
      <c r="W1552" s="17">
        <f t="shared" si="50"/>
        <v>0</v>
      </c>
      <c r="X1552" s="5">
        <f t="shared" si="51"/>
        <v>0</v>
      </c>
    </row>
    <row r="1553" spans="1:24" x14ac:dyDescent="0.25">
      <c r="A1553" s="17"/>
      <c r="B1553" s="17"/>
      <c r="C1553" s="17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8">
        <v>0</v>
      </c>
      <c r="W1553" s="17">
        <f t="shared" si="50"/>
        <v>0</v>
      </c>
      <c r="X1553" s="5">
        <f t="shared" si="51"/>
        <v>0</v>
      </c>
    </row>
    <row r="1554" spans="1:24" x14ac:dyDescent="0.25">
      <c r="A1554" s="17"/>
      <c r="B1554" s="17"/>
      <c r="C1554" s="17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8">
        <v>0</v>
      </c>
      <c r="W1554" s="17">
        <f t="shared" si="50"/>
        <v>0</v>
      </c>
      <c r="X1554" s="5">
        <f t="shared" si="51"/>
        <v>0</v>
      </c>
    </row>
    <row r="1555" spans="1:24" x14ac:dyDescent="0.25">
      <c r="A1555" s="17"/>
      <c r="B1555" s="17"/>
      <c r="C1555" s="17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8">
        <v>0</v>
      </c>
      <c r="W1555" s="17">
        <f t="shared" si="50"/>
        <v>0</v>
      </c>
      <c r="X1555" s="5">
        <f t="shared" si="51"/>
        <v>0</v>
      </c>
    </row>
    <row r="1556" spans="1:24" x14ac:dyDescent="0.25">
      <c r="A1556" s="17"/>
      <c r="B1556" s="17"/>
      <c r="C1556" s="17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8">
        <v>0</v>
      </c>
      <c r="W1556" s="17">
        <f t="shared" si="50"/>
        <v>0</v>
      </c>
      <c r="X1556" s="5">
        <f t="shared" si="51"/>
        <v>0</v>
      </c>
    </row>
    <row r="1557" spans="1:24" x14ac:dyDescent="0.25">
      <c r="A1557" s="17"/>
      <c r="B1557" s="17"/>
      <c r="C1557" s="17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8">
        <v>0</v>
      </c>
      <c r="W1557" s="17">
        <f t="shared" si="50"/>
        <v>0</v>
      </c>
      <c r="X1557" s="5">
        <f t="shared" si="51"/>
        <v>0</v>
      </c>
    </row>
    <row r="1558" spans="1:24" x14ac:dyDescent="0.25">
      <c r="A1558" s="17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8">
        <v>0</v>
      </c>
      <c r="W1558" s="17">
        <f t="shared" si="50"/>
        <v>0</v>
      </c>
      <c r="X1558" s="5">
        <f t="shared" si="51"/>
        <v>0</v>
      </c>
    </row>
    <row r="1559" spans="1:24" x14ac:dyDescent="0.25">
      <c r="A1559" s="17"/>
      <c r="B1559" s="17"/>
      <c r="C1559" s="17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8">
        <v>0</v>
      </c>
      <c r="W1559" s="17">
        <f t="shared" si="50"/>
        <v>0</v>
      </c>
      <c r="X1559" s="5">
        <f t="shared" si="51"/>
        <v>0</v>
      </c>
    </row>
    <row r="1560" spans="1:24" x14ac:dyDescent="0.25">
      <c r="A1560" s="17"/>
      <c r="B1560" s="17"/>
      <c r="C1560" s="17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8">
        <v>0</v>
      </c>
      <c r="W1560" s="17">
        <f t="shared" si="50"/>
        <v>0</v>
      </c>
      <c r="X1560" s="5">
        <f t="shared" si="51"/>
        <v>0</v>
      </c>
    </row>
    <row r="1561" spans="1:24" x14ac:dyDescent="0.25">
      <c r="A1561" s="17"/>
      <c r="B1561" s="17"/>
      <c r="C1561" s="17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8">
        <v>0</v>
      </c>
      <c r="W1561" s="17">
        <f t="shared" si="50"/>
        <v>0</v>
      </c>
      <c r="X1561" s="5">
        <f t="shared" si="51"/>
        <v>0</v>
      </c>
    </row>
    <row r="1562" spans="1:24" x14ac:dyDescent="0.25">
      <c r="A1562" s="17"/>
      <c r="B1562" s="17"/>
      <c r="C1562" s="17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  <c r="N1562" s="17"/>
      <c r="O1562" s="17"/>
      <c r="P1562" s="17"/>
      <c r="Q1562" s="17"/>
      <c r="R1562" s="17"/>
      <c r="S1562" s="17"/>
      <c r="T1562" s="17"/>
      <c r="U1562" s="17"/>
      <c r="V1562" s="18">
        <v>0</v>
      </c>
      <c r="W1562" s="17">
        <f t="shared" si="50"/>
        <v>0</v>
      </c>
      <c r="X1562" s="5">
        <f t="shared" si="51"/>
        <v>0</v>
      </c>
    </row>
    <row r="1563" spans="1:24" x14ac:dyDescent="0.25">
      <c r="A1563" s="17"/>
      <c r="B1563" s="17"/>
      <c r="C1563" s="17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  <c r="N1563" s="17"/>
      <c r="O1563" s="17"/>
      <c r="P1563" s="17"/>
      <c r="Q1563" s="17"/>
      <c r="R1563" s="17"/>
      <c r="S1563" s="17"/>
      <c r="T1563" s="17"/>
      <c r="U1563" s="17"/>
      <c r="V1563" s="18">
        <v>0</v>
      </c>
      <c r="W1563" s="17">
        <f t="shared" si="50"/>
        <v>0</v>
      </c>
      <c r="X1563" s="5">
        <f t="shared" si="51"/>
        <v>0</v>
      </c>
    </row>
    <row r="1564" spans="1:24" x14ac:dyDescent="0.25">
      <c r="A1564" s="17"/>
      <c r="B1564" s="17"/>
      <c r="C1564" s="17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  <c r="N1564" s="17"/>
      <c r="O1564" s="17"/>
      <c r="P1564" s="17"/>
      <c r="Q1564" s="17"/>
      <c r="R1564" s="17"/>
      <c r="S1564" s="17"/>
      <c r="T1564" s="17"/>
      <c r="U1564" s="17"/>
      <c r="V1564" s="18">
        <v>0</v>
      </c>
      <c r="W1564" s="17">
        <f t="shared" si="50"/>
        <v>0</v>
      </c>
      <c r="X1564" s="5">
        <f t="shared" si="51"/>
        <v>0</v>
      </c>
    </row>
    <row r="1565" spans="1:24" x14ac:dyDescent="0.25">
      <c r="A1565" s="17"/>
      <c r="B1565" s="17"/>
      <c r="C1565" s="17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  <c r="N1565" s="17"/>
      <c r="O1565" s="17"/>
      <c r="P1565" s="17"/>
      <c r="Q1565" s="17"/>
      <c r="R1565" s="17"/>
      <c r="S1565" s="17"/>
      <c r="T1565" s="17"/>
      <c r="U1565" s="17"/>
      <c r="V1565" s="18">
        <v>0</v>
      </c>
      <c r="W1565" s="17">
        <f t="shared" si="50"/>
        <v>0</v>
      </c>
      <c r="X1565" s="5">
        <f t="shared" si="51"/>
        <v>0</v>
      </c>
    </row>
    <row r="1566" spans="1:24" x14ac:dyDescent="0.25">
      <c r="A1566" s="17"/>
      <c r="B1566" s="17"/>
      <c r="C1566" s="17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8">
        <v>0</v>
      </c>
      <c r="W1566" s="17">
        <f t="shared" si="50"/>
        <v>0</v>
      </c>
      <c r="X1566" s="5">
        <f t="shared" si="51"/>
        <v>0</v>
      </c>
    </row>
    <row r="1567" spans="1:24" x14ac:dyDescent="0.25">
      <c r="A1567" s="17"/>
      <c r="B1567" s="17"/>
      <c r="C1567" s="17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  <c r="N1567" s="17"/>
      <c r="O1567" s="17"/>
      <c r="P1567" s="17"/>
      <c r="Q1567" s="17"/>
      <c r="R1567" s="17"/>
      <c r="S1567" s="17"/>
      <c r="T1567" s="17"/>
      <c r="U1567" s="17"/>
      <c r="V1567" s="18">
        <v>0</v>
      </c>
      <c r="W1567" s="17">
        <f t="shared" si="50"/>
        <v>0</v>
      </c>
      <c r="X1567" s="5">
        <f t="shared" si="51"/>
        <v>0</v>
      </c>
    </row>
    <row r="1568" spans="1:24" x14ac:dyDescent="0.25">
      <c r="A1568" s="17"/>
      <c r="B1568" s="17"/>
      <c r="C1568" s="17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  <c r="N1568" s="17"/>
      <c r="O1568" s="17"/>
      <c r="P1568" s="17"/>
      <c r="Q1568" s="17"/>
      <c r="R1568" s="17"/>
      <c r="S1568" s="17"/>
      <c r="T1568" s="17"/>
      <c r="U1568" s="17"/>
      <c r="V1568" s="18">
        <v>0</v>
      </c>
      <c r="W1568" s="17">
        <f t="shared" si="50"/>
        <v>0</v>
      </c>
      <c r="X1568" s="5">
        <f t="shared" si="51"/>
        <v>0</v>
      </c>
    </row>
    <row r="1569" spans="1:24" x14ac:dyDescent="0.25">
      <c r="A1569" s="17"/>
      <c r="B1569" s="17"/>
      <c r="C1569" s="17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8">
        <v>0</v>
      </c>
      <c r="W1569" s="17">
        <f t="shared" si="50"/>
        <v>0</v>
      </c>
      <c r="X1569" s="5">
        <f t="shared" si="51"/>
        <v>0</v>
      </c>
    </row>
    <row r="1570" spans="1:24" x14ac:dyDescent="0.25">
      <c r="A1570" s="17"/>
      <c r="B1570" s="17"/>
      <c r="C1570" s="17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8">
        <v>0</v>
      </c>
      <c r="W1570" s="17">
        <f t="shared" si="50"/>
        <v>0</v>
      </c>
      <c r="X1570" s="5">
        <f t="shared" si="51"/>
        <v>0</v>
      </c>
    </row>
    <row r="1571" spans="1:24" x14ac:dyDescent="0.25">
      <c r="A1571" s="17"/>
      <c r="B1571" s="17"/>
      <c r="C1571" s="17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8">
        <v>0</v>
      </c>
      <c r="W1571" s="17">
        <f t="shared" si="50"/>
        <v>0</v>
      </c>
      <c r="X1571" s="5">
        <f t="shared" si="51"/>
        <v>0</v>
      </c>
    </row>
    <row r="1572" spans="1:24" x14ac:dyDescent="0.25">
      <c r="A1572" s="17"/>
      <c r="B1572" s="17"/>
      <c r="C1572" s="17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8">
        <v>0</v>
      </c>
      <c r="W1572" s="17">
        <f t="shared" si="50"/>
        <v>0</v>
      </c>
      <c r="X1572" s="5">
        <f t="shared" si="51"/>
        <v>0</v>
      </c>
    </row>
    <row r="1573" spans="1:24" x14ac:dyDescent="0.25">
      <c r="A1573" s="17"/>
      <c r="B1573" s="17"/>
      <c r="C1573" s="17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  <c r="N1573" s="17"/>
      <c r="O1573" s="17"/>
      <c r="P1573" s="17"/>
      <c r="Q1573" s="17"/>
      <c r="R1573" s="17"/>
      <c r="S1573" s="17"/>
      <c r="T1573" s="17"/>
      <c r="U1573" s="17"/>
      <c r="V1573" s="18">
        <v>0</v>
      </c>
      <c r="W1573" s="17">
        <f t="shared" si="50"/>
        <v>0</v>
      </c>
      <c r="X1573" s="5">
        <f t="shared" si="51"/>
        <v>0</v>
      </c>
    </row>
    <row r="1574" spans="1:24" x14ac:dyDescent="0.25">
      <c r="A1574" s="17"/>
      <c r="B1574" s="17"/>
      <c r="C1574" s="17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8">
        <v>0</v>
      </c>
      <c r="W1574" s="17">
        <f t="shared" si="50"/>
        <v>0</v>
      </c>
      <c r="X1574" s="5">
        <f t="shared" si="51"/>
        <v>0</v>
      </c>
    </row>
    <row r="1575" spans="1:24" x14ac:dyDescent="0.25">
      <c r="A1575" s="17"/>
      <c r="B1575" s="17"/>
      <c r="C1575" s="17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8">
        <v>0</v>
      </c>
      <c r="W1575" s="17">
        <f t="shared" si="50"/>
        <v>0</v>
      </c>
      <c r="X1575" s="5">
        <f t="shared" si="51"/>
        <v>0</v>
      </c>
    </row>
    <row r="1576" spans="1:24" x14ac:dyDescent="0.25">
      <c r="A1576" s="17"/>
      <c r="B1576" s="17"/>
      <c r="C1576" s="17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8">
        <v>0</v>
      </c>
      <c r="W1576" s="17">
        <f t="shared" si="50"/>
        <v>0</v>
      </c>
      <c r="X1576" s="5">
        <f t="shared" si="51"/>
        <v>0</v>
      </c>
    </row>
    <row r="1577" spans="1:24" x14ac:dyDescent="0.25">
      <c r="A1577" s="17"/>
      <c r="B1577" s="17"/>
      <c r="C1577" s="17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8">
        <v>0</v>
      </c>
      <c r="W1577" s="17">
        <f t="shared" si="50"/>
        <v>0</v>
      </c>
      <c r="X1577" s="5">
        <f t="shared" si="51"/>
        <v>0</v>
      </c>
    </row>
    <row r="1578" spans="1:24" x14ac:dyDescent="0.25">
      <c r="A1578" s="17"/>
      <c r="B1578" s="17"/>
      <c r="C1578" s="17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8">
        <v>0</v>
      </c>
      <c r="W1578" s="17">
        <f t="shared" si="50"/>
        <v>0</v>
      </c>
      <c r="X1578" s="5">
        <f t="shared" si="51"/>
        <v>0</v>
      </c>
    </row>
    <row r="1579" spans="1:24" x14ac:dyDescent="0.25">
      <c r="A1579" s="17"/>
      <c r="B1579" s="17"/>
      <c r="C1579" s="17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8">
        <v>0</v>
      </c>
      <c r="W1579" s="17">
        <f t="shared" si="50"/>
        <v>0</v>
      </c>
      <c r="X1579" s="5">
        <f t="shared" si="51"/>
        <v>0</v>
      </c>
    </row>
    <row r="1580" spans="1:24" x14ac:dyDescent="0.25">
      <c r="A1580" s="17"/>
      <c r="B1580" s="17"/>
      <c r="C1580" s="17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8">
        <v>0</v>
      </c>
      <c r="W1580" s="17">
        <f t="shared" si="50"/>
        <v>0</v>
      </c>
      <c r="X1580" s="5">
        <f t="shared" si="51"/>
        <v>0</v>
      </c>
    </row>
    <row r="1581" spans="1:24" x14ac:dyDescent="0.25">
      <c r="A1581" s="17"/>
      <c r="B1581" s="17"/>
      <c r="C1581" s="17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8">
        <v>0</v>
      </c>
      <c r="W1581" s="17">
        <f t="shared" si="50"/>
        <v>0</v>
      </c>
      <c r="X1581" s="5">
        <f t="shared" si="51"/>
        <v>0</v>
      </c>
    </row>
    <row r="1582" spans="1:24" x14ac:dyDescent="0.25">
      <c r="A1582" s="17"/>
      <c r="B1582" s="17"/>
      <c r="C1582" s="17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8">
        <v>0</v>
      </c>
      <c r="W1582" s="17">
        <f t="shared" si="50"/>
        <v>0</v>
      </c>
      <c r="X1582" s="5">
        <f t="shared" si="51"/>
        <v>0</v>
      </c>
    </row>
    <row r="1583" spans="1:24" x14ac:dyDescent="0.25">
      <c r="A1583" s="17"/>
      <c r="B1583" s="17"/>
      <c r="C1583" s="17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8">
        <v>0</v>
      </c>
      <c r="W1583" s="17">
        <f t="shared" si="50"/>
        <v>0</v>
      </c>
      <c r="X1583" s="5">
        <f t="shared" si="51"/>
        <v>0</v>
      </c>
    </row>
    <row r="1584" spans="1:24" x14ac:dyDescent="0.25">
      <c r="A1584" s="17"/>
      <c r="B1584" s="17"/>
      <c r="C1584" s="17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8">
        <v>0</v>
      </c>
      <c r="W1584" s="17">
        <f t="shared" si="50"/>
        <v>0</v>
      </c>
      <c r="X1584" s="5">
        <f t="shared" si="51"/>
        <v>0</v>
      </c>
    </row>
    <row r="1585" spans="1:24" x14ac:dyDescent="0.25">
      <c r="A1585" s="17"/>
      <c r="B1585" s="17"/>
      <c r="C1585" s="17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8">
        <v>0</v>
      </c>
      <c r="W1585" s="17">
        <f t="shared" si="50"/>
        <v>0</v>
      </c>
      <c r="X1585" s="5">
        <f t="shared" si="51"/>
        <v>0</v>
      </c>
    </row>
    <row r="1586" spans="1:24" x14ac:dyDescent="0.25">
      <c r="A1586" s="17"/>
      <c r="B1586" s="17"/>
      <c r="C1586" s="17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  <c r="N1586" s="17"/>
      <c r="O1586" s="17"/>
      <c r="P1586" s="17"/>
      <c r="Q1586" s="17"/>
      <c r="R1586" s="17"/>
      <c r="S1586" s="17"/>
      <c r="T1586" s="17"/>
      <c r="U1586" s="17"/>
      <c r="V1586" s="18">
        <v>0</v>
      </c>
      <c r="W1586" s="17">
        <f t="shared" si="50"/>
        <v>0</v>
      </c>
      <c r="X1586" s="5">
        <f t="shared" si="51"/>
        <v>0</v>
      </c>
    </row>
    <row r="1587" spans="1:24" x14ac:dyDescent="0.25">
      <c r="A1587" s="17"/>
      <c r="B1587" s="17"/>
      <c r="C1587" s="17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8">
        <v>0</v>
      </c>
      <c r="W1587" s="17">
        <f t="shared" si="50"/>
        <v>0</v>
      </c>
      <c r="X1587" s="5">
        <f t="shared" si="51"/>
        <v>0</v>
      </c>
    </row>
    <row r="1588" spans="1:24" x14ac:dyDescent="0.25">
      <c r="A1588" s="17"/>
      <c r="B1588" s="17"/>
      <c r="C1588" s="17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8">
        <v>0</v>
      </c>
      <c r="W1588" s="17">
        <f t="shared" si="50"/>
        <v>0</v>
      </c>
      <c r="X1588" s="5">
        <f t="shared" si="51"/>
        <v>0</v>
      </c>
    </row>
    <row r="1589" spans="1:24" x14ac:dyDescent="0.25">
      <c r="A1589" s="17"/>
      <c r="B1589" s="17"/>
      <c r="C1589" s="17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8">
        <v>0</v>
      </c>
      <c r="W1589" s="17">
        <f t="shared" si="50"/>
        <v>0</v>
      </c>
      <c r="X1589" s="5">
        <f t="shared" si="51"/>
        <v>0</v>
      </c>
    </row>
    <row r="1590" spans="1:24" x14ac:dyDescent="0.25">
      <c r="A1590" s="17"/>
      <c r="B1590" s="17"/>
      <c r="C1590" s="17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8">
        <v>0</v>
      </c>
      <c r="W1590" s="17">
        <f t="shared" si="50"/>
        <v>0</v>
      </c>
      <c r="X1590" s="5">
        <f t="shared" si="51"/>
        <v>0</v>
      </c>
    </row>
    <row r="1591" spans="1:24" x14ac:dyDescent="0.25">
      <c r="A1591" s="17"/>
      <c r="B1591" s="17"/>
      <c r="C1591" s="17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8">
        <v>0</v>
      </c>
      <c r="W1591" s="17">
        <f t="shared" si="50"/>
        <v>0</v>
      </c>
      <c r="X1591" s="5">
        <f t="shared" si="51"/>
        <v>0</v>
      </c>
    </row>
    <row r="1592" spans="1:24" x14ac:dyDescent="0.25">
      <c r="A1592" s="17"/>
      <c r="B1592" s="17"/>
      <c r="C1592" s="17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8">
        <v>0</v>
      </c>
      <c r="W1592" s="17">
        <f t="shared" si="50"/>
        <v>0</v>
      </c>
      <c r="X1592" s="5">
        <f t="shared" si="51"/>
        <v>0</v>
      </c>
    </row>
    <row r="1593" spans="1:24" x14ac:dyDescent="0.25">
      <c r="A1593" s="17"/>
      <c r="B1593" s="17"/>
      <c r="C1593" s="17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8">
        <v>0</v>
      </c>
      <c r="W1593" s="17">
        <f t="shared" si="50"/>
        <v>0</v>
      </c>
      <c r="X1593" s="5">
        <f t="shared" si="51"/>
        <v>0</v>
      </c>
    </row>
    <row r="1594" spans="1:24" x14ac:dyDescent="0.25">
      <c r="A1594" s="17"/>
      <c r="B1594" s="17"/>
      <c r="C1594" s="17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8">
        <v>0</v>
      </c>
      <c r="W1594" s="17">
        <f t="shared" si="50"/>
        <v>0</v>
      </c>
      <c r="X1594" s="5">
        <f t="shared" si="51"/>
        <v>0</v>
      </c>
    </row>
    <row r="1595" spans="1:24" x14ac:dyDescent="0.25">
      <c r="A1595" s="17"/>
      <c r="B1595" s="17"/>
      <c r="C1595" s="17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8">
        <v>0</v>
      </c>
      <c r="W1595" s="17">
        <f t="shared" si="50"/>
        <v>0</v>
      </c>
      <c r="X1595" s="5">
        <f t="shared" si="51"/>
        <v>0</v>
      </c>
    </row>
    <row r="1596" spans="1:24" x14ac:dyDescent="0.25">
      <c r="A1596" s="17"/>
      <c r="B1596" s="17"/>
      <c r="C1596" s="17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  <c r="N1596" s="17"/>
      <c r="O1596" s="17"/>
      <c r="P1596" s="17"/>
      <c r="Q1596" s="17"/>
      <c r="R1596" s="17"/>
      <c r="S1596" s="17"/>
      <c r="T1596" s="17"/>
      <c r="U1596" s="17"/>
      <c r="V1596" s="18">
        <v>0</v>
      </c>
      <c r="W1596" s="17">
        <f t="shared" si="50"/>
        <v>0</v>
      </c>
      <c r="X1596" s="5">
        <f t="shared" si="51"/>
        <v>0</v>
      </c>
    </row>
    <row r="1597" spans="1:24" x14ac:dyDescent="0.25">
      <c r="A1597" s="17"/>
      <c r="B1597" s="17"/>
      <c r="C1597" s="17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8">
        <v>0</v>
      </c>
      <c r="W1597" s="17">
        <f t="shared" si="50"/>
        <v>0</v>
      </c>
      <c r="X1597" s="5">
        <f t="shared" si="51"/>
        <v>0</v>
      </c>
    </row>
    <row r="1598" spans="1:24" x14ac:dyDescent="0.25">
      <c r="A1598" s="17"/>
      <c r="B1598" s="17"/>
      <c r="C1598" s="17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  <c r="N1598" s="17"/>
      <c r="O1598" s="17"/>
      <c r="P1598" s="17"/>
      <c r="Q1598" s="17"/>
      <c r="R1598" s="17"/>
      <c r="S1598" s="17"/>
      <c r="T1598" s="17"/>
      <c r="U1598" s="17"/>
      <c r="V1598" s="18">
        <v>0</v>
      </c>
      <c r="W1598" s="17">
        <f t="shared" si="50"/>
        <v>0</v>
      </c>
      <c r="X1598" s="5">
        <f t="shared" si="51"/>
        <v>0</v>
      </c>
    </row>
    <row r="1599" spans="1:24" x14ac:dyDescent="0.25">
      <c r="A1599" s="17"/>
      <c r="B1599" s="17"/>
      <c r="C1599" s="17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8">
        <v>0</v>
      </c>
      <c r="W1599" s="17">
        <f t="shared" si="50"/>
        <v>0</v>
      </c>
      <c r="X1599" s="5">
        <f t="shared" si="51"/>
        <v>0</v>
      </c>
    </row>
    <row r="1600" spans="1:24" x14ac:dyDescent="0.25">
      <c r="A1600" s="17"/>
      <c r="B1600" s="17"/>
      <c r="C1600" s="17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8">
        <v>0</v>
      </c>
      <c r="W1600" s="17">
        <f t="shared" si="50"/>
        <v>0</v>
      </c>
      <c r="X1600" s="5">
        <f t="shared" si="51"/>
        <v>0</v>
      </c>
    </row>
    <row r="1601" spans="1:24" x14ac:dyDescent="0.25">
      <c r="A1601" s="17"/>
      <c r="B1601" s="17"/>
      <c r="C1601" s="17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8">
        <v>0</v>
      </c>
      <c r="W1601" s="17">
        <f t="shared" si="50"/>
        <v>0</v>
      </c>
      <c r="X1601" s="5">
        <f t="shared" si="51"/>
        <v>0</v>
      </c>
    </row>
    <row r="1602" spans="1:24" x14ac:dyDescent="0.25">
      <c r="A1602" s="17"/>
      <c r="B1602" s="17"/>
      <c r="C1602" s="17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8">
        <v>0</v>
      </c>
      <c r="W1602" s="17">
        <f t="shared" si="50"/>
        <v>0</v>
      </c>
      <c r="X1602" s="5">
        <f t="shared" si="51"/>
        <v>0</v>
      </c>
    </row>
    <row r="1603" spans="1:24" x14ac:dyDescent="0.25">
      <c r="A1603" s="17"/>
      <c r="B1603" s="17"/>
      <c r="C1603" s="17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8">
        <v>0</v>
      </c>
      <c r="W1603" s="17">
        <f t="shared" ref="W1603:W1666" si="52">HOUR(E1603)</f>
        <v>0</v>
      </c>
      <c r="X1603" s="5">
        <f t="shared" ref="X1603:X1666" si="53">IF(D1603=D1602,0,1)</f>
        <v>0</v>
      </c>
    </row>
    <row r="1604" spans="1:24" x14ac:dyDescent="0.25">
      <c r="A1604" s="17"/>
      <c r="B1604" s="17"/>
      <c r="C1604" s="17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8">
        <v>0</v>
      </c>
      <c r="W1604" s="17">
        <f t="shared" si="52"/>
        <v>0</v>
      </c>
      <c r="X1604" s="5">
        <f t="shared" si="53"/>
        <v>0</v>
      </c>
    </row>
    <row r="1605" spans="1:24" x14ac:dyDescent="0.25">
      <c r="A1605" s="17"/>
      <c r="B1605" s="17"/>
      <c r="C1605" s="17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8">
        <v>0</v>
      </c>
      <c r="W1605" s="17">
        <f t="shared" si="52"/>
        <v>0</v>
      </c>
      <c r="X1605" s="5">
        <f t="shared" si="53"/>
        <v>0</v>
      </c>
    </row>
    <row r="1606" spans="1:24" x14ac:dyDescent="0.25">
      <c r="A1606" s="17"/>
      <c r="B1606" s="17"/>
      <c r="C1606" s="17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8">
        <v>0</v>
      </c>
      <c r="W1606" s="17">
        <f t="shared" si="52"/>
        <v>0</v>
      </c>
      <c r="X1606" s="5">
        <f t="shared" si="53"/>
        <v>0</v>
      </c>
    </row>
    <row r="1607" spans="1:24" x14ac:dyDescent="0.25">
      <c r="A1607" s="17"/>
      <c r="B1607" s="17"/>
      <c r="C1607" s="17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8">
        <v>0</v>
      </c>
      <c r="W1607" s="17">
        <f t="shared" si="52"/>
        <v>0</v>
      </c>
      <c r="X1607" s="5">
        <f t="shared" si="53"/>
        <v>0</v>
      </c>
    </row>
    <row r="1608" spans="1:24" x14ac:dyDescent="0.25">
      <c r="A1608" s="17"/>
      <c r="B1608" s="17"/>
      <c r="C1608" s="17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8">
        <v>0</v>
      </c>
      <c r="W1608" s="17">
        <f t="shared" si="52"/>
        <v>0</v>
      </c>
      <c r="X1608" s="5">
        <f t="shared" si="53"/>
        <v>0</v>
      </c>
    </row>
    <row r="1609" spans="1:24" x14ac:dyDescent="0.25">
      <c r="A1609" s="17"/>
      <c r="B1609" s="17"/>
      <c r="C1609" s="17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8">
        <v>0</v>
      </c>
      <c r="W1609" s="17">
        <f t="shared" si="52"/>
        <v>0</v>
      </c>
      <c r="X1609" s="5">
        <f t="shared" si="53"/>
        <v>0</v>
      </c>
    </row>
    <row r="1610" spans="1:24" x14ac:dyDescent="0.25">
      <c r="A1610" s="17"/>
      <c r="B1610" s="17"/>
      <c r="C1610" s="17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8">
        <v>0</v>
      </c>
      <c r="W1610" s="17">
        <f t="shared" si="52"/>
        <v>0</v>
      </c>
      <c r="X1610" s="5">
        <f t="shared" si="53"/>
        <v>0</v>
      </c>
    </row>
    <row r="1611" spans="1:24" x14ac:dyDescent="0.25">
      <c r="A1611" s="17"/>
      <c r="B1611" s="17"/>
      <c r="C1611" s="17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8">
        <v>0</v>
      </c>
      <c r="W1611" s="17">
        <f t="shared" si="52"/>
        <v>0</v>
      </c>
      <c r="X1611" s="5">
        <f t="shared" si="53"/>
        <v>0</v>
      </c>
    </row>
    <row r="1612" spans="1:24" x14ac:dyDescent="0.25">
      <c r="A1612" s="17"/>
      <c r="B1612" s="17"/>
      <c r="C1612" s="17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8">
        <v>0</v>
      </c>
      <c r="W1612" s="17">
        <f t="shared" si="52"/>
        <v>0</v>
      </c>
      <c r="X1612" s="5">
        <f t="shared" si="53"/>
        <v>0</v>
      </c>
    </row>
    <row r="1613" spans="1:24" x14ac:dyDescent="0.25">
      <c r="A1613" s="17"/>
      <c r="B1613" s="17"/>
      <c r="C1613" s="17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8">
        <v>0</v>
      </c>
      <c r="W1613" s="17">
        <f t="shared" si="52"/>
        <v>0</v>
      </c>
      <c r="X1613" s="5">
        <f t="shared" si="53"/>
        <v>0</v>
      </c>
    </row>
    <row r="1614" spans="1:24" x14ac:dyDescent="0.25">
      <c r="A1614" s="17"/>
      <c r="B1614" s="17"/>
      <c r="C1614" s="17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  <c r="N1614" s="17"/>
      <c r="O1614" s="17"/>
      <c r="P1614" s="17"/>
      <c r="Q1614" s="17"/>
      <c r="R1614" s="17"/>
      <c r="S1614" s="17"/>
      <c r="T1614" s="17"/>
      <c r="U1614" s="17"/>
      <c r="V1614" s="18">
        <v>0</v>
      </c>
      <c r="W1614" s="17">
        <f t="shared" si="52"/>
        <v>0</v>
      </c>
      <c r="X1614" s="5">
        <f t="shared" si="53"/>
        <v>0</v>
      </c>
    </row>
    <row r="1615" spans="1:24" x14ac:dyDescent="0.25">
      <c r="A1615" s="17"/>
      <c r="B1615" s="17"/>
      <c r="C1615" s="17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  <c r="N1615" s="17"/>
      <c r="O1615" s="17"/>
      <c r="P1615" s="17"/>
      <c r="Q1615" s="17"/>
      <c r="R1615" s="17"/>
      <c r="S1615" s="17"/>
      <c r="T1615" s="17"/>
      <c r="U1615" s="17"/>
      <c r="V1615" s="18">
        <v>0</v>
      </c>
      <c r="W1615" s="17">
        <f t="shared" si="52"/>
        <v>0</v>
      </c>
      <c r="X1615" s="5">
        <f t="shared" si="53"/>
        <v>0</v>
      </c>
    </row>
    <row r="1616" spans="1:24" x14ac:dyDescent="0.25">
      <c r="A1616" s="17"/>
      <c r="B1616" s="17"/>
      <c r="C1616" s="17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  <c r="N1616" s="17"/>
      <c r="O1616" s="17"/>
      <c r="P1616" s="17"/>
      <c r="Q1616" s="17"/>
      <c r="R1616" s="17"/>
      <c r="S1616" s="17"/>
      <c r="T1616" s="17"/>
      <c r="U1616" s="17"/>
      <c r="V1616" s="18">
        <v>0</v>
      </c>
      <c r="W1616" s="17">
        <f t="shared" si="52"/>
        <v>0</v>
      </c>
      <c r="X1616" s="5">
        <f t="shared" si="53"/>
        <v>0</v>
      </c>
    </row>
    <row r="1617" spans="1:24" x14ac:dyDescent="0.25">
      <c r="A1617" s="17"/>
      <c r="B1617" s="17"/>
      <c r="C1617" s="17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8">
        <v>0</v>
      </c>
      <c r="W1617" s="17">
        <f t="shared" si="52"/>
        <v>0</v>
      </c>
      <c r="X1617" s="5">
        <f t="shared" si="53"/>
        <v>0</v>
      </c>
    </row>
    <row r="1618" spans="1:24" x14ac:dyDescent="0.25">
      <c r="A1618" s="17"/>
      <c r="B1618" s="17"/>
      <c r="C1618" s="17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8">
        <v>0</v>
      </c>
      <c r="W1618" s="17">
        <f t="shared" si="52"/>
        <v>0</v>
      </c>
      <c r="X1618" s="5">
        <f t="shared" si="53"/>
        <v>0</v>
      </c>
    </row>
    <row r="1619" spans="1:24" x14ac:dyDescent="0.25">
      <c r="A1619" s="17"/>
      <c r="B1619" s="17"/>
      <c r="C1619" s="17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8">
        <v>0</v>
      </c>
      <c r="W1619" s="17">
        <f t="shared" si="52"/>
        <v>0</v>
      </c>
      <c r="X1619" s="5">
        <f t="shared" si="53"/>
        <v>0</v>
      </c>
    </row>
    <row r="1620" spans="1:24" x14ac:dyDescent="0.25">
      <c r="A1620" s="17"/>
      <c r="B1620" s="17"/>
      <c r="C1620" s="17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  <c r="N1620" s="17"/>
      <c r="O1620" s="17"/>
      <c r="P1620" s="17"/>
      <c r="Q1620" s="17"/>
      <c r="R1620" s="17"/>
      <c r="S1620" s="17"/>
      <c r="T1620" s="17"/>
      <c r="U1620" s="17"/>
      <c r="V1620" s="18">
        <v>0</v>
      </c>
      <c r="W1620" s="17">
        <f t="shared" si="52"/>
        <v>0</v>
      </c>
      <c r="X1620" s="5">
        <f t="shared" si="53"/>
        <v>0</v>
      </c>
    </row>
    <row r="1621" spans="1:24" x14ac:dyDescent="0.25">
      <c r="A1621" s="17"/>
      <c r="B1621" s="17"/>
      <c r="C1621" s="17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8">
        <v>0</v>
      </c>
      <c r="W1621" s="17">
        <f t="shared" si="52"/>
        <v>0</v>
      </c>
      <c r="X1621" s="5">
        <f t="shared" si="53"/>
        <v>0</v>
      </c>
    </row>
    <row r="1622" spans="1:24" x14ac:dyDescent="0.25">
      <c r="A1622" s="17"/>
      <c r="B1622" s="17"/>
      <c r="C1622" s="17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8">
        <v>0</v>
      </c>
      <c r="W1622" s="17">
        <f t="shared" si="52"/>
        <v>0</v>
      </c>
      <c r="X1622" s="5">
        <f t="shared" si="53"/>
        <v>0</v>
      </c>
    </row>
    <row r="1623" spans="1:24" x14ac:dyDescent="0.25">
      <c r="A1623" s="17"/>
      <c r="B1623" s="17"/>
      <c r="C1623" s="17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8">
        <v>0</v>
      </c>
      <c r="W1623" s="17">
        <f t="shared" si="52"/>
        <v>0</v>
      </c>
      <c r="X1623" s="5">
        <f t="shared" si="53"/>
        <v>0</v>
      </c>
    </row>
    <row r="1624" spans="1:24" x14ac:dyDescent="0.25">
      <c r="A1624" s="17"/>
      <c r="B1624" s="17"/>
      <c r="C1624" s="17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8">
        <v>0</v>
      </c>
      <c r="W1624" s="17">
        <f t="shared" si="52"/>
        <v>0</v>
      </c>
      <c r="X1624" s="5">
        <f t="shared" si="53"/>
        <v>0</v>
      </c>
    </row>
    <row r="1625" spans="1:24" x14ac:dyDescent="0.25">
      <c r="A1625" s="17"/>
      <c r="B1625" s="17"/>
      <c r="C1625" s="17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8">
        <v>0</v>
      </c>
      <c r="W1625" s="17">
        <f t="shared" si="52"/>
        <v>0</v>
      </c>
      <c r="X1625" s="5">
        <f t="shared" si="53"/>
        <v>0</v>
      </c>
    </row>
    <row r="1626" spans="1:24" x14ac:dyDescent="0.25">
      <c r="A1626" s="17"/>
      <c r="B1626" s="17"/>
      <c r="C1626" s="17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8">
        <v>0</v>
      </c>
      <c r="W1626" s="17">
        <f t="shared" si="52"/>
        <v>0</v>
      </c>
      <c r="X1626" s="5">
        <f t="shared" si="53"/>
        <v>0</v>
      </c>
    </row>
    <row r="1627" spans="1:24" x14ac:dyDescent="0.25">
      <c r="A1627" s="17"/>
      <c r="B1627" s="17"/>
      <c r="C1627" s="17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8">
        <v>0</v>
      </c>
      <c r="W1627" s="17">
        <f t="shared" si="52"/>
        <v>0</v>
      </c>
      <c r="X1627" s="5">
        <f t="shared" si="53"/>
        <v>0</v>
      </c>
    </row>
    <row r="1628" spans="1:24" x14ac:dyDescent="0.25">
      <c r="A1628" s="17"/>
      <c r="B1628" s="17"/>
      <c r="C1628" s="17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8">
        <v>0</v>
      </c>
      <c r="W1628" s="17">
        <f t="shared" si="52"/>
        <v>0</v>
      </c>
      <c r="X1628" s="5">
        <f t="shared" si="53"/>
        <v>0</v>
      </c>
    </row>
    <row r="1629" spans="1:24" x14ac:dyDescent="0.25">
      <c r="A1629" s="17"/>
      <c r="B1629" s="17"/>
      <c r="C1629" s="17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8">
        <v>0</v>
      </c>
      <c r="W1629" s="17">
        <f t="shared" si="52"/>
        <v>0</v>
      </c>
      <c r="X1629" s="5">
        <f t="shared" si="53"/>
        <v>0</v>
      </c>
    </row>
    <row r="1630" spans="1:24" x14ac:dyDescent="0.25">
      <c r="A1630" s="17"/>
      <c r="B1630" s="17"/>
      <c r="C1630" s="17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  <c r="N1630" s="17"/>
      <c r="O1630" s="17"/>
      <c r="P1630" s="17"/>
      <c r="Q1630" s="17"/>
      <c r="R1630" s="17"/>
      <c r="S1630" s="17"/>
      <c r="T1630" s="17"/>
      <c r="U1630" s="17"/>
      <c r="V1630" s="18">
        <v>0</v>
      </c>
      <c r="W1630" s="17">
        <f t="shared" si="52"/>
        <v>0</v>
      </c>
      <c r="X1630" s="5">
        <f t="shared" si="53"/>
        <v>0</v>
      </c>
    </row>
    <row r="1631" spans="1:24" x14ac:dyDescent="0.25">
      <c r="A1631" s="17"/>
      <c r="B1631" s="17"/>
      <c r="C1631" s="17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8">
        <v>0</v>
      </c>
      <c r="W1631" s="17">
        <f t="shared" si="52"/>
        <v>0</v>
      </c>
      <c r="X1631" s="5">
        <f t="shared" si="53"/>
        <v>0</v>
      </c>
    </row>
    <row r="1632" spans="1:24" x14ac:dyDescent="0.25">
      <c r="A1632" s="17"/>
      <c r="B1632" s="17"/>
      <c r="C1632" s="17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8">
        <v>0</v>
      </c>
      <c r="W1632" s="17">
        <f t="shared" si="52"/>
        <v>0</v>
      </c>
      <c r="X1632" s="5">
        <f t="shared" si="53"/>
        <v>0</v>
      </c>
    </row>
    <row r="1633" spans="1:24" x14ac:dyDescent="0.25">
      <c r="A1633" s="17"/>
      <c r="B1633" s="17"/>
      <c r="C1633" s="17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8">
        <v>0</v>
      </c>
      <c r="W1633" s="17">
        <f t="shared" si="52"/>
        <v>0</v>
      </c>
      <c r="X1633" s="5">
        <f t="shared" si="53"/>
        <v>0</v>
      </c>
    </row>
    <row r="1634" spans="1:24" x14ac:dyDescent="0.25">
      <c r="A1634" s="17"/>
      <c r="B1634" s="17"/>
      <c r="C1634" s="17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8">
        <v>0</v>
      </c>
      <c r="W1634" s="17">
        <f t="shared" si="52"/>
        <v>0</v>
      </c>
      <c r="X1634" s="5">
        <f t="shared" si="53"/>
        <v>0</v>
      </c>
    </row>
    <row r="1635" spans="1:24" x14ac:dyDescent="0.25">
      <c r="A1635" s="17"/>
      <c r="B1635" s="17"/>
      <c r="C1635" s="17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8">
        <v>0</v>
      </c>
      <c r="W1635" s="17">
        <f t="shared" si="52"/>
        <v>0</v>
      </c>
      <c r="X1635" s="5">
        <f t="shared" si="53"/>
        <v>0</v>
      </c>
    </row>
    <row r="1636" spans="1:24" x14ac:dyDescent="0.25">
      <c r="A1636" s="17"/>
      <c r="B1636" s="17"/>
      <c r="C1636" s="17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8">
        <v>0</v>
      </c>
      <c r="W1636" s="17">
        <f t="shared" si="52"/>
        <v>0</v>
      </c>
      <c r="X1636" s="5">
        <f t="shared" si="53"/>
        <v>0</v>
      </c>
    </row>
    <row r="1637" spans="1:24" x14ac:dyDescent="0.25">
      <c r="A1637" s="17"/>
      <c r="B1637" s="17"/>
      <c r="C1637" s="17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8">
        <v>0</v>
      </c>
      <c r="W1637" s="17">
        <f t="shared" si="52"/>
        <v>0</v>
      </c>
      <c r="X1637" s="5">
        <f t="shared" si="53"/>
        <v>0</v>
      </c>
    </row>
    <row r="1638" spans="1:24" x14ac:dyDescent="0.25">
      <c r="A1638" s="17"/>
      <c r="B1638" s="17"/>
      <c r="C1638" s="17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8">
        <v>0</v>
      </c>
      <c r="W1638" s="17">
        <f t="shared" si="52"/>
        <v>0</v>
      </c>
      <c r="X1638" s="5">
        <f t="shared" si="53"/>
        <v>0</v>
      </c>
    </row>
    <row r="1639" spans="1:24" x14ac:dyDescent="0.25">
      <c r="A1639" s="17"/>
      <c r="B1639" s="17"/>
      <c r="C1639" s="17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8">
        <v>0</v>
      </c>
      <c r="W1639" s="17">
        <f t="shared" si="52"/>
        <v>0</v>
      </c>
      <c r="X1639" s="5">
        <f t="shared" si="53"/>
        <v>0</v>
      </c>
    </row>
    <row r="1640" spans="1:24" x14ac:dyDescent="0.25">
      <c r="A1640" s="17"/>
      <c r="B1640" s="17"/>
      <c r="C1640" s="17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8">
        <v>0</v>
      </c>
      <c r="W1640" s="17">
        <f t="shared" si="52"/>
        <v>0</v>
      </c>
      <c r="X1640" s="5">
        <f t="shared" si="53"/>
        <v>0</v>
      </c>
    </row>
    <row r="1641" spans="1:24" x14ac:dyDescent="0.25">
      <c r="A1641" s="17"/>
      <c r="B1641" s="17"/>
      <c r="C1641" s="17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8">
        <v>0</v>
      </c>
      <c r="W1641" s="17">
        <f t="shared" si="52"/>
        <v>0</v>
      </c>
      <c r="X1641" s="5">
        <f t="shared" si="53"/>
        <v>0</v>
      </c>
    </row>
    <row r="1642" spans="1:24" x14ac:dyDescent="0.25">
      <c r="A1642" s="17"/>
      <c r="B1642" s="17"/>
      <c r="C1642" s="17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  <c r="N1642" s="17"/>
      <c r="O1642" s="17"/>
      <c r="P1642" s="17"/>
      <c r="Q1642" s="17"/>
      <c r="R1642" s="17"/>
      <c r="S1642" s="17"/>
      <c r="T1642" s="17"/>
      <c r="U1642" s="17"/>
      <c r="V1642" s="18">
        <v>0</v>
      </c>
      <c r="W1642" s="17">
        <f t="shared" si="52"/>
        <v>0</v>
      </c>
      <c r="X1642" s="5">
        <f t="shared" si="53"/>
        <v>0</v>
      </c>
    </row>
    <row r="1643" spans="1:24" x14ac:dyDescent="0.25">
      <c r="A1643" s="17"/>
      <c r="B1643" s="17"/>
      <c r="C1643" s="17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8">
        <v>0</v>
      </c>
      <c r="W1643" s="17">
        <f t="shared" si="52"/>
        <v>0</v>
      </c>
      <c r="X1643" s="5">
        <f t="shared" si="53"/>
        <v>0</v>
      </c>
    </row>
    <row r="1644" spans="1:24" x14ac:dyDescent="0.25">
      <c r="A1644" s="17"/>
      <c r="B1644" s="17"/>
      <c r="C1644" s="17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8">
        <v>0</v>
      </c>
      <c r="W1644" s="17">
        <f t="shared" si="52"/>
        <v>0</v>
      </c>
      <c r="X1644" s="5">
        <f t="shared" si="53"/>
        <v>0</v>
      </c>
    </row>
    <row r="1645" spans="1:24" x14ac:dyDescent="0.25">
      <c r="A1645" s="17"/>
      <c r="B1645" s="17"/>
      <c r="C1645" s="17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8">
        <v>0</v>
      </c>
      <c r="W1645" s="17">
        <f t="shared" si="52"/>
        <v>0</v>
      </c>
      <c r="X1645" s="5">
        <f t="shared" si="53"/>
        <v>0</v>
      </c>
    </row>
    <row r="1646" spans="1:24" x14ac:dyDescent="0.25">
      <c r="A1646" s="17"/>
      <c r="B1646" s="17"/>
      <c r="C1646" s="17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8">
        <v>0</v>
      </c>
      <c r="W1646" s="17">
        <f t="shared" si="52"/>
        <v>0</v>
      </c>
      <c r="X1646" s="5">
        <f t="shared" si="53"/>
        <v>0</v>
      </c>
    </row>
    <row r="1647" spans="1:24" x14ac:dyDescent="0.25">
      <c r="A1647" s="17"/>
      <c r="B1647" s="17"/>
      <c r="C1647" s="17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8">
        <v>0</v>
      </c>
      <c r="W1647" s="17">
        <f t="shared" si="52"/>
        <v>0</v>
      </c>
      <c r="X1647" s="5">
        <f t="shared" si="53"/>
        <v>0</v>
      </c>
    </row>
    <row r="1648" spans="1:24" x14ac:dyDescent="0.25">
      <c r="A1648" s="17"/>
      <c r="B1648" s="17"/>
      <c r="C1648" s="17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8">
        <v>0</v>
      </c>
      <c r="W1648" s="17">
        <f t="shared" si="52"/>
        <v>0</v>
      </c>
      <c r="X1648" s="5">
        <f t="shared" si="53"/>
        <v>0</v>
      </c>
    </row>
    <row r="1649" spans="1:24" x14ac:dyDescent="0.25">
      <c r="A1649" s="17"/>
      <c r="B1649" s="17"/>
      <c r="C1649" s="17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8">
        <v>0</v>
      </c>
      <c r="W1649" s="17">
        <f t="shared" si="52"/>
        <v>0</v>
      </c>
      <c r="X1649" s="5">
        <f t="shared" si="53"/>
        <v>0</v>
      </c>
    </row>
    <row r="1650" spans="1:24" x14ac:dyDescent="0.25">
      <c r="A1650" s="17"/>
      <c r="B1650" s="17"/>
      <c r="C1650" s="17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8">
        <v>0</v>
      </c>
      <c r="W1650" s="17">
        <f t="shared" si="52"/>
        <v>0</v>
      </c>
      <c r="X1650" s="5">
        <f t="shared" si="53"/>
        <v>0</v>
      </c>
    </row>
    <row r="1651" spans="1:24" x14ac:dyDescent="0.25">
      <c r="A1651" s="17"/>
      <c r="B1651" s="17"/>
      <c r="C1651" s="17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8">
        <v>0</v>
      </c>
      <c r="W1651" s="17">
        <f t="shared" si="52"/>
        <v>0</v>
      </c>
      <c r="X1651" s="5">
        <f t="shared" si="53"/>
        <v>0</v>
      </c>
    </row>
    <row r="1652" spans="1:24" x14ac:dyDescent="0.25">
      <c r="A1652" s="17"/>
      <c r="B1652" s="17"/>
      <c r="C1652" s="17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8">
        <v>0</v>
      </c>
      <c r="W1652" s="17">
        <f t="shared" si="52"/>
        <v>0</v>
      </c>
      <c r="X1652" s="5">
        <f t="shared" si="53"/>
        <v>0</v>
      </c>
    </row>
    <row r="1653" spans="1:24" x14ac:dyDescent="0.25">
      <c r="A1653" s="17"/>
      <c r="B1653" s="17"/>
      <c r="C1653" s="17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8">
        <v>0</v>
      </c>
      <c r="W1653" s="17">
        <f t="shared" si="52"/>
        <v>0</v>
      </c>
      <c r="X1653" s="5">
        <f t="shared" si="53"/>
        <v>0</v>
      </c>
    </row>
    <row r="1654" spans="1:24" x14ac:dyDescent="0.25">
      <c r="A1654" s="17"/>
      <c r="B1654" s="17"/>
      <c r="C1654" s="17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8">
        <v>0</v>
      </c>
      <c r="W1654" s="17">
        <f t="shared" si="52"/>
        <v>0</v>
      </c>
      <c r="X1654" s="5">
        <f t="shared" si="53"/>
        <v>0</v>
      </c>
    </row>
    <row r="1655" spans="1:24" x14ac:dyDescent="0.25">
      <c r="A1655" s="17"/>
      <c r="B1655" s="17"/>
      <c r="C1655" s="17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8">
        <v>0</v>
      </c>
      <c r="W1655" s="17">
        <f t="shared" si="52"/>
        <v>0</v>
      </c>
      <c r="X1655" s="5">
        <f t="shared" si="53"/>
        <v>0</v>
      </c>
    </row>
    <row r="1656" spans="1:24" x14ac:dyDescent="0.25">
      <c r="A1656" s="17"/>
      <c r="B1656" s="17"/>
      <c r="C1656" s="17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8">
        <v>0</v>
      </c>
      <c r="W1656" s="17">
        <f t="shared" si="52"/>
        <v>0</v>
      </c>
      <c r="X1656" s="5">
        <f t="shared" si="53"/>
        <v>0</v>
      </c>
    </row>
    <row r="1657" spans="1:24" x14ac:dyDescent="0.25">
      <c r="A1657" s="17"/>
      <c r="B1657" s="17"/>
      <c r="C1657" s="17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8">
        <v>0</v>
      </c>
      <c r="W1657" s="17">
        <f t="shared" si="52"/>
        <v>0</v>
      </c>
      <c r="X1657" s="5">
        <f t="shared" si="53"/>
        <v>0</v>
      </c>
    </row>
    <row r="1658" spans="1:24" x14ac:dyDescent="0.25">
      <c r="A1658" s="17"/>
      <c r="B1658" s="17"/>
      <c r="C1658" s="17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8">
        <v>0</v>
      </c>
      <c r="W1658" s="17">
        <f t="shared" si="52"/>
        <v>0</v>
      </c>
      <c r="X1658" s="5">
        <f t="shared" si="53"/>
        <v>0</v>
      </c>
    </row>
    <row r="1659" spans="1:24" x14ac:dyDescent="0.25">
      <c r="A1659" s="17"/>
      <c r="B1659" s="17"/>
      <c r="C1659" s="17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8">
        <v>0</v>
      </c>
      <c r="W1659" s="17">
        <f t="shared" si="52"/>
        <v>0</v>
      </c>
      <c r="X1659" s="5">
        <f t="shared" si="53"/>
        <v>0</v>
      </c>
    </row>
    <row r="1660" spans="1:24" x14ac:dyDescent="0.25">
      <c r="A1660" s="17"/>
      <c r="B1660" s="17"/>
      <c r="C1660" s="17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8">
        <v>0</v>
      </c>
      <c r="W1660" s="17">
        <f t="shared" si="52"/>
        <v>0</v>
      </c>
      <c r="X1660" s="5">
        <f t="shared" si="53"/>
        <v>0</v>
      </c>
    </row>
    <row r="1661" spans="1:24" x14ac:dyDescent="0.25">
      <c r="A1661" s="17"/>
      <c r="B1661" s="17"/>
      <c r="C1661" s="17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8">
        <v>0</v>
      </c>
      <c r="W1661" s="17">
        <f t="shared" si="52"/>
        <v>0</v>
      </c>
      <c r="X1661" s="5">
        <f t="shared" si="53"/>
        <v>0</v>
      </c>
    </row>
    <row r="1662" spans="1:24" x14ac:dyDescent="0.25">
      <c r="A1662" s="17"/>
      <c r="B1662" s="17"/>
      <c r="C1662" s="17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8">
        <v>0</v>
      </c>
      <c r="W1662" s="17">
        <f t="shared" si="52"/>
        <v>0</v>
      </c>
      <c r="X1662" s="5">
        <f t="shared" si="53"/>
        <v>0</v>
      </c>
    </row>
    <row r="1663" spans="1:24" x14ac:dyDescent="0.25">
      <c r="A1663" s="17"/>
      <c r="B1663" s="17"/>
      <c r="C1663" s="17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8">
        <v>0</v>
      </c>
      <c r="W1663" s="17">
        <f t="shared" si="52"/>
        <v>0</v>
      </c>
      <c r="X1663" s="5">
        <f t="shared" si="53"/>
        <v>0</v>
      </c>
    </row>
    <row r="1664" spans="1:24" x14ac:dyDescent="0.25">
      <c r="A1664" s="17"/>
      <c r="B1664" s="17"/>
      <c r="C1664" s="17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8">
        <v>0</v>
      </c>
      <c r="W1664" s="17">
        <f t="shared" si="52"/>
        <v>0</v>
      </c>
      <c r="X1664" s="5">
        <f t="shared" si="53"/>
        <v>0</v>
      </c>
    </row>
    <row r="1665" spans="1:24" x14ac:dyDescent="0.25">
      <c r="A1665" s="17"/>
      <c r="B1665" s="17"/>
      <c r="C1665" s="17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8">
        <v>0</v>
      </c>
      <c r="W1665" s="17">
        <f t="shared" si="52"/>
        <v>0</v>
      </c>
      <c r="X1665" s="5">
        <f t="shared" si="53"/>
        <v>0</v>
      </c>
    </row>
    <row r="1666" spans="1:24" x14ac:dyDescent="0.25">
      <c r="A1666" s="17"/>
      <c r="B1666" s="17"/>
      <c r="C1666" s="17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8">
        <v>0</v>
      </c>
      <c r="W1666" s="17">
        <f t="shared" si="52"/>
        <v>0</v>
      </c>
      <c r="X1666" s="5">
        <f t="shared" si="53"/>
        <v>0</v>
      </c>
    </row>
    <row r="1667" spans="1:24" x14ac:dyDescent="0.25">
      <c r="A1667" s="17"/>
      <c r="B1667" s="17"/>
      <c r="C1667" s="17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8">
        <v>0</v>
      </c>
      <c r="W1667" s="17">
        <f t="shared" ref="W1667:W1730" si="54">HOUR(E1667)</f>
        <v>0</v>
      </c>
      <c r="X1667" s="5">
        <f t="shared" ref="X1667:X1730" si="55">IF(D1667=D1666,0,1)</f>
        <v>0</v>
      </c>
    </row>
    <row r="1668" spans="1:24" x14ac:dyDescent="0.25">
      <c r="A1668" s="17"/>
      <c r="B1668" s="17"/>
      <c r="C1668" s="17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8">
        <v>0</v>
      </c>
      <c r="W1668" s="17">
        <f t="shared" si="54"/>
        <v>0</v>
      </c>
      <c r="X1668" s="5">
        <f t="shared" si="55"/>
        <v>0</v>
      </c>
    </row>
    <row r="1669" spans="1:24" x14ac:dyDescent="0.25">
      <c r="A1669" s="17"/>
      <c r="B1669" s="17"/>
      <c r="C1669" s="17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8">
        <v>0</v>
      </c>
      <c r="W1669" s="17">
        <f t="shared" si="54"/>
        <v>0</v>
      </c>
      <c r="X1669" s="5">
        <f t="shared" si="55"/>
        <v>0</v>
      </c>
    </row>
    <row r="1670" spans="1:24" x14ac:dyDescent="0.25">
      <c r="A1670" s="17"/>
      <c r="B1670" s="17"/>
      <c r="C1670" s="17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8">
        <v>0</v>
      </c>
      <c r="W1670" s="17">
        <f t="shared" si="54"/>
        <v>0</v>
      </c>
      <c r="X1670" s="5">
        <f t="shared" si="55"/>
        <v>0</v>
      </c>
    </row>
    <row r="1671" spans="1:24" x14ac:dyDescent="0.25">
      <c r="A1671" s="17"/>
      <c r="B1671" s="17"/>
      <c r="C1671" s="17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8">
        <v>0</v>
      </c>
      <c r="W1671" s="17">
        <f t="shared" si="54"/>
        <v>0</v>
      </c>
      <c r="X1671" s="5">
        <f t="shared" si="55"/>
        <v>0</v>
      </c>
    </row>
    <row r="1672" spans="1:24" x14ac:dyDescent="0.25">
      <c r="A1672" s="17"/>
      <c r="B1672" s="17"/>
      <c r="C1672" s="17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8">
        <v>0</v>
      </c>
      <c r="W1672" s="17">
        <f t="shared" si="54"/>
        <v>0</v>
      </c>
      <c r="X1672" s="5">
        <f t="shared" si="55"/>
        <v>0</v>
      </c>
    </row>
    <row r="1673" spans="1:24" x14ac:dyDescent="0.25">
      <c r="A1673" s="17"/>
      <c r="B1673" s="17"/>
      <c r="C1673" s="17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8">
        <v>0</v>
      </c>
      <c r="W1673" s="17">
        <f t="shared" si="54"/>
        <v>0</v>
      </c>
      <c r="X1673" s="5">
        <f t="shared" si="55"/>
        <v>0</v>
      </c>
    </row>
    <row r="1674" spans="1:24" x14ac:dyDescent="0.25">
      <c r="A1674" s="17"/>
      <c r="B1674" s="17"/>
      <c r="C1674" s="17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8">
        <v>0</v>
      </c>
      <c r="W1674" s="17">
        <f t="shared" si="54"/>
        <v>0</v>
      </c>
      <c r="X1674" s="5">
        <f t="shared" si="55"/>
        <v>0</v>
      </c>
    </row>
    <row r="1675" spans="1:24" x14ac:dyDescent="0.25">
      <c r="A1675" s="17"/>
      <c r="B1675" s="17"/>
      <c r="C1675" s="17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8">
        <v>0</v>
      </c>
      <c r="W1675" s="17">
        <f t="shared" si="54"/>
        <v>0</v>
      </c>
      <c r="X1675" s="5">
        <f t="shared" si="55"/>
        <v>0</v>
      </c>
    </row>
    <row r="1676" spans="1:24" x14ac:dyDescent="0.25">
      <c r="A1676" s="17"/>
      <c r="B1676" s="17"/>
      <c r="C1676" s="17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8">
        <v>0</v>
      </c>
      <c r="W1676" s="17">
        <f t="shared" si="54"/>
        <v>0</v>
      </c>
      <c r="X1676" s="5">
        <f t="shared" si="55"/>
        <v>0</v>
      </c>
    </row>
    <row r="1677" spans="1:24" x14ac:dyDescent="0.25">
      <c r="A1677" s="17"/>
      <c r="B1677" s="17"/>
      <c r="C1677" s="17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8">
        <v>0</v>
      </c>
      <c r="W1677" s="17">
        <f t="shared" si="54"/>
        <v>0</v>
      </c>
      <c r="X1677" s="5">
        <f t="shared" si="55"/>
        <v>0</v>
      </c>
    </row>
    <row r="1678" spans="1:24" x14ac:dyDescent="0.25">
      <c r="A1678" s="17"/>
      <c r="B1678" s="17"/>
      <c r="C1678" s="17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8">
        <v>0</v>
      </c>
      <c r="W1678" s="17">
        <f t="shared" si="54"/>
        <v>0</v>
      </c>
      <c r="X1678" s="5">
        <f t="shared" si="55"/>
        <v>0</v>
      </c>
    </row>
    <row r="1679" spans="1:24" x14ac:dyDescent="0.25">
      <c r="A1679" s="17"/>
      <c r="B1679" s="17"/>
      <c r="C1679" s="17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8">
        <v>0</v>
      </c>
      <c r="W1679" s="17">
        <f t="shared" si="54"/>
        <v>0</v>
      </c>
      <c r="X1679" s="5">
        <f t="shared" si="55"/>
        <v>0</v>
      </c>
    </row>
    <row r="1680" spans="1:24" x14ac:dyDescent="0.25">
      <c r="A1680" s="17"/>
      <c r="B1680" s="17"/>
      <c r="C1680" s="17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8">
        <v>0</v>
      </c>
      <c r="W1680" s="17">
        <f t="shared" si="54"/>
        <v>0</v>
      </c>
      <c r="X1680" s="5">
        <f t="shared" si="55"/>
        <v>0</v>
      </c>
    </row>
    <row r="1681" spans="1:24" x14ac:dyDescent="0.25">
      <c r="A1681" s="17"/>
      <c r="B1681" s="17"/>
      <c r="C1681" s="17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8">
        <v>0</v>
      </c>
      <c r="W1681" s="17">
        <f t="shared" si="54"/>
        <v>0</v>
      </c>
      <c r="X1681" s="5">
        <f t="shared" si="55"/>
        <v>0</v>
      </c>
    </row>
    <row r="1682" spans="1:24" x14ac:dyDescent="0.25">
      <c r="A1682" s="17"/>
      <c r="B1682" s="17"/>
      <c r="C1682" s="17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8">
        <v>0</v>
      </c>
      <c r="W1682" s="17">
        <f t="shared" si="54"/>
        <v>0</v>
      </c>
      <c r="X1682" s="5">
        <f t="shared" si="55"/>
        <v>0</v>
      </c>
    </row>
    <row r="1683" spans="1:24" x14ac:dyDescent="0.25">
      <c r="A1683" s="17"/>
      <c r="B1683" s="17"/>
      <c r="C1683" s="17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8">
        <v>0</v>
      </c>
      <c r="W1683" s="17">
        <f t="shared" si="54"/>
        <v>0</v>
      </c>
      <c r="X1683" s="5">
        <f t="shared" si="55"/>
        <v>0</v>
      </c>
    </row>
    <row r="1684" spans="1:24" x14ac:dyDescent="0.25">
      <c r="A1684" s="17"/>
      <c r="B1684" s="17"/>
      <c r="C1684" s="17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8">
        <v>0</v>
      </c>
      <c r="W1684" s="17">
        <f t="shared" si="54"/>
        <v>0</v>
      </c>
      <c r="X1684" s="5">
        <f t="shared" si="55"/>
        <v>0</v>
      </c>
    </row>
    <row r="1685" spans="1:24" x14ac:dyDescent="0.25">
      <c r="A1685" s="17"/>
      <c r="B1685" s="17"/>
      <c r="C1685" s="17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8">
        <v>0</v>
      </c>
      <c r="W1685" s="17">
        <f t="shared" si="54"/>
        <v>0</v>
      </c>
      <c r="X1685" s="5">
        <f t="shared" si="55"/>
        <v>0</v>
      </c>
    </row>
    <row r="1686" spans="1:24" x14ac:dyDescent="0.25">
      <c r="A1686" s="17"/>
      <c r="B1686" s="17"/>
      <c r="C1686" s="17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8">
        <v>0</v>
      </c>
      <c r="W1686" s="17">
        <f t="shared" si="54"/>
        <v>0</v>
      </c>
      <c r="X1686" s="5">
        <f t="shared" si="55"/>
        <v>0</v>
      </c>
    </row>
    <row r="1687" spans="1:24" x14ac:dyDescent="0.25">
      <c r="A1687" s="17"/>
      <c r="B1687" s="17"/>
      <c r="C1687" s="17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8">
        <v>0</v>
      </c>
      <c r="W1687" s="17">
        <f t="shared" si="54"/>
        <v>0</v>
      </c>
      <c r="X1687" s="5">
        <f t="shared" si="55"/>
        <v>0</v>
      </c>
    </row>
    <row r="1688" spans="1:24" x14ac:dyDescent="0.25">
      <c r="A1688" s="17"/>
      <c r="B1688" s="17"/>
      <c r="C1688" s="17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8">
        <v>0</v>
      </c>
      <c r="W1688" s="17">
        <f t="shared" si="54"/>
        <v>0</v>
      </c>
      <c r="X1688" s="5">
        <f t="shared" si="55"/>
        <v>0</v>
      </c>
    </row>
    <row r="1689" spans="1:24" x14ac:dyDescent="0.25">
      <c r="A1689" s="17"/>
      <c r="B1689" s="17"/>
      <c r="C1689" s="17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8">
        <v>0</v>
      </c>
      <c r="W1689" s="17">
        <f t="shared" si="54"/>
        <v>0</v>
      </c>
      <c r="X1689" s="5">
        <f t="shared" si="55"/>
        <v>0</v>
      </c>
    </row>
    <row r="1690" spans="1:24" x14ac:dyDescent="0.25">
      <c r="A1690" s="17"/>
      <c r="B1690" s="17"/>
      <c r="C1690" s="17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8">
        <v>0</v>
      </c>
      <c r="W1690" s="17">
        <f t="shared" si="54"/>
        <v>0</v>
      </c>
      <c r="X1690" s="5">
        <f t="shared" si="55"/>
        <v>0</v>
      </c>
    </row>
    <row r="1691" spans="1:24" x14ac:dyDescent="0.25">
      <c r="A1691" s="17"/>
      <c r="B1691" s="17"/>
      <c r="C1691" s="17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8">
        <v>0</v>
      </c>
      <c r="W1691" s="17">
        <f t="shared" si="54"/>
        <v>0</v>
      </c>
      <c r="X1691" s="5">
        <f t="shared" si="55"/>
        <v>0</v>
      </c>
    </row>
    <row r="1692" spans="1:24" x14ac:dyDescent="0.25">
      <c r="A1692" s="17"/>
      <c r="B1692" s="17"/>
      <c r="C1692" s="17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8">
        <v>0</v>
      </c>
      <c r="W1692" s="17">
        <f t="shared" si="54"/>
        <v>0</v>
      </c>
      <c r="X1692" s="5">
        <f t="shared" si="55"/>
        <v>0</v>
      </c>
    </row>
    <row r="1693" spans="1:24" x14ac:dyDescent="0.25">
      <c r="A1693" s="17"/>
      <c r="B1693" s="17"/>
      <c r="C1693" s="17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8">
        <v>0</v>
      </c>
      <c r="W1693" s="17">
        <f t="shared" si="54"/>
        <v>0</v>
      </c>
      <c r="X1693" s="5">
        <f t="shared" si="55"/>
        <v>0</v>
      </c>
    </row>
    <row r="1694" spans="1:24" x14ac:dyDescent="0.25">
      <c r="A1694" s="17"/>
      <c r="B1694" s="17"/>
      <c r="C1694" s="17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8">
        <v>0</v>
      </c>
      <c r="W1694" s="17">
        <f t="shared" si="54"/>
        <v>0</v>
      </c>
      <c r="X1694" s="5">
        <f t="shared" si="55"/>
        <v>0</v>
      </c>
    </row>
    <row r="1695" spans="1:24" x14ac:dyDescent="0.25">
      <c r="A1695" s="17"/>
      <c r="B1695" s="17"/>
      <c r="C1695" s="17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8">
        <v>0</v>
      </c>
      <c r="W1695" s="17">
        <f t="shared" si="54"/>
        <v>0</v>
      </c>
      <c r="X1695" s="5">
        <f t="shared" si="55"/>
        <v>0</v>
      </c>
    </row>
    <row r="1696" spans="1:24" x14ac:dyDescent="0.25">
      <c r="A1696" s="17"/>
      <c r="B1696" s="17"/>
      <c r="C1696" s="17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8">
        <v>0</v>
      </c>
      <c r="W1696" s="17">
        <f t="shared" si="54"/>
        <v>0</v>
      </c>
      <c r="X1696" s="5">
        <f t="shared" si="55"/>
        <v>0</v>
      </c>
    </row>
    <row r="1697" spans="1:24" x14ac:dyDescent="0.25">
      <c r="A1697" s="17"/>
      <c r="B1697" s="17"/>
      <c r="C1697" s="17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8">
        <v>0</v>
      </c>
      <c r="W1697" s="17">
        <f t="shared" si="54"/>
        <v>0</v>
      </c>
      <c r="X1697" s="5">
        <f t="shared" si="55"/>
        <v>0</v>
      </c>
    </row>
    <row r="1698" spans="1:24" x14ac:dyDescent="0.25">
      <c r="A1698" s="17"/>
      <c r="B1698" s="17"/>
      <c r="C1698" s="17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8">
        <v>0</v>
      </c>
      <c r="W1698" s="17">
        <f t="shared" si="54"/>
        <v>0</v>
      </c>
      <c r="X1698" s="5">
        <f t="shared" si="55"/>
        <v>0</v>
      </c>
    </row>
    <row r="1699" spans="1:24" x14ac:dyDescent="0.25">
      <c r="A1699" s="17"/>
      <c r="B1699" s="17"/>
      <c r="C1699" s="17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8">
        <v>0</v>
      </c>
      <c r="W1699" s="17">
        <f t="shared" si="54"/>
        <v>0</v>
      </c>
      <c r="X1699" s="5">
        <f t="shared" si="55"/>
        <v>0</v>
      </c>
    </row>
    <row r="1700" spans="1:24" x14ac:dyDescent="0.25">
      <c r="A1700" s="17"/>
      <c r="B1700" s="17"/>
      <c r="C1700" s="17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8">
        <v>0</v>
      </c>
      <c r="W1700" s="17">
        <f t="shared" si="54"/>
        <v>0</v>
      </c>
      <c r="X1700" s="5">
        <f t="shared" si="55"/>
        <v>0</v>
      </c>
    </row>
    <row r="1701" spans="1:24" x14ac:dyDescent="0.25">
      <c r="A1701" s="17"/>
      <c r="B1701" s="17"/>
      <c r="C1701" s="17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8">
        <v>0</v>
      </c>
      <c r="W1701" s="17">
        <f t="shared" si="54"/>
        <v>0</v>
      </c>
      <c r="X1701" s="5">
        <f t="shared" si="55"/>
        <v>0</v>
      </c>
    </row>
    <row r="1702" spans="1:24" x14ac:dyDescent="0.25">
      <c r="A1702" s="17"/>
      <c r="B1702" s="17"/>
      <c r="C1702" s="17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8">
        <v>0</v>
      </c>
      <c r="W1702" s="17">
        <f t="shared" si="54"/>
        <v>0</v>
      </c>
      <c r="X1702" s="5">
        <f t="shared" si="55"/>
        <v>0</v>
      </c>
    </row>
    <row r="1703" spans="1:24" x14ac:dyDescent="0.25">
      <c r="A1703" s="17"/>
      <c r="B1703" s="17"/>
      <c r="C1703" s="17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8">
        <v>0</v>
      </c>
      <c r="W1703" s="17">
        <f t="shared" si="54"/>
        <v>0</v>
      </c>
      <c r="X1703" s="5">
        <f t="shared" si="55"/>
        <v>0</v>
      </c>
    </row>
    <row r="1704" spans="1:24" x14ac:dyDescent="0.25">
      <c r="A1704" s="17"/>
      <c r="B1704" s="17"/>
      <c r="C1704" s="17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8">
        <v>0</v>
      </c>
      <c r="W1704" s="17">
        <f t="shared" si="54"/>
        <v>0</v>
      </c>
      <c r="X1704" s="5">
        <f t="shared" si="55"/>
        <v>0</v>
      </c>
    </row>
    <row r="1705" spans="1:24" x14ac:dyDescent="0.25">
      <c r="A1705" s="17"/>
      <c r="B1705" s="17"/>
      <c r="C1705" s="17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8">
        <v>0</v>
      </c>
      <c r="W1705" s="17">
        <f t="shared" si="54"/>
        <v>0</v>
      </c>
      <c r="X1705" s="5">
        <f t="shared" si="55"/>
        <v>0</v>
      </c>
    </row>
    <row r="1706" spans="1:24" x14ac:dyDescent="0.25">
      <c r="A1706" s="17"/>
      <c r="B1706" s="17"/>
      <c r="C1706" s="17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8">
        <v>0</v>
      </c>
      <c r="W1706" s="17">
        <f t="shared" si="54"/>
        <v>0</v>
      </c>
      <c r="X1706" s="5">
        <f t="shared" si="55"/>
        <v>0</v>
      </c>
    </row>
    <row r="1707" spans="1:24" x14ac:dyDescent="0.25">
      <c r="A1707" s="17"/>
      <c r="B1707" s="17"/>
      <c r="C1707" s="17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8">
        <v>0</v>
      </c>
      <c r="W1707" s="17">
        <f t="shared" si="54"/>
        <v>0</v>
      </c>
      <c r="X1707" s="5">
        <f t="shared" si="55"/>
        <v>0</v>
      </c>
    </row>
    <row r="1708" spans="1:24" x14ac:dyDescent="0.25">
      <c r="A1708" s="17"/>
      <c r="B1708" s="17"/>
      <c r="C1708" s="17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8">
        <v>0</v>
      </c>
      <c r="W1708" s="17">
        <f t="shared" si="54"/>
        <v>0</v>
      </c>
      <c r="X1708" s="5">
        <f t="shared" si="55"/>
        <v>0</v>
      </c>
    </row>
    <row r="1709" spans="1:24" x14ac:dyDescent="0.25">
      <c r="A1709" s="17"/>
      <c r="B1709" s="17"/>
      <c r="C1709" s="17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8">
        <v>0</v>
      </c>
      <c r="W1709" s="17">
        <f t="shared" si="54"/>
        <v>0</v>
      </c>
      <c r="X1709" s="5">
        <f t="shared" si="55"/>
        <v>0</v>
      </c>
    </row>
    <row r="1710" spans="1:24" x14ac:dyDescent="0.25">
      <c r="A1710" s="17"/>
      <c r="B1710" s="17"/>
      <c r="C1710" s="17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8">
        <v>0</v>
      </c>
      <c r="W1710" s="17">
        <f t="shared" si="54"/>
        <v>0</v>
      </c>
      <c r="X1710" s="5">
        <f t="shared" si="55"/>
        <v>0</v>
      </c>
    </row>
    <row r="1711" spans="1:24" x14ac:dyDescent="0.25">
      <c r="A1711" s="17"/>
      <c r="B1711" s="17"/>
      <c r="C1711" s="17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8">
        <v>0</v>
      </c>
      <c r="W1711" s="17">
        <f t="shared" si="54"/>
        <v>0</v>
      </c>
      <c r="X1711" s="5">
        <f t="shared" si="55"/>
        <v>0</v>
      </c>
    </row>
    <row r="1712" spans="1:24" x14ac:dyDescent="0.25">
      <c r="A1712" s="17"/>
      <c r="B1712" s="17"/>
      <c r="C1712" s="17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8">
        <v>0</v>
      </c>
      <c r="W1712" s="17">
        <f t="shared" si="54"/>
        <v>0</v>
      </c>
      <c r="X1712" s="5">
        <f t="shared" si="55"/>
        <v>0</v>
      </c>
    </row>
    <row r="1713" spans="1:24" x14ac:dyDescent="0.25">
      <c r="A1713" s="17"/>
      <c r="B1713" s="17"/>
      <c r="C1713" s="17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8">
        <v>0</v>
      </c>
      <c r="W1713" s="17">
        <f t="shared" si="54"/>
        <v>0</v>
      </c>
      <c r="X1713" s="5">
        <f t="shared" si="55"/>
        <v>0</v>
      </c>
    </row>
    <row r="1714" spans="1:24" x14ac:dyDescent="0.25">
      <c r="A1714" s="17"/>
      <c r="B1714" s="17"/>
      <c r="C1714" s="17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8">
        <v>0</v>
      </c>
      <c r="W1714" s="17">
        <f t="shared" si="54"/>
        <v>0</v>
      </c>
      <c r="X1714" s="5">
        <f t="shared" si="55"/>
        <v>0</v>
      </c>
    </row>
    <row r="1715" spans="1:24" x14ac:dyDescent="0.25">
      <c r="A1715" s="17"/>
      <c r="B1715" s="17"/>
      <c r="C1715" s="17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8">
        <v>0</v>
      </c>
      <c r="W1715" s="17">
        <f t="shared" si="54"/>
        <v>0</v>
      </c>
      <c r="X1715" s="5">
        <f t="shared" si="55"/>
        <v>0</v>
      </c>
    </row>
    <row r="1716" spans="1:24" x14ac:dyDescent="0.25">
      <c r="A1716" s="17"/>
      <c r="B1716" s="17"/>
      <c r="C1716" s="17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8">
        <v>0</v>
      </c>
      <c r="W1716" s="17">
        <f t="shared" si="54"/>
        <v>0</v>
      </c>
      <c r="X1716" s="5">
        <f t="shared" si="55"/>
        <v>0</v>
      </c>
    </row>
    <row r="1717" spans="1:24" x14ac:dyDescent="0.25">
      <c r="A1717" s="17"/>
      <c r="B1717" s="17"/>
      <c r="C1717" s="17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8">
        <v>0</v>
      </c>
      <c r="W1717" s="17">
        <f t="shared" si="54"/>
        <v>0</v>
      </c>
      <c r="X1717" s="5">
        <f t="shared" si="55"/>
        <v>0</v>
      </c>
    </row>
    <row r="1718" spans="1:24" x14ac:dyDescent="0.25">
      <c r="A1718" s="17"/>
      <c r="B1718" s="17"/>
      <c r="C1718" s="17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8">
        <v>0</v>
      </c>
      <c r="W1718" s="17">
        <f t="shared" si="54"/>
        <v>0</v>
      </c>
      <c r="X1718" s="5">
        <f t="shared" si="55"/>
        <v>0</v>
      </c>
    </row>
    <row r="1719" spans="1:24" x14ac:dyDescent="0.25">
      <c r="A1719" s="17"/>
      <c r="B1719" s="17"/>
      <c r="C1719" s="17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8">
        <v>0</v>
      </c>
      <c r="W1719" s="17">
        <f t="shared" si="54"/>
        <v>0</v>
      </c>
      <c r="X1719" s="5">
        <f t="shared" si="55"/>
        <v>0</v>
      </c>
    </row>
    <row r="1720" spans="1:24" x14ac:dyDescent="0.25">
      <c r="A1720" s="17"/>
      <c r="B1720" s="17"/>
      <c r="C1720" s="17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8">
        <v>0</v>
      </c>
      <c r="W1720" s="17">
        <f t="shared" si="54"/>
        <v>0</v>
      </c>
      <c r="X1720" s="5">
        <f t="shared" si="55"/>
        <v>0</v>
      </c>
    </row>
    <row r="1721" spans="1:24" x14ac:dyDescent="0.25">
      <c r="A1721" s="17"/>
      <c r="B1721" s="17"/>
      <c r="C1721" s="17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8">
        <v>0</v>
      </c>
      <c r="W1721" s="17">
        <f t="shared" si="54"/>
        <v>0</v>
      </c>
      <c r="X1721" s="5">
        <f t="shared" si="55"/>
        <v>0</v>
      </c>
    </row>
    <row r="1722" spans="1:24" x14ac:dyDescent="0.25">
      <c r="A1722" s="17"/>
      <c r="B1722" s="17"/>
      <c r="C1722" s="17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8">
        <v>0</v>
      </c>
      <c r="W1722" s="17">
        <f t="shared" si="54"/>
        <v>0</v>
      </c>
      <c r="X1722" s="5">
        <f t="shared" si="55"/>
        <v>0</v>
      </c>
    </row>
    <row r="1723" spans="1:24" x14ac:dyDescent="0.25">
      <c r="A1723" s="17"/>
      <c r="B1723" s="17"/>
      <c r="C1723" s="17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8">
        <v>0</v>
      </c>
      <c r="W1723" s="17">
        <f t="shared" si="54"/>
        <v>0</v>
      </c>
      <c r="X1723" s="5">
        <f t="shared" si="55"/>
        <v>0</v>
      </c>
    </row>
    <row r="1724" spans="1:24" x14ac:dyDescent="0.25">
      <c r="A1724" s="17"/>
      <c r="B1724" s="17"/>
      <c r="C1724" s="17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8">
        <v>0</v>
      </c>
      <c r="W1724" s="17">
        <f t="shared" si="54"/>
        <v>0</v>
      </c>
      <c r="X1724" s="5">
        <f t="shared" si="55"/>
        <v>0</v>
      </c>
    </row>
    <row r="1725" spans="1:24" x14ac:dyDescent="0.25">
      <c r="A1725" s="17"/>
      <c r="B1725" s="17"/>
      <c r="C1725" s="17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8">
        <v>0</v>
      </c>
      <c r="W1725" s="17">
        <f t="shared" si="54"/>
        <v>0</v>
      </c>
      <c r="X1725" s="5">
        <f t="shared" si="55"/>
        <v>0</v>
      </c>
    </row>
    <row r="1726" spans="1:24" x14ac:dyDescent="0.25">
      <c r="A1726" s="17"/>
      <c r="B1726" s="17"/>
      <c r="C1726" s="17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8">
        <v>0</v>
      </c>
      <c r="W1726" s="17">
        <f t="shared" si="54"/>
        <v>0</v>
      </c>
      <c r="X1726" s="5">
        <f t="shared" si="55"/>
        <v>0</v>
      </c>
    </row>
    <row r="1727" spans="1:24" x14ac:dyDescent="0.25">
      <c r="A1727" s="17"/>
      <c r="B1727" s="17"/>
      <c r="C1727" s="17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8">
        <v>0</v>
      </c>
      <c r="W1727" s="17">
        <f t="shared" si="54"/>
        <v>0</v>
      </c>
      <c r="X1727" s="5">
        <f t="shared" si="55"/>
        <v>0</v>
      </c>
    </row>
    <row r="1728" spans="1:24" x14ac:dyDescent="0.25">
      <c r="A1728" s="17"/>
      <c r="B1728" s="17"/>
      <c r="C1728" s="17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8">
        <v>0</v>
      </c>
      <c r="W1728" s="17">
        <f t="shared" si="54"/>
        <v>0</v>
      </c>
      <c r="X1728" s="5">
        <f t="shared" si="55"/>
        <v>0</v>
      </c>
    </row>
    <row r="1729" spans="1:24" x14ac:dyDescent="0.25">
      <c r="A1729" s="17"/>
      <c r="B1729" s="17"/>
      <c r="C1729" s="17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8">
        <v>0</v>
      </c>
      <c r="W1729" s="17">
        <f t="shared" si="54"/>
        <v>0</v>
      </c>
      <c r="X1729" s="5">
        <f t="shared" si="55"/>
        <v>0</v>
      </c>
    </row>
    <row r="1730" spans="1:24" x14ac:dyDescent="0.25">
      <c r="A1730" s="17"/>
      <c r="B1730" s="17"/>
      <c r="C1730" s="17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8">
        <v>0</v>
      </c>
      <c r="W1730" s="17">
        <f t="shared" si="54"/>
        <v>0</v>
      </c>
      <c r="X1730" s="5">
        <f t="shared" si="55"/>
        <v>0</v>
      </c>
    </row>
    <row r="1731" spans="1:24" x14ac:dyDescent="0.25">
      <c r="A1731" s="17"/>
      <c r="B1731" s="17"/>
      <c r="C1731" s="17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8">
        <v>0</v>
      </c>
      <c r="W1731" s="17">
        <f t="shared" ref="W1731:W1794" si="56">HOUR(E1731)</f>
        <v>0</v>
      </c>
      <c r="X1731" s="5">
        <f t="shared" ref="X1731:X1794" si="57">IF(D1731=D1730,0,1)</f>
        <v>0</v>
      </c>
    </row>
    <row r="1732" spans="1:24" x14ac:dyDescent="0.25">
      <c r="A1732" s="17"/>
      <c r="B1732" s="17"/>
      <c r="C1732" s="17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8">
        <v>0</v>
      </c>
      <c r="W1732" s="17">
        <f t="shared" si="56"/>
        <v>0</v>
      </c>
      <c r="X1732" s="5">
        <f t="shared" si="57"/>
        <v>0</v>
      </c>
    </row>
    <row r="1733" spans="1:24" x14ac:dyDescent="0.25">
      <c r="A1733" s="17"/>
      <c r="B1733" s="17"/>
      <c r="C1733" s="17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8">
        <v>0</v>
      </c>
      <c r="W1733" s="17">
        <f t="shared" si="56"/>
        <v>0</v>
      </c>
      <c r="X1733" s="5">
        <f t="shared" si="57"/>
        <v>0</v>
      </c>
    </row>
    <row r="1734" spans="1:24" x14ac:dyDescent="0.25">
      <c r="A1734" s="17"/>
      <c r="B1734" s="17"/>
      <c r="C1734" s="17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8">
        <v>0</v>
      </c>
      <c r="W1734" s="17">
        <f t="shared" si="56"/>
        <v>0</v>
      </c>
      <c r="X1734" s="5">
        <f t="shared" si="57"/>
        <v>0</v>
      </c>
    </row>
    <row r="1735" spans="1:24" x14ac:dyDescent="0.25">
      <c r="A1735" s="17"/>
      <c r="B1735" s="17"/>
      <c r="C1735" s="17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8">
        <v>0</v>
      </c>
      <c r="W1735" s="17">
        <f t="shared" si="56"/>
        <v>0</v>
      </c>
      <c r="X1735" s="5">
        <f t="shared" si="57"/>
        <v>0</v>
      </c>
    </row>
    <row r="1736" spans="1:24" x14ac:dyDescent="0.25">
      <c r="A1736" s="17"/>
      <c r="B1736" s="17"/>
      <c r="C1736" s="17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  <c r="N1736" s="17"/>
      <c r="O1736" s="17"/>
      <c r="P1736" s="17"/>
      <c r="Q1736" s="17"/>
      <c r="R1736" s="17"/>
      <c r="S1736" s="17"/>
      <c r="T1736" s="17"/>
      <c r="U1736" s="17"/>
      <c r="V1736" s="18">
        <v>0</v>
      </c>
      <c r="W1736" s="17">
        <f t="shared" si="56"/>
        <v>0</v>
      </c>
      <c r="X1736" s="5">
        <f t="shared" si="57"/>
        <v>0</v>
      </c>
    </row>
    <row r="1737" spans="1:24" x14ac:dyDescent="0.25">
      <c r="A1737" s="17"/>
      <c r="B1737" s="17"/>
      <c r="C1737" s="17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8">
        <v>0</v>
      </c>
      <c r="W1737" s="17">
        <f t="shared" si="56"/>
        <v>0</v>
      </c>
      <c r="X1737" s="5">
        <f t="shared" si="57"/>
        <v>0</v>
      </c>
    </row>
    <row r="1738" spans="1:24" x14ac:dyDescent="0.25">
      <c r="A1738" s="17"/>
      <c r="B1738" s="17"/>
      <c r="C1738" s="17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8">
        <v>0</v>
      </c>
      <c r="W1738" s="17">
        <f t="shared" si="56"/>
        <v>0</v>
      </c>
      <c r="X1738" s="5">
        <f t="shared" si="57"/>
        <v>0</v>
      </c>
    </row>
    <row r="1739" spans="1:24" x14ac:dyDescent="0.25">
      <c r="A1739" s="17"/>
      <c r="B1739" s="17"/>
      <c r="C1739" s="17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8">
        <v>0</v>
      </c>
      <c r="W1739" s="17">
        <f t="shared" si="56"/>
        <v>0</v>
      </c>
      <c r="X1739" s="5">
        <f t="shared" si="57"/>
        <v>0</v>
      </c>
    </row>
    <row r="1740" spans="1:24" x14ac:dyDescent="0.25">
      <c r="A1740" s="17"/>
      <c r="B1740" s="17"/>
      <c r="C1740" s="17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8">
        <v>0</v>
      </c>
      <c r="W1740" s="17">
        <f t="shared" si="56"/>
        <v>0</v>
      </c>
      <c r="X1740" s="5">
        <f t="shared" si="57"/>
        <v>0</v>
      </c>
    </row>
    <row r="1741" spans="1:24" x14ac:dyDescent="0.25">
      <c r="A1741" s="17"/>
      <c r="B1741" s="17"/>
      <c r="C1741" s="17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8">
        <v>0</v>
      </c>
      <c r="W1741" s="17">
        <f t="shared" si="56"/>
        <v>0</v>
      </c>
      <c r="X1741" s="5">
        <f t="shared" si="57"/>
        <v>0</v>
      </c>
    </row>
    <row r="1742" spans="1:24" x14ac:dyDescent="0.25">
      <c r="A1742" s="17"/>
      <c r="B1742" s="17"/>
      <c r="C1742" s="17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8">
        <v>0</v>
      </c>
      <c r="W1742" s="17">
        <f t="shared" si="56"/>
        <v>0</v>
      </c>
      <c r="X1742" s="5">
        <f t="shared" si="57"/>
        <v>0</v>
      </c>
    </row>
    <row r="1743" spans="1:24" x14ac:dyDescent="0.25">
      <c r="A1743" s="17"/>
      <c r="B1743" s="17"/>
      <c r="C1743" s="17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8">
        <v>0</v>
      </c>
      <c r="W1743" s="17">
        <f t="shared" si="56"/>
        <v>0</v>
      </c>
      <c r="X1743" s="5">
        <f t="shared" si="57"/>
        <v>0</v>
      </c>
    </row>
    <row r="1744" spans="1:24" x14ac:dyDescent="0.25">
      <c r="A1744" s="17"/>
      <c r="B1744" s="17"/>
      <c r="C1744" s="17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8">
        <v>0</v>
      </c>
      <c r="W1744" s="17">
        <f t="shared" si="56"/>
        <v>0</v>
      </c>
      <c r="X1744" s="5">
        <f t="shared" si="57"/>
        <v>0</v>
      </c>
    </row>
    <row r="1745" spans="1:24" x14ac:dyDescent="0.25">
      <c r="A1745" s="17"/>
      <c r="B1745" s="17"/>
      <c r="C1745" s="17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8">
        <v>0</v>
      </c>
      <c r="W1745" s="17">
        <f t="shared" si="56"/>
        <v>0</v>
      </c>
      <c r="X1745" s="5">
        <f t="shared" si="57"/>
        <v>0</v>
      </c>
    </row>
    <row r="1746" spans="1:24" x14ac:dyDescent="0.25">
      <c r="A1746" s="17"/>
      <c r="B1746" s="17"/>
      <c r="C1746" s="17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8">
        <v>0</v>
      </c>
      <c r="W1746" s="17">
        <f t="shared" si="56"/>
        <v>0</v>
      </c>
      <c r="X1746" s="5">
        <f t="shared" si="57"/>
        <v>0</v>
      </c>
    </row>
    <row r="1747" spans="1:24" x14ac:dyDescent="0.25">
      <c r="A1747" s="17"/>
      <c r="B1747" s="17"/>
      <c r="C1747" s="17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8">
        <v>0</v>
      </c>
      <c r="W1747" s="17">
        <f t="shared" si="56"/>
        <v>0</v>
      </c>
      <c r="X1747" s="5">
        <f t="shared" si="57"/>
        <v>0</v>
      </c>
    </row>
    <row r="1748" spans="1:24" x14ac:dyDescent="0.25">
      <c r="A1748" s="17"/>
      <c r="B1748" s="17"/>
      <c r="C1748" s="17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8">
        <v>0</v>
      </c>
      <c r="W1748" s="17">
        <f t="shared" si="56"/>
        <v>0</v>
      </c>
      <c r="X1748" s="5">
        <f t="shared" si="57"/>
        <v>0</v>
      </c>
    </row>
    <row r="1749" spans="1:24" x14ac:dyDescent="0.25">
      <c r="A1749" s="17"/>
      <c r="B1749" s="17"/>
      <c r="C1749" s="17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8">
        <v>0</v>
      </c>
      <c r="W1749" s="17">
        <f t="shared" si="56"/>
        <v>0</v>
      </c>
      <c r="X1749" s="5">
        <f t="shared" si="57"/>
        <v>0</v>
      </c>
    </row>
    <row r="1750" spans="1:24" x14ac:dyDescent="0.25">
      <c r="A1750" s="17"/>
      <c r="B1750" s="17"/>
      <c r="C1750" s="17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8">
        <v>0</v>
      </c>
      <c r="W1750" s="17">
        <f t="shared" si="56"/>
        <v>0</v>
      </c>
      <c r="X1750" s="5">
        <f t="shared" si="57"/>
        <v>0</v>
      </c>
    </row>
    <row r="1751" spans="1:24" x14ac:dyDescent="0.25">
      <c r="A1751" s="17"/>
      <c r="B1751" s="17"/>
      <c r="C1751" s="17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8">
        <v>0</v>
      </c>
      <c r="W1751" s="17">
        <f t="shared" si="56"/>
        <v>0</v>
      </c>
      <c r="X1751" s="5">
        <f t="shared" si="57"/>
        <v>0</v>
      </c>
    </row>
    <row r="1752" spans="1:24" x14ac:dyDescent="0.25">
      <c r="A1752" s="17"/>
      <c r="B1752" s="17"/>
      <c r="C1752" s="17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8">
        <v>0</v>
      </c>
      <c r="W1752" s="17">
        <f t="shared" si="56"/>
        <v>0</v>
      </c>
      <c r="X1752" s="5">
        <f t="shared" si="57"/>
        <v>0</v>
      </c>
    </row>
    <row r="1753" spans="1:24" x14ac:dyDescent="0.25">
      <c r="A1753" s="17"/>
      <c r="B1753" s="17"/>
      <c r="C1753" s="17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8">
        <v>0</v>
      </c>
      <c r="W1753" s="17">
        <f t="shared" si="56"/>
        <v>0</v>
      </c>
      <c r="X1753" s="5">
        <f t="shared" si="57"/>
        <v>0</v>
      </c>
    </row>
    <row r="1754" spans="1:24" x14ac:dyDescent="0.25">
      <c r="A1754" s="17"/>
      <c r="B1754" s="17"/>
      <c r="C1754" s="17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8">
        <v>0</v>
      </c>
      <c r="W1754" s="17">
        <f t="shared" si="56"/>
        <v>0</v>
      </c>
      <c r="X1754" s="5">
        <f t="shared" si="57"/>
        <v>0</v>
      </c>
    </row>
    <row r="1755" spans="1:24" x14ac:dyDescent="0.25">
      <c r="A1755" s="17"/>
      <c r="B1755" s="17"/>
      <c r="C1755" s="17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8">
        <v>0</v>
      </c>
      <c r="W1755" s="17">
        <f t="shared" si="56"/>
        <v>0</v>
      </c>
      <c r="X1755" s="5">
        <f t="shared" si="57"/>
        <v>0</v>
      </c>
    </row>
    <row r="1756" spans="1:24" x14ac:dyDescent="0.25">
      <c r="A1756" s="17"/>
      <c r="B1756" s="17"/>
      <c r="C1756" s="17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8">
        <v>0</v>
      </c>
      <c r="W1756" s="17">
        <f t="shared" si="56"/>
        <v>0</v>
      </c>
      <c r="X1756" s="5">
        <f t="shared" si="57"/>
        <v>0</v>
      </c>
    </row>
    <row r="1757" spans="1:24" x14ac:dyDescent="0.25">
      <c r="A1757" s="17"/>
      <c r="B1757" s="17"/>
      <c r="C1757" s="17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8">
        <v>0</v>
      </c>
      <c r="W1757" s="17">
        <f t="shared" si="56"/>
        <v>0</v>
      </c>
      <c r="X1757" s="5">
        <f t="shared" si="57"/>
        <v>0</v>
      </c>
    </row>
    <row r="1758" spans="1:24" x14ac:dyDescent="0.25">
      <c r="A1758" s="17"/>
      <c r="B1758" s="17"/>
      <c r="C1758" s="17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  <c r="N1758" s="17"/>
      <c r="O1758" s="17"/>
      <c r="P1758" s="17"/>
      <c r="Q1758" s="17"/>
      <c r="R1758" s="17"/>
      <c r="S1758" s="17"/>
      <c r="T1758" s="17"/>
      <c r="U1758" s="17"/>
      <c r="V1758" s="18">
        <v>0</v>
      </c>
      <c r="W1758" s="17">
        <f t="shared" si="56"/>
        <v>0</v>
      </c>
      <c r="X1758" s="5">
        <f t="shared" si="57"/>
        <v>0</v>
      </c>
    </row>
    <row r="1759" spans="1:24" x14ac:dyDescent="0.25">
      <c r="A1759" s="17"/>
      <c r="B1759" s="17"/>
      <c r="C1759" s="17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8">
        <v>0</v>
      </c>
      <c r="W1759" s="17">
        <f t="shared" si="56"/>
        <v>0</v>
      </c>
      <c r="X1759" s="5">
        <f t="shared" si="57"/>
        <v>0</v>
      </c>
    </row>
    <row r="1760" spans="1:24" x14ac:dyDescent="0.25">
      <c r="A1760" s="17"/>
      <c r="B1760" s="17"/>
      <c r="C1760" s="17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  <c r="N1760" s="17"/>
      <c r="O1760" s="17"/>
      <c r="P1760" s="17"/>
      <c r="Q1760" s="17"/>
      <c r="R1760" s="17"/>
      <c r="S1760" s="17"/>
      <c r="T1760" s="17"/>
      <c r="U1760" s="17"/>
      <c r="V1760" s="18">
        <v>0</v>
      </c>
      <c r="W1760" s="17">
        <f t="shared" si="56"/>
        <v>0</v>
      </c>
      <c r="X1760" s="5">
        <f t="shared" si="57"/>
        <v>0</v>
      </c>
    </row>
    <row r="1761" spans="1:24" x14ac:dyDescent="0.25">
      <c r="A1761" s="17"/>
      <c r="B1761" s="17"/>
      <c r="C1761" s="17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8">
        <v>0</v>
      </c>
      <c r="W1761" s="17">
        <f t="shared" si="56"/>
        <v>0</v>
      </c>
      <c r="X1761" s="5">
        <f t="shared" si="57"/>
        <v>0</v>
      </c>
    </row>
    <row r="1762" spans="1:24" x14ac:dyDescent="0.25">
      <c r="A1762" s="17"/>
      <c r="B1762" s="17"/>
      <c r="C1762" s="17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8">
        <v>0</v>
      </c>
      <c r="W1762" s="17">
        <f t="shared" si="56"/>
        <v>0</v>
      </c>
      <c r="X1762" s="5">
        <f t="shared" si="57"/>
        <v>0</v>
      </c>
    </row>
    <row r="1763" spans="1:24" x14ac:dyDescent="0.25">
      <c r="A1763" s="17"/>
      <c r="B1763" s="17"/>
      <c r="C1763" s="17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8">
        <v>0</v>
      </c>
      <c r="W1763" s="17">
        <f t="shared" si="56"/>
        <v>0</v>
      </c>
      <c r="X1763" s="5">
        <f t="shared" si="57"/>
        <v>0</v>
      </c>
    </row>
    <row r="1764" spans="1:24" x14ac:dyDescent="0.25">
      <c r="A1764" s="17"/>
      <c r="B1764" s="17"/>
      <c r="C1764" s="17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8">
        <v>0</v>
      </c>
      <c r="W1764" s="17">
        <f t="shared" si="56"/>
        <v>0</v>
      </c>
      <c r="X1764" s="5">
        <f t="shared" si="57"/>
        <v>0</v>
      </c>
    </row>
    <row r="1765" spans="1:24" x14ac:dyDescent="0.25">
      <c r="A1765" s="17"/>
      <c r="B1765" s="17"/>
      <c r="C1765" s="17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8">
        <v>0</v>
      </c>
      <c r="W1765" s="17">
        <f t="shared" si="56"/>
        <v>0</v>
      </c>
      <c r="X1765" s="5">
        <f t="shared" si="57"/>
        <v>0</v>
      </c>
    </row>
    <row r="1766" spans="1:24" x14ac:dyDescent="0.25">
      <c r="A1766" s="17"/>
      <c r="B1766" s="17"/>
      <c r="C1766" s="17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8">
        <v>0</v>
      </c>
      <c r="W1766" s="17">
        <f t="shared" si="56"/>
        <v>0</v>
      </c>
      <c r="X1766" s="5">
        <f t="shared" si="57"/>
        <v>0</v>
      </c>
    </row>
    <row r="1767" spans="1:24" x14ac:dyDescent="0.25">
      <c r="A1767" s="17"/>
      <c r="B1767" s="17"/>
      <c r="C1767" s="17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8">
        <v>0</v>
      </c>
      <c r="W1767" s="17">
        <f t="shared" si="56"/>
        <v>0</v>
      </c>
      <c r="X1767" s="5">
        <f t="shared" si="57"/>
        <v>0</v>
      </c>
    </row>
    <row r="1768" spans="1:24" x14ac:dyDescent="0.25">
      <c r="A1768" s="17"/>
      <c r="B1768" s="17"/>
      <c r="C1768" s="17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8">
        <v>0</v>
      </c>
      <c r="W1768" s="17">
        <f t="shared" si="56"/>
        <v>0</v>
      </c>
      <c r="X1768" s="5">
        <f t="shared" si="57"/>
        <v>0</v>
      </c>
    </row>
    <row r="1769" spans="1:24" x14ac:dyDescent="0.25">
      <c r="A1769" s="17"/>
      <c r="B1769" s="17"/>
      <c r="C1769" s="17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8">
        <v>0</v>
      </c>
      <c r="W1769" s="17">
        <f t="shared" si="56"/>
        <v>0</v>
      </c>
      <c r="X1769" s="5">
        <f t="shared" si="57"/>
        <v>0</v>
      </c>
    </row>
    <row r="1770" spans="1:24" x14ac:dyDescent="0.25">
      <c r="A1770" s="17"/>
      <c r="B1770" s="17"/>
      <c r="C1770" s="17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8">
        <v>0</v>
      </c>
      <c r="W1770" s="17">
        <f t="shared" si="56"/>
        <v>0</v>
      </c>
      <c r="X1770" s="5">
        <f t="shared" si="57"/>
        <v>0</v>
      </c>
    </row>
    <row r="1771" spans="1:24" x14ac:dyDescent="0.25">
      <c r="A1771" s="17"/>
      <c r="B1771" s="17"/>
      <c r="C1771" s="17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8">
        <v>0</v>
      </c>
      <c r="W1771" s="17">
        <f t="shared" si="56"/>
        <v>0</v>
      </c>
      <c r="X1771" s="5">
        <f t="shared" si="57"/>
        <v>0</v>
      </c>
    </row>
    <row r="1772" spans="1:24" x14ac:dyDescent="0.25">
      <c r="A1772" s="17"/>
      <c r="B1772" s="17"/>
      <c r="C1772" s="17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8">
        <v>0</v>
      </c>
      <c r="W1772" s="17">
        <f t="shared" si="56"/>
        <v>0</v>
      </c>
      <c r="X1772" s="5">
        <f t="shared" si="57"/>
        <v>0</v>
      </c>
    </row>
    <row r="1773" spans="1:24" x14ac:dyDescent="0.25">
      <c r="A1773" s="17"/>
      <c r="B1773" s="17"/>
      <c r="C1773" s="17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8">
        <v>0</v>
      </c>
      <c r="W1773" s="17">
        <f t="shared" si="56"/>
        <v>0</v>
      </c>
      <c r="X1773" s="5">
        <f t="shared" si="57"/>
        <v>0</v>
      </c>
    </row>
    <row r="1774" spans="1:24" x14ac:dyDescent="0.25">
      <c r="A1774" s="17"/>
      <c r="B1774" s="17"/>
      <c r="C1774" s="17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  <c r="N1774" s="17"/>
      <c r="O1774" s="17"/>
      <c r="P1774" s="17"/>
      <c r="Q1774" s="17"/>
      <c r="R1774" s="17"/>
      <c r="S1774" s="17"/>
      <c r="T1774" s="17"/>
      <c r="U1774" s="17"/>
      <c r="V1774" s="18">
        <v>0</v>
      </c>
      <c r="W1774" s="17">
        <f t="shared" si="56"/>
        <v>0</v>
      </c>
      <c r="X1774" s="5">
        <f t="shared" si="57"/>
        <v>0</v>
      </c>
    </row>
    <row r="1775" spans="1:24" x14ac:dyDescent="0.25">
      <c r="A1775" s="17"/>
      <c r="B1775" s="17"/>
      <c r="C1775" s="17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8">
        <v>0</v>
      </c>
      <c r="W1775" s="17">
        <f t="shared" si="56"/>
        <v>0</v>
      </c>
      <c r="X1775" s="5">
        <f t="shared" si="57"/>
        <v>0</v>
      </c>
    </row>
    <row r="1776" spans="1:24" x14ac:dyDescent="0.25">
      <c r="A1776" s="17"/>
      <c r="B1776" s="17"/>
      <c r="C1776" s="17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8">
        <v>0</v>
      </c>
      <c r="W1776" s="17">
        <f t="shared" si="56"/>
        <v>0</v>
      </c>
      <c r="X1776" s="5">
        <f t="shared" si="57"/>
        <v>0</v>
      </c>
    </row>
    <row r="1777" spans="1:24" x14ac:dyDescent="0.25">
      <c r="A1777" s="17"/>
      <c r="B1777" s="17"/>
      <c r="C1777" s="17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8">
        <v>0</v>
      </c>
      <c r="W1777" s="17">
        <f t="shared" si="56"/>
        <v>0</v>
      </c>
      <c r="X1777" s="5">
        <f t="shared" si="57"/>
        <v>0</v>
      </c>
    </row>
    <row r="1778" spans="1:24" x14ac:dyDescent="0.25">
      <c r="A1778" s="17"/>
      <c r="B1778" s="17"/>
      <c r="C1778" s="17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8">
        <v>0</v>
      </c>
      <c r="W1778" s="17">
        <f t="shared" si="56"/>
        <v>0</v>
      </c>
      <c r="X1778" s="5">
        <f t="shared" si="57"/>
        <v>0</v>
      </c>
    </row>
    <row r="1779" spans="1:24" x14ac:dyDescent="0.25">
      <c r="A1779" s="17"/>
      <c r="B1779" s="17"/>
      <c r="C1779" s="17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8">
        <v>0</v>
      </c>
      <c r="W1779" s="17">
        <f t="shared" si="56"/>
        <v>0</v>
      </c>
      <c r="X1779" s="5">
        <f t="shared" si="57"/>
        <v>0</v>
      </c>
    </row>
    <row r="1780" spans="1:24" x14ac:dyDescent="0.25">
      <c r="A1780" s="17"/>
      <c r="B1780" s="17"/>
      <c r="C1780" s="17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  <c r="N1780" s="17"/>
      <c r="O1780" s="17"/>
      <c r="P1780" s="17"/>
      <c r="Q1780" s="17"/>
      <c r="R1780" s="17"/>
      <c r="S1780" s="17"/>
      <c r="T1780" s="17"/>
      <c r="U1780" s="17"/>
      <c r="V1780" s="18">
        <v>0</v>
      </c>
      <c r="W1780" s="17">
        <f t="shared" si="56"/>
        <v>0</v>
      </c>
      <c r="X1780" s="5">
        <f t="shared" si="57"/>
        <v>0</v>
      </c>
    </row>
    <row r="1781" spans="1:24" x14ac:dyDescent="0.25">
      <c r="A1781" s="17"/>
      <c r="B1781" s="17"/>
      <c r="C1781" s="17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8">
        <v>0</v>
      </c>
      <c r="W1781" s="17">
        <f t="shared" si="56"/>
        <v>0</v>
      </c>
      <c r="X1781" s="5">
        <f t="shared" si="57"/>
        <v>0</v>
      </c>
    </row>
    <row r="1782" spans="1:24" x14ac:dyDescent="0.25">
      <c r="A1782" s="17"/>
      <c r="B1782" s="17"/>
      <c r="C1782" s="17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  <c r="N1782" s="17"/>
      <c r="O1782" s="17"/>
      <c r="P1782" s="17"/>
      <c r="Q1782" s="17"/>
      <c r="R1782" s="17"/>
      <c r="S1782" s="17"/>
      <c r="T1782" s="17"/>
      <c r="U1782" s="17"/>
      <c r="V1782" s="18">
        <v>0</v>
      </c>
      <c r="W1782" s="17">
        <f t="shared" si="56"/>
        <v>0</v>
      </c>
      <c r="X1782" s="5">
        <f t="shared" si="57"/>
        <v>0</v>
      </c>
    </row>
    <row r="1783" spans="1:24" x14ac:dyDescent="0.25">
      <c r="A1783" s="17"/>
      <c r="B1783" s="17"/>
      <c r="C1783" s="17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8">
        <v>0</v>
      </c>
      <c r="W1783" s="17">
        <f t="shared" si="56"/>
        <v>0</v>
      </c>
      <c r="X1783" s="5">
        <f t="shared" si="57"/>
        <v>0</v>
      </c>
    </row>
    <row r="1784" spans="1:24" x14ac:dyDescent="0.25">
      <c r="A1784" s="17"/>
      <c r="B1784" s="17"/>
      <c r="C1784" s="17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8">
        <v>0</v>
      </c>
      <c r="W1784" s="17">
        <f t="shared" si="56"/>
        <v>0</v>
      </c>
      <c r="X1784" s="5">
        <f t="shared" si="57"/>
        <v>0</v>
      </c>
    </row>
    <row r="1785" spans="1:24" x14ac:dyDescent="0.25">
      <c r="A1785" s="17"/>
      <c r="B1785" s="17"/>
      <c r="C1785" s="17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8">
        <v>0</v>
      </c>
      <c r="W1785" s="17">
        <f t="shared" si="56"/>
        <v>0</v>
      </c>
      <c r="X1785" s="5">
        <f t="shared" si="57"/>
        <v>0</v>
      </c>
    </row>
    <row r="1786" spans="1:24" x14ac:dyDescent="0.25">
      <c r="A1786" s="17"/>
      <c r="B1786" s="17"/>
      <c r="C1786" s="17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  <c r="N1786" s="17"/>
      <c r="O1786" s="17"/>
      <c r="P1786" s="17"/>
      <c r="Q1786" s="17"/>
      <c r="R1786" s="17"/>
      <c r="S1786" s="17"/>
      <c r="T1786" s="17"/>
      <c r="U1786" s="17"/>
      <c r="V1786" s="18">
        <v>0</v>
      </c>
      <c r="W1786" s="17">
        <f t="shared" si="56"/>
        <v>0</v>
      </c>
      <c r="X1786" s="5">
        <f t="shared" si="57"/>
        <v>0</v>
      </c>
    </row>
    <row r="1787" spans="1:24" x14ac:dyDescent="0.25">
      <c r="A1787" s="17"/>
      <c r="B1787" s="17"/>
      <c r="C1787" s="17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  <c r="N1787" s="17"/>
      <c r="O1787" s="17"/>
      <c r="P1787" s="17"/>
      <c r="Q1787" s="17"/>
      <c r="R1787" s="17"/>
      <c r="S1787" s="17"/>
      <c r="T1787" s="17"/>
      <c r="U1787" s="17"/>
      <c r="V1787" s="18">
        <v>0</v>
      </c>
      <c r="W1787" s="17">
        <f t="shared" si="56"/>
        <v>0</v>
      </c>
      <c r="X1787" s="5">
        <f t="shared" si="57"/>
        <v>0</v>
      </c>
    </row>
    <row r="1788" spans="1:24" x14ac:dyDescent="0.25">
      <c r="A1788" s="17"/>
      <c r="B1788" s="17"/>
      <c r="C1788" s="17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8">
        <v>0</v>
      </c>
      <c r="W1788" s="17">
        <f t="shared" si="56"/>
        <v>0</v>
      </c>
      <c r="X1788" s="5">
        <f t="shared" si="57"/>
        <v>0</v>
      </c>
    </row>
    <row r="1789" spans="1:24" x14ac:dyDescent="0.25">
      <c r="A1789" s="17"/>
      <c r="B1789" s="17"/>
      <c r="C1789" s="17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  <c r="N1789" s="17"/>
      <c r="O1789" s="17"/>
      <c r="P1789" s="17"/>
      <c r="Q1789" s="17"/>
      <c r="R1789" s="17"/>
      <c r="S1789" s="17"/>
      <c r="T1789" s="17"/>
      <c r="U1789" s="17"/>
      <c r="V1789" s="18">
        <v>0</v>
      </c>
      <c r="W1789" s="17">
        <f t="shared" si="56"/>
        <v>0</v>
      </c>
      <c r="X1789" s="5">
        <f t="shared" si="57"/>
        <v>0</v>
      </c>
    </row>
    <row r="1790" spans="1:24" x14ac:dyDescent="0.25">
      <c r="A1790" s="17"/>
      <c r="B1790" s="17"/>
      <c r="C1790" s="17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  <c r="N1790" s="17"/>
      <c r="O1790" s="17"/>
      <c r="P1790" s="17"/>
      <c r="Q1790" s="17"/>
      <c r="R1790" s="17"/>
      <c r="S1790" s="17"/>
      <c r="T1790" s="17"/>
      <c r="U1790" s="17"/>
      <c r="V1790" s="18">
        <v>0</v>
      </c>
      <c r="W1790" s="17">
        <f t="shared" si="56"/>
        <v>0</v>
      </c>
      <c r="X1790" s="5">
        <f t="shared" si="57"/>
        <v>0</v>
      </c>
    </row>
    <row r="1791" spans="1:24" x14ac:dyDescent="0.25">
      <c r="A1791" s="17"/>
      <c r="B1791" s="17"/>
      <c r="C1791" s="17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  <c r="N1791" s="17"/>
      <c r="O1791" s="17"/>
      <c r="P1791" s="17"/>
      <c r="Q1791" s="17"/>
      <c r="R1791" s="17"/>
      <c r="S1791" s="17"/>
      <c r="T1791" s="17"/>
      <c r="U1791" s="17"/>
      <c r="V1791" s="18">
        <v>0</v>
      </c>
      <c r="W1791" s="17">
        <f t="shared" si="56"/>
        <v>0</v>
      </c>
      <c r="X1791" s="5">
        <f t="shared" si="57"/>
        <v>0</v>
      </c>
    </row>
    <row r="1792" spans="1:24" x14ac:dyDescent="0.25">
      <c r="A1792" s="17"/>
      <c r="B1792" s="17"/>
      <c r="C1792" s="17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8">
        <v>0</v>
      </c>
      <c r="W1792" s="17">
        <f t="shared" si="56"/>
        <v>0</v>
      </c>
      <c r="X1792" s="5">
        <f t="shared" si="57"/>
        <v>0</v>
      </c>
    </row>
    <row r="1793" spans="1:24" x14ac:dyDescent="0.25">
      <c r="A1793" s="17"/>
      <c r="B1793" s="17"/>
      <c r="C1793" s="17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8">
        <v>0</v>
      </c>
      <c r="W1793" s="17">
        <f t="shared" si="56"/>
        <v>0</v>
      </c>
      <c r="X1793" s="5">
        <f t="shared" si="57"/>
        <v>0</v>
      </c>
    </row>
    <row r="1794" spans="1:24" x14ac:dyDescent="0.25">
      <c r="A1794" s="17"/>
      <c r="B1794" s="17"/>
      <c r="C1794" s="17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8">
        <v>0</v>
      </c>
      <c r="W1794" s="17">
        <f t="shared" si="56"/>
        <v>0</v>
      </c>
      <c r="X1794" s="5">
        <f t="shared" si="57"/>
        <v>0</v>
      </c>
    </row>
    <row r="1795" spans="1:24" x14ac:dyDescent="0.25">
      <c r="A1795" s="17"/>
      <c r="B1795" s="17"/>
      <c r="C1795" s="17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8">
        <v>0</v>
      </c>
      <c r="W1795" s="17">
        <f t="shared" ref="W1795:W1858" si="58">HOUR(E1795)</f>
        <v>0</v>
      </c>
      <c r="X1795" s="5">
        <f t="shared" ref="X1795:X1858" si="59">IF(D1795=D1794,0,1)</f>
        <v>0</v>
      </c>
    </row>
    <row r="1796" spans="1:24" x14ac:dyDescent="0.25">
      <c r="A1796" s="17"/>
      <c r="B1796" s="17"/>
      <c r="C1796" s="17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8">
        <v>0</v>
      </c>
      <c r="W1796" s="17">
        <f t="shared" si="58"/>
        <v>0</v>
      </c>
      <c r="X1796" s="5">
        <f t="shared" si="59"/>
        <v>0</v>
      </c>
    </row>
    <row r="1797" spans="1:24" x14ac:dyDescent="0.25">
      <c r="A1797" s="17"/>
      <c r="B1797" s="17"/>
      <c r="C1797" s="17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8">
        <v>0</v>
      </c>
      <c r="W1797" s="17">
        <f t="shared" si="58"/>
        <v>0</v>
      </c>
      <c r="X1797" s="5">
        <f t="shared" si="59"/>
        <v>0</v>
      </c>
    </row>
    <row r="1798" spans="1:24" x14ac:dyDescent="0.25">
      <c r="A1798" s="17"/>
      <c r="B1798" s="17"/>
      <c r="C1798" s="17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8">
        <v>0</v>
      </c>
      <c r="W1798" s="17">
        <f t="shared" si="58"/>
        <v>0</v>
      </c>
      <c r="X1798" s="5">
        <f t="shared" si="59"/>
        <v>0</v>
      </c>
    </row>
    <row r="1799" spans="1:24" x14ac:dyDescent="0.25">
      <c r="A1799" s="17"/>
      <c r="B1799" s="17"/>
      <c r="C1799" s="17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8">
        <v>0</v>
      </c>
      <c r="W1799" s="17">
        <f t="shared" si="58"/>
        <v>0</v>
      </c>
      <c r="X1799" s="5">
        <f t="shared" si="59"/>
        <v>0</v>
      </c>
    </row>
    <row r="1800" spans="1:24" x14ac:dyDescent="0.25">
      <c r="A1800" s="17"/>
      <c r="B1800" s="17"/>
      <c r="C1800" s="17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8">
        <v>0</v>
      </c>
      <c r="W1800" s="17">
        <f t="shared" si="58"/>
        <v>0</v>
      </c>
      <c r="X1800" s="5">
        <f t="shared" si="59"/>
        <v>0</v>
      </c>
    </row>
    <row r="1801" spans="1:24" x14ac:dyDescent="0.25">
      <c r="A1801" s="17"/>
      <c r="B1801" s="17"/>
      <c r="C1801" s="17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8">
        <v>0</v>
      </c>
      <c r="W1801" s="17">
        <f t="shared" si="58"/>
        <v>0</v>
      </c>
      <c r="X1801" s="5">
        <f t="shared" si="59"/>
        <v>0</v>
      </c>
    </row>
    <row r="1802" spans="1:24" x14ac:dyDescent="0.25">
      <c r="A1802" s="17"/>
      <c r="B1802" s="17"/>
      <c r="C1802" s="17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8">
        <v>0</v>
      </c>
      <c r="W1802" s="17">
        <f t="shared" si="58"/>
        <v>0</v>
      </c>
      <c r="X1802" s="5">
        <f t="shared" si="59"/>
        <v>0</v>
      </c>
    </row>
    <row r="1803" spans="1:24" x14ac:dyDescent="0.25">
      <c r="A1803" s="17"/>
      <c r="B1803" s="17"/>
      <c r="C1803" s="17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8">
        <v>0</v>
      </c>
      <c r="W1803" s="17">
        <f t="shared" si="58"/>
        <v>0</v>
      </c>
      <c r="X1803" s="5">
        <f t="shared" si="59"/>
        <v>0</v>
      </c>
    </row>
    <row r="1804" spans="1:24" x14ac:dyDescent="0.25">
      <c r="A1804" s="17"/>
      <c r="B1804" s="17"/>
      <c r="C1804" s="17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8">
        <v>0</v>
      </c>
      <c r="W1804" s="17">
        <f t="shared" si="58"/>
        <v>0</v>
      </c>
      <c r="X1804" s="5">
        <f t="shared" si="59"/>
        <v>0</v>
      </c>
    </row>
    <row r="1805" spans="1:24" x14ac:dyDescent="0.25">
      <c r="A1805" s="17"/>
      <c r="B1805" s="17"/>
      <c r="C1805" s="17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  <c r="N1805" s="17"/>
      <c r="O1805" s="17"/>
      <c r="P1805" s="17"/>
      <c r="Q1805" s="17"/>
      <c r="R1805" s="17"/>
      <c r="S1805" s="17"/>
      <c r="T1805" s="17"/>
      <c r="U1805" s="17"/>
      <c r="V1805" s="18">
        <v>0</v>
      </c>
      <c r="W1805" s="17">
        <f t="shared" si="58"/>
        <v>0</v>
      </c>
      <c r="X1805" s="5">
        <f t="shared" si="59"/>
        <v>0</v>
      </c>
    </row>
    <row r="1806" spans="1:24" x14ac:dyDescent="0.25">
      <c r="A1806" s="17"/>
      <c r="B1806" s="17"/>
      <c r="C1806" s="17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  <c r="N1806" s="17"/>
      <c r="O1806" s="17"/>
      <c r="P1806" s="17"/>
      <c r="Q1806" s="17"/>
      <c r="R1806" s="17"/>
      <c r="S1806" s="17"/>
      <c r="T1806" s="17"/>
      <c r="U1806" s="17"/>
      <c r="V1806" s="18">
        <v>0</v>
      </c>
      <c r="W1806" s="17">
        <f t="shared" si="58"/>
        <v>0</v>
      </c>
      <c r="X1806" s="5">
        <f t="shared" si="59"/>
        <v>0</v>
      </c>
    </row>
    <row r="1807" spans="1:24" x14ac:dyDescent="0.25">
      <c r="A1807" s="17"/>
      <c r="B1807" s="17"/>
      <c r="C1807" s="17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  <c r="N1807" s="17"/>
      <c r="O1807" s="17"/>
      <c r="P1807" s="17"/>
      <c r="Q1807" s="17"/>
      <c r="R1807" s="17"/>
      <c r="S1807" s="17"/>
      <c r="T1807" s="17"/>
      <c r="U1807" s="17"/>
      <c r="V1807" s="18">
        <v>0</v>
      </c>
      <c r="W1807" s="17">
        <f t="shared" si="58"/>
        <v>0</v>
      </c>
      <c r="X1807" s="5">
        <f t="shared" si="59"/>
        <v>0</v>
      </c>
    </row>
    <row r="1808" spans="1:24" x14ac:dyDescent="0.25">
      <c r="A1808" s="17"/>
      <c r="B1808" s="17"/>
      <c r="C1808" s="17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8">
        <v>0</v>
      </c>
      <c r="W1808" s="17">
        <f t="shared" si="58"/>
        <v>0</v>
      </c>
      <c r="X1808" s="5">
        <f t="shared" si="59"/>
        <v>0</v>
      </c>
    </row>
    <row r="1809" spans="1:24" x14ac:dyDescent="0.25">
      <c r="A1809" s="17"/>
      <c r="B1809" s="17"/>
      <c r="C1809" s="17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8">
        <v>0</v>
      </c>
      <c r="W1809" s="17">
        <f t="shared" si="58"/>
        <v>0</v>
      </c>
      <c r="X1809" s="5">
        <f t="shared" si="59"/>
        <v>0</v>
      </c>
    </row>
    <row r="1810" spans="1:24" x14ac:dyDescent="0.25">
      <c r="A1810" s="17"/>
      <c r="B1810" s="17"/>
      <c r="C1810" s="17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8">
        <v>0</v>
      </c>
      <c r="W1810" s="17">
        <f t="shared" si="58"/>
        <v>0</v>
      </c>
      <c r="X1810" s="5">
        <f t="shared" si="59"/>
        <v>0</v>
      </c>
    </row>
    <row r="1811" spans="1:24" x14ac:dyDescent="0.25">
      <c r="A1811" s="17"/>
      <c r="B1811" s="17"/>
      <c r="C1811" s="17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8">
        <v>0</v>
      </c>
      <c r="W1811" s="17">
        <f t="shared" si="58"/>
        <v>0</v>
      </c>
      <c r="X1811" s="5">
        <f t="shared" si="59"/>
        <v>0</v>
      </c>
    </row>
    <row r="1812" spans="1:24" x14ac:dyDescent="0.25">
      <c r="A1812" s="17"/>
      <c r="B1812" s="17"/>
      <c r="C1812" s="17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17"/>
      <c r="V1812" s="18">
        <v>0</v>
      </c>
      <c r="W1812" s="17">
        <f t="shared" si="58"/>
        <v>0</v>
      </c>
      <c r="X1812" s="5">
        <f t="shared" si="59"/>
        <v>0</v>
      </c>
    </row>
    <row r="1813" spans="1:24" x14ac:dyDescent="0.25">
      <c r="A1813" s="17"/>
      <c r="B1813" s="17"/>
      <c r="C1813" s="17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17"/>
      <c r="V1813" s="18">
        <v>0</v>
      </c>
      <c r="W1813" s="17">
        <f t="shared" si="58"/>
        <v>0</v>
      </c>
      <c r="X1813" s="5">
        <f t="shared" si="59"/>
        <v>0</v>
      </c>
    </row>
    <row r="1814" spans="1:24" x14ac:dyDescent="0.25">
      <c r="A1814" s="17"/>
      <c r="B1814" s="17"/>
      <c r="C1814" s="17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  <c r="N1814" s="17"/>
      <c r="O1814" s="17"/>
      <c r="P1814" s="17"/>
      <c r="Q1814" s="17"/>
      <c r="R1814" s="17"/>
      <c r="S1814" s="17"/>
      <c r="T1814" s="17"/>
      <c r="U1814" s="17"/>
      <c r="V1814" s="18">
        <v>0</v>
      </c>
      <c r="W1814" s="17">
        <f t="shared" si="58"/>
        <v>0</v>
      </c>
      <c r="X1814" s="5">
        <f t="shared" si="59"/>
        <v>0</v>
      </c>
    </row>
    <row r="1815" spans="1:24" x14ac:dyDescent="0.25">
      <c r="A1815" s="17"/>
      <c r="B1815" s="17"/>
      <c r="C1815" s="17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8">
        <v>0</v>
      </c>
      <c r="W1815" s="17">
        <f t="shared" si="58"/>
        <v>0</v>
      </c>
      <c r="X1815" s="5">
        <f t="shared" si="59"/>
        <v>0</v>
      </c>
    </row>
    <row r="1816" spans="1:24" x14ac:dyDescent="0.25">
      <c r="A1816" s="17"/>
      <c r="B1816" s="17"/>
      <c r="C1816" s="17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8">
        <v>0</v>
      </c>
      <c r="W1816" s="17">
        <f t="shared" si="58"/>
        <v>0</v>
      </c>
      <c r="X1816" s="5">
        <f t="shared" si="59"/>
        <v>0</v>
      </c>
    </row>
    <row r="1817" spans="1:24" x14ac:dyDescent="0.25">
      <c r="A1817" s="17"/>
      <c r="B1817" s="17"/>
      <c r="C1817" s="17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8">
        <v>0</v>
      </c>
      <c r="W1817" s="17">
        <f t="shared" si="58"/>
        <v>0</v>
      </c>
      <c r="X1817" s="5">
        <f t="shared" si="59"/>
        <v>0</v>
      </c>
    </row>
    <row r="1818" spans="1:24" x14ac:dyDescent="0.25">
      <c r="A1818" s="17"/>
      <c r="B1818" s="17"/>
      <c r="C1818" s="17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8">
        <v>0</v>
      </c>
      <c r="W1818" s="17">
        <f t="shared" si="58"/>
        <v>0</v>
      </c>
      <c r="X1818" s="5">
        <f t="shared" si="59"/>
        <v>0</v>
      </c>
    </row>
    <row r="1819" spans="1:24" x14ac:dyDescent="0.25">
      <c r="A1819" s="17"/>
      <c r="B1819" s="17"/>
      <c r="C1819" s="17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8">
        <v>0</v>
      </c>
      <c r="W1819" s="17">
        <f t="shared" si="58"/>
        <v>0</v>
      </c>
      <c r="X1819" s="5">
        <f t="shared" si="59"/>
        <v>0</v>
      </c>
    </row>
    <row r="1820" spans="1:24" x14ac:dyDescent="0.25">
      <c r="A1820" s="17"/>
      <c r="B1820" s="17"/>
      <c r="C1820" s="17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8">
        <v>0</v>
      </c>
      <c r="W1820" s="17">
        <f t="shared" si="58"/>
        <v>0</v>
      </c>
      <c r="X1820" s="5">
        <f t="shared" si="59"/>
        <v>0</v>
      </c>
    </row>
    <row r="1821" spans="1:24" x14ac:dyDescent="0.25">
      <c r="A1821" s="17"/>
      <c r="B1821" s="17"/>
      <c r="C1821" s="17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8">
        <v>0</v>
      </c>
      <c r="W1821" s="17">
        <f t="shared" si="58"/>
        <v>0</v>
      </c>
      <c r="X1821" s="5">
        <f t="shared" si="59"/>
        <v>0</v>
      </c>
    </row>
    <row r="1822" spans="1:24" x14ac:dyDescent="0.25">
      <c r="A1822" s="17"/>
      <c r="B1822" s="17"/>
      <c r="C1822" s="17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8">
        <v>0</v>
      </c>
      <c r="W1822" s="17">
        <f t="shared" si="58"/>
        <v>0</v>
      </c>
      <c r="X1822" s="5">
        <f t="shared" si="59"/>
        <v>0</v>
      </c>
    </row>
    <row r="1823" spans="1:24" x14ac:dyDescent="0.25">
      <c r="A1823" s="17"/>
      <c r="B1823" s="17"/>
      <c r="C1823" s="17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8">
        <v>0</v>
      </c>
      <c r="W1823" s="17">
        <f t="shared" si="58"/>
        <v>0</v>
      </c>
      <c r="X1823" s="5">
        <f t="shared" si="59"/>
        <v>0</v>
      </c>
    </row>
    <row r="1824" spans="1:24" x14ac:dyDescent="0.25">
      <c r="A1824" s="17"/>
      <c r="B1824" s="17"/>
      <c r="C1824" s="17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8">
        <v>0</v>
      </c>
      <c r="W1824" s="17">
        <f t="shared" si="58"/>
        <v>0</v>
      </c>
      <c r="X1824" s="5">
        <f t="shared" si="59"/>
        <v>0</v>
      </c>
    </row>
    <row r="1825" spans="1:24" x14ac:dyDescent="0.25">
      <c r="A1825" s="17"/>
      <c r="B1825" s="17"/>
      <c r="C1825" s="17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8">
        <v>0</v>
      </c>
      <c r="W1825" s="17">
        <f t="shared" si="58"/>
        <v>0</v>
      </c>
      <c r="X1825" s="5">
        <f t="shared" si="59"/>
        <v>0</v>
      </c>
    </row>
    <row r="1826" spans="1:24" x14ac:dyDescent="0.25">
      <c r="A1826" s="17"/>
      <c r="B1826" s="17"/>
      <c r="C1826" s="17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8">
        <v>0</v>
      </c>
      <c r="W1826" s="17">
        <f t="shared" si="58"/>
        <v>0</v>
      </c>
      <c r="X1826" s="5">
        <f t="shared" si="59"/>
        <v>0</v>
      </c>
    </row>
    <row r="1827" spans="1:24" x14ac:dyDescent="0.25">
      <c r="A1827" s="17"/>
      <c r="B1827" s="17"/>
      <c r="C1827" s="17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8">
        <v>0</v>
      </c>
      <c r="W1827" s="17">
        <f t="shared" si="58"/>
        <v>0</v>
      </c>
      <c r="X1827" s="5">
        <f t="shared" si="59"/>
        <v>0</v>
      </c>
    </row>
    <row r="1828" spans="1:24" x14ac:dyDescent="0.25">
      <c r="A1828" s="17"/>
      <c r="B1828" s="17"/>
      <c r="C1828" s="17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8">
        <v>0</v>
      </c>
      <c r="W1828" s="17">
        <f t="shared" si="58"/>
        <v>0</v>
      </c>
      <c r="X1828" s="5">
        <f t="shared" si="59"/>
        <v>0</v>
      </c>
    </row>
    <row r="1829" spans="1:24" x14ac:dyDescent="0.25">
      <c r="A1829" s="17"/>
      <c r="B1829" s="17"/>
      <c r="C1829" s="17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8">
        <v>0</v>
      </c>
      <c r="W1829" s="17">
        <f t="shared" si="58"/>
        <v>0</v>
      </c>
      <c r="X1829" s="5">
        <f t="shared" si="59"/>
        <v>0</v>
      </c>
    </row>
    <row r="1830" spans="1:24" x14ac:dyDescent="0.25">
      <c r="A1830" s="17"/>
      <c r="B1830" s="17"/>
      <c r="C1830" s="17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8">
        <v>0</v>
      </c>
      <c r="W1830" s="17">
        <f t="shared" si="58"/>
        <v>0</v>
      </c>
      <c r="X1830" s="5">
        <f t="shared" si="59"/>
        <v>0</v>
      </c>
    </row>
    <row r="1831" spans="1:24" x14ac:dyDescent="0.25">
      <c r="A1831" s="17"/>
      <c r="B1831" s="17"/>
      <c r="C1831" s="17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8">
        <v>0</v>
      </c>
      <c r="W1831" s="17">
        <f t="shared" si="58"/>
        <v>0</v>
      </c>
      <c r="X1831" s="5">
        <f t="shared" si="59"/>
        <v>0</v>
      </c>
    </row>
    <row r="1832" spans="1:24" x14ac:dyDescent="0.25">
      <c r="A1832" s="17"/>
      <c r="B1832" s="17"/>
      <c r="C1832" s="17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8">
        <v>0</v>
      </c>
      <c r="W1832" s="17">
        <f t="shared" si="58"/>
        <v>0</v>
      </c>
      <c r="X1832" s="5">
        <f t="shared" si="59"/>
        <v>0</v>
      </c>
    </row>
    <row r="1833" spans="1:24" x14ac:dyDescent="0.25">
      <c r="A1833" s="17"/>
      <c r="B1833" s="17"/>
      <c r="C1833" s="17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  <c r="N1833" s="17"/>
      <c r="O1833" s="17"/>
      <c r="P1833" s="17"/>
      <c r="Q1833" s="17"/>
      <c r="R1833" s="17"/>
      <c r="S1833" s="17"/>
      <c r="T1833" s="17"/>
      <c r="U1833" s="17"/>
      <c r="V1833" s="18">
        <v>0</v>
      </c>
      <c r="W1833" s="17">
        <f t="shared" si="58"/>
        <v>0</v>
      </c>
      <c r="X1833" s="5">
        <f t="shared" si="59"/>
        <v>0</v>
      </c>
    </row>
    <row r="1834" spans="1:24" x14ac:dyDescent="0.25">
      <c r="A1834" s="17"/>
      <c r="B1834" s="17"/>
      <c r="C1834" s="17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  <c r="N1834" s="17"/>
      <c r="O1834" s="17"/>
      <c r="P1834" s="17"/>
      <c r="Q1834" s="17"/>
      <c r="R1834" s="17"/>
      <c r="S1834" s="17"/>
      <c r="T1834" s="17"/>
      <c r="U1834" s="17"/>
      <c r="V1834" s="18">
        <v>0</v>
      </c>
      <c r="W1834" s="17">
        <f t="shared" si="58"/>
        <v>0</v>
      </c>
      <c r="X1834" s="5">
        <f t="shared" si="59"/>
        <v>0</v>
      </c>
    </row>
    <row r="1835" spans="1:24" x14ac:dyDescent="0.25">
      <c r="A1835" s="17"/>
      <c r="B1835" s="17"/>
      <c r="C1835" s="17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  <c r="N1835" s="17"/>
      <c r="O1835" s="17"/>
      <c r="P1835" s="17"/>
      <c r="Q1835" s="17"/>
      <c r="R1835" s="17"/>
      <c r="S1835" s="17"/>
      <c r="T1835" s="17"/>
      <c r="U1835" s="17"/>
      <c r="V1835" s="18">
        <v>0</v>
      </c>
      <c r="W1835" s="17">
        <f t="shared" si="58"/>
        <v>0</v>
      </c>
      <c r="X1835" s="5">
        <f t="shared" si="59"/>
        <v>0</v>
      </c>
    </row>
    <row r="1836" spans="1:24" x14ac:dyDescent="0.25">
      <c r="A1836" s="17"/>
      <c r="B1836" s="17"/>
      <c r="C1836" s="17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8">
        <v>0</v>
      </c>
      <c r="W1836" s="17">
        <f t="shared" si="58"/>
        <v>0</v>
      </c>
      <c r="X1836" s="5">
        <f t="shared" si="59"/>
        <v>0</v>
      </c>
    </row>
    <row r="1837" spans="1:24" x14ac:dyDescent="0.25">
      <c r="A1837" s="17"/>
      <c r="B1837" s="17"/>
      <c r="C1837" s="17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8">
        <v>0</v>
      </c>
      <c r="W1837" s="17">
        <f t="shared" si="58"/>
        <v>0</v>
      </c>
      <c r="X1837" s="5">
        <f t="shared" si="59"/>
        <v>0</v>
      </c>
    </row>
    <row r="1838" spans="1:24" x14ac:dyDescent="0.25">
      <c r="A1838" s="17"/>
      <c r="B1838" s="17"/>
      <c r="C1838" s="17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8">
        <v>0</v>
      </c>
      <c r="W1838" s="17">
        <f t="shared" si="58"/>
        <v>0</v>
      </c>
      <c r="X1838" s="5">
        <f t="shared" si="59"/>
        <v>0</v>
      </c>
    </row>
    <row r="1839" spans="1:24" x14ac:dyDescent="0.25">
      <c r="A1839" s="17"/>
      <c r="B1839" s="17"/>
      <c r="C1839" s="17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8">
        <v>0</v>
      </c>
      <c r="W1839" s="17">
        <f t="shared" si="58"/>
        <v>0</v>
      </c>
      <c r="X1839" s="5">
        <f t="shared" si="59"/>
        <v>0</v>
      </c>
    </row>
    <row r="1840" spans="1:24" x14ac:dyDescent="0.25">
      <c r="A1840" s="17"/>
      <c r="B1840" s="17"/>
      <c r="C1840" s="17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8">
        <v>0</v>
      </c>
      <c r="W1840" s="17">
        <f t="shared" si="58"/>
        <v>0</v>
      </c>
      <c r="X1840" s="5">
        <f t="shared" si="59"/>
        <v>0</v>
      </c>
    </row>
    <row r="1841" spans="1:24" x14ac:dyDescent="0.25">
      <c r="A1841" s="17"/>
      <c r="B1841" s="17"/>
      <c r="C1841" s="17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8">
        <v>0</v>
      </c>
      <c r="W1841" s="17">
        <f t="shared" si="58"/>
        <v>0</v>
      </c>
      <c r="X1841" s="5">
        <f t="shared" si="59"/>
        <v>0</v>
      </c>
    </row>
    <row r="1842" spans="1:24" x14ac:dyDescent="0.25">
      <c r="A1842" s="17"/>
      <c r="B1842" s="17"/>
      <c r="C1842" s="17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8">
        <v>0</v>
      </c>
      <c r="W1842" s="17">
        <f t="shared" si="58"/>
        <v>0</v>
      </c>
      <c r="X1842" s="5">
        <f t="shared" si="59"/>
        <v>0</v>
      </c>
    </row>
    <row r="1843" spans="1:24" x14ac:dyDescent="0.25">
      <c r="A1843" s="17"/>
      <c r="B1843" s="17"/>
      <c r="C1843" s="17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8">
        <v>0</v>
      </c>
      <c r="W1843" s="17">
        <f t="shared" si="58"/>
        <v>0</v>
      </c>
      <c r="X1843" s="5">
        <f t="shared" si="59"/>
        <v>0</v>
      </c>
    </row>
    <row r="1844" spans="1:24" x14ac:dyDescent="0.25">
      <c r="A1844" s="17"/>
      <c r="B1844" s="17"/>
      <c r="C1844" s="17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8">
        <v>0</v>
      </c>
      <c r="W1844" s="17">
        <f t="shared" si="58"/>
        <v>0</v>
      </c>
      <c r="X1844" s="5">
        <f t="shared" si="59"/>
        <v>0</v>
      </c>
    </row>
    <row r="1845" spans="1:24" x14ac:dyDescent="0.25">
      <c r="A1845" s="17"/>
      <c r="B1845" s="17"/>
      <c r="C1845" s="17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8">
        <v>0</v>
      </c>
      <c r="W1845" s="17">
        <f t="shared" si="58"/>
        <v>0</v>
      </c>
      <c r="X1845" s="5">
        <f t="shared" si="59"/>
        <v>0</v>
      </c>
    </row>
    <row r="1846" spans="1:24" x14ac:dyDescent="0.25">
      <c r="A1846" s="17"/>
      <c r="B1846" s="17"/>
      <c r="C1846" s="17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8">
        <v>0</v>
      </c>
      <c r="W1846" s="17">
        <f t="shared" si="58"/>
        <v>0</v>
      </c>
      <c r="X1846" s="5">
        <f t="shared" si="59"/>
        <v>0</v>
      </c>
    </row>
    <row r="1847" spans="1:24" x14ac:dyDescent="0.25">
      <c r="A1847" s="17"/>
      <c r="B1847" s="17"/>
      <c r="C1847" s="17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8">
        <v>0</v>
      </c>
      <c r="W1847" s="17">
        <f t="shared" si="58"/>
        <v>0</v>
      </c>
      <c r="X1847" s="5">
        <f t="shared" si="59"/>
        <v>0</v>
      </c>
    </row>
    <row r="1848" spans="1:24" x14ac:dyDescent="0.25">
      <c r="A1848" s="17"/>
      <c r="B1848" s="17"/>
      <c r="C1848" s="17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8">
        <v>0</v>
      </c>
      <c r="W1848" s="17">
        <f t="shared" si="58"/>
        <v>0</v>
      </c>
      <c r="X1848" s="5">
        <f t="shared" si="59"/>
        <v>0</v>
      </c>
    </row>
    <row r="1849" spans="1:24" x14ac:dyDescent="0.25">
      <c r="A1849" s="17"/>
      <c r="B1849" s="17"/>
      <c r="C1849" s="17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8">
        <v>0</v>
      </c>
      <c r="W1849" s="17">
        <f t="shared" si="58"/>
        <v>0</v>
      </c>
      <c r="X1849" s="5">
        <f t="shared" si="59"/>
        <v>0</v>
      </c>
    </row>
    <row r="1850" spans="1:24" x14ac:dyDescent="0.25">
      <c r="A1850" s="17"/>
      <c r="B1850" s="17"/>
      <c r="C1850" s="17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8">
        <v>0</v>
      </c>
      <c r="W1850" s="17">
        <f t="shared" si="58"/>
        <v>0</v>
      </c>
      <c r="X1850" s="5">
        <f t="shared" si="59"/>
        <v>0</v>
      </c>
    </row>
    <row r="1851" spans="1:24" x14ac:dyDescent="0.25">
      <c r="A1851" s="17"/>
      <c r="B1851" s="17"/>
      <c r="C1851" s="17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8">
        <v>0</v>
      </c>
      <c r="W1851" s="17">
        <f t="shared" si="58"/>
        <v>0</v>
      </c>
      <c r="X1851" s="5">
        <f t="shared" si="59"/>
        <v>0</v>
      </c>
    </row>
    <row r="1852" spans="1:24" x14ac:dyDescent="0.25">
      <c r="A1852" s="17"/>
      <c r="B1852" s="17"/>
      <c r="C1852" s="17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8">
        <v>0</v>
      </c>
      <c r="W1852" s="17">
        <f t="shared" si="58"/>
        <v>0</v>
      </c>
      <c r="X1852" s="5">
        <f t="shared" si="59"/>
        <v>0</v>
      </c>
    </row>
    <row r="1853" spans="1:24" x14ac:dyDescent="0.25">
      <c r="A1853" s="17"/>
      <c r="B1853" s="17"/>
      <c r="C1853" s="17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8">
        <v>0</v>
      </c>
      <c r="W1853" s="17">
        <f t="shared" si="58"/>
        <v>0</v>
      </c>
      <c r="X1853" s="5">
        <f t="shared" si="59"/>
        <v>0</v>
      </c>
    </row>
    <row r="1854" spans="1:24" x14ac:dyDescent="0.25">
      <c r="A1854" s="17"/>
      <c r="B1854" s="17"/>
      <c r="C1854" s="17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  <c r="N1854" s="17"/>
      <c r="O1854" s="17"/>
      <c r="P1854" s="17"/>
      <c r="Q1854" s="17"/>
      <c r="R1854" s="17"/>
      <c r="S1854" s="17"/>
      <c r="T1854" s="17"/>
      <c r="U1854" s="17"/>
      <c r="V1854" s="18">
        <v>0</v>
      </c>
      <c r="W1854" s="17">
        <f t="shared" si="58"/>
        <v>0</v>
      </c>
      <c r="X1854" s="5">
        <f t="shared" si="59"/>
        <v>0</v>
      </c>
    </row>
    <row r="1855" spans="1:24" x14ac:dyDescent="0.25">
      <c r="A1855" s="17"/>
      <c r="B1855" s="17"/>
      <c r="C1855" s="17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  <c r="N1855" s="17"/>
      <c r="O1855" s="17"/>
      <c r="P1855" s="17"/>
      <c r="Q1855" s="17"/>
      <c r="R1855" s="17"/>
      <c r="S1855" s="17"/>
      <c r="T1855" s="17"/>
      <c r="U1855" s="17"/>
      <c r="V1855" s="18">
        <v>0</v>
      </c>
      <c r="W1855" s="17">
        <f t="shared" si="58"/>
        <v>0</v>
      </c>
      <c r="X1855" s="5">
        <f t="shared" si="59"/>
        <v>0</v>
      </c>
    </row>
    <row r="1856" spans="1:24" x14ac:dyDescent="0.25">
      <c r="A1856" s="17"/>
      <c r="B1856" s="17"/>
      <c r="C1856" s="17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  <c r="N1856" s="17"/>
      <c r="O1856" s="17"/>
      <c r="P1856" s="17"/>
      <c r="Q1856" s="17"/>
      <c r="R1856" s="17"/>
      <c r="S1856" s="17"/>
      <c r="T1856" s="17"/>
      <c r="U1856" s="17"/>
      <c r="V1856" s="18">
        <v>0</v>
      </c>
      <c r="W1856" s="17">
        <f t="shared" si="58"/>
        <v>0</v>
      </c>
      <c r="X1856" s="5">
        <f t="shared" si="59"/>
        <v>0</v>
      </c>
    </row>
    <row r="1857" spans="1:24" x14ac:dyDescent="0.25">
      <c r="A1857" s="17"/>
      <c r="B1857" s="17"/>
      <c r="C1857" s="17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8">
        <v>0</v>
      </c>
      <c r="W1857" s="17">
        <f t="shared" si="58"/>
        <v>0</v>
      </c>
      <c r="X1857" s="5">
        <f t="shared" si="59"/>
        <v>0</v>
      </c>
    </row>
    <row r="1858" spans="1:24" x14ac:dyDescent="0.25">
      <c r="A1858" s="17"/>
      <c r="B1858" s="17"/>
      <c r="C1858" s="17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  <c r="N1858" s="17"/>
      <c r="O1858" s="17"/>
      <c r="P1858" s="17"/>
      <c r="Q1858" s="17"/>
      <c r="R1858" s="17"/>
      <c r="S1858" s="17"/>
      <c r="T1858" s="17"/>
      <c r="U1858" s="17"/>
      <c r="V1858" s="18">
        <v>0</v>
      </c>
      <c r="W1858" s="17">
        <f t="shared" si="58"/>
        <v>0</v>
      </c>
      <c r="X1858" s="5">
        <f t="shared" si="59"/>
        <v>0</v>
      </c>
    </row>
    <row r="1859" spans="1:24" x14ac:dyDescent="0.25">
      <c r="A1859" s="17"/>
      <c r="B1859" s="17"/>
      <c r="C1859" s="17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  <c r="N1859" s="17"/>
      <c r="O1859" s="17"/>
      <c r="P1859" s="17"/>
      <c r="Q1859" s="17"/>
      <c r="R1859" s="17"/>
      <c r="S1859" s="17"/>
      <c r="T1859" s="17"/>
      <c r="U1859" s="17"/>
      <c r="V1859" s="18">
        <v>0</v>
      </c>
      <c r="W1859" s="17">
        <f t="shared" ref="W1859:W1922" si="60">HOUR(E1859)</f>
        <v>0</v>
      </c>
      <c r="X1859" s="5">
        <f t="shared" ref="X1859:X1922" si="61">IF(D1859=D1858,0,1)</f>
        <v>0</v>
      </c>
    </row>
    <row r="1860" spans="1:24" x14ac:dyDescent="0.25">
      <c r="A1860" s="17"/>
      <c r="B1860" s="17"/>
      <c r="C1860" s="17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  <c r="N1860" s="17"/>
      <c r="O1860" s="17"/>
      <c r="P1860" s="17"/>
      <c r="Q1860" s="17"/>
      <c r="R1860" s="17"/>
      <c r="S1860" s="17"/>
      <c r="T1860" s="17"/>
      <c r="U1860" s="17"/>
      <c r="V1860" s="18">
        <v>0</v>
      </c>
      <c r="W1860" s="17">
        <f t="shared" si="60"/>
        <v>0</v>
      </c>
      <c r="X1860" s="5">
        <f t="shared" si="61"/>
        <v>0</v>
      </c>
    </row>
    <row r="1861" spans="1:24" x14ac:dyDescent="0.25">
      <c r="A1861" s="17"/>
      <c r="B1861" s="17"/>
      <c r="C1861" s="17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  <c r="N1861" s="17"/>
      <c r="O1861" s="17"/>
      <c r="P1861" s="17"/>
      <c r="Q1861" s="17"/>
      <c r="R1861" s="17"/>
      <c r="S1861" s="17"/>
      <c r="T1861" s="17"/>
      <c r="U1861" s="17"/>
      <c r="V1861" s="18">
        <v>0</v>
      </c>
      <c r="W1861" s="17">
        <f t="shared" si="60"/>
        <v>0</v>
      </c>
      <c r="X1861" s="5">
        <f t="shared" si="61"/>
        <v>0</v>
      </c>
    </row>
    <row r="1862" spans="1:24" x14ac:dyDescent="0.25">
      <c r="A1862" s="17"/>
      <c r="B1862" s="17"/>
      <c r="C1862" s="17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  <c r="N1862" s="17"/>
      <c r="O1862" s="17"/>
      <c r="P1862" s="17"/>
      <c r="Q1862" s="17"/>
      <c r="R1862" s="17"/>
      <c r="S1862" s="17"/>
      <c r="T1862" s="17"/>
      <c r="U1862" s="17"/>
      <c r="V1862" s="18">
        <v>0</v>
      </c>
      <c r="W1862" s="17">
        <f t="shared" si="60"/>
        <v>0</v>
      </c>
      <c r="X1862" s="5">
        <f t="shared" si="61"/>
        <v>0</v>
      </c>
    </row>
    <row r="1863" spans="1:24" x14ac:dyDescent="0.25">
      <c r="A1863" s="17"/>
      <c r="B1863" s="17"/>
      <c r="C1863" s="17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  <c r="N1863" s="17"/>
      <c r="O1863" s="17"/>
      <c r="P1863" s="17"/>
      <c r="Q1863" s="17"/>
      <c r="R1863" s="17"/>
      <c r="S1863" s="17"/>
      <c r="T1863" s="17"/>
      <c r="U1863" s="17"/>
      <c r="V1863" s="18">
        <v>0</v>
      </c>
      <c r="W1863" s="17">
        <f t="shared" si="60"/>
        <v>0</v>
      </c>
      <c r="X1863" s="5">
        <f t="shared" si="61"/>
        <v>0</v>
      </c>
    </row>
    <row r="1864" spans="1:24" x14ac:dyDescent="0.25">
      <c r="A1864" s="17"/>
      <c r="B1864" s="17"/>
      <c r="C1864" s="17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8">
        <v>0</v>
      </c>
      <c r="W1864" s="17">
        <f t="shared" si="60"/>
        <v>0</v>
      </c>
      <c r="X1864" s="5">
        <f t="shared" si="61"/>
        <v>0</v>
      </c>
    </row>
    <row r="1865" spans="1:24" x14ac:dyDescent="0.25">
      <c r="A1865" s="17"/>
      <c r="B1865" s="17"/>
      <c r="C1865" s="17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8">
        <v>0</v>
      </c>
      <c r="W1865" s="17">
        <f t="shared" si="60"/>
        <v>0</v>
      </c>
      <c r="X1865" s="5">
        <f t="shared" si="61"/>
        <v>0</v>
      </c>
    </row>
    <row r="1866" spans="1:24" x14ac:dyDescent="0.25">
      <c r="A1866" s="17"/>
      <c r="B1866" s="17"/>
      <c r="C1866" s="17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8">
        <v>0</v>
      </c>
      <c r="W1866" s="17">
        <f t="shared" si="60"/>
        <v>0</v>
      </c>
      <c r="X1866" s="5">
        <f t="shared" si="61"/>
        <v>0</v>
      </c>
    </row>
    <row r="1867" spans="1:24" x14ac:dyDescent="0.25">
      <c r="A1867" s="17"/>
      <c r="B1867" s="17"/>
      <c r="C1867" s="17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8">
        <v>0</v>
      </c>
      <c r="W1867" s="17">
        <f t="shared" si="60"/>
        <v>0</v>
      </c>
      <c r="X1867" s="5">
        <f t="shared" si="61"/>
        <v>0</v>
      </c>
    </row>
    <row r="1868" spans="1:24" x14ac:dyDescent="0.25">
      <c r="A1868" s="17"/>
      <c r="B1868" s="17"/>
      <c r="C1868" s="17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8">
        <v>0</v>
      </c>
      <c r="W1868" s="17">
        <f t="shared" si="60"/>
        <v>0</v>
      </c>
      <c r="X1868" s="5">
        <f t="shared" si="61"/>
        <v>0</v>
      </c>
    </row>
    <row r="1869" spans="1:24" x14ac:dyDescent="0.25">
      <c r="A1869" s="17"/>
      <c r="B1869" s="17"/>
      <c r="C1869" s="17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8">
        <v>0</v>
      </c>
      <c r="W1869" s="17">
        <f t="shared" si="60"/>
        <v>0</v>
      </c>
      <c r="X1869" s="5">
        <f t="shared" si="61"/>
        <v>0</v>
      </c>
    </row>
    <row r="1870" spans="1:24" x14ac:dyDescent="0.25">
      <c r="A1870" s="17"/>
      <c r="B1870" s="17"/>
      <c r="C1870" s="17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8">
        <v>0</v>
      </c>
      <c r="W1870" s="17">
        <f t="shared" si="60"/>
        <v>0</v>
      </c>
      <c r="X1870" s="5">
        <f t="shared" si="61"/>
        <v>0</v>
      </c>
    </row>
    <row r="1871" spans="1:24" x14ac:dyDescent="0.25">
      <c r="A1871" s="17"/>
      <c r="B1871" s="17"/>
      <c r="C1871" s="17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8">
        <v>0</v>
      </c>
      <c r="W1871" s="17">
        <f t="shared" si="60"/>
        <v>0</v>
      </c>
      <c r="X1871" s="5">
        <f t="shared" si="61"/>
        <v>0</v>
      </c>
    </row>
    <row r="1872" spans="1:24" x14ac:dyDescent="0.25">
      <c r="A1872" s="17"/>
      <c r="B1872" s="17"/>
      <c r="C1872" s="17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8">
        <v>0</v>
      </c>
      <c r="W1872" s="17">
        <f t="shared" si="60"/>
        <v>0</v>
      </c>
      <c r="X1872" s="5">
        <f t="shared" si="61"/>
        <v>0</v>
      </c>
    </row>
    <row r="1873" spans="1:24" x14ac:dyDescent="0.25">
      <c r="A1873" s="17"/>
      <c r="B1873" s="17"/>
      <c r="C1873" s="17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8">
        <v>0</v>
      </c>
      <c r="W1873" s="17">
        <f t="shared" si="60"/>
        <v>0</v>
      </c>
      <c r="X1873" s="5">
        <f t="shared" si="61"/>
        <v>0</v>
      </c>
    </row>
    <row r="1874" spans="1:24" x14ac:dyDescent="0.25">
      <c r="A1874" s="17"/>
      <c r="B1874" s="17"/>
      <c r="C1874" s="17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8">
        <v>0</v>
      </c>
      <c r="W1874" s="17">
        <f t="shared" si="60"/>
        <v>0</v>
      </c>
      <c r="X1874" s="5">
        <f t="shared" si="61"/>
        <v>0</v>
      </c>
    </row>
    <row r="1875" spans="1:24" x14ac:dyDescent="0.25">
      <c r="A1875" s="17"/>
      <c r="B1875" s="17"/>
      <c r="C1875" s="17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8">
        <v>0</v>
      </c>
      <c r="W1875" s="17">
        <f t="shared" si="60"/>
        <v>0</v>
      </c>
      <c r="X1875" s="5">
        <f t="shared" si="61"/>
        <v>0</v>
      </c>
    </row>
    <row r="1876" spans="1:24" x14ac:dyDescent="0.25">
      <c r="A1876" s="17"/>
      <c r="B1876" s="17"/>
      <c r="C1876" s="17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8">
        <v>0</v>
      </c>
      <c r="W1876" s="17">
        <f t="shared" si="60"/>
        <v>0</v>
      </c>
      <c r="X1876" s="5">
        <f t="shared" si="61"/>
        <v>0</v>
      </c>
    </row>
    <row r="1877" spans="1:24" x14ac:dyDescent="0.25">
      <c r="A1877" s="17"/>
      <c r="B1877" s="17"/>
      <c r="C1877" s="17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8">
        <v>0</v>
      </c>
      <c r="W1877" s="17">
        <f t="shared" si="60"/>
        <v>0</v>
      </c>
      <c r="X1877" s="5">
        <f t="shared" si="61"/>
        <v>0</v>
      </c>
    </row>
    <row r="1878" spans="1:24" x14ac:dyDescent="0.25">
      <c r="A1878" s="17"/>
      <c r="B1878" s="17"/>
      <c r="C1878" s="17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  <c r="N1878" s="17"/>
      <c r="O1878" s="17"/>
      <c r="P1878" s="17"/>
      <c r="Q1878" s="17"/>
      <c r="R1878" s="17"/>
      <c r="S1878" s="17"/>
      <c r="T1878" s="17"/>
      <c r="U1878" s="17"/>
      <c r="V1878" s="18">
        <v>0</v>
      </c>
      <c r="W1878" s="17">
        <f t="shared" si="60"/>
        <v>0</v>
      </c>
      <c r="X1878" s="5">
        <f t="shared" si="61"/>
        <v>0</v>
      </c>
    </row>
    <row r="1879" spans="1:24" x14ac:dyDescent="0.25">
      <c r="A1879" s="17"/>
      <c r="B1879" s="17"/>
      <c r="C1879" s="17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  <c r="N1879" s="17"/>
      <c r="O1879" s="17"/>
      <c r="P1879" s="17"/>
      <c r="Q1879" s="17"/>
      <c r="R1879" s="17"/>
      <c r="S1879" s="17"/>
      <c r="T1879" s="17"/>
      <c r="U1879" s="17"/>
      <c r="V1879" s="18">
        <v>0</v>
      </c>
      <c r="W1879" s="17">
        <f t="shared" si="60"/>
        <v>0</v>
      </c>
      <c r="X1879" s="5">
        <f t="shared" si="61"/>
        <v>0</v>
      </c>
    </row>
    <row r="1880" spans="1:24" x14ac:dyDescent="0.25">
      <c r="A1880" s="17"/>
      <c r="B1880" s="17"/>
      <c r="C1880" s="17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  <c r="N1880" s="17"/>
      <c r="O1880" s="17"/>
      <c r="P1880" s="17"/>
      <c r="Q1880" s="17"/>
      <c r="R1880" s="17"/>
      <c r="S1880" s="17"/>
      <c r="T1880" s="17"/>
      <c r="U1880" s="17"/>
      <c r="V1880" s="18">
        <v>0</v>
      </c>
      <c r="W1880" s="17">
        <f t="shared" si="60"/>
        <v>0</v>
      </c>
      <c r="X1880" s="5">
        <f t="shared" si="61"/>
        <v>0</v>
      </c>
    </row>
    <row r="1881" spans="1:24" x14ac:dyDescent="0.25">
      <c r="A1881" s="17"/>
      <c r="B1881" s="17"/>
      <c r="C1881" s="17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8">
        <v>0</v>
      </c>
      <c r="W1881" s="17">
        <f t="shared" si="60"/>
        <v>0</v>
      </c>
      <c r="X1881" s="5">
        <f t="shared" si="61"/>
        <v>0</v>
      </c>
    </row>
    <row r="1882" spans="1:24" x14ac:dyDescent="0.25">
      <c r="A1882" s="17"/>
      <c r="B1882" s="17"/>
      <c r="C1882" s="17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  <c r="N1882" s="17"/>
      <c r="O1882" s="17"/>
      <c r="P1882" s="17"/>
      <c r="Q1882" s="17"/>
      <c r="R1882" s="17"/>
      <c r="S1882" s="17"/>
      <c r="T1882" s="17"/>
      <c r="U1882" s="17"/>
      <c r="V1882" s="18">
        <v>0</v>
      </c>
      <c r="W1882" s="17">
        <f t="shared" si="60"/>
        <v>0</v>
      </c>
      <c r="X1882" s="5">
        <f t="shared" si="61"/>
        <v>0</v>
      </c>
    </row>
    <row r="1883" spans="1:24" x14ac:dyDescent="0.25">
      <c r="A1883" s="17"/>
      <c r="B1883" s="17"/>
      <c r="C1883" s="17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  <c r="N1883" s="17"/>
      <c r="O1883" s="17"/>
      <c r="P1883" s="17"/>
      <c r="Q1883" s="17"/>
      <c r="R1883" s="17"/>
      <c r="S1883" s="17"/>
      <c r="T1883" s="17"/>
      <c r="U1883" s="17"/>
      <c r="V1883" s="18">
        <v>0</v>
      </c>
      <c r="W1883" s="17">
        <f t="shared" si="60"/>
        <v>0</v>
      </c>
      <c r="X1883" s="5">
        <f t="shared" si="61"/>
        <v>0</v>
      </c>
    </row>
    <row r="1884" spans="1:24" x14ac:dyDescent="0.25">
      <c r="A1884" s="17"/>
      <c r="B1884" s="17"/>
      <c r="C1884" s="17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  <c r="N1884" s="17"/>
      <c r="O1884" s="17"/>
      <c r="P1884" s="17"/>
      <c r="Q1884" s="17"/>
      <c r="R1884" s="17"/>
      <c r="S1884" s="17"/>
      <c r="T1884" s="17"/>
      <c r="U1884" s="17"/>
      <c r="V1884" s="18">
        <v>0</v>
      </c>
      <c r="W1884" s="17">
        <f t="shared" si="60"/>
        <v>0</v>
      </c>
      <c r="X1884" s="5">
        <f t="shared" si="61"/>
        <v>0</v>
      </c>
    </row>
    <row r="1885" spans="1:24" x14ac:dyDescent="0.25">
      <c r="A1885" s="17"/>
      <c r="B1885" s="17"/>
      <c r="C1885" s="17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8">
        <v>0</v>
      </c>
      <c r="W1885" s="17">
        <f t="shared" si="60"/>
        <v>0</v>
      </c>
      <c r="X1885" s="5">
        <f t="shared" si="61"/>
        <v>0</v>
      </c>
    </row>
    <row r="1886" spans="1:24" x14ac:dyDescent="0.25">
      <c r="A1886" s="17"/>
      <c r="B1886" s="17"/>
      <c r="C1886" s="17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8">
        <v>0</v>
      </c>
      <c r="W1886" s="17">
        <f t="shared" si="60"/>
        <v>0</v>
      </c>
      <c r="X1886" s="5">
        <f t="shared" si="61"/>
        <v>0</v>
      </c>
    </row>
    <row r="1887" spans="1:24" x14ac:dyDescent="0.25">
      <c r="A1887" s="17"/>
      <c r="B1887" s="17"/>
      <c r="C1887" s="17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8">
        <v>0</v>
      </c>
      <c r="W1887" s="17">
        <f t="shared" si="60"/>
        <v>0</v>
      </c>
      <c r="X1887" s="5">
        <f t="shared" si="61"/>
        <v>0</v>
      </c>
    </row>
    <row r="1888" spans="1:24" x14ac:dyDescent="0.25">
      <c r="A1888" s="17"/>
      <c r="B1888" s="17"/>
      <c r="C1888" s="17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8">
        <v>0</v>
      </c>
      <c r="W1888" s="17">
        <f t="shared" si="60"/>
        <v>0</v>
      </c>
      <c r="X1888" s="5">
        <f t="shared" si="61"/>
        <v>0</v>
      </c>
    </row>
    <row r="1889" spans="1:24" x14ac:dyDescent="0.25">
      <c r="A1889" s="17"/>
      <c r="B1889" s="17"/>
      <c r="C1889" s="17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8">
        <v>0</v>
      </c>
      <c r="W1889" s="17">
        <f t="shared" si="60"/>
        <v>0</v>
      </c>
      <c r="X1889" s="5">
        <f t="shared" si="61"/>
        <v>0</v>
      </c>
    </row>
    <row r="1890" spans="1:24" x14ac:dyDescent="0.25">
      <c r="A1890" s="17"/>
      <c r="B1890" s="17"/>
      <c r="C1890" s="17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8">
        <v>0</v>
      </c>
      <c r="W1890" s="17">
        <f t="shared" si="60"/>
        <v>0</v>
      </c>
      <c r="X1890" s="5">
        <f t="shared" si="61"/>
        <v>0</v>
      </c>
    </row>
    <row r="1891" spans="1:24" x14ac:dyDescent="0.25">
      <c r="A1891" s="17"/>
      <c r="B1891" s="17"/>
      <c r="C1891" s="17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8">
        <v>0</v>
      </c>
      <c r="W1891" s="17">
        <f t="shared" si="60"/>
        <v>0</v>
      </c>
      <c r="X1891" s="5">
        <f t="shared" si="61"/>
        <v>0</v>
      </c>
    </row>
    <row r="1892" spans="1:24" x14ac:dyDescent="0.25">
      <c r="A1892" s="17"/>
      <c r="B1892" s="17"/>
      <c r="C1892" s="17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  <c r="N1892" s="17"/>
      <c r="O1892" s="17"/>
      <c r="P1892" s="17"/>
      <c r="Q1892" s="17"/>
      <c r="R1892" s="17"/>
      <c r="S1892" s="17"/>
      <c r="T1892" s="17"/>
      <c r="U1892" s="17"/>
      <c r="V1892" s="18">
        <v>0</v>
      </c>
      <c r="W1892" s="17">
        <f t="shared" si="60"/>
        <v>0</v>
      </c>
      <c r="X1892" s="5">
        <f t="shared" si="61"/>
        <v>0</v>
      </c>
    </row>
    <row r="1893" spans="1:24" x14ac:dyDescent="0.25">
      <c r="A1893" s="17"/>
      <c r="B1893" s="17"/>
      <c r="C1893" s="17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  <c r="N1893" s="17"/>
      <c r="O1893" s="17"/>
      <c r="P1893" s="17"/>
      <c r="Q1893" s="17"/>
      <c r="R1893" s="17"/>
      <c r="S1893" s="17"/>
      <c r="T1893" s="17"/>
      <c r="U1893" s="17"/>
      <c r="V1893" s="18">
        <v>0</v>
      </c>
      <c r="W1893" s="17">
        <f t="shared" si="60"/>
        <v>0</v>
      </c>
      <c r="X1893" s="5">
        <f t="shared" si="61"/>
        <v>0</v>
      </c>
    </row>
    <row r="1894" spans="1:24" x14ac:dyDescent="0.25">
      <c r="A1894" s="17"/>
      <c r="B1894" s="17"/>
      <c r="C1894" s="17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  <c r="N1894" s="17"/>
      <c r="O1894" s="17"/>
      <c r="P1894" s="17"/>
      <c r="Q1894" s="17"/>
      <c r="R1894" s="17"/>
      <c r="S1894" s="17"/>
      <c r="T1894" s="17"/>
      <c r="U1894" s="17"/>
      <c r="V1894" s="18">
        <v>0</v>
      </c>
      <c r="W1894" s="17">
        <f t="shared" si="60"/>
        <v>0</v>
      </c>
      <c r="X1894" s="5">
        <f t="shared" si="61"/>
        <v>0</v>
      </c>
    </row>
    <row r="1895" spans="1:24" x14ac:dyDescent="0.25">
      <c r="A1895" s="17"/>
      <c r="B1895" s="17"/>
      <c r="C1895" s="17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8">
        <v>0</v>
      </c>
      <c r="W1895" s="17">
        <f t="shared" si="60"/>
        <v>0</v>
      </c>
      <c r="X1895" s="5">
        <f t="shared" si="61"/>
        <v>0</v>
      </c>
    </row>
    <row r="1896" spans="1:24" x14ac:dyDescent="0.25">
      <c r="A1896" s="17"/>
      <c r="B1896" s="17"/>
      <c r="C1896" s="17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8">
        <v>0</v>
      </c>
      <c r="W1896" s="17">
        <f t="shared" si="60"/>
        <v>0</v>
      </c>
      <c r="X1896" s="5">
        <f t="shared" si="61"/>
        <v>0</v>
      </c>
    </row>
    <row r="1897" spans="1:24" x14ac:dyDescent="0.25">
      <c r="A1897" s="17"/>
      <c r="B1897" s="17"/>
      <c r="C1897" s="17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8">
        <v>0</v>
      </c>
      <c r="W1897" s="17">
        <f t="shared" si="60"/>
        <v>0</v>
      </c>
      <c r="X1897" s="5">
        <f t="shared" si="61"/>
        <v>0</v>
      </c>
    </row>
    <row r="1898" spans="1:24" x14ac:dyDescent="0.25">
      <c r="A1898" s="17"/>
      <c r="B1898" s="17"/>
      <c r="C1898" s="17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8">
        <v>0</v>
      </c>
      <c r="W1898" s="17">
        <f t="shared" si="60"/>
        <v>0</v>
      </c>
      <c r="X1898" s="5">
        <f t="shared" si="61"/>
        <v>0</v>
      </c>
    </row>
    <row r="1899" spans="1:24" x14ac:dyDescent="0.25">
      <c r="A1899" s="17"/>
      <c r="B1899" s="17"/>
      <c r="C1899" s="17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8">
        <v>0</v>
      </c>
      <c r="W1899" s="17">
        <f t="shared" si="60"/>
        <v>0</v>
      </c>
      <c r="X1899" s="5">
        <f t="shared" si="61"/>
        <v>0</v>
      </c>
    </row>
    <row r="1900" spans="1:24" x14ac:dyDescent="0.25">
      <c r="A1900" s="17"/>
      <c r="B1900" s="17"/>
      <c r="C1900" s="17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8">
        <v>0</v>
      </c>
      <c r="W1900" s="17">
        <f t="shared" si="60"/>
        <v>0</v>
      </c>
      <c r="X1900" s="5">
        <f t="shared" si="61"/>
        <v>0</v>
      </c>
    </row>
    <row r="1901" spans="1:24" x14ac:dyDescent="0.25">
      <c r="A1901" s="17"/>
      <c r="B1901" s="17"/>
      <c r="C1901" s="17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8">
        <v>0</v>
      </c>
      <c r="W1901" s="17">
        <f t="shared" si="60"/>
        <v>0</v>
      </c>
      <c r="X1901" s="5">
        <f t="shared" si="61"/>
        <v>0</v>
      </c>
    </row>
    <row r="1902" spans="1:24" x14ac:dyDescent="0.25">
      <c r="A1902" s="17"/>
      <c r="B1902" s="17"/>
      <c r="C1902" s="17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  <c r="N1902" s="17"/>
      <c r="O1902" s="17"/>
      <c r="P1902" s="17"/>
      <c r="Q1902" s="17"/>
      <c r="R1902" s="17"/>
      <c r="S1902" s="17"/>
      <c r="T1902" s="17"/>
      <c r="U1902" s="17"/>
      <c r="V1902" s="18">
        <v>0</v>
      </c>
      <c r="W1902" s="17">
        <f t="shared" si="60"/>
        <v>0</v>
      </c>
      <c r="X1902" s="5">
        <f t="shared" si="61"/>
        <v>0</v>
      </c>
    </row>
    <row r="1903" spans="1:24" x14ac:dyDescent="0.25">
      <c r="A1903" s="17"/>
      <c r="B1903" s="17"/>
      <c r="C1903" s="17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8">
        <v>0</v>
      </c>
      <c r="W1903" s="17">
        <f t="shared" si="60"/>
        <v>0</v>
      </c>
      <c r="X1903" s="5">
        <f t="shared" si="61"/>
        <v>0</v>
      </c>
    </row>
    <row r="1904" spans="1:24" x14ac:dyDescent="0.25">
      <c r="A1904" s="17"/>
      <c r="B1904" s="17"/>
      <c r="C1904" s="17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8">
        <v>0</v>
      </c>
      <c r="W1904" s="17">
        <f t="shared" si="60"/>
        <v>0</v>
      </c>
      <c r="X1904" s="5">
        <f t="shared" si="61"/>
        <v>0</v>
      </c>
    </row>
    <row r="1905" spans="1:24" x14ac:dyDescent="0.25">
      <c r="A1905" s="17"/>
      <c r="B1905" s="17"/>
      <c r="C1905" s="17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8">
        <v>0</v>
      </c>
      <c r="W1905" s="17">
        <f t="shared" si="60"/>
        <v>0</v>
      </c>
      <c r="X1905" s="5">
        <f t="shared" si="61"/>
        <v>0</v>
      </c>
    </row>
    <row r="1906" spans="1:24" x14ac:dyDescent="0.25">
      <c r="A1906" s="17"/>
      <c r="B1906" s="17"/>
      <c r="C1906" s="17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8">
        <v>0</v>
      </c>
      <c r="W1906" s="17">
        <f t="shared" si="60"/>
        <v>0</v>
      </c>
      <c r="X1906" s="5">
        <f t="shared" si="61"/>
        <v>0</v>
      </c>
    </row>
    <row r="1907" spans="1:24" x14ac:dyDescent="0.25">
      <c r="A1907" s="17"/>
      <c r="B1907" s="17"/>
      <c r="C1907" s="17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8">
        <v>0</v>
      </c>
      <c r="W1907" s="17">
        <f t="shared" si="60"/>
        <v>0</v>
      </c>
      <c r="X1907" s="5">
        <f t="shared" si="61"/>
        <v>0</v>
      </c>
    </row>
    <row r="1908" spans="1:24" x14ac:dyDescent="0.25">
      <c r="A1908" s="17"/>
      <c r="B1908" s="17"/>
      <c r="C1908" s="17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8">
        <v>0</v>
      </c>
      <c r="W1908" s="17">
        <f t="shared" si="60"/>
        <v>0</v>
      </c>
      <c r="X1908" s="5">
        <f t="shared" si="61"/>
        <v>0</v>
      </c>
    </row>
    <row r="1909" spans="1:24" x14ac:dyDescent="0.25">
      <c r="A1909" s="17"/>
      <c r="B1909" s="17"/>
      <c r="C1909" s="17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8">
        <v>0</v>
      </c>
      <c r="W1909" s="17">
        <f t="shared" si="60"/>
        <v>0</v>
      </c>
      <c r="X1909" s="5">
        <f t="shared" si="61"/>
        <v>0</v>
      </c>
    </row>
    <row r="1910" spans="1:24" x14ac:dyDescent="0.25">
      <c r="A1910" s="17"/>
      <c r="B1910" s="17"/>
      <c r="C1910" s="17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8">
        <v>0</v>
      </c>
      <c r="W1910" s="17">
        <f t="shared" si="60"/>
        <v>0</v>
      </c>
      <c r="X1910" s="5">
        <f t="shared" si="61"/>
        <v>0</v>
      </c>
    </row>
    <row r="1911" spans="1:24" x14ac:dyDescent="0.25">
      <c r="A1911" s="17"/>
      <c r="B1911" s="17"/>
      <c r="C1911" s="17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8">
        <v>0</v>
      </c>
      <c r="W1911" s="17">
        <f t="shared" si="60"/>
        <v>0</v>
      </c>
      <c r="X1911" s="5">
        <f t="shared" si="61"/>
        <v>0</v>
      </c>
    </row>
    <row r="1912" spans="1:24" x14ac:dyDescent="0.25">
      <c r="A1912" s="17"/>
      <c r="B1912" s="17"/>
      <c r="C1912" s="17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8">
        <v>0</v>
      </c>
      <c r="W1912" s="17">
        <f t="shared" si="60"/>
        <v>0</v>
      </c>
      <c r="X1912" s="5">
        <f t="shared" si="61"/>
        <v>0</v>
      </c>
    </row>
    <row r="1913" spans="1:24" x14ac:dyDescent="0.25">
      <c r="A1913" s="17"/>
      <c r="B1913" s="17"/>
      <c r="C1913" s="17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8">
        <v>0</v>
      </c>
      <c r="W1913" s="17">
        <f t="shared" si="60"/>
        <v>0</v>
      </c>
      <c r="X1913" s="5">
        <f t="shared" si="61"/>
        <v>0</v>
      </c>
    </row>
    <row r="1914" spans="1:24" x14ac:dyDescent="0.25">
      <c r="A1914" s="17"/>
      <c r="B1914" s="17"/>
      <c r="C1914" s="17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8">
        <v>0</v>
      </c>
      <c r="W1914" s="17">
        <f t="shared" si="60"/>
        <v>0</v>
      </c>
      <c r="X1914" s="5">
        <f t="shared" si="61"/>
        <v>0</v>
      </c>
    </row>
    <row r="1915" spans="1:24" x14ac:dyDescent="0.25">
      <c r="A1915" s="17"/>
      <c r="B1915" s="17"/>
      <c r="C1915" s="17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8">
        <v>0</v>
      </c>
      <c r="W1915" s="17">
        <f t="shared" si="60"/>
        <v>0</v>
      </c>
      <c r="X1915" s="5">
        <f t="shared" si="61"/>
        <v>0</v>
      </c>
    </row>
    <row r="1916" spans="1:24" x14ac:dyDescent="0.25">
      <c r="A1916" s="17"/>
      <c r="B1916" s="17"/>
      <c r="C1916" s="17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8">
        <v>0</v>
      </c>
      <c r="W1916" s="17">
        <f t="shared" si="60"/>
        <v>0</v>
      </c>
      <c r="X1916" s="5">
        <f t="shared" si="61"/>
        <v>0</v>
      </c>
    </row>
    <row r="1917" spans="1:24" x14ac:dyDescent="0.25">
      <c r="A1917" s="17"/>
      <c r="B1917" s="17"/>
      <c r="C1917" s="17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  <c r="N1917" s="17"/>
      <c r="O1917" s="17"/>
      <c r="P1917" s="17"/>
      <c r="Q1917" s="17"/>
      <c r="R1917" s="17"/>
      <c r="S1917" s="17"/>
      <c r="T1917" s="17"/>
      <c r="U1917" s="17"/>
      <c r="V1917" s="18">
        <v>0</v>
      </c>
      <c r="W1917" s="17">
        <f t="shared" si="60"/>
        <v>0</v>
      </c>
      <c r="X1917" s="5">
        <f t="shared" si="61"/>
        <v>0</v>
      </c>
    </row>
    <row r="1918" spans="1:24" x14ac:dyDescent="0.25">
      <c r="A1918" s="17"/>
      <c r="B1918" s="17"/>
      <c r="C1918" s="17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8">
        <v>0</v>
      </c>
      <c r="W1918" s="17">
        <f t="shared" si="60"/>
        <v>0</v>
      </c>
      <c r="X1918" s="5">
        <f t="shared" si="61"/>
        <v>0</v>
      </c>
    </row>
    <row r="1919" spans="1:24" x14ac:dyDescent="0.25">
      <c r="A1919" s="17"/>
      <c r="B1919" s="17"/>
      <c r="C1919" s="17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  <c r="N1919" s="17"/>
      <c r="O1919" s="17"/>
      <c r="P1919" s="17"/>
      <c r="Q1919" s="17"/>
      <c r="R1919" s="17"/>
      <c r="S1919" s="17"/>
      <c r="T1919" s="17"/>
      <c r="U1919" s="17"/>
      <c r="V1919" s="18">
        <v>0</v>
      </c>
      <c r="W1919" s="17">
        <f t="shared" si="60"/>
        <v>0</v>
      </c>
      <c r="X1919" s="5">
        <f t="shared" si="61"/>
        <v>0</v>
      </c>
    </row>
    <row r="1920" spans="1:24" x14ac:dyDescent="0.25">
      <c r="A1920" s="17"/>
      <c r="B1920" s="17"/>
      <c r="C1920" s="17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  <c r="N1920" s="17"/>
      <c r="O1920" s="17"/>
      <c r="P1920" s="17"/>
      <c r="Q1920" s="17"/>
      <c r="R1920" s="17"/>
      <c r="S1920" s="17"/>
      <c r="T1920" s="17"/>
      <c r="U1920" s="17"/>
      <c r="V1920" s="18">
        <v>0</v>
      </c>
      <c r="W1920" s="17">
        <f t="shared" si="60"/>
        <v>0</v>
      </c>
      <c r="X1920" s="5">
        <f t="shared" si="61"/>
        <v>0</v>
      </c>
    </row>
    <row r="1921" spans="1:24" x14ac:dyDescent="0.25">
      <c r="A1921" s="17"/>
      <c r="B1921" s="17"/>
      <c r="C1921" s="17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8">
        <v>0</v>
      </c>
      <c r="W1921" s="17">
        <f t="shared" si="60"/>
        <v>0</v>
      </c>
      <c r="X1921" s="5">
        <f t="shared" si="61"/>
        <v>0</v>
      </c>
    </row>
    <row r="1922" spans="1:24" x14ac:dyDescent="0.25">
      <c r="A1922" s="17"/>
      <c r="B1922" s="17"/>
      <c r="C1922" s="17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8">
        <v>0</v>
      </c>
      <c r="W1922" s="17">
        <f t="shared" si="60"/>
        <v>0</v>
      </c>
      <c r="X1922" s="5">
        <f t="shared" si="61"/>
        <v>0</v>
      </c>
    </row>
    <row r="1923" spans="1:24" x14ac:dyDescent="0.25">
      <c r="A1923" s="17"/>
      <c r="B1923" s="17"/>
      <c r="C1923" s="17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8">
        <v>0</v>
      </c>
      <c r="W1923" s="17">
        <f t="shared" ref="W1923:W1986" si="62">HOUR(E1923)</f>
        <v>0</v>
      </c>
      <c r="X1923" s="5">
        <f t="shared" ref="X1923:X1986" si="63">IF(D1923=D1922,0,1)</f>
        <v>0</v>
      </c>
    </row>
    <row r="1924" spans="1:24" x14ac:dyDescent="0.25">
      <c r="A1924" s="17"/>
      <c r="B1924" s="17"/>
      <c r="C1924" s="17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8">
        <v>0</v>
      </c>
      <c r="W1924" s="17">
        <f t="shared" si="62"/>
        <v>0</v>
      </c>
      <c r="X1924" s="5">
        <f t="shared" si="63"/>
        <v>0</v>
      </c>
    </row>
    <row r="1925" spans="1:24" x14ac:dyDescent="0.25">
      <c r="A1925" s="17"/>
      <c r="B1925" s="17"/>
      <c r="C1925" s="17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8">
        <v>0</v>
      </c>
      <c r="W1925" s="17">
        <f t="shared" si="62"/>
        <v>0</v>
      </c>
      <c r="X1925" s="5">
        <f t="shared" si="63"/>
        <v>0</v>
      </c>
    </row>
    <row r="1926" spans="1:24" x14ac:dyDescent="0.25">
      <c r="A1926" s="17"/>
      <c r="B1926" s="17"/>
      <c r="C1926" s="17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8">
        <v>0</v>
      </c>
      <c r="W1926" s="17">
        <f t="shared" si="62"/>
        <v>0</v>
      </c>
      <c r="X1926" s="5">
        <f t="shared" si="63"/>
        <v>0</v>
      </c>
    </row>
    <row r="1927" spans="1:24" x14ac:dyDescent="0.25">
      <c r="A1927" s="17"/>
      <c r="B1927" s="17"/>
      <c r="C1927" s="17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8">
        <v>0</v>
      </c>
      <c r="W1927" s="17">
        <f t="shared" si="62"/>
        <v>0</v>
      </c>
      <c r="X1927" s="5">
        <f t="shared" si="63"/>
        <v>0</v>
      </c>
    </row>
    <row r="1928" spans="1:24" x14ac:dyDescent="0.25">
      <c r="A1928" s="17"/>
      <c r="B1928" s="17"/>
      <c r="C1928" s="17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8">
        <v>0</v>
      </c>
      <c r="W1928" s="17">
        <f t="shared" si="62"/>
        <v>0</v>
      </c>
      <c r="X1928" s="5">
        <f t="shared" si="63"/>
        <v>0</v>
      </c>
    </row>
    <row r="1929" spans="1:24" x14ac:dyDescent="0.25">
      <c r="A1929" s="17"/>
      <c r="B1929" s="17"/>
      <c r="C1929" s="17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8">
        <v>0</v>
      </c>
      <c r="W1929" s="17">
        <f t="shared" si="62"/>
        <v>0</v>
      </c>
      <c r="X1929" s="5">
        <f t="shared" si="63"/>
        <v>0</v>
      </c>
    </row>
    <row r="1930" spans="1:24" x14ac:dyDescent="0.25">
      <c r="A1930" s="17"/>
      <c r="B1930" s="17"/>
      <c r="C1930" s="17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8">
        <v>0</v>
      </c>
      <c r="W1930" s="17">
        <f t="shared" si="62"/>
        <v>0</v>
      </c>
      <c r="X1930" s="5">
        <f t="shared" si="63"/>
        <v>0</v>
      </c>
    </row>
    <row r="1931" spans="1:24" x14ac:dyDescent="0.25">
      <c r="A1931" s="17"/>
      <c r="B1931" s="17"/>
      <c r="C1931" s="17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8">
        <v>0</v>
      </c>
      <c r="W1931" s="17">
        <f t="shared" si="62"/>
        <v>0</v>
      </c>
      <c r="X1931" s="5">
        <f t="shared" si="63"/>
        <v>0</v>
      </c>
    </row>
    <row r="1932" spans="1:24" x14ac:dyDescent="0.25">
      <c r="A1932" s="17"/>
      <c r="B1932" s="17"/>
      <c r="C1932" s="17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  <c r="N1932" s="17"/>
      <c r="O1932" s="17"/>
      <c r="P1932" s="17"/>
      <c r="Q1932" s="17"/>
      <c r="R1932" s="17"/>
      <c r="S1932" s="17"/>
      <c r="T1932" s="17"/>
      <c r="U1932" s="17"/>
      <c r="V1932" s="18">
        <v>0</v>
      </c>
      <c r="W1932" s="17">
        <f t="shared" si="62"/>
        <v>0</v>
      </c>
      <c r="X1932" s="5">
        <f t="shared" si="63"/>
        <v>0</v>
      </c>
    </row>
    <row r="1933" spans="1:24" x14ac:dyDescent="0.25">
      <c r="A1933" s="17"/>
      <c r="B1933" s="17"/>
      <c r="C1933" s="17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  <c r="N1933" s="17"/>
      <c r="O1933" s="17"/>
      <c r="P1933" s="17"/>
      <c r="Q1933" s="17"/>
      <c r="R1933" s="17"/>
      <c r="S1933" s="17"/>
      <c r="T1933" s="17"/>
      <c r="U1933" s="17"/>
      <c r="V1933" s="18">
        <v>0</v>
      </c>
      <c r="W1933" s="17">
        <f t="shared" si="62"/>
        <v>0</v>
      </c>
      <c r="X1933" s="5">
        <f t="shared" si="63"/>
        <v>0</v>
      </c>
    </row>
    <row r="1934" spans="1:24" x14ac:dyDescent="0.25">
      <c r="A1934" s="17"/>
      <c r="B1934" s="17"/>
      <c r="C1934" s="17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  <c r="N1934" s="17"/>
      <c r="O1934" s="17"/>
      <c r="P1934" s="17"/>
      <c r="Q1934" s="17"/>
      <c r="R1934" s="17"/>
      <c r="S1934" s="17"/>
      <c r="T1934" s="17"/>
      <c r="U1934" s="17"/>
      <c r="V1934" s="18">
        <v>0</v>
      </c>
      <c r="W1934" s="17">
        <f t="shared" si="62"/>
        <v>0</v>
      </c>
      <c r="X1934" s="5">
        <f t="shared" si="63"/>
        <v>0</v>
      </c>
    </row>
    <row r="1935" spans="1:24" x14ac:dyDescent="0.25">
      <c r="A1935" s="17"/>
      <c r="B1935" s="17"/>
      <c r="C1935" s="17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8">
        <v>0</v>
      </c>
      <c r="W1935" s="17">
        <f t="shared" si="62"/>
        <v>0</v>
      </c>
      <c r="X1935" s="5">
        <f t="shared" si="63"/>
        <v>0</v>
      </c>
    </row>
    <row r="1936" spans="1:24" x14ac:dyDescent="0.25">
      <c r="A1936" s="17"/>
      <c r="B1936" s="17"/>
      <c r="C1936" s="17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8">
        <v>0</v>
      </c>
      <c r="W1936" s="17">
        <f t="shared" si="62"/>
        <v>0</v>
      </c>
      <c r="X1936" s="5">
        <f t="shared" si="63"/>
        <v>0</v>
      </c>
    </row>
    <row r="1937" spans="1:24" x14ac:dyDescent="0.25">
      <c r="A1937" s="17"/>
      <c r="B1937" s="17"/>
      <c r="C1937" s="17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8">
        <v>0</v>
      </c>
      <c r="W1937" s="17">
        <f t="shared" si="62"/>
        <v>0</v>
      </c>
      <c r="X1937" s="5">
        <f t="shared" si="63"/>
        <v>0</v>
      </c>
    </row>
    <row r="1938" spans="1:24" x14ac:dyDescent="0.25">
      <c r="A1938" s="17"/>
      <c r="B1938" s="17"/>
      <c r="C1938" s="17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8">
        <v>0</v>
      </c>
      <c r="W1938" s="17">
        <f t="shared" si="62"/>
        <v>0</v>
      </c>
      <c r="X1938" s="5">
        <f t="shared" si="63"/>
        <v>0</v>
      </c>
    </row>
    <row r="1939" spans="1:24" x14ac:dyDescent="0.25">
      <c r="A1939" s="17"/>
      <c r="B1939" s="17"/>
      <c r="C1939" s="17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8">
        <v>0</v>
      </c>
      <c r="W1939" s="17">
        <f t="shared" si="62"/>
        <v>0</v>
      </c>
      <c r="X1939" s="5">
        <f t="shared" si="63"/>
        <v>0</v>
      </c>
    </row>
    <row r="1940" spans="1:24" x14ac:dyDescent="0.25">
      <c r="A1940" s="17"/>
      <c r="B1940" s="17"/>
      <c r="C1940" s="17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8">
        <v>0</v>
      </c>
      <c r="W1940" s="17">
        <f t="shared" si="62"/>
        <v>0</v>
      </c>
      <c r="X1940" s="5">
        <f t="shared" si="63"/>
        <v>0</v>
      </c>
    </row>
    <row r="1941" spans="1:24" x14ac:dyDescent="0.25">
      <c r="A1941" s="17"/>
      <c r="B1941" s="17"/>
      <c r="C1941" s="17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8">
        <v>0</v>
      </c>
      <c r="W1941" s="17">
        <f t="shared" si="62"/>
        <v>0</v>
      </c>
      <c r="X1941" s="5">
        <f t="shared" si="63"/>
        <v>0</v>
      </c>
    </row>
    <row r="1942" spans="1:24" x14ac:dyDescent="0.25">
      <c r="A1942" s="17"/>
      <c r="B1942" s="17"/>
      <c r="C1942" s="17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8">
        <v>0</v>
      </c>
      <c r="W1942" s="17">
        <f t="shared" si="62"/>
        <v>0</v>
      </c>
      <c r="X1942" s="5">
        <f t="shared" si="63"/>
        <v>0</v>
      </c>
    </row>
    <row r="1943" spans="1:24" x14ac:dyDescent="0.25">
      <c r="A1943" s="17"/>
      <c r="B1943" s="17"/>
      <c r="C1943" s="17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8">
        <v>0</v>
      </c>
      <c r="W1943" s="17">
        <f t="shared" si="62"/>
        <v>0</v>
      </c>
      <c r="X1943" s="5">
        <f t="shared" si="63"/>
        <v>0</v>
      </c>
    </row>
    <row r="1944" spans="1:24" x14ac:dyDescent="0.25">
      <c r="A1944" s="17"/>
      <c r="B1944" s="17"/>
      <c r="C1944" s="17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8">
        <v>0</v>
      </c>
      <c r="W1944" s="17">
        <f t="shared" si="62"/>
        <v>0</v>
      </c>
      <c r="X1944" s="5">
        <f t="shared" si="63"/>
        <v>0</v>
      </c>
    </row>
    <row r="1945" spans="1:24" x14ac:dyDescent="0.25">
      <c r="A1945" s="17"/>
      <c r="B1945" s="17"/>
      <c r="C1945" s="17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8">
        <v>0</v>
      </c>
      <c r="W1945" s="17">
        <f t="shared" si="62"/>
        <v>0</v>
      </c>
      <c r="X1945" s="5">
        <f t="shared" si="63"/>
        <v>0</v>
      </c>
    </row>
    <row r="1946" spans="1:24" x14ac:dyDescent="0.25">
      <c r="A1946" s="17"/>
      <c r="B1946" s="17"/>
      <c r="C1946" s="17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8">
        <v>0</v>
      </c>
      <c r="W1946" s="17">
        <f t="shared" si="62"/>
        <v>0</v>
      </c>
      <c r="X1946" s="5">
        <f t="shared" si="63"/>
        <v>0</v>
      </c>
    </row>
    <row r="1947" spans="1:24" x14ac:dyDescent="0.25">
      <c r="A1947" s="17"/>
      <c r="B1947" s="17"/>
      <c r="C1947" s="17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8">
        <v>0</v>
      </c>
      <c r="W1947" s="17">
        <f t="shared" si="62"/>
        <v>0</v>
      </c>
      <c r="X1947" s="5">
        <f t="shared" si="63"/>
        <v>0</v>
      </c>
    </row>
    <row r="1948" spans="1:24" x14ac:dyDescent="0.25">
      <c r="A1948" s="17"/>
      <c r="B1948" s="17"/>
      <c r="C1948" s="17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8">
        <v>0</v>
      </c>
      <c r="W1948" s="17">
        <f t="shared" si="62"/>
        <v>0</v>
      </c>
      <c r="X1948" s="5">
        <f t="shared" si="63"/>
        <v>0</v>
      </c>
    </row>
    <row r="1949" spans="1:24" x14ac:dyDescent="0.25">
      <c r="A1949" s="17"/>
      <c r="B1949" s="17"/>
      <c r="C1949" s="17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8">
        <v>0</v>
      </c>
      <c r="W1949" s="17">
        <f t="shared" si="62"/>
        <v>0</v>
      </c>
      <c r="X1949" s="5">
        <f t="shared" si="63"/>
        <v>0</v>
      </c>
    </row>
    <row r="1950" spans="1:24" x14ac:dyDescent="0.25">
      <c r="A1950" s="17"/>
      <c r="B1950" s="17"/>
      <c r="C1950" s="17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8">
        <v>0</v>
      </c>
      <c r="W1950" s="17">
        <f t="shared" si="62"/>
        <v>0</v>
      </c>
      <c r="X1950" s="5">
        <f t="shared" si="63"/>
        <v>0</v>
      </c>
    </row>
    <row r="1951" spans="1:24" x14ac:dyDescent="0.25">
      <c r="A1951" s="17"/>
      <c r="B1951" s="17"/>
      <c r="C1951" s="17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8">
        <v>0</v>
      </c>
      <c r="W1951" s="17">
        <f t="shared" si="62"/>
        <v>0</v>
      </c>
      <c r="X1951" s="5">
        <f t="shared" si="63"/>
        <v>0</v>
      </c>
    </row>
    <row r="1952" spans="1:24" x14ac:dyDescent="0.25">
      <c r="A1952" s="17"/>
      <c r="B1952" s="17"/>
      <c r="C1952" s="17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8">
        <v>0</v>
      </c>
      <c r="W1952" s="17">
        <f t="shared" si="62"/>
        <v>0</v>
      </c>
      <c r="X1952" s="5">
        <f t="shared" si="63"/>
        <v>0</v>
      </c>
    </row>
    <row r="1953" spans="1:24" x14ac:dyDescent="0.25">
      <c r="A1953" s="17"/>
      <c r="B1953" s="17"/>
      <c r="C1953" s="17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8">
        <v>0</v>
      </c>
      <c r="W1953" s="17">
        <f t="shared" si="62"/>
        <v>0</v>
      </c>
      <c r="X1953" s="5">
        <f t="shared" si="63"/>
        <v>0</v>
      </c>
    </row>
    <row r="1954" spans="1:24" x14ac:dyDescent="0.25">
      <c r="A1954" s="17"/>
      <c r="B1954" s="17"/>
      <c r="C1954" s="17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8">
        <v>0</v>
      </c>
      <c r="W1954" s="17">
        <f t="shared" si="62"/>
        <v>0</v>
      </c>
      <c r="X1954" s="5">
        <f t="shared" si="63"/>
        <v>0</v>
      </c>
    </row>
    <row r="1955" spans="1:24" x14ac:dyDescent="0.25">
      <c r="A1955" s="17"/>
      <c r="B1955" s="17"/>
      <c r="C1955" s="17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8">
        <v>0</v>
      </c>
      <c r="W1955" s="17">
        <f t="shared" si="62"/>
        <v>0</v>
      </c>
      <c r="X1955" s="5">
        <f t="shared" si="63"/>
        <v>0</v>
      </c>
    </row>
    <row r="1956" spans="1:24" x14ac:dyDescent="0.25">
      <c r="A1956" s="17"/>
      <c r="B1956" s="17"/>
      <c r="C1956" s="17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8">
        <v>0</v>
      </c>
      <c r="W1956" s="17">
        <f t="shared" si="62"/>
        <v>0</v>
      </c>
      <c r="X1956" s="5">
        <f t="shared" si="63"/>
        <v>0</v>
      </c>
    </row>
    <row r="1957" spans="1:24" x14ac:dyDescent="0.25">
      <c r="A1957" s="17"/>
      <c r="B1957" s="17"/>
      <c r="C1957" s="17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8">
        <v>0</v>
      </c>
      <c r="W1957" s="17">
        <f t="shared" si="62"/>
        <v>0</v>
      </c>
      <c r="X1957" s="5">
        <f t="shared" si="63"/>
        <v>0</v>
      </c>
    </row>
    <row r="1958" spans="1:24" x14ac:dyDescent="0.25">
      <c r="A1958" s="17"/>
      <c r="B1958" s="17"/>
      <c r="C1958" s="17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8">
        <v>0</v>
      </c>
      <c r="W1958" s="17">
        <f t="shared" si="62"/>
        <v>0</v>
      </c>
      <c r="X1958" s="5">
        <f t="shared" si="63"/>
        <v>0</v>
      </c>
    </row>
    <row r="1959" spans="1:24" x14ac:dyDescent="0.25">
      <c r="A1959" s="17"/>
      <c r="B1959" s="17"/>
      <c r="C1959" s="17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8">
        <v>0</v>
      </c>
      <c r="W1959" s="17">
        <f t="shared" si="62"/>
        <v>0</v>
      </c>
      <c r="X1959" s="5">
        <f t="shared" si="63"/>
        <v>0</v>
      </c>
    </row>
    <row r="1960" spans="1:24" x14ac:dyDescent="0.25">
      <c r="A1960" s="17"/>
      <c r="B1960" s="17"/>
      <c r="C1960" s="17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  <c r="N1960" s="17"/>
      <c r="O1960" s="17"/>
      <c r="P1960" s="17"/>
      <c r="Q1960" s="17"/>
      <c r="R1960" s="17"/>
      <c r="S1960" s="17"/>
      <c r="T1960" s="17"/>
      <c r="U1960" s="17"/>
      <c r="V1960" s="18">
        <v>0</v>
      </c>
      <c r="W1960" s="17">
        <f t="shared" si="62"/>
        <v>0</v>
      </c>
      <c r="X1960" s="5">
        <f t="shared" si="63"/>
        <v>0</v>
      </c>
    </row>
    <row r="1961" spans="1:24" x14ac:dyDescent="0.25">
      <c r="A1961" s="17"/>
      <c r="B1961" s="17"/>
      <c r="C1961" s="17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  <c r="N1961" s="17"/>
      <c r="O1961" s="17"/>
      <c r="P1961" s="17"/>
      <c r="Q1961" s="17"/>
      <c r="R1961" s="17"/>
      <c r="S1961" s="17"/>
      <c r="T1961" s="17"/>
      <c r="U1961" s="17"/>
      <c r="V1961" s="18">
        <v>0</v>
      </c>
      <c r="W1961" s="17">
        <f t="shared" si="62"/>
        <v>0</v>
      </c>
      <c r="X1961" s="5">
        <f t="shared" si="63"/>
        <v>0</v>
      </c>
    </row>
    <row r="1962" spans="1:24" x14ac:dyDescent="0.25">
      <c r="A1962" s="17"/>
      <c r="B1962" s="17"/>
      <c r="C1962" s="17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  <c r="N1962" s="17"/>
      <c r="O1962" s="17"/>
      <c r="P1962" s="17"/>
      <c r="Q1962" s="17"/>
      <c r="R1962" s="17"/>
      <c r="S1962" s="17"/>
      <c r="T1962" s="17"/>
      <c r="U1962" s="17"/>
      <c r="V1962" s="18">
        <v>0</v>
      </c>
      <c r="W1962" s="17">
        <f t="shared" si="62"/>
        <v>0</v>
      </c>
      <c r="X1962" s="5">
        <f t="shared" si="63"/>
        <v>0</v>
      </c>
    </row>
    <row r="1963" spans="1:24" x14ac:dyDescent="0.25">
      <c r="A1963" s="17"/>
      <c r="B1963" s="17"/>
      <c r="C1963" s="17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8">
        <v>0</v>
      </c>
      <c r="W1963" s="17">
        <f t="shared" si="62"/>
        <v>0</v>
      </c>
      <c r="X1963" s="5">
        <f t="shared" si="63"/>
        <v>0</v>
      </c>
    </row>
    <row r="1964" spans="1:24" x14ac:dyDescent="0.25">
      <c r="A1964" s="17"/>
      <c r="B1964" s="17"/>
      <c r="C1964" s="17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8">
        <v>0</v>
      </c>
      <c r="W1964" s="17">
        <f t="shared" si="62"/>
        <v>0</v>
      </c>
      <c r="X1964" s="5">
        <f t="shared" si="63"/>
        <v>0</v>
      </c>
    </row>
    <row r="1965" spans="1:24" x14ac:dyDescent="0.25">
      <c r="A1965" s="17"/>
      <c r="B1965" s="17"/>
      <c r="C1965" s="17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8">
        <v>0</v>
      </c>
      <c r="W1965" s="17">
        <f t="shared" si="62"/>
        <v>0</v>
      </c>
      <c r="X1965" s="5">
        <f t="shared" si="63"/>
        <v>0</v>
      </c>
    </row>
    <row r="1966" spans="1:24" x14ac:dyDescent="0.25">
      <c r="A1966" s="17"/>
      <c r="B1966" s="17"/>
      <c r="C1966" s="17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8">
        <v>0</v>
      </c>
      <c r="W1966" s="17">
        <f t="shared" si="62"/>
        <v>0</v>
      </c>
      <c r="X1966" s="5">
        <f t="shared" si="63"/>
        <v>0</v>
      </c>
    </row>
    <row r="1967" spans="1:24" x14ac:dyDescent="0.25">
      <c r="A1967" s="17"/>
      <c r="B1967" s="17"/>
      <c r="C1967" s="17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8">
        <v>0</v>
      </c>
      <c r="W1967" s="17">
        <f t="shared" si="62"/>
        <v>0</v>
      </c>
      <c r="X1967" s="5">
        <f t="shared" si="63"/>
        <v>0</v>
      </c>
    </row>
    <row r="1968" spans="1:24" x14ac:dyDescent="0.25">
      <c r="A1968" s="17"/>
      <c r="B1968" s="17"/>
      <c r="C1968" s="17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8">
        <v>0</v>
      </c>
      <c r="W1968" s="17">
        <f t="shared" si="62"/>
        <v>0</v>
      </c>
      <c r="X1968" s="5">
        <f t="shared" si="63"/>
        <v>0</v>
      </c>
    </row>
    <row r="1969" spans="1:24" x14ac:dyDescent="0.25">
      <c r="A1969" s="17"/>
      <c r="B1969" s="17"/>
      <c r="C1969" s="17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8">
        <v>0</v>
      </c>
      <c r="W1969" s="17">
        <f t="shared" si="62"/>
        <v>0</v>
      </c>
      <c r="X1969" s="5">
        <f t="shared" si="63"/>
        <v>0</v>
      </c>
    </row>
    <row r="1970" spans="1:24" x14ac:dyDescent="0.25">
      <c r="A1970" s="17"/>
      <c r="B1970" s="17"/>
      <c r="C1970" s="17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8">
        <v>0</v>
      </c>
      <c r="W1970" s="17">
        <f t="shared" si="62"/>
        <v>0</v>
      </c>
      <c r="X1970" s="5">
        <f t="shared" si="63"/>
        <v>0</v>
      </c>
    </row>
    <row r="1971" spans="1:24" x14ac:dyDescent="0.25">
      <c r="A1971" s="17"/>
      <c r="B1971" s="17"/>
      <c r="C1971" s="17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8">
        <v>0</v>
      </c>
      <c r="W1971" s="17">
        <f t="shared" si="62"/>
        <v>0</v>
      </c>
      <c r="X1971" s="5">
        <f t="shared" si="63"/>
        <v>0</v>
      </c>
    </row>
    <row r="1972" spans="1:24" x14ac:dyDescent="0.25">
      <c r="A1972" s="17"/>
      <c r="B1972" s="17"/>
      <c r="C1972" s="17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8">
        <v>0</v>
      </c>
      <c r="W1972" s="17">
        <f t="shared" si="62"/>
        <v>0</v>
      </c>
      <c r="X1972" s="5">
        <f t="shared" si="63"/>
        <v>0</v>
      </c>
    </row>
    <row r="1973" spans="1:24" x14ac:dyDescent="0.25">
      <c r="A1973" s="17"/>
      <c r="B1973" s="17"/>
      <c r="C1973" s="17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8">
        <v>0</v>
      </c>
      <c r="W1973" s="17">
        <f t="shared" si="62"/>
        <v>0</v>
      </c>
      <c r="X1973" s="5">
        <f t="shared" si="63"/>
        <v>0</v>
      </c>
    </row>
    <row r="1974" spans="1:24" x14ac:dyDescent="0.25">
      <c r="A1974" s="17"/>
      <c r="B1974" s="17"/>
      <c r="C1974" s="17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  <c r="N1974" s="17"/>
      <c r="O1974" s="17"/>
      <c r="P1974" s="17"/>
      <c r="Q1974" s="17"/>
      <c r="R1974" s="17"/>
      <c r="S1974" s="17"/>
      <c r="T1974" s="17"/>
      <c r="U1974" s="17"/>
      <c r="V1974" s="18">
        <v>0</v>
      </c>
      <c r="W1974" s="17">
        <f t="shared" si="62"/>
        <v>0</v>
      </c>
      <c r="X1974" s="5">
        <f t="shared" si="63"/>
        <v>0</v>
      </c>
    </row>
    <row r="1975" spans="1:24" x14ac:dyDescent="0.25">
      <c r="A1975" s="17"/>
      <c r="B1975" s="17"/>
      <c r="C1975" s="17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  <c r="N1975" s="17"/>
      <c r="O1975" s="17"/>
      <c r="P1975" s="17"/>
      <c r="Q1975" s="17"/>
      <c r="R1975" s="17"/>
      <c r="S1975" s="17"/>
      <c r="T1975" s="17"/>
      <c r="U1975" s="17"/>
      <c r="V1975" s="18">
        <v>0</v>
      </c>
      <c r="W1975" s="17">
        <f t="shared" si="62"/>
        <v>0</v>
      </c>
      <c r="X1975" s="5">
        <f t="shared" si="63"/>
        <v>0</v>
      </c>
    </row>
    <row r="1976" spans="1:24" x14ac:dyDescent="0.25">
      <c r="A1976" s="17"/>
      <c r="B1976" s="17"/>
      <c r="C1976" s="17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  <c r="N1976" s="17"/>
      <c r="O1976" s="17"/>
      <c r="P1976" s="17"/>
      <c r="Q1976" s="17"/>
      <c r="R1976" s="17"/>
      <c r="S1976" s="17"/>
      <c r="T1976" s="17"/>
      <c r="U1976" s="17"/>
      <c r="V1976" s="18">
        <v>0</v>
      </c>
      <c r="W1976" s="17">
        <f t="shared" si="62"/>
        <v>0</v>
      </c>
      <c r="X1976" s="5">
        <f t="shared" si="63"/>
        <v>0</v>
      </c>
    </row>
    <row r="1977" spans="1:24" x14ac:dyDescent="0.25">
      <c r="A1977" s="17"/>
      <c r="B1977" s="17"/>
      <c r="C1977" s="17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8">
        <v>0</v>
      </c>
      <c r="W1977" s="17">
        <f t="shared" si="62"/>
        <v>0</v>
      </c>
      <c r="X1977" s="5">
        <f t="shared" si="63"/>
        <v>0</v>
      </c>
    </row>
    <row r="1978" spans="1:24" x14ac:dyDescent="0.25">
      <c r="A1978" s="17"/>
      <c r="B1978" s="17"/>
      <c r="C1978" s="17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8">
        <v>0</v>
      </c>
      <c r="W1978" s="17">
        <f t="shared" si="62"/>
        <v>0</v>
      </c>
      <c r="X1978" s="5">
        <f t="shared" si="63"/>
        <v>0</v>
      </c>
    </row>
    <row r="1979" spans="1:24" x14ac:dyDescent="0.25">
      <c r="A1979" s="17"/>
      <c r="B1979" s="17"/>
      <c r="C1979" s="17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8">
        <v>0</v>
      </c>
      <c r="W1979" s="17">
        <f t="shared" si="62"/>
        <v>0</v>
      </c>
      <c r="X1979" s="5">
        <f t="shared" si="63"/>
        <v>0</v>
      </c>
    </row>
    <row r="1980" spans="1:24" x14ac:dyDescent="0.25">
      <c r="A1980" s="17"/>
      <c r="B1980" s="17"/>
      <c r="C1980" s="17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8">
        <v>0</v>
      </c>
      <c r="W1980" s="17">
        <f t="shared" si="62"/>
        <v>0</v>
      </c>
      <c r="X1980" s="5">
        <f t="shared" si="63"/>
        <v>0</v>
      </c>
    </row>
    <row r="1981" spans="1:24" x14ac:dyDescent="0.25">
      <c r="A1981" s="17"/>
      <c r="B1981" s="17"/>
      <c r="C1981" s="17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8">
        <v>0</v>
      </c>
      <c r="W1981" s="17">
        <f t="shared" si="62"/>
        <v>0</v>
      </c>
      <c r="X1981" s="5">
        <f t="shared" si="63"/>
        <v>0</v>
      </c>
    </row>
    <row r="1982" spans="1:24" x14ac:dyDescent="0.25">
      <c r="A1982" s="17"/>
      <c r="B1982" s="17"/>
      <c r="C1982" s="17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8">
        <v>0</v>
      </c>
      <c r="W1982" s="17">
        <f t="shared" si="62"/>
        <v>0</v>
      </c>
      <c r="X1982" s="5">
        <f t="shared" si="63"/>
        <v>0</v>
      </c>
    </row>
    <row r="1983" spans="1:24" x14ac:dyDescent="0.25">
      <c r="A1983" s="17"/>
      <c r="B1983" s="17"/>
      <c r="C1983" s="17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8">
        <v>0</v>
      </c>
      <c r="W1983" s="17">
        <f t="shared" si="62"/>
        <v>0</v>
      </c>
      <c r="X1983" s="5">
        <f t="shared" si="63"/>
        <v>0</v>
      </c>
    </row>
    <row r="1984" spans="1:24" x14ac:dyDescent="0.25">
      <c r="A1984" s="17"/>
      <c r="B1984" s="17"/>
      <c r="C1984" s="17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8">
        <v>0</v>
      </c>
      <c r="W1984" s="17">
        <f t="shared" si="62"/>
        <v>0</v>
      </c>
      <c r="X1984" s="5">
        <f t="shared" si="63"/>
        <v>0</v>
      </c>
    </row>
    <row r="1985" spans="1:24" x14ac:dyDescent="0.25">
      <c r="A1985" s="17"/>
      <c r="B1985" s="17"/>
      <c r="C1985" s="17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8">
        <v>0</v>
      </c>
      <c r="W1985" s="17">
        <f t="shared" si="62"/>
        <v>0</v>
      </c>
      <c r="X1985" s="5">
        <f t="shared" si="63"/>
        <v>0</v>
      </c>
    </row>
    <row r="1986" spans="1:24" x14ac:dyDescent="0.25">
      <c r="A1986" s="17"/>
      <c r="B1986" s="17"/>
      <c r="C1986" s="17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8">
        <v>0</v>
      </c>
      <c r="W1986" s="17">
        <f t="shared" si="62"/>
        <v>0</v>
      </c>
      <c r="X1986" s="5">
        <f t="shared" si="63"/>
        <v>0</v>
      </c>
    </row>
    <row r="1987" spans="1:24" x14ac:dyDescent="0.25">
      <c r="A1987" s="17"/>
      <c r="B1987" s="17"/>
      <c r="C1987" s="17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8">
        <v>0</v>
      </c>
      <c r="W1987" s="17">
        <f t="shared" ref="W1987:W2050" si="64">HOUR(E1987)</f>
        <v>0</v>
      </c>
      <c r="X1987" s="5">
        <f t="shared" ref="X1987:X2050" si="65">IF(D1987=D1986,0,1)</f>
        <v>0</v>
      </c>
    </row>
    <row r="1988" spans="1:24" x14ac:dyDescent="0.25">
      <c r="A1988" s="17"/>
      <c r="B1988" s="17"/>
      <c r="C1988" s="17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8">
        <v>0</v>
      </c>
      <c r="W1988" s="17">
        <f t="shared" si="64"/>
        <v>0</v>
      </c>
      <c r="X1988" s="5">
        <f t="shared" si="65"/>
        <v>0</v>
      </c>
    </row>
    <row r="1989" spans="1:24" x14ac:dyDescent="0.25">
      <c r="A1989" s="17"/>
      <c r="B1989" s="17"/>
      <c r="C1989" s="17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8">
        <v>0</v>
      </c>
      <c r="W1989" s="17">
        <f t="shared" si="64"/>
        <v>0</v>
      </c>
      <c r="X1989" s="5">
        <f t="shared" si="65"/>
        <v>0</v>
      </c>
    </row>
    <row r="1990" spans="1:24" x14ac:dyDescent="0.25">
      <c r="A1990" s="17"/>
      <c r="B1990" s="17"/>
      <c r="C1990" s="17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8">
        <v>0</v>
      </c>
      <c r="W1990" s="17">
        <f t="shared" si="64"/>
        <v>0</v>
      </c>
      <c r="X1990" s="5">
        <f t="shared" si="65"/>
        <v>0</v>
      </c>
    </row>
    <row r="1991" spans="1:24" x14ac:dyDescent="0.25">
      <c r="A1991" s="17"/>
      <c r="B1991" s="17"/>
      <c r="C1991" s="17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  <c r="N1991" s="17"/>
      <c r="O1991" s="17"/>
      <c r="P1991" s="17"/>
      <c r="Q1991" s="17"/>
      <c r="R1991" s="17"/>
      <c r="S1991" s="17"/>
      <c r="T1991" s="17"/>
      <c r="U1991" s="17"/>
      <c r="V1991" s="18">
        <v>0</v>
      </c>
      <c r="W1991" s="17">
        <f t="shared" si="64"/>
        <v>0</v>
      </c>
      <c r="X1991" s="5">
        <f t="shared" si="65"/>
        <v>0</v>
      </c>
    </row>
    <row r="1992" spans="1:24" x14ac:dyDescent="0.25">
      <c r="A1992" s="17"/>
      <c r="B1992" s="17"/>
      <c r="C1992" s="17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  <c r="N1992" s="17"/>
      <c r="O1992" s="17"/>
      <c r="P1992" s="17"/>
      <c r="Q1992" s="17"/>
      <c r="R1992" s="17"/>
      <c r="S1992" s="17"/>
      <c r="T1992" s="17"/>
      <c r="U1992" s="17"/>
      <c r="V1992" s="18">
        <v>0</v>
      </c>
      <c r="W1992" s="17">
        <f t="shared" si="64"/>
        <v>0</v>
      </c>
      <c r="X1992" s="5">
        <f t="shared" si="65"/>
        <v>0</v>
      </c>
    </row>
    <row r="1993" spans="1:24" x14ac:dyDescent="0.25">
      <c r="A1993" s="17"/>
      <c r="B1993" s="17"/>
      <c r="C1993" s="17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  <c r="N1993" s="17"/>
      <c r="O1993" s="17"/>
      <c r="P1993" s="17"/>
      <c r="Q1993" s="17"/>
      <c r="R1993" s="17"/>
      <c r="S1993" s="17"/>
      <c r="T1993" s="17"/>
      <c r="U1993" s="17"/>
      <c r="V1993" s="18">
        <v>0</v>
      </c>
      <c r="W1993" s="17">
        <f t="shared" si="64"/>
        <v>0</v>
      </c>
      <c r="X1993" s="5">
        <f t="shared" si="65"/>
        <v>0</v>
      </c>
    </row>
    <row r="1994" spans="1:24" x14ac:dyDescent="0.25">
      <c r="A1994" s="17"/>
      <c r="B1994" s="17"/>
      <c r="C1994" s="17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  <c r="N1994" s="17"/>
      <c r="O1994" s="17"/>
      <c r="P1994" s="17"/>
      <c r="Q1994" s="17"/>
      <c r="R1994" s="17"/>
      <c r="S1994" s="17"/>
      <c r="T1994" s="17"/>
      <c r="U1994" s="17"/>
      <c r="V1994" s="18">
        <v>0</v>
      </c>
      <c r="W1994" s="17">
        <f t="shared" si="64"/>
        <v>0</v>
      </c>
      <c r="X1994" s="5">
        <f t="shared" si="65"/>
        <v>0</v>
      </c>
    </row>
    <row r="1995" spans="1:24" x14ac:dyDescent="0.25">
      <c r="A1995" s="17"/>
      <c r="B1995" s="17"/>
      <c r="C1995" s="17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  <c r="N1995" s="17"/>
      <c r="O1995" s="17"/>
      <c r="P1995" s="17"/>
      <c r="Q1995" s="17"/>
      <c r="R1995" s="17"/>
      <c r="S1995" s="17"/>
      <c r="T1995" s="17"/>
      <c r="U1995" s="17"/>
      <c r="V1995" s="18">
        <v>0</v>
      </c>
      <c r="W1995" s="17">
        <f t="shared" si="64"/>
        <v>0</v>
      </c>
      <c r="X1995" s="5">
        <f t="shared" si="65"/>
        <v>0</v>
      </c>
    </row>
    <row r="1996" spans="1:24" x14ac:dyDescent="0.25">
      <c r="A1996" s="17"/>
      <c r="B1996" s="17"/>
      <c r="C1996" s="17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  <c r="N1996" s="17"/>
      <c r="O1996" s="17"/>
      <c r="P1996" s="17"/>
      <c r="Q1996" s="17"/>
      <c r="R1996" s="17"/>
      <c r="S1996" s="17"/>
      <c r="T1996" s="17"/>
      <c r="U1996" s="17"/>
      <c r="V1996" s="18">
        <v>0</v>
      </c>
      <c r="W1996" s="17">
        <f t="shared" si="64"/>
        <v>0</v>
      </c>
      <c r="X1996" s="5">
        <f t="shared" si="65"/>
        <v>0</v>
      </c>
    </row>
    <row r="1997" spans="1:24" x14ac:dyDescent="0.25">
      <c r="A1997" s="17"/>
      <c r="B1997" s="17"/>
      <c r="C1997" s="17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8">
        <v>0</v>
      </c>
      <c r="W1997" s="17">
        <f t="shared" si="64"/>
        <v>0</v>
      </c>
      <c r="X1997" s="5">
        <f t="shared" si="65"/>
        <v>0</v>
      </c>
    </row>
    <row r="1998" spans="1:24" x14ac:dyDescent="0.25">
      <c r="A1998" s="17"/>
      <c r="B1998" s="17"/>
      <c r="C1998" s="17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  <c r="N1998" s="17"/>
      <c r="O1998" s="17"/>
      <c r="P1998" s="17"/>
      <c r="Q1998" s="17"/>
      <c r="R1998" s="17"/>
      <c r="S1998" s="17"/>
      <c r="T1998" s="17"/>
      <c r="U1998" s="17"/>
      <c r="V1998" s="18">
        <v>0</v>
      </c>
      <c r="W1998" s="17">
        <f t="shared" si="64"/>
        <v>0</v>
      </c>
      <c r="X1998" s="5">
        <f t="shared" si="65"/>
        <v>0</v>
      </c>
    </row>
    <row r="1999" spans="1:24" x14ac:dyDescent="0.25">
      <c r="A1999" s="17"/>
      <c r="B1999" s="17"/>
      <c r="C1999" s="17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  <c r="N1999" s="17"/>
      <c r="O1999" s="17"/>
      <c r="P1999" s="17"/>
      <c r="Q1999" s="17"/>
      <c r="R1999" s="17"/>
      <c r="S1999" s="17"/>
      <c r="T1999" s="17"/>
      <c r="U1999" s="17"/>
      <c r="V1999" s="18">
        <v>0</v>
      </c>
      <c r="W1999" s="17">
        <f t="shared" si="64"/>
        <v>0</v>
      </c>
      <c r="X1999" s="5">
        <f t="shared" si="65"/>
        <v>0</v>
      </c>
    </row>
    <row r="2000" spans="1:24" x14ac:dyDescent="0.25">
      <c r="A2000" s="17"/>
      <c r="B2000" s="17"/>
      <c r="C2000" s="17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  <c r="N2000" s="17"/>
      <c r="O2000" s="17"/>
      <c r="P2000" s="17"/>
      <c r="Q2000" s="17"/>
      <c r="R2000" s="17"/>
      <c r="S2000" s="17"/>
      <c r="T2000" s="17"/>
      <c r="U2000" s="17"/>
      <c r="V2000" s="18">
        <v>0</v>
      </c>
      <c r="W2000" s="17">
        <f t="shared" si="64"/>
        <v>0</v>
      </c>
      <c r="X2000" s="5">
        <f t="shared" si="65"/>
        <v>0</v>
      </c>
    </row>
    <row r="2001" spans="1:24" x14ac:dyDescent="0.25">
      <c r="A2001" s="17"/>
      <c r="B2001" s="17"/>
      <c r="C2001" s="17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8">
        <v>0</v>
      </c>
      <c r="W2001" s="17">
        <f t="shared" si="64"/>
        <v>0</v>
      </c>
      <c r="X2001" s="5">
        <f t="shared" si="65"/>
        <v>0</v>
      </c>
    </row>
    <row r="2002" spans="1:24" x14ac:dyDescent="0.25">
      <c r="A2002" s="17"/>
      <c r="B2002" s="17"/>
      <c r="C2002" s="17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8">
        <v>0</v>
      </c>
      <c r="W2002" s="17">
        <f t="shared" si="64"/>
        <v>0</v>
      </c>
      <c r="X2002" s="5">
        <f t="shared" si="65"/>
        <v>0</v>
      </c>
    </row>
    <row r="2003" spans="1:24" x14ac:dyDescent="0.25">
      <c r="A2003" s="17"/>
      <c r="B2003" s="17"/>
      <c r="C2003" s="17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  <c r="N2003" s="17"/>
      <c r="O2003" s="17"/>
      <c r="P2003" s="17"/>
      <c r="Q2003" s="17"/>
      <c r="R2003" s="17"/>
      <c r="S2003" s="17"/>
      <c r="T2003" s="17"/>
      <c r="U2003" s="17"/>
      <c r="V2003" s="18">
        <v>0</v>
      </c>
      <c r="W2003" s="17">
        <f t="shared" si="64"/>
        <v>0</v>
      </c>
      <c r="X2003" s="5">
        <f t="shared" si="65"/>
        <v>0</v>
      </c>
    </row>
    <row r="2004" spans="1:24" x14ac:dyDescent="0.25">
      <c r="A2004" s="17"/>
      <c r="B2004" s="17"/>
      <c r="C2004" s="17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  <c r="N2004" s="17"/>
      <c r="O2004" s="17"/>
      <c r="P2004" s="17"/>
      <c r="Q2004" s="17"/>
      <c r="R2004" s="17"/>
      <c r="S2004" s="17"/>
      <c r="T2004" s="17"/>
      <c r="U2004" s="17"/>
      <c r="V2004" s="18">
        <v>0</v>
      </c>
      <c r="W2004" s="17">
        <f t="shared" si="64"/>
        <v>0</v>
      </c>
      <c r="X2004" s="5">
        <f t="shared" si="65"/>
        <v>0</v>
      </c>
    </row>
    <row r="2005" spans="1:24" x14ac:dyDescent="0.25">
      <c r="A2005" s="17"/>
      <c r="B2005" s="17"/>
      <c r="C2005" s="17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  <c r="N2005" s="17"/>
      <c r="O2005" s="17"/>
      <c r="P2005" s="17"/>
      <c r="Q2005" s="17"/>
      <c r="R2005" s="17"/>
      <c r="S2005" s="17"/>
      <c r="T2005" s="17"/>
      <c r="U2005" s="17"/>
      <c r="V2005" s="18">
        <v>0</v>
      </c>
      <c r="W2005" s="17">
        <f t="shared" si="64"/>
        <v>0</v>
      </c>
      <c r="X2005" s="5">
        <f t="shared" si="65"/>
        <v>0</v>
      </c>
    </row>
    <row r="2006" spans="1:24" x14ac:dyDescent="0.25">
      <c r="A2006" s="17"/>
      <c r="B2006" s="17"/>
      <c r="C2006" s="17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8">
        <v>0</v>
      </c>
      <c r="W2006" s="17">
        <f t="shared" si="64"/>
        <v>0</v>
      </c>
      <c r="X2006" s="5">
        <f t="shared" si="65"/>
        <v>0</v>
      </c>
    </row>
    <row r="2007" spans="1:24" x14ac:dyDescent="0.25">
      <c r="A2007" s="17"/>
      <c r="B2007" s="17"/>
      <c r="C2007" s="17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8">
        <v>0</v>
      </c>
      <c r="W2007" s="17">
        <f t="shared" si="64"/>
        <v>0</v>
      </c>
      <c r="X2007" s="5">
        <f t="shared" si="65"/>
        <v>0</v>
      </c>
    </row>
    <row r="2008" spans="1:24" x14ac:dyDescent="0.25">
      <c r="A2008" s="17"/>
      <c r="B2008" s="17"/>
      <c r="C2008" s="17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8">
        <v>0</v>
      </c>
      <c r="W2008" s="17">
        <f t="shared" si="64"/>
        <v>0</v>
      </c>
      <c r="X2008" s="5">
        <f t="shared" si="65"/>
        <v>0</v>
      </c>
    </row>
    <row r="2009" spans="1:24" x14ac:dyDescent="0.25">
      <c r="A2009" s="17"/>
      <c r="B2009" s="17"/>
      <c r="C2009" s="17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  <c r="N2009" s="17"/>
      <c r="O2009" s="17"/>
      <c r="P2009" s="17"/>
      <c r="Q2009" s="17"/>
      <c r="R2009" s="17"/>
      <c r="S2009" s="17"/>
      <c r="T2009" s="17"/>
      <c r="U2009" s="17"/>
      <c r="V2009" s="18">
        <v>0</v>
      </c>
      <c r="W2009" s="17">
        <f t="shared" si="64"/>
        <v>0</v>
      </c>
      <c r="X2009" s="5">
        <f t="shared" si="65"/>
        <v>0</v>
      </c>
    </row>
    <row r="2010" spans="1:24" x14ac:dyDescent="0.25">
      <c r="A2010" s="17"/>
      <c r="B2010" s="17"/>
      <c r="C2010" s="17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  <c r="N2010" s="17"/>
      <c r="O2010" s="17"/>
      <c r="P2010" s="17"/>
      <c r="Q2010" s="17"/>
      <c r="R2010" s="17"/>
      <c r="S2010" s="17"/>
      <c r="T2010" s="17"/>
      <c r="U2010" s="17"/>
      <c r="V2010" s="18">
        <v>0</v>
      </c>
      <c r="W2010" s="17">
        <f t="shared" si="64"/>
        <v>0</v>
      </c>
      <c r="X2010" s="5">
        <f t="shared" si="65"/>
        <v>0</v>
      </c>
    </row>
    <row r="2011" spans="1:24" x14ac:dyDescent="0.25">
      <c r="A2011" s="17"/>
      <c r="B2011" s="17"/>
      <c r="C2011" s="17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  <c r="N2011" s="17"/>
      <c r="O2011" s="17"/>
      <c r="P2011" s="17"/>
      <c r="Q2011" s="17"/>
      <c r="R2011" s="17"/>
      <c r="S2011" s="17"/>
      <c r="T2011" s="17"/>
      <c r="U2011" s="17"/>
      <c r="V2011" s="18">
        <v>0</v>
      </c>
      <c r="W2011" s="17">
        <f t="shared" si="64"/>
        <v>0</v>
      </c>
      <c r="X2011" s="5">
        <f t="shared" si="65"/>
        <v>0</v>
      </c>
    </row>
    <row r="2012" spans="1:24" x14ac:dyDescent="0.25">
      <c r="A2012" s="17"/>
      <c r="B2012" s="17"/>
      <c r="C2012" s="17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  <c r="N2012" s="17"/>
      <c r="O2012" s="17"/>
      <c r="P2012" s="17"/>
      <c r="Q2012" s="17"/>
      <c r="R2012" s="17"/>
      <c r="S2012" s="17"/>
      <c r="T2012" s="17"/>
      <c r="U2012" s="17"/>
      <c r="V2012" s="18">
        <v>0</v>
      </c>
      <c r="W2012" s="17">
        <f t="shared" si="64"/>
        <v>0</v>
      </c>
      <c r="X2012" s="5">
        <f t="shared" si="65"/>
        <v>0</v>
      </c>
    </row>
    <row r="2013" spans="1:24" x14ac:dyDescent="0.25">
      <c r="A2013" s="17"/>
      <c r="B2013" s="17"/>
      <c r="C2013" s="17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  <c r="N2013" s="17"/>
      <c r="O2013" s="17"/>
      <c r="P2013" s="17"/>
      <c r="Q2013" s="17"/>
      <c r="R2013" s="17"/>
      <c r="S2013" s="17"/>
      <c r="T2013" s="17"/>
      <c r="U2013" s="17"/>
      <c r="V2013" s="18">
        <v>0</v>
      </c>
      <c r="W2013" s="17">
        <f t="shared" si="64"/>
        <v>0</v>
      </c>
      <c r="X2013" s="5">
        <f t="shared" si="65"/>
        <v>0</v>
      </c>
    </row>
    <row r="2014" spans="1:24" x14ac:dyDescent="0.25">
      <c r="A2014" s="17"/>
      <c r="B2014" s="17"/>
      <c r="C2014" s="17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  <c r="N2014" s="17"/>
      <c r="O2014" s="17"/>
      <c r="P2014" s="17"/>
      <c r="Q2014" s="17"/>
      <c r="R2014" s="17"/>
      <c r="S2014" s="17"/>
      <c r="T2014" s="17"/>
      <c r="U2014" s="17"/>
      <c r="V2014" s="18">
        <v>0</v>
      </c>
      <c r="W2014" s="17">
        <f t="shared" si="64"/>
        <v>0</v>
      </c>
      <c r="X2014" s="5">
        <f t="shared" si="65"/>
        <v>0</v>
      </c>
    </row>
    <row r="2015" spans="1:24" x14ac:dyDescent="0.25">
      <c r="A2015" s="17"/>
      <c r="B2015" s="17"/>
      <c r="C2015" s="17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  <c r="N2015" s="17"/>
      <c r="O2015" s="17"/>
      <c r="P2015" s="17"/>
      <c r="Q2015" s="17"/>
      <c r="R2015" s="17"/>
      <c r="S2015" s="17"/>
      <c r="T2015" s="17"/>
      <c r="U2015" s="17"/>
      <c r="V2015" s="18">
        <v>0</v>
      </c>
      <c r="W2015" s="17">
        <f t="shared" si="64"/>
        <v>0</v>
      </c>
      <c r="X2015" s="5">
        <f t="shared" si="65"/>
        <v>0</v>
      </c>
    </row>
    <row r="2016" spans="1:24" x14ac:dyDescent="0.25">
      <c r="A2016" s="17"/>
      <c r="B2016" s="17"/>
      <c r="C2016" s="17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  <c r="N2016" s="17"/>
      <c r="O2016" s="17"/>
      <c r="P2016" s="17"/>
      <c r="Q2016" s="17"/>
      <c r="R2016" s="17"/>
      <c r="S2016" s="17"/>
      <c r="T2016" s="17"/>
      <c r="U2016" s="17"/>
      <c r="V2016" s="18">
        <v>0</v>
      </c>
      <c r="W2016" s="17">
        <f t="shared" si="64"/>
        <v>0</v>
      </c>
      <c r="X2016" s="5">
        <f t="shared" si="65"/>
        <v>0</v>
      </c>
    </row>
    <row r="2017" spans="1:24" x14ac:dyDescent="0.25">
      <c r="A2017" s="17"/>
      <c r="B2017" s="17"/>
      <c r="C2017" s="17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  <c r="N2017" s="17"/>
      <c r="O2017" s="17"/>
      <c r="P2017" s="17"/>
      <c r="Q2017" s="17"/>
      <c r="R2017" s="17"/>
      <c r="S2017" s="17"/>
      <c r="T2017" s="17"/>
      <c r="U2017" s="17"/>
      <c r="V2017" s="18">
        <v>0</v>
      </c>
      <c r="W2017" s="17">
        <f t="shared" si="64"/>
        <v>0</v>
      </c>
      <c r="X2017" s="5">
        <f t="shared" si="65"/>
        <v>0</v>
      </c>
    </row>
    <row r="2018" spans="1:24" x14ac:dyDescent="0.25">
      <c r="A2018" s="17"/>
      <c r="B2018" s="17"/>
      <c r="C2018" s="17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  <c r="N2018" s="17"/>
      <c r="O2018" s="17"/>
      <c r="P2018" s="17"/>
      <c r="Q2018" s="17"/>
      <c r="R2018" s="17"/>
      <c r="S2018" s="17"/>
      <c r="T2018" s="17"/>
      <c r="U2018" s="17"/>
      <c r="V2018" s="18">
        <v>0</v>
      </c>
      <c r="W2018" s="17">
        <f t="shared" si="64"/>
        <v>0</v>
      </c>
      <c r="X2018" s="5">
        <f t="shared" si="65"/>
        <v>0</v>
      </c>
    </row>
    <row r="2019" spans="1:24" x14ac:dyDescent="0.25">
      <c r="A2019" s="17"/>
      <c r="B2019" s="17"/>
      <c r="C2019" s="17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  <c r="N2019" s="17"/>
      <c r="O2019" s="17"/>
      <c r="P2019" s="17"/>
      <c r="Q2019" s="17"/>
      <c r="R2019" s="17"/>
      <c r="S2019" s="17"/>
      <c r="T2019" s="17"/>
      <c r="U2019" s="17"/>
      <c r="V2019" s="18">
        <v>0</v>
      </c>
      <c r="W2019" s="17">
        <f t="shared" si="64"/>
        <v>0</v>
      </c>
      <c r="X2019" s="5">
        <f t="shared" si="65"/>
        <v>0</v>
      </c>
    </row>
    <row r="2020" spans="1:24" x14ac:dyDescent="0.25">
      <c r="A2020" s="17"/>
      <c r="B2020" s="17"/>
      <c r="C2020" s="17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  <c r="N2020" s="17"/>
      <c r="O2020" s="17"/>
      <c r="P2020" s="17"/>
      <c r="Q2020" s="17"/>
      <c r="R2020" s="17"/>
      <c r="S2020" s="17"/>
      <c r="T2020" s="17"/>
      <c r="U2020" s="17"/>
      <c r="V2020" s="18">
        <v>0</v>
      </c>
      <c r="W2020" s="17">
        <f t="shared" si="64"/>
        <v>0</v>
      </c>
      <c r="X2020" s="5">
        <f t="shared" si="65"/>
        <v>0</v>
      </c>
    </row>
    <row r="2021" spans="1:24" x14ac:dyDescent="0.25">
      <c r="A2021" s="17"/>
      <c r="B2021" s="17"/>
      <c r="C2021" s="17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  <c r="N2021" s="17"/>
      <c r="O2021" s="17"/>
      <c r="P2021" s="17"/>
      <c r="Q2021" s="17"/>
      <c r="R2021" s="17"/>
      <c r="S2021" s="17"/>
      <c r="T2021" s="17"/>
      <c r="U2021" s="17"/>
      <c r="V2021" s="18">
        <v>0</v>
      </c>
      <c r="W2021" s="17">
        <f t="shared" si="64"/>
        <v>0</v>
      </c>
      <c r="X2021" s="5">
        <f t="shared" si="65"/>
        <v>0</v>
      </c>
    </row>
    <row r="2022" spans="1:24" x14ac:dyDescent="0.25">
      <c r="A2022" s="17"/>
      <c r="B2022" s="17"/>
      <c r="C2022" s="17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  <c r="N2022" s="17"/>
      <c r="O2022" s="17"/>
      <c r="P2022" s="17"/>
      <c r="Q2022" s="17"/>
      <c r="R2022" s="17"/>
      <c r="S2022" s="17"/>
      <c r="T2022" s="17"/>
      <c r="U2022" s="17"/>
      <c r="V2022" s="18">
        <v>0</v>
      </c>
      <c r="W2022" s="17">
        <f t="shared" si="64"/>
        <v>0</v>
      </c>
      <c r="X2022" s="5">
        <f t="shared" si="65"/>
        <v>0</v>
      </c>
    </row>
    <row r="2023" spans="1:24" x14ac:dyDescent="0.25">
      <c r="A2023" s="17"/>
      <c r="B2023" s="17"/>
      <c r="C2023" s="17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  <c r="N2023" s="17"/>
      <c r="O2023" s="17"/>
      <c r="P2023" s="17"/>
      <c r="Q2023" s="17"/>
      <c r="R2023" s="17"/>
      <c r="S2023" s="17"/>
      <c r="T2023" s="17"/>
      <c r="U2023" s="17"/>
      <c r="V2023" s="18">
        <v>0</v>
      </c>
      <c r="W2023" s="17">
        <f t="shared" si="64"/>
        <v>0</v>
      </c>
      <c r="X2023" s="5">
        <f t="shared" si="65"/>
        <v>0</v>
      </c>
    </row>
    <row r="2024" spans="1:24" x14ac:dyDescent="0.25">
      <c r="A2024" s="17"/>
      <c r="B2024" s="17"/>
      <c r="C2024" s="17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8">
        <v>0</v>
      </c>
      <c r="W2024" s="17">
        <f t="shared" si="64"/>
        <v>0</v>
      </c>
      <c r="X2024" s="5">
        <f t="shared" si="65"/>
        <v>0</v>
      </c>
    </row>
    <row r="2025" spans="1:24" x14ac:dyDescent="0.25">
      <c r="A2025" s="17"/>
      <c r="B2025" s="17"/>
      <c r="C2025" s="17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8">
        <v>0</v>
      </c>
      <c r="W2025" s="17">
        <f t="shared" si="64"/>
        <v>0</v>
      </c>
      <c r="X2025" s="5">
        <f t="shared" si="65"/>
        <v>0</v>
      </c>
    </row>
    <row r="2026" spans="1:24" x14ac:dyDescent="0.25">
      <c r="A2026" s="17"/>
      <c r="B2026" s="17"/>
      <c r="C2026" s="17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8">
        <v>0</v>
      </c>
      <c r="W2026" s="17">
        <f t="shared" si="64"/>
        <v>0</v>
      </c>
      <c r="X2026" s="5">
        <f t="shared" si="65"/>
        <v>0</v>
      </c>
    </row>
    <row r="2027" spans="1:24" x14ac:dyDescent="0.25">
      <c r="A2027" s="17"/>
      <c r="B2027" s="17"/>
      <c r="C2027" s="17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8">
        <v>0</v>
      </c>
      <c r="W2027" s="17">
        <f t="shared" si="64"/>
        <v>0</v>
      </c>
      <c r="X2027" s="5">
        <f t="shared" si="65"/>
        <v>0</v>
      </c>
    </row>
    <row r="2028" spans="1:24" x14ac:dyDescent="0.25">
      <c r="A2028" s="17"/>
      <c r="B2028" s="17"/>
      <c r="C2028" s="17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8">
        <v>0</v>
      </c>
      <c r="W2028" s="17">
        <f t="shared" si="64"/>
        <v>0</v>
      </c>
      <c r="X2028" s="5">
        <f t="shared" si="65"/>
        <v>0</v>
      </c>
    </row>
    <row r="2029" spans="1:24" x14ac:dyDescent="0.25">
      <c r="A2029" s="17"/>
      <c r="B2029" s="17"/>
      <c r="C2029" s="17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8">
        <v>0</v>
      </c>
      <c r="W2029" s="17">
        <f t="shared" si="64"/>
        <v>0</v>
      </c>
      <c r="X2029" s="5">
        <f t="shared" si="65"/>
        <v>0</v>
      </c>
    </row>
    <row r="2030" spans="1:24" x14ac:dyDescent="0.25">
      <c r="A2030" s="17"/>
      <c r="B2030" s="17"/>
      <c r="C2030" s="17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8">
        <v>0</v>
      </c>
      <c r="W2030" s="17">
        <f t="shared" si="64"/>
        <v>0</v>
      </c>
      <c r="X2030" s="5">
        <f t="shared" si="65"/>
        <v>0</v>
      </c>
    </row>
    <row r="2031" spans="1:24" x14ac:dyDescent="0.25">
      <c r="A2031" s="17"/>
      <c r="B2031" s="17"/>
      <c r="C2031" s="17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8">
        <v>0</v>
      </c>
      <c r="W2031" s="17">
        <f t="shared" si="64"/>
        <v>0</v>
      </c>
      <c r="X2031" s="5">
        <f t="shared" si="65"/>
        <v>0</v>
      </c>
    </row>
    <row r="2032" spans="1:24" x14ac:dyDescent="0.25">
      <c r="A2032" s="17"/>
      <c r="B2032" s="17"/>
      <c r="C2032" s="17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8">
        <v>0</v>
      </c>
      <c r="W2032" s="17">
        <f t="shared" si="64"/>
        <v>0</v>
      </c>
      <c r="X2032" s="5">
        <f t="shared" si="65"/>
        <v>0</v>
      </c>
    </row>
    <row r="2033" spans="1:24" x14ac:dyDescent="0.25">
      <c r="A2033" s="17"/>
      <c r="B2033" s="17"/>
      <c r="C2033" s="17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  <c r="N2033" s="17"/>
      <c r="O2033" s="17"/>
      <c r="P2033" s="17"/>
      <c r="Q2033" s="17"/>
      <c r="R2033" s="17"/>
      <c r="S2033" s="17"/>
      <c r="T2033" s="17"/>
      <c r="U2033" s="17"/>
      <c r="V2033" s="18">
        <v>0</v>
      </c>
      <c r="W2033" s="17">
        <f t="shared" si="64"/>
        <v>0</v>
      </c>
      <c r="X2033" s="5">
        <f t="shared" si="65"/>
        <v>0</v>
      </c>
    </row>
    <row r="2034" spans="1:24" x14ac:dyDescent="0.25">
      <c r="A2034" s="17"/>
      <c r="B2034" s="17"/>
      <c r="C2034" s="17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  <c r="N2034" s="17"/>
      <c r="O2034" s="17"/>
      <c r="P2034" s="17"/>
      <c r="Q2034" s="17"/>
      <c r="R2034" s="17"/>
      <c r="S2034" s="17"/>
      <c r="T2034" s="17"/>
      <c r="U2034" s="17"/>
      <c r="V2034" s="18">
        <v>0</v>
      </c>
      <c r="W2034" s="17">
        <f t="shared" si="64"/>
        <v>0</v>
      </c>
      <c r="X2034" s="5">
        <f t="shared" si="65"/>
        <v>0</v>
      </c>
    </row>
    <row r="2035" spans="1:24" x14ac:dyDescent="0.25">
      <c r="A2035" s="17"/>
      <c r="B2035" s="17"/>
      <c r="C2035" s="17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  <c r="N2035" s="17"/>
      <c r="O2035" s="17"/>
      <c r="P2035" s="17"/>
      <c r="Q2035" s="17"/>
      <c r="R2035" s="17"/>
      <c r="S2035" s="17"/>
      <c r="T2035" s="17"/>
      <c r="U2035" s="17"/>
      <c r="V2035" s="18">
        <v>0</v>
      </c>
      <c r="W2035" s="17">
        <f t="shared" si="64"/>
        <v>0</v>
      </c>
      <c r="X2035" s="5">
        <f t="shared" si="65"/>
        <v>0</v>
      </c>
    </row>
    <row r="2036" spans="1:24" x14ac:dyDescent="0.25">
      <c r="A2036" s="17"/>
      <c r="B2036" s="17"/>
      <c r="C2036" s="17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  <c r="N2036" s="17"/>
      <c r="O2036" s="17"/>
      <c r="P2036" s="17"/>
      <c r="Q2036" s="17"/>
      <c r="R2036" s="17"/>
      <c r="S2036" s="17"/>
      <c r="T2036" s="17"/>
      <c r="U2036" s="17"/>
      <c r="V2036" s="18">
        <v>0</v>
      </c>
      <c r="W2036" s="17">
        <f t="shared" si="64"/>
        <v>0</v>
      </c>
      <c r="X2036" s="5">
        <f t="shared" si="65"/>
        <v>0</v>
      </c>
    </row>
    <row r="2037" spans="1:24" x14ac:dyDescent="0.25">
      <c r="A2037" s="17"/>
      <c r="B2037" s="17"/>
      <c r="C2037" s="17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  <c r="N2037" s="17"/>
      <c r="O2037" s="17"/>
      <c r="P2037" s="17"/>
      <c r="Q2037" s="17"/>
      <c r="R2037" s="17"/>
      <c r="S2037" s="17"/>
      <c r="T2037" s="17"/>
      <c r="U2037" s="17"/>
      <c r="V2037" s="18">
        <v>0</v>
      </c>
      <c r="W2037" s="17">
        <f t="shared" si="64"/>
        <v>0</v>
      </c>
      <c r="X2037" s="5">
        <f t="shared" si="65"/>
        <v>0</v>
      </c>
    </row>
    <row r="2038" spans="1:24" x14ac:dyDescent="0.25">
      <c r="A2038" s="17"/>
      <c r="B2038" s="17"/>
      <c r="C2038" s="17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  <c r="N2038" s="17"/>
      <c r="O2038" s="17"/>
      <c r="P2038" s="17"/>
      <c r="Q2038" s="17"/>
      <c r="R2038" s="17"/>
      <c r="S2038" s="17"/>
      <c r="T2038" s="17"/>
      <c r="U2038" s="17"/>
      <c r="V2038" s="18">
        <v>0</v>
      </c>
      <c r="W2038" s="17">
        <f t="shared" si="64"/>
        <v>0</v>
      </c>
      <c r="X2038" s="5">
        <f t="shared" si="65"/>
        <v>0</v>
      </c>
    </row>
    <row r="2039" spans="1:24" x14ac:dyDescent="0.25">
      <c r="A2039" s="17"/>
      <c r="B2039" s="17"/>
      <c r="C2039" s="17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8">
        <v>0</v>
      </c>
      <c r="W2039" s="17">
        <f t="shared" si="64"/>
        <v>0</v>
      </c>
      <c r="X2039" s="5">
        <f t="shared" si="65"/>
        <v>0</v>
      </c>
    </row>
    <row r="2040" spans="1:24" x14ac:dyDescent="0.25">
      <c r="A2040" s="17"/>
      <c r="B2040" s="17"/>
      <c r="C2040" s="17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  <c r="N2040" s="17"/>
      <c r="O2040" s="17"/>
      <c r="P2040" s="17"/>
      <c r="Q2040" s="17"/>
      <c r="R2040" s="17"/>
      <c r="S2040" s="17"/>
      <c r="T2040" s="17"/>
      <c r="U2040" s="17"/>
      <c r="V2040" s="18">
        <v>0</v>
      </c>
      <c r="W2040" s="17">
        <f t="shared" si="64"/>
        <v>0</v>
      </c>
      <c r="X2040" s="5">
        <f t="shared" si="65"/>
        <v>0</v>
      </c>
    </row>
    <row r="2041" spans="1:24" x14ac:dyDescent="0.25">
      <c r="A2041" s="17"/>
      <c r="B2041" s="17"/>
      <c r="C2041" s="17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  <c r="N2041" s="17"/>
      <c r="O2041" s="17"/>
      <c r="P2041" s="17"/>
      <c r="Q2041" s="17"/>
      <c r="R2041" s="17"/>
      <c r="S2041" s="17"/>
      <c r="T2041" s="17"/>
      <c r="U2041" s="17"/>
      <c r="V2041" s="18">
        <v>0</v>
      </c>
      <c r="W2041" s="17">
        <f t="shared" si="64"/>
        <v>0</v>
      </c>
      <c r="X2041" s="5">
        <f t="shared" si="65"/>
        <v>0</v>
      </c>
    </row>
    <row r="2042" spans="1:24" x14ac:dyDescent="0.25">
      <c r="A2042" s="17"/>
      <c r="B2042" s="17"/>
      <c r="C2042" s="17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  <c r="N2042" s="17"/>
      <c r="O2042" s="17"/>
      <c r="P2042" s="17"/>
      <c r="Q2042" s="17"/>
      <c r="R2042" s="17"/>
      <c r="S2042" s="17"/>
      <c r="T2042" s="17"/>
      <c r="U2042" s="17"/>
      <c r="V2042" s="18">
        <v>0</v>
      </c>
      <c r="W2042" s="17">
        <f t="shared" si="64"/>
        <v>0</v>
      </c>
      <c r="X2042" s="5">
        <f t="shared" si="65"/>
        <v>0</v>
      </c>
    </row>
    <row r="2043" spans="1:24" x14ac:dyDescent="0.25">
      <c r="A2043" s="17"/>
      <c r="B2043" s="17"/>
      <c r="C2043" s="17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8">
        <v>0</v>
      </c>
      <c r="W2043" s="17">
        <f t="shared" si="64"/>
        <v>0</v>
      </c>
      <c r="X2043" s="5">
        <f t="shared" si="65"/>
        <v>0</v>
      </c>
    </row>
    <row r="2044" spans="1:24" x14ac:dyDescent="0.25">
      <c r="A2044" s="17"/>
      <c r="B2044" s="17"/>
      <c r="C2044" s="17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8">
        <v>0</v>
      </c>
      <c r="W2044" s="17">
        <f t="shared" si="64"/>
        <v>0</v>
      </c>
      <c r="X2044" s="5">
        <f t="shared" si="65"/>
        <v>0</v>
      </c>
    </row>
    <row r="2045" spans="1:24" x14ac:dyDescent="0.25">
      <c r="A2045" s="17"/>
      <c r="B2045" s="17"/>
      <c r="C2045" s="17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8">
        <v>0</v>
      </c>
      <c r="W2045" s="17">
        <f t="shared" si="64"/>
        <v>0</v>
      </c>
      <c r="X2045" s="5">
        <f t="shared" si="65"/>
        <v>0</v>
      </c>
    </row>
    <row r="2046" spans="1:24" x14ac:dyDescent="0.25">
      <c r="A2046" s="17"/>
      <c r="B2046" s="17"/>
      <c r="C2046" s="17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8">
        <v>0</v>
      </c>
      <c r="W2046" s="17">
        <f t="shared" si="64"/>
        <v>0</v>
      </c>
      <c r="X2046" s="5">
        <f t="shared" si="65"/>
        <v>0</v>
      </c>
    </row>
    <row r="2047" spans="1:24" x14ac:dyDescent="0.25">
      <c r="A2047" s="17"/>
      <c r="B2047" s="17"/>
      <c r="C2047" s="17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  <c r="N2047" s="17"/>
      <c r="O2047" s="17"/>
      <c r="P2047" s="17"/>
      <c r="Q2047" s="17"/>
      <c r="R2047" s="17"/>
      <c r="S2047" s="17"/>
      <c r="T2047" s="17"/>
      <c r="U2047" s="17"/>
      <c r="V2047" s="18">
        <v>0</v>
      </c>
      <c r="W2047" s="17">
        <f t="shared" si="64"/>
        <v>0</v>
      </c>
      <c r="X2047" s="5">
        <f t="shared" si="65"/>
        <v>0</v>
      </c>
    </row>
    <row r="2048" spans="1:24" x14ac:dyDescent="0.25">
      <c r="A2048" s="17"/>
      <c r="B2048" s="17"/>
      <c r="C2048" s="17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  <c r="N2048" s="17"/>
      <c r="O2048" s="17"/>
      <c r="P2048" s="17"/>
      <c r="Q2048" s="17"/>
      <c r="R2048" s="17"/>
      <c r="S2048" s="17"/>
      <c r="T2048" s="17"/>
      <c r="U2048" s="17"/>
      <c r="V2048" s="18">
        <v>0</v>
      </c>
      <c r="W2048" s="17">
        <f t="shared" si="64"/>
        <v>0</v>
      </c>
      <c r="X2048" s="5">
        <f t="shared" si="65"/>
        <v>0</v>
      </c>
    </row>
    <row r="2049" spans="1:24" x14ac:dyDescent="0.25">
      <c r="A2049" s="17"/>
      <c r="B2049" s="17"/>
      <c r="C2049" s="17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  <c r="N2049" s="17"/>
      <c r="O2049" s="17"/>
      <c r="P2049" s="17"/>
      <c r="Q2049" s="17"/>
      <c r="R2049" s="17"/>
      <c r="S2049" s="17"/>
      <c r="T2049" s="17"/>
      <c r="U2049" s="17"/>
      <c r="V2049" s="18">
        <v>0</v>
      </c>
      <c r="W2049" s="17">
        <f t="shared" si="64"/>
        <v>0</v>
      </c>
      <c r="X2049" s="5">
        <f t="shared" si="65"/>
        <v>0</v>
      </c>
    </row>
    <row r="2050" spans="1:24" x14ac:dyDescent="0.25">
      <c r="A2050" s="17"/>
      <c r="B2050" s="17"/>
      <c r="C2050" s="17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8">
        <v>0</v>
      </c>
      <c r="W2050" s="17">
        <f t="shared" si="64"/>
        <v>0</v>
      </c>
      <c r="X2050" s="5">
        <f t="shared" si="65"/>
        <v>0</v>
      </c>
    </row>
    <row r="2051" spans="1:24" x14ac:dyDescent="0.25">
      <c r="A2051" s="17"/>
      <c r="B2051" s="17"/>
      <c r="C2051" s="17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8">
        <v>0</v>
      </c>
      <c r="W2051" s="17">
        <f t="shared" ref="W2051:W2114" si="66">HOUR(E2051)</f>
        <v>0</v>
      </c>
      <c r="X2051" s="5">
        <f t="shared" ref="X2051:X2114" si="67">IF(D2051=D2050,0,1)</f>
        <v>0</v>
      </c>
    </row>
    <row r="2052" spans="1:24" x14ac:dyDescent="0.25">
      <c r="A2052" s="17"/>
      <c r="B2052" s="17"/>
      <c r="C2052" s="17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8">
        <v>0</v>
      </c>
      <c r="W2052" s="17">
        <f t="shared" si="66"/>
        <v>0</v>
      </c>
      <c r="X2052" s="5">
        <f t="shared" si="67"/>
        <v>0</v>
      </c>
    </row>
    <row r="2053" spans="1:24" x14ac:dyDescent="0.25">
      <c r="A2053" s="17"/>
      <c r="B2053" s="17"/>
      <c r="C2053" s="17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8">
        <v>0</v>
      </c>
      <c r="W2053" s="17">
        <f t="shared" si="66"/>
        <v>0</v>
      </c>
      <c r="X2053" s="5">
        <f t="shared" si="67"/>
        <v>0</v>
      </c>
    </row>
    <row r="2054" spans="1:24" x14ac:dyDescent="0.25">
      <c r="A2054" s="17"/>
      <c r="B2054" s="17"/>
      <c r="C2054" s="17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8">
        <v>0</v>
      </c>
      <c r="W2054" s="17">
        <f t="shared" si="66"/>
        <v>0</v>
      </c>
      <c r="X2054" s="5">
        <f t="shared" si="67"/>
        <v>0</v>
      </c>
    </row>
    <row r="2055" spans="1:24" x14ac:dyDescent="0.25">
      <c r="A2055" s="17"/>
      <c r="B2055" s="17"/>
      <c r="C2055" s="17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8">
        <v>0</v>
      </c>
      <c r="W2055" s="17">
        <f t="shared" si="66"/>
        <v>0</v>
      </c>
      <c r="X2055" s="5">
        <f t="shared" si="67"/>
        <v>0</v>
      </c>
    </row>
    <row r="2056" spans="1:24" x14ac:dyDescent="0.25">
      <c r="A2056" s="17"/>
      <c r="B2056" s="17"/>
      <c r="C2056" s="17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8">
        <v>0</v>
      </c>
      <c r="W2056" s="17">
        <f t="shared" si="66"/>
        <v>0</v>
      </c>
      <c r="X2056" s="5">
        <f t="shared" si="67"/>
        <v>0</v>
      </c>
    </row>
    <row r="2057" spans="1:24" x14ac:dyDescent="0.25">
      <c r="A2057" s="17"/>
      <c r="B2057" s="17"/>
      <c r="C2057" s="17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8">
        <v>0</v>
      </c>
      <c r="W2057" s="17">
        <f t="shared" si="66"/>
        <v>0</v>
      </c>
      <c r="X2057" s="5">
        <f t="shared" si="67"/>
        <v>0</v>
      </c>
    </row>
    <row r="2058" spans="1:24" x14ac:dyDescent="0.25">
      <c r="A2058" s="17"/>
      <c r="B2058" s="17"/>
      <c r="C2058" s="17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8">
        <v>0</v>
      </c>
      <c r="W2058" s="17">
        <f t="shared" si="66"/>
        <v>0</v>
      </c>
      <c r="X2058" s="5">
        <f t="shared" si="67"/>
        <v>0</v>
      </c>
    </row>
    <row r="2059" spans="1:24" x14ac:dyDescent="0.25">
      <c r="A2059" s="17"/>
      <c r="B2059" s="17"/>
      <c r="C2059" s="17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8">
        <v>0</v>
      </c>
      <c r="W2059" s="17">
        <f t="shared" si="66"/>
        <v>0</v>
      </c>
      <c r="X2059" s="5">
        <f t="shared" si="67"/>
        <v>0</v>
      </c>
    </row>
    <row r="2060" spans="1:24" x14ac:dyDescent="0.25">
      <c r="A2060" s="17"/>
      <c r="B2060" s="17"/>
      <c r="C2060" s="17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8">
        <v>0</v>
      </c>
      <c r="W2060" s="17">
        <f t="shared" si="66"/>
        <v>0</v>
      </c>
      <c r="X2060" s="5">
        <f t="shared" si="67"/>
        <v>0</v>
      </c>
    </row>
    <row r="2061" spans="1:24" x14ac:dyDescent="0.25">
      <c r="A2061" s="17"/>
      <c r="B2061" s="17"/>
      <c r="C2061" s="17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  <c r="N2061" s="17"/>
      <c r="O2061" s="17"/>
      <c r="P2061" s="17"/>
      <c r="Q2061" s="17"/>
      <c r="R2061" s="17"/>
      <c r="S2061" s="17"/>
      <c r="T2061" s="17"/>
      <c r="U2061" s="17"/>
      <c r="V2061" s="18">
        <v>0</v>
      </c>
      <c r="W2061" s="17">
        <f t="shared" si="66"/>
        <v>0</v>
      </c>
      <c r="X2061" s="5">
        <f t="shared" si="67"/>
        <v>0</v>
      </c>
    </row>
    <row r="2062" spans="1:24" x14ac:dyDescent="0.25">
      <c r="A2062" s="17"/>
      <c r="B2062" s="17"/>
      <c r="C2062" s="17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  <c r="N2062" s="17"/>
      <c r="O2062" s="17"/>
      <c r="P2062" s="17"/>
      <c r="Q2062" s="17"/>
      <c r="R2062" s="17"/>
      <c r="S2062" s="17"/>
      <c r="T2062" s="17"/>
      <c r="U2062" s="17"/>
      <c r="V2062" s="18">
        <v>0</v>
      </c>
      <c r="W2062" s="17">
        <f t="shared" si="66"/>
        <v>0</v>
      </c>
      <c r="X2062" s="5">
        <f t="shared" si="67"/>
        <v>0</v>
      </c>
    </row>
    <row r="2063" spans="1:24" x14ac:dyDescent="0.25">
      <c r="A2063" s="17"/>
      <c r="B2063" s="17"/>
      <c r="C2063" s="17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  <c r="N2063" s="17"/>
      <c r="O2063" s="17"/>
      <c r="P2063" s="17"/>
      <c r="Q2063" s="17"/>
      <c r="R2063" s="17"/>
      <c r="S2063" s="17"/>
      <c r="T2063" s="17"/>
      <c r="U2063" s="17"/>
      <c r="V2063" s="18">
        <v>0</v>
      </c>
      <c r="W2063" s="17">
        <f t="shared" si="66"/>
        <v>0</v>
      </c>
      <c r="X2063" s="5">
        <f t="shared" si="67"/>
        <v>0</v>
      </c>
    </row>
    <row r="2064" spans="1:24" x14ac:dyDescent="0.25">
      <c r="A2064" s="17"/>
      <c r="B2064" s="17"/>
      <c r="C2064" s="17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8">
        <v>0</v>
      </c>
      <c r="W2064" s="17">
        <f t="shared" si="66"/>
        <v>0</v>
      </c>
      <c r="X2064" s="5">
        <f t="shared" si="67"/>
        <v>0</v>
      </c>
    </row>
    <row r="2065" spans="1:24" x14ac:dyDescent="0.25">
      <c r="A2065" s="17"/>
      <c r="B2065" s="17"/>
      <c r="C2065" s="17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8">
        <v>0</v>
      </c>
      <c r="W2065" s="17">
        <f t="shared" si="66"/>
        <v>0</v>
      </c>
      <c r="X2065" s="5">
        <f t="shared" si="67"/>
        <v>0</v>
      </c>
    </row>
    <row r="2066" spans="1:24" x14ac:dyDescent="0.25">
      <c r="A2066" s="17"/>
      <c r="B2066" s="17"/>
      <c r="C2066" s="17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8">
        <v>0</v>
      </c>
      <c r="W2066" s="17">
        <f t="shared" si="66"/>
        <v>0</v>
      </c>
      <c r="X2066" s="5">
        <f t="shared" si="67"/>
        <v>0</v>
      </c>
    </row>
    <row r="2067" spans="1:24" x14ac:dyDescent="0.25">
      <c r="A2067" s="17"/>
      <c r="B2067" s="17"/>
      <c r="C2067" s="17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8">
        <v>0</v>
      </c>
      <c r="W2067" s="17">
        <f t="shared" si="66"/>
        <v>0</v>
      </c>
      <c r="X2067" s="5">
        <f t="shared" si="67"/>
        <v>0</v>
      </c>
    </row>
    <row r="2068" spans="1:24" x14ac:dyDescent="0.25">
      <c r="A2068" s="17"/>
      <c r="B2068" s="17"/>
      <c r="C2068" s="17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8">
        <v>0</v>
      </c>
      <c r="W2068" s="17">
        <f t="shared" si="66"/>
        <v>0</v>
      </c>
      <c r="X2068" s="5">
        <f t="shared" si="67"/>
        <v>0</v>
      </c>
    </row>
    <row r="2069" spans="1:24" x14ac:dyDescent="0.25">
      <c r="A2069" s="17"/>
      <c r="B2069" s="17"/>
      <c r="C2069" s="17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8">
        <v>0</v>
      </c>
      <c r="W2069" s="17">
        <f t="shared" si="66"/>
        <v>0</v>
      </c>
      <c r="X2069" s="5">
        <f t="shared" si="67"/>
        <v>0</v>
      </c>
    </row>
    <row r="2070" spans="1:24" x14ac:dyDescent="0.25">
      <c r="A2070" s="17"/>
      <c r="B2070" s="17"/>
      <c r="C2070" s="17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8">
        <v>0</v>
      </c>
      <c r="W2070" s="17">
        <f t="shared" si="66"/>
        <v>0</v>
      </c>
      <c r="X2070" s="5">
        <f t="shared" si="67"/>
        <v>0</v>
      </c>
    </row>
    <row r="2071" spans="1:24" x14ac:dyDescent="0.25">
      <c r="A2071" s="17"/>
      <c r="B2071" s="17"/>
      <c r="C2071" s="17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8">
        <v>0</v>
      </c>
      <c r="W2071" s="17">
        <f t="shared" si="66"/>
        <v>0</v>
      </c>
      <c r="X2071" s="5">
        <f t="shared" si="67"/>
        <v>0</v>
      </c>
    </row>
    <row r="2072" spans="1:24" x14ac:dyDescent="0.25">
      <c r="A2072" s="17"/>
      <c r="B2072" s="17"/>
      <c r="C2072" s="17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8">
        <v>0</v>
      </c>
      <c r="W2072" s="17">
        <f t="shared" si="66"/>
        <v>0</v>
      </c>
      <c r="X2072" s="5">
        <f t="shared" si="67"/>
        <v>0</v>
      </c>
    </row>
    <row r="2073" spans="1:24" x14ac:dyDescent="0.25">
      <c r="A2073" s="17"/>
      <c r="B2073" s="17"/>
      <c r="C2073" s="17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8">
        <v>0</v>
      </c>
      <c r="W2073" s="17">
        <f t="shared" si="66"/>
        <v>0</v>
      </c>
      <c r="X2073" s="5">
        <f t="shared" si="67"/>
        <v>0</v>
      </c>
    </row>
    <row r="2074" spans="1:24" x14ac:dyDescent="0.25">
      <c r="A2074" s="17"/>
      <c r="B2074" s="17"/>
      <c r="C2074" s="17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8">
        <v>0</v>
      </c>
      <c r="W2074" s="17">
        <f t="shared" si="66"/>
        <v>0</v>
      </c>
      <c r="X2074" s="5">
        <f t="shared" si="67"/>
        <v>0</v>
      </c>
    </row>
    <row r="2075" spans="1:24" x14ac:dyDescent="0.25">
      <c r="A2075" s="17"/>
      <c r="B2075" s="17"/>
      <c r="C2075" s="17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8">
        <v>0</v>
      </c>
      <c r="W2075" s="17">
        <f t="shared" si="66"/>
        <v>0</v>
      </c>
      <c r="X2075" s="5">
        <f t="shared" si="67"/>
        <v>0</v>
      </c>
    </row>
    <row r="2076" spans="1:24" x14ac:dyDescent="0.25">
      <c r="A2076" s="17"/>
      <c r="B2076" s="17"/>
      <c r="C2076" s="17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  <c r="N2076" s="17"/>
      <c r="O2076" s="17"/>
      <c r="P2076" s="17"/>
      <c r="Q2076" s="17"/>
      <c r="R2076" s="17"/>
      <c r="S2076" s="17"/>
      <c r="T2076" s="17"/>
      <c r="U2076" s="17"/>
      <c r="V2076" s="18">
        <v>0</v>
      </c>
      <c r="W2076" s="17">
        <f t="shared" si="66"/>
        <v>0</v>
      </c>
      <c r="X2076" s="5">
        <f t="shared" si="67"/>
        <v>0</v>
      </c>
    </row>
    <row r="2077" spans="1:24" x14ac:dyDescent="0.25">
      <c r="A2077" s="17"/>
      <c r="B2077" s="17"/>
      <c r="C2077" s="17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  <c r="N2077" s="17"/>
      <c r="O2077" s="17"/>
      <c r="P2077" s="17"/>
      <c r="Q2077" s="17"/>
      <c r="R2077" s="17"/>
      <c r="S2077" s="17"/>
      <c r="T2077" s="17"/>
      <c r="U2077" s="17"/>
      <c r="V2077" s="18">
        <v>0</v>
      </c>
      <c r="W2077" s="17">
        <f t="shared" si="66"/>
        <v>0</v>
      </c>
      <c r="X2077" s="5">
        <f t="shared" si="67"/>
        <v>0</v>
      </c>
    </row>
    <row r="2078" spans="1:24" x14ac:dyDescent="0.25">
      <c r="A2078" s="17"/>
      <c r="B2078" s="17"/>
      <c r="C2078" s="17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  <c r="N2078" s="17"/>
      <c r="O2078" s="17"/>
      <c r="P2078" s="17"/>
      <c r="Q2078" s="17"/>
      <c r="R2078" s="17"/>
      <c r="S2078" s="17"/>
      <c r="T2078" s="17"/>
      <c r="U2078" s="17"/>
      <c r="V2078" s="18">
        <v>0</v>
      </c>
      <c r="W2078" s="17">
        <f t="shared" si="66"/>
        <v>0</v>
      </c>
      <c r="X2078" s="5">
        <f t="shared" si="67"/>
        <v>0</v>
      </c>
    </row>
    <row r="2079" spans="1:24" x14ac:dyDescent="0.25">
      <c r="A2079" s="17"/>
      <c r="B2079" s="17"/>
      <c r="C2079" s="17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8">
        <v>0</v>
      </c>
      <c r="W2079" s="17">
        <f t="shared" si="66"/>
        <v>0</v>
      </c>
      <c r="X2079" s="5">
        <f t="shared" si="67"/>
        <v>0</v>
      </c>
    </row>
    <row r="2080" spans="1:24" x14ac:dyDescent="0.25">
      <c r="A2080" s="17"/>
      <c r="B2080" s="17"/>
      <c r="C2080" s="17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8">
        <v>0</v>
      </c>
      <c r="W2080" s="17">
        <f t="shared" si="66"/>
        <v>0</v>
      </c>
      <c r="X2080" s="5">
        <f t="shared" si="67"/>
        <v>0</v>
      </c>
    </row>
    <row r="2081" spans="1:24" x14ac:dyDescent="0.25">
      <c r="A2081" s="17"/>
      <c r="B2081" s="17"/>
      <c r="C2081" s="17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8">
        <v>0</v>
      </c>
      <c r="W2081" s="17">
        <f t="shared" si="66"/>
        <v>0</v>
      </c>
      <c r="X2081" s="5">
        <f t="shared" si="67"/>
        <v>0</v>
      </c>
    </row>
    <row r="2082" spans="1:24" x14ac:dyDescent="0.25">
      <c r="A2082" s="17"/>
      <c r="B2082" s="17"/>
      <c r="C2082" s="17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8">
        <v>0</v>
      </c>
      <c r="W2082" s="17">
        <f t="shared" si="66"/>
        <v>0</v>
      </c>
      <c r="X2082" s="5">
        <f t="shared" si="67"/>
        <v>0</v>
      </c>
    </row>
    <row r="2083" spans="1:24" x14ac:dyDescent="0.25">
      <c r="A2083" s="17"/>
      <c r="B2083" s="17"/>
      <c r="C2083" s="17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8">
        <v>0</v>
      </c>
      <c r="W2083" s="17">
        <f t="shared" si="66"/>
        <v>0</v>
      </c>
      <c r="X2083" s="5">
        <f t="shared" si="67"/>
        <v>0</v>
      </c>
    </row>
    <row r="2084" spans="1:24" x14ac:dyDescent="0.25">
      <c r="A2084" s="17"/>
      <c r="B2084" s="17"/>
      <c r="C2084" s="17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8">
        <v>0</v>
      </c>
      <c r="W2084" s="17">
        <f t="shared" si="66"/>
        <v>0</v>
      </c>
      <c r="X2084" s="5">
        <f t="shared" si="67"/>
        <v>0</v>
      </c>
    </row>
    <row r="2085" spans="1:24" x14ac:dyDescent="0.25">
      <c r="A2085" s="17"/>
      <c r="B2085" s="17"/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8">
        <v>0</v>
      </c>
      <c r="W2085" s="17">
        <f t="shared" si="66"/>
        <v>0</v>
      </c>
      <c r="X2085" s="5">
        <f t="shared" si="67"/>
        <v>0</v>
      </c>
    </row>
    <row r="2086" spans="1:24" x14ac:dyDescent="0.25">
      <c r="A2086" s="17"/>
      <c r="B2086" s="17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8">
        <v>0</v>
      </c>
      <c r="W2086" s="17">
        <f t="shared" si="66"/>
        <v>0</v>
      </c>
      <c r="X2086" s="5">
        <f t="shared" si="67"/>
        <v>0</v>
      </c>
    </row>
    <row r="2087" spans="1:24" x14ac:dyDescent="0.25">
      <c r="A2087" s="17"/>
      <c r="B2087" s="17"/>
      <c r="C2087" s="17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  <c r="N2087" s="17"/>
      <c r="O2087" s="17"/>
      <c r="P2087" s="17"/>
      <c r="Q2087" s="17"/>
      <c r="R2087" s="17"/>
      <c r="S2087" s="17"/>
      <c r="T2087" s="17"/>
      <c r="U2087" s="17"/>
      <c r="V2087" s="18">
        <v>0</v>
      </c>
      <c r="W2087" s="17">
        <f t="shared" si="66"/>
        <v>0</v>
      </c>
      <c r="X2087" s="5">
        <f t="shared" si="67"/>
        <v>0</v>
      </c>
    </row>
    <row r="2088" spans="1:24" x14ac:dyDescent="0.25">
      <c r="A2088" s="17"/>
      <c r="B2088" s="17"/>
      <c r="C2088" s="17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8">
        <v>0</v>
      </c>
      <c r="W2088" s="17">
        <f t="shared" si="66"/>
        <v>0</v>
      </c>
      <c r="X2088" s="5">
        <f t="shared" si="67"/>
        <v>0</v>
      </c>
    </row>
    <row r="2089" spans="1:24" x14ac:dyDescent="0.25">
      <c r="A2089" s="17"/>
      <c r="B2089" s="17"/>
      <c r="C2089" s="17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8">
        <v>0</v>
      </c>
      <c r="W2089" s="17">
        <f t="shared" si="66"/>
        <v>0</v>
      </c>
      <c r="X2089" s="5">
        <f t="shared" si="67"/>
        <v>0</v>
      </c>
    </row>
    <row r="2090" spans="1:24" x14ac:dyDescent="0.25">
      <c r="A2090" s="17"/>
      <c r="B2090" s="17"/>
      <c r="C2090" s="17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8">
        <v>0</v>
      </c>
      <c r="W2090" s="17">
        <f t="shared" si="66"/>
        <v>0</v>
      </c>
      <c r="X2090" s="5">
        <f t="shared" si="67"/>
        <v>0</v>
      </c>
    </row>
    <row r="2091" spans="1:24" x14ac:dyDescent="0.25">
      <c r="A2091" s="17"/>
      <c r="B2091" s="17"/>
      <c r="C2091" s="17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8">
        <v>0</v>
      </c>
      <c r="W2091" s="17">
        <f t="shared" si="66"/>
        <v>0</v>
      </c>
      <c r="X2091" s="5">
        <f t="shared" si="67"/>
        <v>0</v>
      </c>
    </row>
    <row r="2092" spans="1:24" x14ac:dyDescent="0.25">
      <c r="A2092" s="17"/>
      <c r="B2092" s="17"/>
      <c r="C2092" s="17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8">
        <v>0</v>
      </c>
      <c r="W2092" s="17">
        <f t="shared" si="66"/>
        <v>0</v>
      </c>
      <c r="X2092" s="5">
        <f t="shared" si="67"/>
        <v>0</v>
      </c>
    </row>
    <row r="2093" spans="1:24" x14ac:dyDescent="0.25">
      <c r="A2093" s="17"/>
      <c r="B2093" s="17"/>
      <c r="C2093" s="17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8">
        <v>0</v>
      </c>
      <c r="W2093" s="17">
        <f t="shared" si="66"/>
        <v>0</v>
      </c>
      <c r="X2093" s="5">
        <f t="shared" si="67"/>
        <v>0</v>
      </c>
    </row>
    <row r="2094" spans="1:24" x14ac:dyDescent="0.25">
      <c r="A2094" s="17"/>
      <c r="B2094" s="17"/>
      <c r="C2094" s="17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8">
        <v>0</v>
      </c>
      <c r="W2094" s="17">
        <f t="shared" si="66"/>
        <v>0</v>
      </c>
      <c r="X2094" s="5">
        <f t="shared" si="67"/>
        <v>0</v>
      </c>
    </row>
    <row r="2095" spans="1:24" x14ac:dyDescent="0.25">
      <c r="A2095" s="17"/>
      <c r="B2095" s="17"/>
      <c r="C2095" s="17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8">
        <v>0</v>
      </c>
      <c r="W2095" s="17">
        <f t="shared" si="66"/>
        <v>0</v>
      </c>
      <c r="X2095" s="5">
        <f t="shared" si="67"/>
        <v>0</v>
      </c>
    </row>
    <row r="2096" spans="1:24" x14ac:dyDescent="0.25">
      <c r="A2096" s="17"/>
      <c r="B2096" s="17"/>
      <c r="C2096" s="17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  <c r="N2096" s="17"/>
      <c r="O2096" s="17"/>
      <c r="P2096" s="17"/>
      <c r="Q2096" s="17"/>
      <c r="R2096" s="17"/>
      <c r="S2096" s="17"/>
      <c r="T2096" s="17"/>
      <c r="U2096" s="17"/>
      <c r="V2096" s="18">
        <v>0</v>
      </c>
      <c r="W2096" s="17">
        <f t="shared" si="66"/>
        <v>0</v>
      </c>
      <c r="X2096" s="5">
        <f t="shared" si="67"/>
        <v>0</v>
      </c>
    </row>
    <row r="2097" spans="1:24" x14ac:dyDescent="0.25">
      <c r="A2097" s="17"/>
      <c r="B2097" s="17"/>
      <c r="C2097" s="17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  <c r="N2097" s="17"/>
      <c r="O2097" s="17"/>
      <c r="P2097" s="17"/>
      <c r="Q2097" s="17"/>
      <c r="R2097" s="17"/>
      <c r="S2097" s="17"/>
      <c r="T2097" s="17"/>
      <c r="U2097" s="17"/>
      <c r="V2097" s="18">
        <v>0</v>
      </c>
      <c r="W2097" s="17">
        <f t="shared" si="66"/>
        <v>0</v>
      </c>
      <c r="X2097" s="5">
        <f t="shared" si="67"/>
        <v>0</v>
      </c>
    </row>
    <row r="2098" spans="1:24" x14ac:dyDescent="0.25">
      <c r="A2098" s="17"/>
      <c r="B2098" s="17"/>
      <c r="C2098" s="17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  <c r="N2098" s="17"/>
      <c r="O2098" s="17"/>
      <c r="P2098" s="17"/>
      <c r="Q2098" s="17"/>
      <c r="R2098" s="17"/>
      <c r="S2098" s="17"/>
      <c r="T2098" s="17"/>
      <c r="U2098" s="17"/>
      <c r="V2098" s="18">
        <v>0</v>
      </c>
      <c r="W2098" s="17">
        <f t="shared" si="66"/>
        <v>0</v>
      </c>
      <c r="X2098" s="5">
        <f t="shared" si="67"/>
        <v>0</v>
      </c>
    </row>
    <row r="2099" spans="1:24" x14ac:dyDescent="0.25">
      <c r="A2099" s="17"/>
      <c r="B2099" s="17"/>
      <c r="C2099" s="17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8">
        <v>0</v>
      </c>
      <c r="W2099" s="17">
        <f t="shared" si="66"/>
        <v>0</v>
      </c>
      <c r="X2099" s="5">
        <f t="shared" si="67"/>
        <v>0</v>
      </c>
    </row>
    <row r="2100" spans="1:24" x14ac:dyDescent="0.25">
      <c r="A2100" s="17"/>
      <c r="B2100" s="17"/>
      <c r="C2100" s="17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8">
        <v>0</v>
      </c>
      <c r="W2100" s="17">
        <f t="shared" si="66"/>
        <v>0</v>
      </c>
      <c r="X2100" s="5">
        <f t="shared" si="67"/>
        <v>0</v>
      </c>
    </row>
    <row r="2101" spans="1:24" x14ac:dyDescent="0.25">
      <c r="A2101" s="17"/>
      <c r="B2101" s="17"/>
      <c r="C2101" s="17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8">
        <v>0</v>
      </c>
      <c r="W2101" s="17">
        <f t="shared" si="66"/>
        <v>0</v>
      </c>
      <c r="X2101" s="5">
        <f t="shared" si="67"/>
        <v>0</v>
      </c>
    </row>
    <row r="2102" spans="1:24" x14ac:dyDescent="0.25">
      <c r="A2102" s="17"/>
      <c r="B2102" s="17"/>
      <c r="C2102" s="17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8">
        <v>0</v>
      </c>
      <c r="W2102" s="17">
        <f t="shared" si="66"/>
        <v>0</v>
      </c>
      <c r="X2102" s="5">
        <f t="shared" si="67"/>
        <v>0</v>
      </c>
    </row>
    <row r="2103" spans="1:24" x14ac:dyDescent="0.25">
      <c r="A2103" s="17"/>
      <c r="B2103" s="17"/>
      <c r="C2103" s="17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8">
        <v>0</v>
      </c>
      <c r="W2103" s="17">
        <f t="shared" si="66"/>
        <v>0</v>
      </c>
      <c r="X2103" s="5">
        <f t="shared" si="67"/>
        <v>0</v>
      </c>
    </row>
    <row r="2104" spans="1:24" x14ac:dyDescent="0.25">
      <c r="A2104" s="17"/>
      <c r="B2104" s="17"/>
      <c r="C2104" s="17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8">
        <v>0</v>
      </c>
      <c r="W2104" s="17">
        <f t="shared" si="66"/>
        <v>0</v>
      </c>
      <c r="X2104" s="5">
        <f t="shared" si="67"/>
        <v>0</v>
      </c>
    </row>
    <row r="2105" spans="1:24" x14ac:dyDescent="0.25">
      <c r="A2105" s="17"/>
      <c r="B2105" s="17"/>
      <c r="C2105" s="17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8">
        <v>0</v>
      </c>
      <c r="W2105" s="17">
        <f t="shared" si="66"/>
        <v>0</v>
      </c>
      <c r="X2105" s="5">
        <f t="shared" si="67"/>
        <v>0</v>
      </c>
    </row>
    <row r="2106" spans="1:24" x14ac:dyDescent="0.25">
      <c r="A2106" s="17"/>
      <c r="B2106" s="17"/>
      <c r="C2106" s="17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8">
        <v>0</v>
      </c>
      <c r="W2106" s="17">
        <f t="shared" si="66"/>
        <v>0</v>
      </c>
      <c r="X2106" s="5">
        <f t="shared" si="67"/>
        <v>0</v>
      </c>
    </row>
    <row r="2107" spans="1:24" x14ac:dyDescent="0.25">
      <c r="A2107" s="17"/>
      <c r="B2107" s="17"/>
      <c r="C2107" s="17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8">
        <v>0</v>
      </c>
      <c r="W2107" s="17">
        <f t="shared" si="66"/>
        <v>0</v>
      </c>
      <c r="X2107" s="5">
        <f t="shared" si="67"/>
        <v>0</v>
      </c>
    </row>
    <row r="2108" spans="1:24" x14ac:dyDescent="0.25">
      <c r="A2108" s="17"/>
      <c r="B2108" s="17"/>
      <c r="C2108" s="17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8">
        <v>0</v>
      </c>
      <c r="W2108" s="17">
        <f t="shared" si="66"/>
        <v>0</v>
      </c>
      <c r="X2108" s="5">
        <f t="shared" si="67"/>
        <v>0</v>
      </c>
    </row>
    <row r="2109" spans="1:24" x14ac:dyDescent="0.25">
      <c r="A2109" s="17"/>
      <c r="B2109" s="17"/>
      <c r="C2109" s="17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8">
        <v>0</v>
      </c>
      <c r="W2109" s="17">
        <f t="shared" si="66"/>
        <v>0</v>
      </c>
      <c r="X2109" s="5">
        <f t="shared" si="67"/>
        <v>0</v>
      </c>
    </row>
    <row r="2110" spans="1:24" x14ac:dyDescent="0.25">
      <c r="A2110" s="17"/>
      <c r="B2110" s="17"/>
      <c r="C2110" s="17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8">
        <v>0</v>
      </c>
      <c r="W2110" s="17">
        <f t="shared" si="66"/>
        <v>0</v>
      </c>
      <c r="X2110" s="5">
        <f t="shared" si="67"/>
        <v>0</v>
      </c>
    </row>
    <row r="2111" spans="1:24" x14ac:dyDescent="0.25">
      <c r="A2111" s="17"/>
      <c r="B2111" s="17"/>
      <c r="C2111" s="17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8">
        <v>0</v>
      </c>
      <c r="W2111" s="17">
        <f t="shared" si="66"/>
        <v>0</v>
      </c>
      <c r="X2111" s="5">
        <f t="shared" si="67"/>
        <v>0</v>
      </c>
    </row>
    <row r="2112" spans="1:24" x14ac:dyDescent="0.25">
      <c r="A2112" s="17"/>
      <c r="B2112" s="17"/>
      <c r="C2112" s="17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8">
        <v>0</v>
      </c>
      <c r="W2112" s="17">
        <f t="shared" si="66"/>
        <v>0</v>
      </c>
      <c r="X2112" s="5">
        <f t="shared" si="67"/>
        <v>0</v>
      </c>
    </row>
    <row r="2113" spans="1:24" x14ac:dyDescent="0.25">
      <c r="A2113" s="17"/>
      <c r="B2113" s="17"/>
      <c r="C2113" s="17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8">
        <v>0</v>
      </c>
      <c r="W2113" s="17">
        <f t="shared" si="66"/>
        <v>0</v>
      </c>
      <c r="X2113" s="5">
        <f t="shared" si="67"/>
        <v>0</v>
      </c>
    </row>
    <row r="2114" spans="1:24" x14ac:dyDescent="0.25">
      <c r="A2114" s="17"/>
      <c r="B2114" s="17"/>
      <c r="C2114" s="17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  <c r="N2114" s="17"/>
      <c r="O2114" s="17"/>
      <c r="P2114" s="17"/>
      <c r="Q2114" s="17"/>
      <c r="R2114" s="17"/>
      <c r="S2114" s="17"/>
      <c r="T2114" s="17"/>
      <c r="U2114" s="17"/>
      <c r="V2114" s="18">
        <v>0</v>
      </c>
      <c r="W2114" s="17">
        <f t="shared" si="66"/>
        <v>0</v>
      </c>
      <c r="X2114" s="5">
        <f t="shared" si="67"/>
        <v>0</v>
      </c>
    </row>
    <row r="2115" spans="1:24" x14ac:dyDescent="0.25">
      <c r="A2115" s="17"/>
      <c r="B2115" s="17"/>
      <c r="C2115" s="17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  <c r="N2115" s="17"/>
      <c r="O2115" s="17"/>
      <c r="P2115" s="17"/>
      <c r="Q2115" s="17"/>
      <c r="R2115" s="17"/>
      <c r="S2115" s="17"/>
      <c r="T2115" s="17"/>
      <c r="U2115" s="17"/>
      <c r="V2115" s="18">
        <v>0</v>
      </c>
      <c r="W2115" s="17">
        <f t="shared" ref="W2115:W2178" si="68">HOUR(E2115)</f>
        <v>0</v>
      </c>
      <c r="X2115" s="5">
        <f t="shared" ref="X2115:X2178" si="69">IF(D2115=D2114,0,1)</f>
        <v>0</v>
      </c>
    </row>
    <row r="2116" spans="1:24" x14ac:dyDescent="0.25">
      <c r="A2116" s="17"/>
      <c r="B2116" s="17"/>
      <c r="C2116" s="17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  <c r="N2116" s="17"/>
      <c r="O2116" s="17"/>
      <c r="P2116" s="17"/>
      <c r="Q2116" s="17"/>
      <c r="R2116" s="17"/>
      <c r="S2116" s="17"/>
      <c r="T2116" s="17"/>
      <c r="U2116" s="17"/>
      <c r="V2116" s="18">
        <v>0</v>
      </c>
      <c r="W2116" s="17">
        <f t="shared" si="68"/>
        <v>0</v>
      </c>
      <c r="X2116" s="5">
        <f t="shared" si="69"/>
        <v>0</v>
      </c>
    </row>
    <row r="2117" spans="1:24" x14ac:dyDescent="0.25">
      <c r="A2117" s="17"/>
      <c r="B2117" s="17"/>
      <c r="C2117" s="17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8">
        <v>0</v>
      </c>
      <c r="W2117" s="17">
        <f t="shared" si="68"/>
        <v>0</v>
      </c>
      <c r="X2117" s="5">
        <f t="shared" si="69"/>
        <v>0</v>
      </c>
    </row>
    <row r="2118" spans="1:24" x14ac:dyDescent="0.25">
      <c r="A2118" s="17"/>
      <c r="B2118" s="17"/>
      <c r="C2118" s="17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8">
        <v>0</v>
      </c>
      <c r="W2118" s="17">
        <f t="shared" si="68"/>
        <v>0</v>
      </c>
      <c r="X2118" s="5">
        <f t="shared" si="69"/>
        <v>0</v>
      </c>
    </row>
    <row r="2119" spans="1:24" x14ac:dyDescent="0.25">
      <c r="A2119" s="17"/>
      <c r="B2119" s="17"/>
      <c r="C2119" s="17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8">
        <v>0</v>
      </c>
      <c r="W2119" s="17">
        <f t="shared" si="68"/>
        <v>0</v>
      </c>
      <c r="X2119" s="5">
        <f t="shared" si="69"/>
        <v>0</v>
      </c>
    </row>
    <row r="2120" spans="1:24" x14ac:dyDescent="0.25">
      <c r="A2120" s="17"/>
      <c r="B2120" s="17"/>
      <c r="C2120" s="17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8">
        <v>0</v>
      </c>
      <c r="W2120" s="17">
        <f t="shared" si="68"/>
        <v>0</v>
      </c>
      <c r="X2120" s="5">
        <f t="shared" si="69"/>
        <v>0</v>
      </c>
    </row>
    <row r="2121" spans="1:24" x14ac:dyDescent="0.25">
      <c r="A2121" s="17"/>
      <c r="B2121" s="17"/>
      <c r="C2121" s="17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8">
        <v>0</v>
      </c>
      <c r="W2121" s="17">
        <f t="shared" si="68"/>
        <v>0</v>
      </c>
      <c r="X2121" s="5">
        <f t="shared" si="69"/>
        <v>0</v>
      </c>
    </row>
    <row r="2122" spans="1:24" x14ac:dyDescent="0.25">
      <c r="A2122" s="17"/>
      <c r="B2122" s="17"/>
      <c r="C2122" s="17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8">
        <v>0</v>
      </c>
      <c r="W2122" s="17">
        <f t="shared" si="68"/>
        <v>0</v>
      </c>
      <c r="X2122" s="5">
        <f t="shared" si="69"/>
        <v>0</v>
      </c>
    </row>
    <row r="2123" spans="1:24" x14ac:dyDescent="0.25">
      <c r="A2123" s="17"/>
      <c r="B2123" s="17"/>
      <c r="C2123" s="17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8">
        <v>0</v>
      </c>
      <c r="W2123" s="17">
        <f t="shared" si="68"/>
        <v>0</v>
      </c>
      <c r="X2123" s="5">
        <f t="shared" si="69"/>
        <v>0</v>
      </c>
    </row>
    <row r="2124" spans="1:24" x14ac:dyDescent="0.25">
      <c r="A2124" s="17"/>
      <c r="B2124" s="17"/>
      <c r="C2124" s="17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8">
        <v>0</v>
      </c>
      <c r="W2124" s="17">
        <f t="shared" si="68"/>
        <v>0</v>
      </c>
      <c r="X2124" s="5">
        <f t="shared" si="69"/>
        <v>0</v>
      </c>
    </row>
    <row r="2125" spans="1:24" x14ac:dyDescent="0.25">
      <c r="A2125" s="17"/>
      <c r="B2125" s="17"/>
      <c r="C2125" s="17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8">
        <v>0</v>
      </c>
      <c r="W2125" s="17">
        <f t="shared" si="68"/>
        <v>0</v>
      </c>
      <c r="X2125" s="5">
        <f t="shared" si="69"/>
        <v>0</v>
      </c>
    </row>
    <row r="2126" spans="1:24" x14ac:dyDescent="0.25">
      <c r="A2126" s="17"/>
      <c r="B2126" s="17"/>
      <c r="C2126" s="17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8">
        <v>0</v>
      </c>
      <c r="W2126" s="17">
        <f t="shared" si="68"/>
        <v>0</v>
      </c>
      <c r="X2126" s="5">
        <f t="shared" si="69"/>
        <v>0</v>
      </c>
    </row>
    <row r="2127" spans="1:24" x14ac:dyDescent="0.25">
      <c r="A2127" s="17"/>
      <c r="B2127" s="17"/>
      <c r="C2127" s="17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8">
        <v>0</v>
      </c>
      <c r="W2127" s="17">
        <f t="shared" si="68"/>
        <v>0</v>
      </c>
      <c r="X2127" s="5">
        <f t="shared" si="69"/>
        <v>0</v>
      </c>
    </row>
    <row r="2128" spans="1:24" x14ac:dyDescent="0.25">
      <c r="A2128" s="17"/>
      <c r="B2128" s="17"/>
      <c r="C2128" s="17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  <c r="N2128" s="17"/>
      <c r="O2128" s="17"/>
      <c r="P2128" s="17"/>
      <c r="Q2128" s="17"/>
      <c r="R2128" s="17"/>
      <c r="S2128" s="17"/>
      <c r="T2128" s="17"/>
      <c r="U2128" s="17"/>
      <c r="V2128" s="18">
        <v>0</v>
      </c>
      <c r="W2128" s="17">
        <f t="shared" si="68"/>
        <v>0</v>
      </c>
      <c r="X2128" s="5">
        <f t="shared" si="69"/>
        <v>0</v>
      </c>
    </row>
    <row r="2129" spans="1:24" x14ac:dyDescent="0.25">
      <c r="A2129" s="17"/>
      <c r="B2129" s="17"/>
      <c r="C2129" s="17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  <c r="N2129" s="17"/>
      <c r="O2129" s="17"/>
      <c r="P2129" s="17"/>
      <c r="Q2129" s="17"/>
      <c r="R2129" s="17"/>
      <c r="S2129" s="17"/>
      <c r="T2129" s="17"/>
      <c r="U2129" s="17"/>
      <c r="V2129" s="18">
        <v>0</v>
      </c>
      <c r="W2129" s="17">
        <f t="shared" si="68"/>
        <v>0</v>
      </c>
      <c r="X2129" s="5">
        <f t="shared" si="69"/>
        <v>0</v>
      </c>
    </row>
    <row r="2130" spans="1:24" x14ac:dyDescent="0.25">
      <c r="A2130" s="17"/>
      <c r="B2130" s="17"/>
      <c r="C2130" s="17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  <c r="N2130" s="17"/>
      <c r="O2130" s="17"/>
      <c r="P2130" s="17"/>
      <c r="Q2130" s="17"/>
      <c r="R2130" s="17"/>
      <c r="S2130" s="17"/>
      <c r="T2130" s="17"/>
      <c r="U2130" s="17"/>
      <c r="V2130" s="18">
        <v>0</v>
      </c>
      <c r="W2130" s="17">
        <f t="shared" si="68"/>
        <v>0</v>
      </c>
      <c r="X2130" s="5">
        <f t="shared" si="69"/>
        <v>0</v>
      </c>
    </row>
    <row r="2131" spans="1:24" x14ac:dyDescent="0.25">
      <c r="A2131" s="17"/>
      <c r="B2131" s="17"/>
      <c r="C2131" s="17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8">
        <v>0</v>
      </c>
      <c r="W2131" s="17">
        <f t="shared" si="68"/>
        <v>0</v>
      </c>
      <c r="X2131" s="5">
        <f t="shared" si="69"/>
        <v>0</v>
      </c>
    </row>
    <row r="2132" spans="1:24" x14ac:dyDescent="0.25">
      <c r="A2132" s="17"/>
      <c r="B2132" s="17"/>
      <c r="C2132" s="17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  <c r="N2132" s="17"/>
      <c r="O2132" s="17"/>
      <c r="P2132" s="17"/>
      <c r="Q2132" s="17"/>
      <c r="R2132" s="17"/>
      <c r="S2132" s="17"/>
      <c r="T2132" s="17"/>
      <c r="U2132" s="17"/>
      <c r="V2132" s="18">
        <v>0</v>
      </c>
      <c r="W2132" s="17">
        <f t="shared" si="68"/>
        <v>0</v>
      </c>
      <c r="X2132" s="5">
        <f t="shared" si="69"/>
        <v>0</v>
      </c>
    </row>
    <row r="2133" spans="1:24" x14ac:dyDescent="0.25">
      <c r="A2133" s="17"/>
      <c r="B2133" s="17"/>
      <c r="C2133" s="17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  <c r="N2133" s="17"/>
      <c r="O2133" s="17"/>
      <c r="P2133" s="17"/>
      <c r="Q2133" s="17"/>
      <c r="R2133" s="17"/>
      <c r="S2133" s="17"/>
      <c r="T2133" s="17"/>
      <c r="U2133" s="17"/>
      <c r="V2133" s="18">
        <v>0</v>
      </c>
      <c r="W2133" s="17">
        <f t="shared" si="68"/>
        <v>0</v>
      </c>
      <c r="X2133" s="5">
        <f t="shared" si="69"/>
        <v>0</v>
      </c>
    </row>
    <row r="2134" spans="1:24" x14ac:dyDescent="0.25">
      <c r="A2134" s="17"/>
      <c r="B2134" s="17"/>
      <c r="C2134" s="17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  <c r="N2134" s="17"/>
      <c r="O2134" s="17"/>
      <c r="P2134" s="17"/>
      <c r="Q2134" s="17"/>
      <c r="R2134" s="17"/>
      <c r="S2134" s="17"/>
      <c r="T2134" s="17"/>
      <c r="U2134" s="17"/>
      <c r="V2134" s="18">
        <v>0</v>
      </c>
      <c r="W2134" s="17">
        <f t="shared" si="68"/>
        <v>0</v>
      </c>
      <c r="X2134" s="5">
        <f t="shared" si="69"/>
        <v>0</v>
      </c>
    </row>
    <row r="2135" spans="1:24" x14ac:dyDescent="0.25">
      <c r="A2135" s="17"/>
      <c r="B2135" s="17"/>
      <c r="C2135" s="17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8">
        <v>0</v>
      </c>
      <c r="W2135" s="17">
        <f t="shared" si="68"/>
        <v>0</v>
      </c>
      <c r="X2135" s="5">
        <f t="shared" si="69"/>
        <v>0</v>
      </c>
    </row>
    <row r="2136" spans="1:24" x14ac:dyDescent="0.25">
      <c r="A2136" s="17"/>
      <c r="B2136" s="17"/>
      <c r="C2136" s="17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8">
        <v>0</v>
      </c>
      <c r="W2136" s="17">
        <f t="shared" si="68"/>
        <v>0</v>
      </c>
      <c r="X2136" s="5">
        <f t="shared" si="69"/>
        <v>0</v>
      </c>
    </row>
    <row r="2137" spans="1:24" x14ac:dyDescent="0.25">
      <c r="A2137" s="17"/>
      <c r="B2137" s="17"/>
      <c r="C2137" s="17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8">
        <v>0</v>
      </c>
      <c r="W2137" s="17">
        <f t="shared" si="68"/>
        <v>0</v>
      </c>
      <c r="X2137" s="5">
        <f t="shared" si="69"/>
        <v>0</v>
      </c>
    </row>
    <row r="2138" spans="1:24" x14ac:dyDescent="0.25">
      <c r="A2138" s="17"/>
      <c r="B2138" s="17"/>
      <c r="C2138" s="17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8">
        <v>0</v>
      </c>
      <c r="W2138" s="17">
        <f t="shared" si="68"/>
        <v>0</v>
      </c>
      <c r="X2138" s="5">
        <f t="shared" si="69"/>
        <v>0</v>
      </c>
    </row>
    <row r="2139" spans="1:24" x14ac:dyDescent="0.25">
      <c r="A2139" s="17"/>
      <c r="B2139" s="17"/>
      <c r="C2139" s="17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8">
        <v>0</v>
      </c>
      <c r="W2139" s="17">
        <f t="shared" si="68"/>
        <v>0</v>
      </c>
      <c r="X2139" s="5">
        <f t="shared" si="69"/>
        <v>0</v>
      </c>
    </row>
    <row r="2140" spans="1:24" x14ac:dyDescent="0.25">
      <c r="A2140" s="17"/>
      <c r="B2140" s="17"/>
      <c r="C2140" s="17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8">
        <v>0</v>
      </c>
      <c r="W2140" s="17">
        <f t="shared" si="68"/>
        <v>0</v>
      </c>
      <c r="X2140" s="5">
        <f t="shared" si="69"/>
        <v>0</v>
      </c>
    </row>
    <row r="2141" spans="1:24" x14ac:dyDescent="0.25">
      <c r="A2141" s="17"/>
      <c r="B2141" s="17"/>
      <c r="C2141" s="17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8">
        <v>0</v>
      </c>
      <c r="W2141" s="17">
        <f t="shared" si="68"/>
        <v>0</v>
      </c>
      <c r="X2141" s="5">
        <f t="shared" si="69"/>
        <v>0</v>
      </c>
    </row>
    <row r="2142" spans="1:24" x14ac:dyDescent="0.25">
      <c r="A2142" s="17"/>
      <c r="B2142" s="17"/>
      <c r="C2142" s="17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8">
        <v>0</v>
      </c>
      <c r="W2142" s="17">
        <f t="shared" si="68"/>
        <v>0</v>
      </c>
      <c r="X2142" s="5">
        <f t="shared" si="69"/>
        <v>0</v>
      </c>
    </row>
    <row r="2143" spans="1:24" x14ac:dyDescent="0.25">
      <c r="A2143" s="17"/>
      <c r="B2143" s="17"/>
      <c r="C2143" s="17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8">
        <v>0</v>
      </c>
      <c r="W2143" s="17">
        <f t="shared" si="68"/>
        <v>0</v>
      </c>
      <c r="X2143" s="5">
        <f t="shared" si="69"/>
        <v>0</v>
      </c>
    </row>
    <row r="2144" spans="1:24" x14ac:dyDescent="0.25">
      <c r="A2144" s="17"/>
      <c r="B2144" s="17"/>
      <c r="C2144" s="17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8">
        <v>0</v>
      </c>
      <c r="W2144" s="17">
        <f t="shared" si="68"/>
        <v>0</v>
      </c>
      <c r="X2144" s="5">
        <f t="shared" si="69"/>
        <v>0</v>
      </c>
    </row>
    <row r="2145" spans="1:24" x14ac:dyDescent="0.25">
      <c r="A2145" s="17"/>
      <c r="B2145" s="17"/>
      <c r="C2145" s="17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8">
        <v>0</v>
      </c>
      <c r="W2145" s="17">
        <f t="shared" si="68"/>
        <v>0</v>
      </c>
      <c r="X2145" s="5">
        <f t="shared" si="69"/>
        <v>0</v>
      </c>
    </row>
    <row r="2146" spans="1:24" x14ac:dyDescent="0.25">
      <c r="A2146" s="17"/>
      <c r="B2146" s="17"/>
      <c r="C2146" s="17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8">
        <v>0</v>
      </c>
      <c r="W2146" s="17">
        <f t="shared" si="68"/>
        <v>0</v>
      </c>
      <c r="X2146" s="5">
        <f t="shared" si="69"/>
        <v>0</v>
      </c>
    </row>
    <row r="2147" spans="1:24" x14ac:dyDescent="0.25">
      <c r="A2147" s="17"/>
      <c r="B2147" s="17"/>
      <c r="C2147" s="17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8">
        <v>0</v>
      </c>
      <c r="W2147" s="17">
        <f t="shared" si="68"/>
        <v>0</v>
      </c>
      <c r="X2147" s="5">
        <f t="shared" si="69"/>
        <v>0</v>
      </c>
    </row>
    <row r="2148" spans="1:24" x14ac:dyDescent="0.25">
      <c r="A2148" s="17"/>
      <c r="B2148" s="17"/>
      <c r="C2148" s="17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8">
        <v>0</v>
      </c>
      <c r="W2148" s="17">
        <f t="shared" si="68"/>
        <v>0</v>
      </c>
      <c r="X2148" s="5">
        <f t="shared" si="69"/>
        <v>0</v>
      </c>
    </row>
    <row r="2149" spans="1:24" x14ac:dyDescent="0.25">
      <c r="A2149" s="17"/>
      <c r="B2149" s="17"/>
      <c r="C2149" s="17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  <c r="N2149" s="17"/>
      <c r="O2149" s="17"/>
      <c r="P2149" s="17"/>
      <c r="Q2149" s="17"/>
      <c r="R2149" s="17"/>
      <c r="S2149" s="17"/>
      <c r="T2149" s="17"/>
      <c r="U2149" s="17"/>
      <c r="V2149" s="18">
        <v>0</v>
      </c>
      <c r="W2149" s="17">
        <f t="shared" si="68"/>
        <v>0</v>
      </c>
      <c r="X2149" s="5">
        <f t="shared" si="69"/>
        <v>0</v>
      </c>
    </row>
    <row r="2150" spans="1:24" x14ac:dyDescent="0.25">
      <c r="A2150" s="17"/>
      <c r="B2150" s="17"/>
      <c r="C2150" s="17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  <c r="N2150" s="17"/>
      <c r="O2150" s="17"/>
      <c r="P2150" s="17"/>
      <c r="Q2150" s="17"/>
      <c r="R2150" s="17"/>
      <c r="S2150" s="17"/>
      <c r="T2150" s="17"/>
      <c r="U2150" s="17"/>
      <c r="V2150" s="18">
        <v>0</v>
      </c>
      <c r="W2150" s="17">
        <f t="shared" si="68"/>
        <v>0</v>
      </c>
      <c r="X2150" s="5">
        <f t="shared" si="69"/>
        <v>0</v>
      </c>
    </row>
    <row r="2151" spans="1:24" x14ac:dyDescent="0.25">
      <c r="A2151" s="17"/>
      <c r="B2151" s="17"/>
      <c r="C2151" s="17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  <c r="N2151" s="17"/>
      <c r="O2151" s="17"/>
      <c r="P2151" s="17"/>
      <c r="Q2151" s="17"/>
      <c r="R2151" s="17"/>
      <c r="S2151" s="17"/>
      <c r="T2151" s="17"/>
      <c r="U2151" s="17"/>
      <c r="V2151" s="18">
        <v>0</v>
      </c>
      <c r="W2151" s="17">
        <f t="shared" si="68"/>
        <v>0</v>
      </c>
      <c r="X2151" s="5">
        <f t="shared" si="69"/>
        <v>0</v>
      </c>
    </row>
    <row r="2152" spans="1:24" x14ac:dyDescent="0.25">
      <c r="A2152" s="17"/>
      <c r="B2152" s="17"/>
      <c r="C2152" s="17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  <c r="N2152" s="17"/>
      <c r="O2152" s="17"/>
      <c r="P2152" s="17"/>
      <c r="Q2152" s="17"/>
      <c r="R2152" s="17"/>
      <c r="S2152" s="17"/>
      <c r="T2152" s="17"/>
      <c r="U2152" s="17"/>
      <c r="V2152" s="18">
        <v>0</v>
      </c>
      <c r="W2152" s="17">
        <f t="shared" si="68"/>
        <v>0</v>
      </c>
      <c r="X2152" s="5">
        <f t="shared" si="69"/>
        <v>0</v>
      </c>
    </row>
    <row r="2153" spans="1:24" x14ac:dyDescent="0.25">
      <c r="A2153" s="17"/>
      <c r="B2153" s="17"/>
      <c r="C2153" s="17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  <c r="N2153" s="17"/>
      <c r="O2153" s="17"/>
      <c r="P2153" s="17"/>
      <c r="Q2153" s="17"/>
      <c r="R2153" s="17"/>
      <c r="S2153" s="17"/>
      <c r="T2153" s="17"/>
      <c r="U2153" s="17"/>
      <c r="V2153" s="18">
        <v>0</v>
      </c>
      <c r="W2153" s="17">
        <f t="shared" si="68"/>
        <v>0</v>
      </c>
      <c r="X2153" s="5">
        <f t="shared" si="69"/>
        <v>0</v>
      </c>
    </row>
    <row r="2154" spans="1:24" x14ac:dyDescent="0.25">
      <c r="A2154" s="17"/>
      <c r="B2154" s="17"/>
      <c r="C2154" s="17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  <c r="N2154" s="17"/>
      <c r="O2154" s="17"/>
      <c r="P2154" s="17"/>
      <c r="Q2154" s="17"/>
      <c r="R2154" s="17"/>
      <c r="S2154" s="17"/>
      <c r="T2154" s="17"/>
      <c r="U2154" s="17"/>
      <c r="V2154" s="18">
        <v>0</v>
      </c>
      <c r="W2154" s="17">
        <f t="shared" si="68"/>
        <v>0</v>
      </c>
      <c r="X2154" s="5">
        <f t="shared" si="69"/>
        <v>0</v>
      </c>
    </row>
    <row r="2155" spans="1:24" x14ac:dyDescent="0.25">
      <c r="A2155" s="17"/>
      <c r="B2155" s="17"/>
      <c r="C2155" s="17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8">
        <v>0</v>
      </c>
      <c r="W2155" s="17">
        <f t="shared" si="68"/>
        <v>0</v>
      </c>
      <c r="X2155" s="5">
        <f t="shared" si="69"/>
        <v>0</v>
      </c>
    </row>
    <row r="2156" spans="1:24" x14ac:dyDescent="0.25">
      <c r="A2156" s="17"/>
      <c r="B2156" s="17"/>
      <c r="C2156" s="17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8">
        <v>0</v>
      </c>
      <c r="W2156" s="17">
        <f t="shared" si="68"/>
        <v>0</v>
      </c>
      <c r="X2156" s="5">
        <f t="shared" si="69"/>
        <v>0</v>
      </c>
    </row>
    <row r="2157" spans="1:24" x14ac:dyDescent="0.25">
      <c r="A2157" s="17"/>
      <c r="B2157" s="17"/>
      <c r="C2157" s="17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8">
        <v>0</v>
      </c>
      <c r="W2157" s="17">
        <f t="shared" si="68"/>
        <v>0</v>
      </c>
      <c r="X2157" s="5">
        <f t="shared" si="69"/>
        <v>0</v>
      </c>
    </row>
    <row r="2158" spans="1:24" x14ac:dyDescent="0.25">
      <c r="A2158" s="17"/>
      <c r="B2158" s="17"/>
      <c r="C2158" s="17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8">
        <v>0</v>
      </c>
      <c r="W2158" s="17">
        <f t="shared" si="68"/>
        <v>0</v>
      </c>
      <c r="X2158" s="5">
        <f t="shared" si="69"/>
        <v>0</v>
      </c>
    </row>
    <row r="2159" spans="1:24" x14ac:dyDescent="0.25">
      <c r="A2159" s="17"/>
      <c r="B2159" s="17"/>
      <c r="C2159" s="17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  <c r="N2159" s="17"/>
      <c r="O2159" s="17"/>
      <c r="P2159" s="17"/>
      <c r="Q2159" s="17"/>
      <c r="R2159" s="17"/>
      <c r="S2159" s="17"/>
      <c r="T2159" s="17"/>
      <c r="U2159" s="17"/>
      <c r="V2159" s="18">
        <v>0</v>
      </c>
      <c r="W2159" s="17">
        <f t="shared" si="68"/>
        <v>0</v>
      </c>
      <c r="X2159" s="5">
        <f t="shared" si="69"/>
        <v>0</v>
      </c>
    </row>
    <row r="2160" spans="1:24" x14ac:dyDescent="0.25">
      <c r="A2160" s="17"/>
      <c r="B2160" s="17"/>
      <c r="C2160" s="17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  <c r="N2160" s="17"/>
      <c r="O2160" s="17"/>
      <c r="P2160" s="17"/>
      <c r="Q2160" s="17"/>
      <c r="R2160" s="17"/>
      <c r="S2160" s="17"/>
      <c r="T2160" s="17"/>
      <c r="U2160" s="17"/>
      <c r="V2160" s="18">
        <v>0</v>
      </c>
      <c r="W2160" s="17">
        <f t="shared" si="68"/>
        <v>0</v>
      </c>
      <c r="X2160" s="5">
        <f t="shared" si="69"/>
        <v>0</v>
      </c>
    </row>
    <row r="2161" spans="1:24" x14ac:dyDescent="0.25">
      <c r="A2161" s="17"/>
      <c r="B2161" s="17"/>
      <c r="C2161" s="17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  <c r="N2161" s="17"/>
      <c r="O2161" s="17"/>
      <c r="P2161" s="17"/>
      <c r="Q2161" s="17"/>
      <c r="R2161" s="17"/>
      <c r="S2161" s="17"/>
      <c r="T2161" s="17"/>
      <c r="U2161" s="17"/>
      <c r="V2161" s="18">
        <v>0</v>
      </c>
      <c r="W2161" s="17">
        <f t="shared" si="68"/>
        <v>0</v>
      </c>
      <c r="X2161" s="5">
        <f t="shared" si="69"/>
        <v>0</v>
      </c>
    </row>
    <row r="2162" spans="1:24" x14ac:dyDescent="0.25">
      <c r="A2162" s="17"/>
      <c r="B2162" s="17"/>
      <c r="C2162" s="17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8">
        <v>0</v>
      </c>
      <c r="W2162" s="17">
        <f t="shared" si="68"/>
        <v>0</v>
      </c>
      <c r="X2162" s="5">
        <f t="shared" si="69"/>
        <v>0</v>
      </c>
    </row>
    <row r="2163" spans="1:24" x14ac:dyDescent="0.25">
      <c r="A2163" s="17"/>
      <c r="B2163" s="17"/>
      <c r="C2163" s="17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8">
        <v>0</v>
      </c>
      <c r="W2163" s="17">
        <f t="shared" si="68"/>
        <v>0</v>
      </c>
      <c r="X2163" s="5">
        <f t="shared" si="69"/>
        <v>0</v>
      </c>
    </row>
    <row r="2164" spans="1:24" x14ac:dyDescent="0.25">
      <c r="A2164" s="17"/>
      <c r="B2164" s="17"/>
      <c r="C2164" s="17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8">
        <v>0</v>
      </c>
      <c r="W2164" s="17">
        <f t="shared" si="68"/>
        <v>0</v>
      </c>
      <c r="X2164" s="5">
        <f t="shared" si="69"/>
        <v>0</v>
      </c>
    </row>
    <row r="2165" spans="1:24" x14ac:dyDescent="0.25">
      <c r="A2165" s="17"/>
      <c r="B2165" s="17"/>
      <c r="C2165" s="17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8">
        <v>0</v>
      </c>
      <c r="W2165" s="17">
        <f t="shared" si="68"/>
        <v>0</v>
      </c>
      <c r="X2165" s="5">
        <f t="shared" si="69"/>
        <v>0</v>
      </c>
    </row>
    <row r="2166" spans="1:24" x14ac:dyDescent="0.25">
      <c r="A2166" s="17"/>
      <c r="B2166" s="17"/>
      <c r="C2166" s="17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8">
        <v>0</v>
      </c>
      <c r="W2166" s="17">
        <f t="shared" si="68"/>
        <v>0</v>
      </c>
      <c r="X2166" s="5">
        <f t="shared" si="69"/>
        <v>0</v>
      </c>
    </row>
    <row r="2167" spans="1:24" x14ac:dyDescent="0.25">
      <c r="A2167" s="17"/>
      <c r="B2167" s="17"/>
      <c r="C2167" s="17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8">
        <v>0</v>
      </c>
      <c r="W2167" s="17">
        <f t="shared" si="68"/>
        <v>0</v>
      </c>
      <c r="X2167" s="5">
        <f t="shared" si="69"/>
        <v>0</v>
      </c>
    </row>
    <row r="2168" spans="1:24" x14ac:dyDescent="0.25">
      <c r="A2168" s="17"/>
      <c r="B2168" s="17"/>
      <c r="C2168" s="17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  <c r="N2168" s="17"/>
      <c r="O2168" s="17"/>
      <c r="P2168" s="17"/>
      <c r="Q2168" s="17"/>
      <c r="R2168" s="17"/>
      <c r="S2168" s="17"/>
      <c r="T2168" s="17"/>
      <c r="U2168" s="17"/>
      <c r="V2168" s="18">
        <v>0</v>
      </c>
      <c r="W2168" s="17">
        <f t="shared" si="68"/>
        <v>0</v>
      </c>
      <c r="X2168" s="5">
        <f t="shared" si="69"/>
        <v>0</v>
      </c>
    </row>
    <row r="2169" spans="1:24" x14ac:dyDescent="0.25">
      <c r="A2169" s="17"/>
      <c r="B2169" s="17"/>
      <c r="C2169" s="17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  <c r="N2169" s="17"/>
      <c r="O2169" s="17"/>
      <c r="P2169" s="17"/>
      <c r="Q2169" s="17"/>
      <c r="R2169" s="17"/>
      <c r="S2169" s="17"/>
      <c r="T2169" s="17"/>
      <c r="U2169" s="17"/>
      <c r="V2169" s="18">
        <v>0</v>
      </c>
      <c r="W2169" s="17">
        <f t="shared" si="68"/>
        <v>0</v>
      </c>
      <c r="X2169" s="5">
        <f t="shared" si="69"/>
        <v>0</v>
      </c>
    </row>
    <row r="2170" spans="1:24" x14ac:dyDescent="0.25">
      <c r="A2170" s="17"/>
      <c r="B2170" s="17"/>
      <c r="C2170" s="17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  <c r="N2170" s="17"/>
      <c r="O2170" s="17"/>
      <c r="P2170" s="17"/>
      <c r="Q2170" s="17"/>
      <c r="R2170" s="17"/>
      <c r="S2170" s="17"/>
      <c r="T2170" s="17"/>
      <c r="U2170" s="17"/>
      <c r="V2170" s="18">
        <v>0</v>
      </c>
      <c r="W2170" s="17">
        <f t="shared" si="68"/>
        <v>0</v>
      </c>
      <c r="X2170" s="5">
        <f t="shared" si="69"/>
        <v>0</v>
      </c>
    </row>
    <row r="2171" spans="1:24" x14ac:dyDescent="0.25">
      <c r="A2171" s="17"/>
      <c r="B2171" s="17"/>
      <c r="C2171" s="17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8">
        <v>0</v>
      </c>
      <c r="W2171" s="17">
        <f t="shared" si="68"/>
        <v>0</v>
      </c>
      <c r="X2171" s="5">
        <f t="shared" si="69"/>
        <v>0</v>
      </c>
    </row>
    <row r="2172" spans="1:24" x14ac:dyDescent="0.25">
      <c r="A2172" s="17"/>
      <c r="B2172" s="17"/>
      <c r="C2172" s="17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8">
        <v>0</v>
      </c>
      <c r="W2172" s="17">
        <f t="shared" si="68"/>
        <v>0</v>
      </c>
      <c r="X2172" s="5">
        <f t="shared" si="69"/>
        <v>0</v>
      </c>
    </row>
    <row r="2173" spans="1:24" x14ac:dyDescent="0.25">
      <c r="A2173" s="17"/>
      <c r="B2173" s="17"/>
      <c r="C2173" s="17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8">
        <v>0</v>
      </c>
      <c r="W2173" s="17">
        <f t="shared" si="68"/>
        <v>0</v>
      </c>
      <c r="X2173" s="5">
        <f t="shared" si="69"/>
        <v>0</v>
      </c>
    </row>
    <row r="2174" spans="1:24" x14ac:dyDescent="0.25">
      <c r="A2174" s="17"/>
      <c r="B2174" s="17"/>
      <c r="C2174" s="17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  <c r="N2174" s="17"/>
      <c r="O2174" s="17"/>
      <c r="P2174" s="17"/>
      <c r="Q2174" s="17"/>
      <c r="R2174" s="17"/>
      <c r="S2174" s="17"/>
      <c r="T2174" s="17"/>
      <c r="U2174" s="17"/>
      <c r="V2174" s="18">
        <v>0</v>
      </c>
      <c r="W2174" s="17">
        <f t="shared" si="68"/>
        <v>0</v>
      </c>
      <c r="X2174" s="5">
        <f t="shared" si="69"/>
        <v>0</v>
      </c>
    </row>
    <row r="2175" spans="1:24" x14ac:dyDescent="0.25">
      <c r="A2175" s="17"/>
      <c r="B2175" s="17"/>
      <c r="C2175" s="17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  <c r="N2175" s="17"/>
      <c r="O2175" s="17"/>
      <c r="P2175" s="17"/>
      <c r="Q2175" s="17"/>
      <c r="R2175" s="17"/>
      <c r="S2175" s="17"/>
      <c r="T2175" s="17"/>
      <c r="U2175" s="17"/>
      <c r="V2175" s="18">
        <v>0</v>
      </c>
      <c r="W2175" s="17">
        <f t="shared" si="68"/>
        <v>0</v>
      </c>
      <c r="X2175" s="5">
        <f t="shared" si="69"/>
        <v>0</v>
      </c>
    </row>
    <row r="2176" spans="1:24" x14ac:dyDescent="0.25">
      <c r="A2176" s="17"/>
      <c r="B2176" s="17"/>
      <c r="C2176" s="17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  <c r="N2176" s="17"/>
      <c r="O2176" s="17"/>
      <c r="P2176" s="17"/>
      <c r="Q2176" s="17"/>
      <c r="R2176" s="17"/>
      <c r="S2176" s="17"/>
      <c r="T2176" s="17"/>
      <c r="U2176" s="17"/>
      <c r="V2176" s="18">
        <v>0</v>
      </c>
      <c r="W2176" s="17">
        <f t="shared" si="68"/>
        <v>0</v>
      </c>
      <c r="X2176" s="5">
        <f t="shared" si="69"/>
        <v>0</v>
      </c>
    </row>
    <row r="2177" spans="1:24" x14ac:dyDescent="0.25">
      <c r="A2177" s="17"/>
      <c r="B2177" s="17"/>
      <c r="C2177" s="17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  <c r="N2177" s="17"/>
      <c r="O2177" s="17"/>
      <c r="P2177" s="17"/>
      <c r="Q2177" s="17"/>
      <c r="R2177" s="17"/>
      <c r="S2177" s="17"/>
      <c r="T2177" s="17"/>
      <c r="U2177" s="17"/>
      <c r="V2177" s="18">
        <v>0</v>
      </c>
      <c r="W2177" s="17">
        <f t="shared" si="68"/>
        <v>0</v>
      </c>
      <c r="X2177" s="5">
        <f t="shared" si="69"/>
        <v>0</v>
      </c>
    </row>
    <row r="2178" spans="1:24" x14ac:dyDescent="0.25">
      <c r="A2178" s="17"/>
      <c r="B2178" s="17"/>
      <c r="C2178" s="17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  <c r="N2178" s="17"/>
      <c r="O2178" s="17"/>
      <c r="P2178" s="17"/>
      <c r="Q2178" s="17"/>
      <c r="R2178" s="17"/>
      <c r="S2178" s="17"/>
      <c r="T2178" s="17"/>
      <c r="U2178" s="17"/>
      <c r="V2178" s="18">
        <v>0</v>
      </c>
      <c r="W2178" s="17">
        <f t="shared" si="68"/>
        <v>0</v>
      </c>
      <c r="X2178" s="5">
        <f t="shared" si="69"/>
        <v>0</v>
      </c>
    </row>
    <row r="2179" spans="1:24" x14ac:dyDescent="0.25">
      <c r="A2179" s="17"/>
      <c r="B2179" s="17"/>
      <c r="C2179" s="17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  <c r="N2179" s="17"/>
      <c r="O2179" s="17"/>
      <c r="P2179" s="17"/>
      <c r="Q2179" s="17"/>
      <c r="R2179" s="17"/>
      <c r="S2179" s="17"/>
      <c r="T2179" s="17"/>
      <c r="U2179" s="17"/>
      <c r="V2179" s="18">
        <v>0</v>
      </c>
      <c r="W2179" s="17">
        <f t="shared" ref="W2179:W2242" si="70">HOUR(E2179)</f>
        <v>0</v>
      </c>
      <c r="X2179" s="5">
        <f t="shared" ref="X2179:X2242" si="71">IF(D2179=D2178,0,1)</f>
        <v>0</v>
      </c>
    </row>
    <row r="2180" spans="1:24" x14ac:dyDescent="0.25">
      <c r="A2180" s="17"/>
      <c r="B2180" s="17"/>
      <c r="C2180" s="17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8">
        <v>0</v>
      </c>
      <c r="W2180" s="17">
        <f t="shared" si="70"/>
        <v>0</v>
      </c>
      <c r="X2180" s="5">
        <f t="shared" si="71"/>
        <v>0</v>
      </c>
    </row>
    <row r="2181" spans="1:24" x14ac:dyDescent="0.25">
      <c r="A2181" s="17"/>
      <c r="B2181" s="17"/>
      <c r="C2181" s="17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8">
        <v>0</v>
      </c>
      <c r="W2181" s="17">
        <f t="shared" si="70"/>
        <v>0</v>
      </c>
      <c r="X2181" s="5">
        <f t="shared" si="71"/>
        <v>0</v>
      </c>
    </row>
    <row r="2182" spans="1:24" x14ac:dyDescent="0.25">
      <c r="A2182" s="17"/>
      <c r="B2182" s="17"/>
      <c r="C2182" s="17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8">
        <v>0</v>
      </c>
      <c r="W2182" s="17">
        <f t="shared" si="70"/>
        <v>0</v>
      </c>
      <c r="X2182" s="5">
        <f t="shared" si="71"/>
        <v>0</v>
      </c>
    </row>
    <row r="2183" spans="1:24" x14ac:dyDescent="0.25">
      <c r="A2183" s="17"/>
      <c r="B2183" s="17"/>
      <c r="C2183" s="17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8">
        <v>0</v>
      </c>
      <c r="W2183" s="17">
        <f t="shared" si="70"/>
        <v>0</v>
      </c>
      <c r="X2183" s="5">
        <f t="shared" si="71"/>
        <v>0</v>
      </c>
    </row>
    <row r="2184" spans="1:24" x14ac:dyDescent="0.25">
      <c r="A2184" s="17"/>
      <c r="B2184" s="17"/>
      <c r="C2184" s="17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  <c r="N2184" s="17"/>
      <c r="O2184" s="17"/>
      <c r="P2184" s="17"/>
      <c r="Q2184" s="17"/>
      <c r="R2184" s="17"/>
      <c r="S2184" s="17"/>
      <c r="T2184" s="17"/>
      <c r="U2184" s="17"/>
      <c r="V2184" s="18">
        <v>0</v>
      </c>
      <c r="W2184" s="17">
        <f t="shared" si="70"/>
        <v>0</v>
      </c>
      <c r="X2184" s="5">
        <f t="shared" si="71"/>
        <v>0</v>
      </c>
    </row>
    <row r="2185" spans="1:24" x14ac:dyDescent="0.25">
      <c r="A2185" s="17"/>
      <c r="B2185" s="17"/>
      <c r="C2185" s="17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  <c r="N2185" s="17"/>
      <c r="O2185" s="17"/>
      <c r="P2185" s="17"/>
      <c r="Q2185" s="17"/>
      <c r="R2185" s="17"/>
      <c r="S2185" s="17"/>
      <c r="T2185" s="17"/>
      <c r="U2185" s="17"/>
      <c r="V2185" s="18">
        <v>0</v>
      </c>
      <c r="W2185" s="17">
        <f t="shared" si="70"/>
        <v>0</v>
      </c>
      <c r="X2185" s="5">
        <f t="shared" si="71"/>
        <v>0</v>
      </c>
    </row>
    <row r="2186" spans="1:24" x14ac:dyDescent="0.25">
      <c r="A2186" s="17"/>
      <c r="B2186" s="17"/>
      <c r="C2186" s="17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  <c r="N2186" s="17"/>
      <c r="O2186" s="17"/>
      <c r="P2186" s="17"/>
      <c r="Q2186" s="17"/>
      <c r="R2186" s="17"/>
      <c r="S2186" s="17"/>
      <c r="T2186" s="17"/>
      <c r="U2186" s="17"/>
      <c r="V2186" s="18">
        <v>0</v>
      </c>
      <c r="W2186" s="17">
        <f t="shared" si="70"/>
        <v>0</v>
      </c>
      <c r="X2186" s="5">
        <f t="shared" si="71"/>
        <v>0</v>
      </c>
    </row>
    <row r="2187" spans="1:24" x14ac:dyDescent="0.25">
      <c r="A2187" s="17"/>
      <c r="B2187" s="17"/>
      <c r="C2187" s="17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8">
        <v>0</v>
      </c>
      <c r="W2187" s="17">
        <f t="shared" si="70"/>
        <v>0</v>
      </c>
      <c r="X2187" s="5">
        <f t="shared" si="71"/>
        <v>0</v>
      </c>
    </row>
    <row r="2188" spans="1:24" x14ac:dyDescent="0.25">
      <c r="A2188" s="17"/>
      <c r="B2188" s="17"/>
      <c r="C2188" s="17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8">
        <v>0</v>
      </c>
      <c r="W2188" s="17">
        <f t="shared" si="70"/>
        <v>0</v>
      </c>
      <c r="X2188" s="5">
        <f t="shared" si="71"/>
        <v>0</v>
      </c>
    </row>
    <row r="2189" spans="1:24" x14ac:dyDescent="0.25">
      <c r="A2189" s="17"/>
      <c r="B2189" s="17"/>
      <c r="C2189" s="17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8">
        <v>0</v>
      </c>
      <c r="W2189" s="17">
        <f t="shared" si="70"/>
        <v>0</v>
      </c>
      <c r="X2189" s="5">
        <f t="shared" si="71"/>
        <v>0</v>
      </c>
    </row>
    <row r="2190" spans="1:24" x14ac:dyDescent="0.25">
      <c r="A2190" s="17"/>
      <c r="B2190" s="17"/>
      <c r="C2190" s="17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8">
        <v>0</v>
      </c>
      <c r="W2190" s="17">
        <f t="shared" si="70"/>
        <v>0</v>
      </c>
      <c r="X2190" s="5">
        <f t="shared" si="71"/>
        <v>0</v>
      </c>
    </row>
    <row r="2191" spans="1:24" x14ac:dyDescent="0.25">
      <c r="A2191" s="17"/>
      <c r="B2191" s="17"/>
      <c r="C2191" s="17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8">
        <v>0</v>
      </c>
      <c r="W2191" s="17">
        <f t="shared" si="70"/>
        <v>0</v>
      </c>
      <c r="X2191" s="5">
        <f t="shared" si="71"/>
        <v>0</v>
      </c>
    </row>
    <row r="2192" spans="1:24" x14ac:dyDescent="0.25">
      <c r="A2192" s="17"/>
      <c r="B2192" s="17"/>
      <c r="C2192" s="17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8">
        <v>0</v>
      </c>
      <c r="W2192" s="17">
        <f t="shared" si="70"/>
        <v>0</v>
      </c>
      <c r="X2192" s="5">
        <f t="shared" si="71"/>
        <v>0</v>
      </c>
    </row>
    <row r="2193" spans="1:24" x14ac:dyDescent="0.25">
      <c r="A2193" s="17"/>
      <c r="B2193" s="17"/>
      <c r="C2193" s="17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  <c r="N2193" s="17"/>
      <c r="O2193" s="17"/>
      <c r="P2193" s="17"/>
      <c r="Q2193" s="17"/>
      <c r="R2193" s="17"/>
      <c r="S2193" s="17"/>
      <c r="T2193" s="17"/>
      <c r="U2193" s="17"/>
      <c r="V2193" s="18">
        <v>0</v>
      </c>
      <c r="W2193" s="17">
        <f t="shared" si="70"/>
        <v>0</v>
      </c>
      <c r="X2193" s="5">
        <f t="shared" si="71"/>
        <v>0</v>
      </c>
    </row>
    <row r="2194" spans="1:24" x14ac:dyDescent="0.25">
      <c r="A2194" s="17"/>
      <c r="B2194" s="17"/>
      <c r="C2194" s="17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  <c r="N2194" s="17"/>
      <c r="O2194" s="17"/>
      <c r="P2194" s="17"/>
      <c r="Q2194" s="17"/>
      <c r="R2194" s="17"/>
      <c r="S2194" s="17"/>
      <c r="T2194" s="17"/>
      <c r="U2194" s="17"/>
      <c r="V2194" s="18">
        <v>0</v>
      </c>
      <c r="W2194" s="17">
        <f t="shared" si="70"/>
        <v>0</v>
      </c>
      <c r="X2194" s="5">
        <f t="shared" si="71"/>
        <v>0</v>
      </c>
    </row>
    <row r="2195" spans="1:24" x14ac:dyDescent="0.25">
      <c r="A2195" s="17"/>
      <c r="B2195" s="17"/>
      <c r="C2195" s="17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  <c r="N2195" s="17"/>
      <c r="O2195" s="17"/>
      <c r="P2195" s="17"/>
      <c r="Q2195" s="17"/>
      <c r="R2195" s="17"/>
      <c r="S2195" s="17"/>
      <c r="T2195" s="17"/>
      <c r="U2195" s="17"/>
      <c r="V2195" s="18">
        <v>0</v>
      </c>
      <c r="W2195" s="17">
        <f t="shared" si="70"/>
        <v>0</v>
      </c>
      <c r="X2195" s="5">
        <f t="shared" si="71"/>
        <v>0</v>
      </c>
    </row>
    <row r="2196" spans="1:24" x14ac:dyDescent="0.25">
      <c r="A2196" s="17"/>
      <c r="B2196" s="17"/>
      <c r="C2196" s="17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8">
        <v>0</v>
      </c>
      <c r="W2196" s="17">
        <f t="shared" si="70"/>
        <v>0</v>
      </c>
      <c r="X2196" s="5">
        <f t="shared" si="71"/>
        <v>0</v>
      </c>
    </row>
    <row r="2197" spans="1:24" x14ac:dyDescent="0.25">
      <c r="A2197" s="17"/>
      <c r="B2197" s="17"/>
      <c r="C2197" s="17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8">
        <v>0</v>
      </c>
      <c r="W2197" s="17">
        <f t="shared" si="70"/>
        <v>0</v>
      </c>
      <c r="X2197" s="5">
        <f t="shared" si="71"/>
        <v>0</v>
      </c>
    </row>
    <row r="2198" spans="1:24" x14ac:dyDescent="0.25">
      <c r="A2198" s="17"/>
      <c r="B2198" s="17"/>
      <c r="C2198" s="17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8">
        <v>0</v>
      </c>
      <c r="W2198" s="17">
        <f t="shared" si="70"/>
        <v>0</v>
      </c>
      <c r="X2198" s="5">
        <f t="shared" si="71"/>
        <v>0</v>
      </c>
    </row>
    <row r="2199" spans="1:24" x14ac:dyDescent="0.25">
      <c r="A2199" s="17"/>
      <c r="B2199" s="17"/>
      <c r="C2199" s="17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8">
        <v>0</v>
      </c>
      <c r="W2199" s="17">
        <f t="shared" si="70"/>
        <v>0</v>
      </c>
      <c r="X2199" s="5">
        <f t="shared" si="71"/>
        <v>0</v>
      </c>
    </row>
    <row r="2200" spans="1:24" x14ac:dyDescent="0.25">
      <c r="A2200" s="17"/>
      <c r="B2200" s="17"/>
      <c r="C2200" s="17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8">
        <v>0</v>
      </c>
      <c r="W2200" s="17">
        <f t="shared" si="70"/>
        <v>0</v>
      </c>
      <c r="X2200" s="5">
        <f t="shared" si="71"/>
        <v>0</v>
      </c>
    </row>
    <row r="2201" spans="1:24" x14ac:dyDescent="0.25">
      <c r="A2201" s="17"/>
      <c r="B2201" s="17"/>
      <c r="C2201" s="17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8">
        <v>0</v>
      </c>
      <c r="W2201" s="17">
        <f t="shared" si="70"/>
        <v>0</v>
      </c>
      <c r="X2201" s="5">
        <f t="shared" si="71"/>
        <v>0</v>
      </c>
    </row>
    <row r="2202" spans="1:24" x14ac:dyDescent="0.25">
      <c r="A2202" s="17"/>
      <c r="B2202" s="17"/>
      <c r="C2202" s="17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8">
        <v>0</v>
      </c>
      <c r="W2202" s="17">
        <f t="shared" si="70"/>
        <v>0</v>
      </c>
      <c r="X2202" s="5">
        <f t="shared" si="71"/>
        <v>0</v>
      </c>
    </row>
    <row r="2203" spans="1:24" x14ac:dyDescent="0.25">
      <c r="A2203" s="17"/>
      <c r="B2203" s="17"/>
      <c r="C2203" s="17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8">
        <v>0</v>
      </c>
      <c r="W2203" s="17">
        <f t="shared" si="70"/>
        <v>0</v>
      </c>
      <c r="X2203" s="5">
        <f t="shared" si="71"/>
        <v>0</v>
      </c>
    </row>
    <row r="2204" spans="1:24" x14ac:dyDescent="0.25">
      <c r="A2204" s="17"/>
      <c r="B2204" s="17"/>
      <c r="C2204" s="17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8">
        <v>0</v>
      </c>
      <c r="W2204" s="17">
        <f t="shared" si="70"/>
        <v>0</v>
      </c>
      <c r="X2204" s="5">
        <f t="shared" si="71"/>
        <v>0</v>
      </c>
    </row>
    <row r="2205" spans="1:24" x14ac:dyDescent="0.25">
      <c r="A2205" s="17"/>
      <c r="B2205" s="17"/>
      <c r="C2205" s="17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8">
        <v>0</v>
      </c>
      <c r="W2205" s="17">
        <f t="shared" si="70"/>
        <v>0</v>
      </c>
      <c r="X2205" s="5">
        <f t="shared" si="71"/>
        <v>0</v>
      </c>
    </row>
    <row r="2206" spans="1:24" x14ac:dyDescent="0.25">
      <c r="A2206" s="17"/>
      <c r="B2206" s="17"/>
      <c r="C2206" s="17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8">
        <v>0</v>
      </c>
      <c r="W2206" s="17">
        <f t="shared" si="70"/>
        <v>0</v>
      </c>
      <c r="X2206" s="5">
        <f t="shared" si="71"/>
        <v>0</v>
      </c>
    </row>
    <row r="2207" spans="1:24" x14ac:dyDescent="0.25">
      <c r="A2207" s="17"/>
      <c r="B2207" s="17"/>
      <c r="C2207" s="17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8">
        <v>0</v>
      </c>
      <c r="W2207" s="17">
        <f t="shared" si="70"/>
        <v>0</v>
      </c>
      <c r="X2207" s="5">
        <f t="shared" si="71"/>
        <v>0</v>
      </c>
    </row>
    <row r="2208" spans="1:24" x14ac:dyDescent="0.25">
      <c r="A2208" s="17"/>
      <c r="B2208" s="17"/>
      <c r="C2208" s="17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  <c r="N2208" s="17"/>
      <c r="O2208" s="17"/>
      <c r="P2208" s="17"/>
      <c r="Q2208" s="17"/>
      <c r="R2208" s="17"/>
      <c r="S2208" s="17"/>
      <c r="T2208" s="17"/>
      <c r="U2208" s="17"/>
      <c r="V2208" s="18">
        <v>0</v>
      </c>
      <c r="W2208" s="17">
        <f t="shared" si="70"/>
        <v>0</v>
      </c>
      <c r="X2208" s="5">
        <f t="shared" si="71"/>
        <v>0</v>
      </c>
    </row>
    <row r="2209" spans="1:24" x14ac:dyDescent="0.25">
      <c r="A2209" s="17"/>
      <c r="B2209" s="17"/>
      <c r="C2209" s="17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  <c r="N2209" s="17"/>
      <c r="O2209" s="17"/>
      <c r="P2209" s="17"/>
      <c r="Q2209" s="17"/>
      <c r="R2209" s="17"/>
      <c r="S2209" s="17"/>
      <c r="T2209" s="17"/>
      <c r="U2209" s="17"/>
      <c r="V2209" s="18">
        <v>0</v>
      </c>
      <c r="W2209" s="17">
        <f t="shared" si="70"/>
        <v>0</v>
      </c>
      <c r="X2209" s="5">
        <f t="shared" si="71"/>
        <v>0</v>
      </c>
    </row>
    <row r="2210" spans="1:24" x14ac:dyDescent="0.25">
      <c r="A2210" s="17"/>
      <c r="B2210" s="17"/>
      <c r="C2210" s="17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  <c r="N2210" s="17"/>
      <c r="O2210" s="17"/>
      <c r="P2210" s="17"/>
      <c r="Q2210" s="17"/>
      <c r="R2210" s="17"/>
      <c r="S2210" s="17"/>
      <c r="T2210" s="17"/>
      <c r="U2210" s="17"/>
      <c r="V2210" s="18">
        <v>0</v>
      </c>
      <c r="W2210" s="17">
        <f t="shared" si="70"/>
        <v>0</v>
      </c>
      <c r="X2210" s="5">
        <f t="shared" si="71"/>
        <v>0</v>
      </c>
    </row>
    <row r="2211" spans="1:24" x14ac:dyDescent="0.25">
      <c r="A2211" s="17"/>
      <c r="B2211" s="17"/>
      <c r="C2211" s="17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8">
        <v>0</v>
      </c>
      <c r="W2211" s="17">
        <f t="shared" si="70"/>
        <v>0</v>
      </c>
      <c r="X2211" s="5">
        <f t="shared" si="71"/>
        <v>0</v>
      </c>
    </row>
    <row r="2212" spans="1:24" x14ac:dyDescent="0.25">
      <c r="A2212" s="17"/>
      <c r="B2212" s="17"/>
      <c r="C2212" s="17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8">
        <v>0</v>
      </c>
      <c r="W2212" s="17">
        <f t="shared" si="70"/>
        <v>0</v>
      </c>
      <c r="X2212" s="5">
        <f t="shared" si="71"/>
        <v>0</v>
      </c>
    </row>
    <row r="2213" spans="1:24" x14ac:dyDescent="0.25">
      <c r="A2213" s="17"/>
      <c r="B2213" s="17"/>
      <c r="C2213" s="17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8">
        <v>0</v>
      </c>
      <c r="W2213" s="17">
        <f t="shared" si="70"/>
        <v>0</v>
      </c>
      <c r="X2213" s="5">
        <f t="shared" si="71"/>
        <v>0</v>
      </c>
    </row>
    <row r="2214" spans="1:24" x14ac:dyDescent="0.25">
      <c r="A2214" s="17"/>
      <c r="B2214" s="17"/>
      <c r="C2214" s="17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8">
        <v>0</v>
      </c>
      <c r="W2214" s="17">
        <f t="shared" si="70"/>
        <v>0</v>
      </c>
      <c r="X2214" s="5">
        <f t="shared" si="71"/>
        <v>0</v>
      </c>
    </row>
    <row r="2215" spans="1:24" x14ac:dyDescent="0.25">
      <c r="A2215" s="17"/>
      <c r="B2215" s="17"/>
      <c r="C2215" s="17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8">
        <v>0</v>
      </c>
      <c r="W2215" s="17">
        <f t="shared" si="70"/>
        <v>0</v>
      </c>
      <c r="X2215" s="5">
        <f t="shared" si="71"/>
        <v>0</v>
      </c>
    </row>
    <row r="2216" spans="1:24" x14ac:dyDescent="0.25">
      <c r="A2216" s="17"/>
      <c r="B2216" s="17"/>
      <c r="C2216" s="17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8">
        <v>0</v>
      </c>
      <c r="W2216" s="17">
        <f t="shared" si="70"/>
        <v>0</v>
      </c>
      <c r="X2216" s="5">
        <f t="shared" si="71"/>
        <v>0</v>
      </c>
    </row>
    <row r="2217" spans="1:24" x14ac:dyDescent="0.25">
      <c r="A2217" s="17"/>
      <c r="B2217" s="17"/>
      <c r="C2217" s="17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8">
        <v>0</v>
      </c>
      <c r="W2217" s="17">
        <f t="shared" si="70"/>
        <v>0</v>
      </c>
      <c r="X2217" s="5">
        <f t="shared" si="71"/>
        <v>0</v>
      </c>
    </row>
    <row r="2218" spans="1:24" x14ac:dyDescent="0.25">
      <c r="A2218" s="17"/>
      <c r="B2218" s="17"/>
      <c r="C2218" s="17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8">
        <v>0</v>
      </c>
      <c r="W2218" s="17">
        <f t="shared" si="70"/>
        <v>0</v>
      </c>
      <c r="X2218" s="5">
        <f t="shared" si="71"/>
        <v>0</v>
      </c>
    </row>
    <row r="2219" spans="1:24" x14ac:dyDescent="0.25">
      <c r="A2219" s="17"/>
      <c r="B2219" s="17"/>
      <c r="C2219" s="17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8">
        <v>0</v>
      </c>
      <c r="W2219" s="17">
        <f t="shared" si="70"/>
        <v>0</v>
      </c>
      <c r="X2219" s="5">
        <f t="shared" si="71"/>
        <v>0</v>
      </c>
    </row>
    <row r="2220" spans="1:24" x14ac:dyDescent="0.25">
      <c r="A2220" s="17"/>
      <c r="B2220" s="17"/>
      <c r="C2220" s="17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  <c r="N2220" s="17"/>
      <c r="O2220" s="17"/>
      <c r="P2220" s="17"/>
      <c r="Q2220" s="17"/>
      <c r="R2220" s="17"/>
      <c r="S2220" s="17"/>
      <c r="T2220" s="17"/>
      <c r="U2220" s="17"/>
      <c r="V2220" s="18">
        <v>0</v>
      </c>
      <c r="W2220" s="17">
        <f t="shared" si="70"/>
        <v>0</v>
      </c>
      <c r="X2220" s="5">
        <f t="shared" si="71"/>
        <v>0</v>
      </c>
    </row>
    <row r="2221" spans="1:24" x14ac:dyDescent="0.25">
      <c r="A2221" s="17"/>
      <c r="B2221" s="17"/>
      <c r="C2221" s="17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  <c r="N2221" s="17"/>
      <c r="O2221" s="17"/>
      <c r="P2221" s="17"/>
      <c r="Q2221" s="17"/>
      <c r="R2221" s="17"/>
      <c r="S2221" s="17"/>
      <c r="T2221" s="17"/>
      <c r="U2221" s="17"/>
      <c r="V2221" s="18">
        <v>0</v>
      </c>
      <c r="W2221" s="17">
        <f t="shared" si="70"/>
        <v>0</v>
      </c>
      <c r="X2221" s="5">
        <f t="shared" si="71"/>
        <v>0</v>
      </c>
    </row>
    <row r="2222" spans="1:24" x14ac:dyDescent="0.25">
      <c r="A2222" s="17"/>
      <c r="B2222" s="17"/>
      <c r="C2222" s="17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  <c r="N2222" s="17"/>
      <c r="O2222" s="17"/>
      <c r="P2222" s="17"/>
      <c r="Q2222" s="17"/>
      <c r="R2222" s="17"/>
      <c r="S2222" s="17"/>
      <c r="T2222" s="17"/>
      <c r="U2222" s="17"/>
      <c r="V2222" s="18">
        <v>0</v>
      </c>
      <c r="W2222" s="17">
        <f t="shared" si="70"/>
        <v>0</v>
      </c>
      <c r="X2222" s="5">
        <f t="shared" si="71"/>
        <v>0</v>
      </c>
    </row>
    <row r="2223" spans="1:24" x14ac:dyDescent="0.25">
      <c r="A2223" s="17"/>
      <c r="B2223" s="17"/>
      <c r="C2223" s="17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8">
        <v>0</v>
      </c>
      <c r="W2223" s="17">
        <f t="shared" si="70"/>
        <v>0</v>
      </c>
      <c r="X2223" s="5">
        <f t="shared" si="71"/>
        <v>0</v>
      </c>
    </row>
    <row r="2224" spans="1:24" x14ac:dyDescent="0.25">
      <c r="A2224" s="17"/>
      <c r="B2224" s="17"/>
      <c r="C2224" s="17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8">
        <v>0</v>
      </c>
      <c r="W2224" s="17">
        <f t="shared" si="70"/>
        <v>0</v>
      </c>
      <c r="X2224" s="5">
        <f t="shared" si="71"/>
        <v>0</v>
      </c>
    </row>
    <row r="2225" spans="1:24" x14ac:dyDescent="0.25">
      <c r="A2225" s="17"/>
      <c r="B2225" s="17"/>
      <c r="C2225" s="17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8">
        <v>0</v>
      </c>
      <c r="W2225" s="17">
        <f t="shared" si="70"/>
        <v>0</v>
      </c>
      <c r="X2225" s="5">
        <f t="shared" si="71"/>
        <v>0</v>
      </c>
    </row>
    <row r="2226" spans="1:24" x14ac:dyDescent="0.25">
      <c r="A2226" s="17"/>
      <c r="B2226" s="17"/>
      <c r="C2226" s="17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8">
        <v>0</v>
      </c>
      <c r="W2226" s="17">
        <f t="shared" si="70"/>
        <v>0</v>
      </c>
      <c r="X2226" s="5">
        <f t="shared" si="71"/>
        <v>0</v>
      </c>
    </row>
    <row r="2227" spans="1:24" x14ac:dyDescent="0.25">
      <c r="A2227" s="17"/>
      <c r="B2227" s="17"/>
      <c r="C2227" s="17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8">
        <v>0</v>
      </c>
      <c r="W2227" s="17">
        <f t="shared" si="70"/>
        <v>0</v>
      </c>
      <c r="X2227" s="5">
        <f t="shared" si="71"/>
        <v>0</v>
      </c>
    </row>
    <row r="2228" spans="1:24" x14ac:dyDescent="0.25">
      <c r="A2228" s="17"/>
      <c r="B2228" s="17"/>
      <c r="C2228" s="17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8">
        <v>0</v>
      </c>
      <c r="W2228" s="17">
        <f t="shared" si="70"/>
        <v>0</v>
      </c>
      <c r="X2228" s="5">
        <f t="shared" si="71"/>
        <v>0</v>
      </c>
    </row>
    <row r="2229" spans="1:24" x14ac:dyDescent="0.25">
      <c r="A2229" s="17"/>
      <c r="B2229" s="17"/>
      <c r="C2229" s="17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8">
        <v>0</v>
      </c>
      <c r="W2229" s="17">
        <f t="shared" si="70"/>
        <v>0</v>
      </c>
      <c r="X2229" s="5">
        <f t="shared" si="71"/>
        <v>0</v>
      </c>
    </row>
    <row r="2230" spans="1:24" x14ac:dyDescent="0.25">
      <c r="A2230" s="17"/>
      <c r="B2230" s="17"/>
      <c r="C2230" s="17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8">
        <v>0</v>
      </c>
      <c r="W2230" s="17">
        <f t="shared" si="70"/>
        <v>0</v>
      </c>
      <c r="X2230" s="5">
        <f t="shared" si="71"/>
        <v>0</v>
      </c>
    </row>
    <row r="2231" spans="1:24" x14ac:dyDescent="0.25">
      <c r="A2231" s="17"/>
      <c r="B2231" s="17"/>
      <c r="C2231" s="17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8">
        <v>0</v>
      </c>
      <c r="W2231" s="17">
        <f t="shared" si="70"/>
        <v>0</v>
      </c>
      <c r="X2231" s="5">
        <f t="shared" si="71"/>
        <v>0</v>
      </c>
    </row>
    <row r="2232" spans="1:24" x14ac:dyDescent="0.25">
      <c r="A2232" s="17"/>
      <c r="B2232" s="17"/>
      <c r="C2232" s="17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8">
        <v>0</v>
      </c>
      <c r="W2232" s="17">
        <f t="shared" si="70"/>
        <v>0</v>
      </c>
      <c r="X2232" s="5">
        <f t="shared" si="71"/>
        <v>0</v>
      </c>
    </row>
    <row r="2233" spans="1:24" x14ac:dyDescent="0.25">
      <c r="A2233" s="17"/>
      <c r="B2233" s="17"/>
      <c r="C2233" s="17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8">
        <v>0</v>
      </c>
      <c r="W2233" s="17">
        <f t="shared" si="70"/>
        <v>0</v>
      </c>
      <c r="X2233" s="5">
        <f t="shared" si="71"/>
        <v>0</v>
      </c>
    </row>
    <row r="2234" spans="1:24" x14ac:dyDescent="0.25">
      <c r="A2234" s="17"/>
      <c r="B2234" s="17"/>
      <c r="C2234" s="17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8">
        <v>0</v>
      </c>
      <c r="W2234" s="17">
        <f t="shared" si="70"/>
        <v>0</v>
      </c>
      <c r="X2234" s="5">
        <f t="shared" si="71"/>
        <v>0</v>
      </c>
    </row>
    <row r="2235" spans="1:24" x14ac:dyDescent="0.25">
      <c r="A2235" s="17"/>
      <c r="B2235" s="17"/>
      <c r="C2235" s="17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8">
        <v>0</v>
      </c>
      <c r="W2235" s="17">
        <f t="shared" si="70"/>
        <v>0</v>
      </c>
      <c r="X2235" s="5">
        <f t="shared" si="71"/>
        <v>0</v>
      </c>
    </row>
    <row r="2236" spans="1:24" x14ac:dyDescent="0.25">
      <c r="A2236" s="17"/>
      <c r="B2236" s="17"/>
      <c r="C2236" s="17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  <c r="N2236" s="17"/>
      <c r="O2236" s="17"/>
      <c r="P2236" s="17"/>
      <c r="Q2236" s="17"/>
      <c r="R2236" s="17"/>
      <c r="S2236" s="17"/>
      <c r="T2236" s="17"/>
      <c r="U2236" s="17"/>
      <c r="V2236" s="18">
        <v>0</v>
      </c>
      <c r="W2236" s="17">
        <f t="shared" si="70"/>
        <v>0</v>
      </c>
      <c r="X2236" s="5">
        <f t="shared" si="71"/>
        <v>0</v>
      </c>
    </row>
    <row r="2237" spans="1:24" x14ac:dyDescent="0.25">
      <c r="A2237" s="17"/>
      <c r="B2237" s="17"/>
      <c r="C2237" s="17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  <c r="N2237" s="17"/>
      <c r="O2237" s="17"/>
      <c r="P2237" s="17"/>
      <c r="Q2237" s="17"/>
      <c r="R2237" s="17"/>
      <c r="S2237" s="17"/>
      <c r="T2237" s="17"/>
      <c r="U2237" s="17"/>
      <c r="V2237" s="18">
        <v>0</v>
      </c>
      <c r="W2237" s="17">
        <f t="shared" si="70"/>
        <v>0</v>
      </c>
      <c r="X2237" s="5">
        <f t="shared" si="71"/>
        <v>0</v>
      </c>
    </row>
    <row r="2238" spans="1:24" x14ac:dyDescent="0.25">
      <c r="A2238" s="17"/>
      <c r="B2238" s="17"/>
      <c r="C2238" s="17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  <c r="N2238" s="17"/>
      <c r="O2238" s="17"/>
      <c r="P2238" s="17"/>
      <c r="Q2238" s="17"/>
      <c r="R2238" s="17"/>
      <c r="S2238" s="17"/>
      <c r="T2238" s="17"/>
      <c r="U2238" s="17"/>
      <c r="V2238" s="18">
        <v>0</v>
      </c>
      <c r="W2238" s="17">
        <f t="shared" si="70"/>
        <v>0</v>
      </c>
      <c r="X2238" s="5">
        <f t="shared" si="71"/>
        <v>0</v>
      </c>
    </row>
    <row r="2239" spans="1:24" x14ac:dyDescent="0.25">
      <c r="A2239" s="17"/>
      <c r="B2239" s="17"/>
      <c r="C2239" s="17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8">
        <v>0</v>
      </c>
      <c r="W2239" s="17">
        <f t="shared" si="70"/>
        <v>0</v>
      </c>
      <c r="X2239" s="5">
        <f t="shared" si="71"/>
        <v>0</v>
      </c>
    </row>
    <row r="2240" spans="1:24" x14ac:dyDescent="0.25">
      <c r="A2240" s="17"/>
      <c r="B2240" s="17"/>
      <c r="C2240" s="17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8">
        <v>0</v>
      </c>
      <c r="W2240" s="17">
        <f t="shared" si="70"/>
        <v>0</v>
      </c>
      <c r="X2240" s="5">
        <f t="shared" si="71"/>
        <v>0</v>
      </c>
    </row>
    <row r="2241" spans="1:24" x14ac:dyDescent="0.25">
      <c r="A2241" s="17"/>
      <c r="B2241" s="17"/>
      <c r="C2241" s="17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8">
        <v>0</v>
      </c>
      <c r="W2241" s="17">
        <f t="shared" si="70"/>
        <v>0</v>
      </c>
      <c r="X2241" s="5">
        <f t="shared" si="71"/>
        <v>0</v>
      </c>
    </row>
    <row r="2242" spans="1:24" x14ac:dyDescent="0.25">
      <c r="A2242" s="17"/>
      <c r="B2242" s="17"/>
      <c r="C2242" s="17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8">
        <v>0</v>
      </c>
      <c r="W2242" s="17">
        <f t="shared" si="70"/>
        <v>0</v>
      </c>
      <c r="X2242" s="5">
        <f t="shared" si="71"/>
        <v>0</v>
      </c>
    </row>
    <row r="2243" spans="1:24" x14ac:dyDescent="0.25">
      <c r="A2243" s="17"/>
      <c r="B2243" s="17"/>
      <c r="C2243" s="17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8">
        <v>0</v>
      </c>
      <c r="W2243" s="17">
        <f t="shared" ref="W2243:W2306" si="72">HOUR(E2243)</f>
        <v>0</v>
      </c>
      <c r="X2243" s="5">
        <f t="shared" ref="X2243:X2306" si="73">IF(D2243=D2242,0,1)</f>
        <v>0</v>
      </c>
    </row>
    <row r="2244" spans="1:24" x14ac:dyDescent="0.25">
      <c r="A2244" s="17"/>
      <c r="B2244" s="17"/>
      <c r="C2244" s="17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8">
        <v>0</v>
      </c>
      <c r="W2244" s="17">
        <f t="shared" si="72"/>
        <v>0</v>
      </c>
      <c r="X2244" s="5">
        <f t="shared" si="73"/>
        <v>0</v>
      </c>
    </row>
    <row r="2245" spans="1:24" x14ac:dyDescent="0.25">
      <c r="A2245" s="17"/>
      <c r="B2245" s="17"/>
      <c r="C2245" s="17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8">
        <v>0</v>
      </c>
      <c r="W2245" s="17">
        <f t="shared" si="72"/>
        <v>0</v>
      </c>
      <c r="X2245" s="5">
        <f t="shared" si="73"/>
        <v>0</v>
      </c>
    </row>
    <row r="2246" spans="1:24" x14ac:dyDescent="0.25">
      <c r="A2246" s="17"/>
      <c r="B2246" s="17"/>
      <c r="C2246" s="17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8">
        <v>0</v>
      </c>
      <c r="W2246" s="17">
        <f t="shared" si="72"/>
        <v>0</v>
      </c>
      <c r="X2246" s="5">
        <f t="shared" si="73"/>
        <v>0</v>
      </c>
    </row>
    <row r="2247" spans="1:24" x14ac:dyDescent="0.25">
      <c r="A2247" s="17"/>
      <c r="B2247" s="17"/>
      <c r="C2247" s="17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  <c r="N2247" s="17"/>
      <c r="O2247" s="17"/>
      <c r="P2247" s="17"/>
      <c r="Q2247" s="17"/>
      <c r="R2247" s="17"/>
      <c r="S2247" s="17"/>
      <c r="T2247" s="17"/>
      <c r="U2247" s="17"/>
      <c r="V2247" s="18">
        <v>0</v>
      </c>
      <c r="W2247" s="17">
        <f t="shared" si="72"/>
        <v>0</v>
      </c>
      <c r="X2247" s="5">
        <f t="shared" si="73"/>
        <v>0</v>
      </c>
    </row>
    <row r="2248" spans="1:24" x14ac:dyDescent="0.25">
      <c r="A2248" s="17"/>
      <c r="B2248" s="17"/>
      <c r="C2248" s="17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  <c r="N2248" s="17"/>
      <c r="O2248" s="17"/>
      <c r="P2248" s="17"/>
      <c r="Q2248" s="17"/>
      <c r="R2248" s="17"/>
      <c r="S2248" s="17"/>
      <c r="T2248" s="17"/>
      <c r="U2248" s="17"/>
      <c r="V2248" s="18">
        <v>0</v>
      </c>
      <c r="W2248" s="17">
        <f t="shared" si="72"/>
        <v>0</v>
      </c>
      <c r="X2248" s="5">
        <f t="shared" si="73"/>
        <v>0</v>
      </c>
    </row>
    <row r="2249" spans="1:24" x14ac:dyDescent="0.25">
      <c r="A2249" s="17"/>
      <c r="B2249" s="17"/>
      <c r="C2249" s="17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  <c r="N2249" s="17"/>
      <c r="O2249" s="17"/>
      <c r="P2249" s="17"/>
      <c r="Q2249" s="17"/>
      <c r="R2249" s="17"/>
      <c r="S2249" s="17"/>
      <c r="T2249" s="17"/>
      <c r="U2249" s="17"/>
      <c r="V2249" s="18">
        <v>0</v>
      </c>
      <c r="W2249" s="17">
        <f t="shared" si="72"/>
        <v>0</v>
      </c>
      <c r="X2249" s="5">
        <f t="shared" si="73"/>
        <v>0</v>
      </c>
    </row>
    <row r="2250" spans="1:24" x14ac:dyDescent="0.25">
      <c r="A2250" s="17"/>
      <c r="B2250" s="17"/>
      <c r="C2250" s="17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8">
        <v>0</v>
      </c>
      <c r="W2250" s="17">
        <f t="shared" si="72"/>
        <v>0</v>
      </c>
      <c r="X2250" s="5">
        <f t="shared" si="73"/>
        <v>0</v>
      </c>
    </row>
    <row r="2251" spans="1:24" x14ac:dyDescent="0.25">
      <c r="A2251" s="17"/>
      <c r="B2251" s="17"/>
      <c r="C2251" s="17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8">
        <v>0</v>
      </c>
      <c r="W2251" s="17">
        <f t="shared" si="72"/>
        <v>0</v>
      </c>
      <c r="X2251" s="5">
        <f t="shared" si="73"/>
        <v>0</v>
      </c>
    </row>
    <row r="2252" spans="1:24" x14ac:dyDescent="0.25">
      <c r="A2252" s="17"/>
      <c r="B2252" s="17"/>
      <c r="C2252" s="17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8">
        <v>0</v>
      </c>
      <c r="W2252" s="17">
        <f t="shared" si="72"/>
        <v>0</v>
      </c>
      <c r="X2252" s="5">
        <f t="shared" si="73"/>
        <v>0</v>
      </c>
    </row>
    <row r="2253" spans="1:24" x14ac:dyDescent="0.25">
      <c r="A2253" s="17"/>
      <c r="B2253" s="17"/>
      <c r="C2253" s="17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8">
        <v>0</v>
      </c>
      <c r="W2253" s="17">
        <f t="shared" si="72"/>
        <v>0</v>
      </c>
      <c r="X2253" s="5">
        <f t="shared" si="73"/>
        <v>0</v>
      </c>
    </row>
    <row r="2254" spans="1:24" x14ac:dyDescent="0.25">
      <c r="A2254" s="17"/>
      <c r="B2254" s="17"/>
      <c r="C2254" s="17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8">
        <v>0</v>
      </c>
      <c r="W2254" s="17">
        <f t="shared" si="72"/>
        <v>0</v>
      </c>
      <c r="X2254" s="5">
        <f t="shared" si="73"/>
        <v>0</v>
      </c>
    </row>
    <row r="2255" spans="1:24" x14ac:dyDescent="0.25">
      <c r="A2255" s="17"/>
      <c r="B2255" s="17"/>
      <c r="C2255" s="17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8">
        <v>0</v>
      </c>
      <c r="W2255" s="17">
        <f t="shared" si="72"/>
        <v>0</v>
      </c>
      <c r="X2255" s="5">
        <f t="shared" si="73"/>
        <v>0</v>
      </c>
    </row>
    <row r="2256" spans="1:24" x14ac:dyDescent="0.25">
      <c r="A2256" s="17"/>
      <c r="B2256" s="17"/>
      <c r="C2256" s="17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8">
        <v>0</v>
      </c>
      <c r="W2256" s="17">
        <f t="shared" si="72"/>
        <v>0</v>
      </c>
      <c r="X2256" s="5">
        <f t="shared" si="73"/>
        <v>0</v>
      </c>
    </row>
    <row r="2257" spans="1:24" x14ac:dyDescent="0.25">
      <c r="A2257" s="17"/>
      <c r="B2257" s="17"/>
      <c r="C2257" s="17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8">
        <v>0</v>
      </c>
      <c r="W2257" s="17">
        <f t="shared" si="72"/>
        <v>0</v>
      </c>
      <c r="X2257" s="5">
        <f t="shared" si="73"/>
        <v>0</v>
      </c>
    </row>
    <row r="2258" spans="1:24" x14ac:dyDescent="0.25">
      <c r="A2258" s="17"/>
      <c r="B2258" s="17"/>
      <c r="C2258" s="17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8">
        <v>0</v>
      </c>
      <c r="W2258" s="17">
        <f t="shared" si="72"/>
        <v>0</v>
      </c>
      <c r="X2258" s="5">
        <f t="shared" si="73"/>
        <v>0</v>
      </c>
    </row>
    <row r="2259" spans="1:24" x14ac:dyDescent="0.25">
      <c r="A2259" s="17"/>
      <c r="B2259" s="17"/>
      <c r="C2259" s="17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  <c r="N2259" s="17"/>
      <c r="O2259" s="17"/>
      <c r="P2259" s="17"/>
      <c r="Q2259" s="17"/>
      <c r="R2259" s="17"/>
      <c r="S2259" s="17"/>
      <c r="T2259" s="17"/>
      <c r="U2259" s="17"/>
      <c r="V2259" s="18">
        <v>0</v>
      </c>
      <c r="W2259" s="17">
        <f t="shared" si="72"/>
        <v>0</v>
      </c>
      <c r="X2259" s="5">
        <f t="shared" si="73"/>
        <v>0</v>
      </c>
    </row>
    <row r="2260" spans="1:24" x14ac:dyDescent="0.25">
      <c r="A2260" s="17"/>
      <c r="B2260" s="17"/>
      <c r="C2260" s="17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  <c r="N2260" s="17"/>
      <c r="O2260" s="17"/>
      <c r="P2260" s="17"/>
      <c r="Q2260" s="17"/>
      <c r="R2260" s="17"/>
      <c r="S2260" s="17"/>
      <c r="T2260" s="17"/>
      <c r="U2260" s="17"/>
      <c r="V2260" s="18">
        <v>0</v>
      </c>
      <c r="W2260" s="17">
        <f t="shared" si="72"/>
        <v>0</v>
      </c>
      <c r="X2260" s="5">
        <f t="shared" si="73"/>
        <v>0</v>
      </c>
    </row>
    <row r="2261" spans="1:24" x14ac:dyDescent="0.25">
      <c r="A2261" s="17"/>
      <c r="B2261" s="17"/>
      <c r="C2261" s="17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  <c r="N2261" s="17"/>
      <c r="O2261" s="17"/>
      <c r="P2261" s="17"/>
      <c r="Q2261" s="17"/>
      <c r="R2261" s="17"/>
      <c r="S2261" s="17"/>
      <c r="T2261" s="17"/>
      <c r="U2261" s="17"/>
      <c r="V2261" s="18">
        <v>0</v>
      </c>
      <c r="W2261" s="17">
        <f t="shared" si="72"/>
        <v>0</v>
      </c>
      <c r="X2261" s="5">
        <f t="shared" si="73"/>
        <v>0</v>
      </c>
    </row>
    <row r="2262" spans="1:24" x14ac:dyDescent="0.25">
      <c r="A2262" s="17"/>
      <c r="B2262" s="17"/>
      <c r="C2262" s="17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8">
        <v>0</v>
      </c>
      <c r="W2262" s="17">
        <f t="shared" si="72"/>
        <v>0</v>
      </c>
      <c r="X2262" s="5">
        <f t="shared" si="73"/>
        <v>0</v>
      </c>
    </row>
    <row r="2263" spans="1:24" x14ac:dyDescent="0.25">
      <c r="A2263" s="17"/>
      <c r="B2263" s="17"/>
      <c r="C2263" s="17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8">
        <v>0</v>
      </c>
      <c r="W2263" s="17">
        <f t="shared" si="72"/>
        <v>0</v>
      </c>
      <c r="X2263" s="5">
        <f t="shared" si="73"/>
        <v>0</v>
      </c>
    </row>
    <row r="2264" spans="1:24" x14ac:dyDescent="0.25">
      <c r="A2264" s="17"/>
      <c r="B2264" s="17"/>
      <c r="C2264" s="17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8">
        <v>0</v>
      </c>
      <c r="W2264" s="17">
        <f t="shared" si="72"/>
        <v>0</v>
      </c>
      <c r="X2264" s="5">
        <f t="shared" si="73"/>
        <v>0</v>
      </c>
    </row>
    <row r="2265" spans="1:24" x14ac:dyDescent="0.25">
      <c r="A2265" s="17"/>
      <c r="B2265" s="17"/>
      <c r="C2265" s="17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8">
        <v>0</v>
      </c>
      <c r="W2265" s="17">
        <f t="shared" si="72"/>
        <v>0</v>
      </c>
      <c r="X2265" s="5">
        <f t="shared" si="73"/>
        <v>0</v>
      </c>
    </row>
    <row r="2266" spans="1:24" x14ac:dyDescent="0.25">
      <c r="A2266" s="17"/>
      <c r="B2266" s="17"/>
      <c r="C2266" s="17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8">
        <v>0</v>
      </c>
      <c r="W2266" s="17">
        <f t="shared" si="72"/>
        <v>0</v>
      </c>
      <c r="X2266" s="5">
        <f t="shared" si="73"/>
        <v>0</v>
      </c>
    </row>
    <row r="2267" spans="1:24" x14ac:dyDescent="0.25">
      <c r="A2267" s="17"/>
      <c r="B2267" s="17"/>
      <c r="C2267" s="17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8">
        <v>0</v>
      </c>
      <c r="W2267" s="17">
        <f t="shared" si="72"/>
        <v>0</v>
      </c>
      <c r="X2267" s="5">
        <f t="shared" si="73"/>
        <v>0</v>
      </c>
    </row>
    <row r="2268" spans="1:24" x14ac:dyDescent="0.25">
      <c r="A2268" s="17"/>
      <c r="B2268" s="17"/>
      <c r="C2268" s="17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8">
        <v>0</v>
      </c>
      <c r="W2268" s="17">
        <f t="shared" si="72"/>
        <v>0</v>
      </c>
      <c r="X2268" s="5">
        <f t="shared" si="73"/>
        <v>0</v>
      </c>
    </row>
    <row r="2269" spans="1:24" x14ac:dyDescent="0.25">
      <c r="A2269" s="17"/>
      <c r="B2269" s="17"/>
      <c r="C2269" s="17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8">
        <v>0</v>
      </c>
      <c r="W2269" s="17">
        <f t="shared" si="72"/>
        <v>0</v>
      </c>
      <c r="X2269" s="5">
        <f t="shared" si="73"/>
        <v>0</v>
      </c>
    </row>
    <row r="2270" spans="1:24" x14ac:dyDescent="0.25">
      <c r="A2270" s="17"/>
      <c r="B2270" s="17"/>
      <c r="C2270" s="17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8">
        <v>0</v>
      </c>
      <c r="W2270" s="17">
        <f t="shared" si="72"/>
        <v>0</v>
      </c>
      <c r="X2270" s="5">
        <f t="shared" si="73"/>
        <v>0</v>
      </c>
    </row>
    <row r="2271" spans="1:24" x14ac:dyDescent="0.25">
      <c r="A2271" s="17"/>
      <c r="B2271" s="17"/>
      <c r="C2271" s="17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8">
        <v>0</v>
      </c>
      <c r="W2271" s="17">
        <f t="shared" si="72"/>
        <v>0</v>
      </c>
      <c r="X2271" s="5">
        <f t="shared" si="73"/>
        <v>0</v>
      </c>
    </row>
    <row r="2272" spans="1:24" x14ac:dyDescent="0.25">
      <c r="A2272" s="17"/>
      <c r="B2272" s="17"/>
      <c r="C2272" s="17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8">
        <v>0</v>
      </c>
      <c r="W2272" s="17">
        <f t="shared" si="72"/>
        <v>0</v>
      </c>
      <c r="X2272" s="5">
        <f t="shared" si="73"/>
        <v>0</v>
      </c>
    </row>
    <row r="2273" spans="1:24" x14ac:dyDescent="0.25">
      <c r="A2273" s="17"/>
      <c r="B2273" s="17"/>
      <c r="C2273" s="17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8">
        <v>0</v>
      </c>
      <c r="W2273" s="17">
        <f t="shared" si="72"/>
        <v>0</v>
      </c>
      <c r="X2273" s="5">
        <f t="shared" si="73"/>
        <v>0</v>
      </c>
    </row>
    <row r="2274" spans="1:24" x14ac:dyDescent="0.25">
      <c r="A2274" s="17"/>
      <c r="B2274" s="17"/>
      <c r="C2274" s="17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8">
        <v>0</v>
      </c>
      <c r="W2274" s="17">
        <f t="shared" si="72"/>
        <v>0</v>
      </c>
      <c r="X2274" s="5">
        <f t="shared" si="73"/>
        <v>0</v>
      </c>
    </row>
    <row r="2275" spans="1:24" x14ac:dyDescent="0.25">
      <c r="A2275" s="17"/>
      <c r="B2275" s="17"/>
      <c r="C2275" s="17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8">
        <v>0</v>
      </c>
      <c r="W2275" s="17">
        <f t="shared" si="72"/>
        <v>0</v>
      </c>
      <c r="X2275" s="5">
        <f t="shared" si="73"/>
        <v>0</v>
      </c>
    </row>
    <row r="2276" spans="1:24" x14ac:dyDescent="0.25">
      <c r="A2276" s="17"/>
      <c r="B2276" s="17"/>
      <c r="C2276" s="17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8">
        <v>0</v>
      </c>
      <c r="W2276" s="17">
        <f t="shared" si="72"/>
        <v>0</v>
      </c>
      <c r="X2276" s="5">
        <f t="shared" si="73"/>
        <v>0</v>
      </c>
    </row>
    <row r="2277" spans="1:24" x14ac:dyDescent="0.25">
      <c r="A2277" s="17"/>
      <c r="B2277" s="17"/>
      <c r="C2277" s="17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  <c r="N2277" s="17"/>
      <c r="O2277" s="17"/>
      <c r="P2277" s="17"/>
      <c r="Q2277" s="17"/>
      <c r="R2277" s="17"/>
      <c r="S2277" s="17"/>
      <c r="T2277" s="17"/>
      <c r="U2277" s="17"/>
      <c r="V2277" s="18">
        <v>0</v>
      </c>
      <c r="W2277" s="17">
        <f t="shared" si="72"/>
        <v>0</v>
      </c>
      <c r="X2277" s="5">
        <f t="shared" si="73"/>
        <v>0</v>
      </c>
    </row>
    <row r="2278" spans="1:24" x14ac:dyDescent="0.25">
      <c r="A2278" s="17"/>
      <c r="B2278" s="17"/>
      <c r="C2278" s="17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  <c r="N2278" s="17"/>
      <c r="O2278" s="17"/>
      <c r="P2278" s="17"/>
      <c r="Q2278" s="17"/>
      <c r="R2278" s="17"/>
      <c r="S2278" s="17"/>
      <c r="T2278" s="17"/>
      <c r="U2278" s="17"/>
      <c r="V2278" s="18">
        <v>0</v>
      </c>
      <c r="W2278" s="17">
        <f t="shared" si="72"/>
        <v>0</v>
      </c>
      <c r="X2278" s="5">
        <f t="shared" si="73"/>
        <v>0</v>
      </c>
    </row>
    <row r="2279" spans="1:24" x14ac:dyDescent="0.25">
      <c r="A2279" s="17"/>
      <c r="B2279" s="17"/>
      <c r="C2279" s="17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  <c r="N2279" s="17"/>
      <c r="O2279" s="17"/>
      <c r="P2279" s="17"/>
      <c r="Q2279" s="17"/>
      <c r="R2279" s="17"/>
      <c r="S2279" s="17"/>
      <c r="T2279" s="17"/>
      <c r="U2279" s="17"/>
      <c r="V2279" s="18">
        <v>0</v>
      </c>
      <c r="W2279" s="17">
        <f t="shared" si="72"/>
        <v>0</v>
      </c>
      <c r="X2279" s="5">
        <f t="shared" si="73"/>
        <v>0</v>
      </c>
    </row>
    <row r="2280" spans="1:24" x14ac:dyDescent="0.25">
      <c r="A2280" s="17"/>
      <c r="B2280" s="17"/>
      <c r="C2280" s="17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  <c r="N2280" s="17"/>
      <c r="O2280" s="17"/>
      <c r="P2280" s="17"/>
      <c r="Q2280" s="17"/>
      <c r="R2280" s="17"/>
      <c r="S2280" s="17"/>
      <c r="T2280" s="17"/>
      <c r="U2280" s="17"/>
      <c r="V2280" s="18">
        <v>0</v>
      </c>
      <c r="W2280" s="17">
        <f t="shared" si="72"/>
        <v>0</v>
      </c>
      <c r="X2280" s="5">
        <f t="shared" si="73"/>
        <v>0</v>
      </c>
    </row>
    <row r="2281" spans="1:24" x14ac:dyDescent="0.25">
      <c r="A2281" s="17"/>
      <c r="B2281" s="17"/>
      <c r="C2281" s="17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  <c r="N2281" s="17"/>
      <c r="O2281" s="17"/>
      <c r="P2281" s="17"/>
      <c r="Q2281" s="17"/>
      <c r="R2281" s="17"/>
      <c r="S2281" s="17"/>
      <c r="T2281" s="17"/>
      <c r="U2281" s="17"/>
      <c r="V2281" s="18">
        <v>0</v>
      </c>
      <c r="W2281" s="17">
        <f t="shared" si="72"/>
        <v>0</v>
      </c>
      <c r="X2281" s="5">
        <f t="shared" si="73"/>
        <v>0</v>
      </c>
    </row>
    <row r="2282" spans="1:24" x14ac:dyDescent="0.25">
      <c r="A2282" s="17"/>
      <c r="B2282" s="17"/>
      <c r="C2282" s="17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  <c r="N2282" s="17"/>
      <c r="O2282" s="17"/>
      <c r="P2282" s="17"/>
      <c r="Q2282" s="17"/>
      <c r="R2282" s="17"/>
      <c r="S2282" s="17"/>
      <c r="T2282" s="17"/>
      <c r="U2282" s="17"/>
      <c r="V2282" s="18">
        <v>0</v>
      </c>
      <c r="W2282" s="17">
        <f t="shared" si="72"/>
        <v>0</v>
      </c>
      <c r="X2282" s="5">
        <f t="shared" si="73"/>
        <v>0</v>
      </c>
    </row>
    <row r="2283" spans="1:24" x14ac:dyDescent="0.25">
      <c r="A2283" s="17"/>
      <c r="B2283" s="17"/>
      <c r="C2283" s="17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8">
        <v>0</v>
      </c>
      <c r="W2283" s="17">
        <f t="shared" si="72"/>
        <v>0</v>
      </c>
      <c r="X2283" s="5">
        <f t="shared" si="73"/>
        <v>0</v>
      </c>
    </row>
    <row r="2284" spans="1:24" x14ac:dyDescent="0.25">
      <c r="A2284" s="17"/>
      <c r="B2284" s="17"/>
      <c r="C2284" s="17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8">
        <v>0</v>
      </c>
      <c r="W2284" s="17">
        <f t="shared" si="72"/>
        <v>0</v>
      </c>
      <c r="X2284" s="5">
        <f t="shared" si="73"/>
        <v>0</v>
      </c>
    </row>
    <row r="2285" spans="1:24" x14ac:dyDescent="0.25">
      <c r="A2285" s="17"/>
      <c r="B2285" s="17"/>
      <c r="C2285" s="17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8">
        <v>0</v>
      </c>
      <c r="W2285" s="17">
        <f t="shared" si="72"/>
        <v>0</v>
      </c>
      <c r="X2285" s="5">
        <f t="shared" si="73"/>
        <v>0</v>
      </c>
    </row>
    <row r="2286" spans="1:24" x14ac:dyDescent="0.25">
      <c r="A2286" s="17"/>
      <c r="B2286" s="17"/>
      <c r="C2286" s="17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8">
        <v>0</v>
      </c>
      <c r="W2286" s="17">
        <f t="shared" si="72"/>
        <v>0</v>
      </c>
      <c r="X2286" s="5">
        <f t="shared" si="73"/>
        <v>0</v>
      </c>
    </row>
    <row r="2287" spans="1:24" x14ac:dyDescent="0.25">
      <c r="A2287" s="17"/>
      <c r="B2287" s="17"/>
      <c r="C2287" s="17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8">
        <v>0</v>
      </c>
      <c r="W2287" s="17">
        <f t="shared" si="72"/>
        <v>0</v>
      </c>
      <c r="X2287" s="5">
        <f t="shared" si="73"/>
        <v>0</v>
      </c>
    </row>
    <row r="2288" spans="1:24" x14ac:dyDescent="0.25">
      <c r="A2288" s="17"/>
      <c r="B2288" s="17"/>
      <c r="C2288" s="17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8">
        <v>0</v>
      </c>
      <c r="W2288" s="17">
        <f t="shared" si="72"/>
        <v>0</v>
      </c>
      <c r="X2288" s="5">
        <f t="shared" si="73"/>
        <v>0</v>
      </c>
    </row>
    <row r="2289" spans="1:24" x14ac:dyDescent="0.25">
      <c r="A2289" s="17"/>
      <c r="B2289" s="17"/>
      <c r="C2289" s="17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8">
        <v>0</v>
      </c>
      <c r="W2289" s="17">
        <f t="shared" si="72"/>
        <v>0</v>
      </c>
      <c r="X2289" s="5">
        <f t="shared" si="73"/>
        <v>0</v>
      </c>
    </row>
    <row r="2290" spans="1:24" x14ac:dyDescent="0.25">
      <c r="A2290" s="17"/>
      <c r="B2290" s="17"/>
      <c r="C2290" s="17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  <c r="N2290" s="17"/>
      <c r="O2290" s="17"/>
      <c r="P2290" s="17"/>
      <c r="Q2290" s="17"/>
      <c r="R2290" s="17"/>
      <c r="S2290" s="17"/>
      <c r="T2290" s="17"/>
      <c r="U2290" s="17"/>
      <c r="V2290" s="18">
        <v>0</v>
      </c>
      <c r="W2290" s="17">
        <f t="shared" si="72"/>
        <v>0</v>
      </c>
      <c r="X2290" s="5">
        <f t="shared" si="73"/>
        <v>0</v>
      </c>
    </row>
    <row r="2291" spans="1:24" x14ac:dyDescent="0.25">
      <c r="A2291" s="17"/>
      <c r="B2291" s="17"/>
      <c r="C2291" s="17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  <c r="N2291" s="17"/>
      <c r="O2291" s="17"/>
      <c r="P2291" s="17"/>
      <c r="Q2291" s="17"/>
      <c r="R2291" s="17"/>
      <c r="S2291" s="17"/>
      <c r="T2291" s="17"/>
      <c r="U2291" s="17"/>
      <c r="V2291" s="18">
        <v>0</v>
      </c>
      <c r="W2291" s="17">
        <f t="shared" si="72"/>
        <v>0</v>
      </c>
      <c r="X2291" s="5">
        <f t="shared" si="73"/>
        <v>0</v>
      </c>
    </row>
    <row r="2292" spans="1:24" x14ac:dyDescent="0.25">
      <c r="A2292" s="17"/>
      <c r="B2292" s="17"/>
      <c r="C2292" s="17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  <c r="N2292" s="17"/>
      <c r="O2292" s="17"/>
      <c r="P2292" s="17"/>
      <c r="Q2292" s="17"/>
      <c r="R2292" s="17"/>
      <c r="S2292" s="17"/>
      <c r="T2292" s="17"/>
      <c r="U2292" s="17"/>
      <c r="V2292" s="18">
        <v>0</v>
      </c>
      <c r="W2292" s="17">
        <f t="shared" si="72"/>
        <v>0</v>
      </c>
      <c r="X2292" s="5">
        <f t="shared" si="73"/>
        <v>0</v>
      </c>
    </row>
    <row r="2293" spans="1:24" x14ac:dyDescent="0.25">
      <c r="A2293" s="17"/>
      <c r="B2293" s="17"/>
      <c r="C2293" s="17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  <c r="N2293" s="17"/>
      <c r="O2293" s="17"/>
      <c r="P2293" s="17"/>
      <c r="Q2293" s="17"/>
      <c r="R2293" s="17"/>
      <c r="S2293" s="17"/>
      <c r="T2293" s="17"/>
      <c r="U2293" s="17"/>
      <c r="V2293" s="18">
        <v>0</v>
      </c>
      <c r="W2293" s="17">
        <f t="shared" si="72"/>
        <v>0</v>
      </c>
      <c r="X2293" s="5">
        <f t="shared" si="73"/>
        <v>0</v>
      </c>
    </row>
    <row r="2294" spans="1:24" x14ac:dyDescent="0.25">
      <c r="A2294" s="17"/>
      <c r="B2294" s="17"/>
      <c r="C2294" s="17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  <c r="N2294" s="17"/>
      <c r="O2294" s="17"/>
      <c r="P2294" s="17"/>
      <c r="Q2294" s="17"/>
      <c r="R2294" s="17"/>
      <c r="S2294" s="17"/>
      <c r="T2294" s="17"/>
      <c r="U2294" s="17"/>
      <c r="V2294" s="18">
        <v>0</v>
      </c>
      <c r="W2294" s="17">
        <f t="shared" si="72"/>
        <v>0</v>
      </c>
      <c r="X2294" s="5">
        <f t="shared" si="73"/>
        <v>0</v>
      </c>
    </row>
    <row r="2295" spans="1:24" x14ac:dyDescent="0.25">
      <c r="A2295" s="17"/>
      <c r="B2295" s="17"/>
      <c r="C2295" s="17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  <c r="N2295" s="17"/>
      <c r="O2295" s="17"/>
      <c r="P2295" s="17"/>
      <c r="Q2295" s="17"/>
      <c r="R2295" s="17"/>
      <c r="S2295" s="17"/>
      <c r="T2295" s="17"/>
      <c r="U2295" s="17"/>
      <c r="V2295" s="18">
        <v>0</v>
      </c>
      <c r="W2295" s="17">
        <f t="shared" si="72"/>
        <v>0</v>
      </c>
      <c r="X2295" s="5">
        <f t="shared" si="73"/>
        <v>0</v>
      </c>
    </row>
    <row r="2296" spans="1:24" x14ac:dyDescent="0.25">
      <c r="A2296" s="17"/>
      <c r="B2296" s="17"/>
      <c r="C2296" s="17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  <c r="N2296" s="17"/>
      <c r="O2296" s="17"/>
      <c r="P2296" s="17"/>
      <c r="Q2296" s="17"/>
      <c r="R2296" s="17"/>
      <c r="S2296" s="17"/>
      <c r="T2296" s="17"/>
      <c r="U2296" s="17"/>
      <c r="V2296" s="18">
        <v>0</v>
      </c>
      <c r="W2296" s="17">
        <f t="shared" si="72"/>
        <v>0</v>
      </c>
      <c r="X2296" s="5">
        <f t="shared" si="73"/>
        <v>0</v>
      </c>
    </row>
    <row r="2297" spans="1:24" x14ac:dyDescent="0.25">
      <c r="A2297" s="17"/>
      <c r="B2297" s="17"/>
      <c r="C2297" s="17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  <c r="N2297" s="17"/>
      <c r="O2297" s="17"/>
      <c r="P2297" s="17"/>
      <c r="Q2297" s="17"/>
      <c r="R2297" s="17"/>
      <c r="S2297" s="17"/>
      <c r="T2297" s="17"/>
      <c r="U2297" s="17"/>
      <c r="V2297" s="18">
        <v>0</v>
      </c>
      <c r="W2297" s="17">
        <f t="shared" si="72"/>
        <v>0</v>
      </c>
      <c r="X2297" s="5">
        <f t="shared" si="73"/>
        <v>0</v>
      </c>
    </row>
    <row r="2298" spans="1:24" x14ac:dyDescent="0.25">
      <c r="A2298" s="17"/>
      <c r="B2298" s="17"/>
      <c r="C2298" s="17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  <c r="N2298" s="17"/>
      <c r="O2298" s="17"/>
      <c r="P2298" s="17"/>
      <c r="Q2298" s="17"/>
      <c r="R2298" s="17"/>
      <c r="S2298" s="17"/>
      <c r="T2298" s="17"/>
      <c r="U2298" s="17"/>
      <c r="V2298" s="18">
        <v>0</v>
      </c>
      <c r="W2298" s="17">
        <f t="shared" si="72"/>
        <v>0</v>
      </c>
      <c r="X2298" s="5">
        <f t="shared" si="73"/>
        <v>0</v>
      </c>
    </row>
    <row r="2299" spans="1:24" x14ac:dyDescent="0.25">
      <c r="A2299" s="17"/>
      <c r="B2299" s="17"/>
      <c r="C2299" s="17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8">
        <v>0</v>
      </c>
      <c r="W2299" s="17">
        <f t="shared" si="72"/>
        <v>0</v>
      </c>
      <c r="X2299" s="5">
        <f t="shared" si="73"/>
        <v>0</v>
      </c>
    </row>
    <row r="2300" spans="1:24" x14ac:dyDescent="0.25">
      <c r="A2300" s="17"/>
      <c r="B2300" s="17"/>
      <c r="C2300" s="17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8">
        <v>0</v>
      </c>
      <c r="W2300" s="17">
        <f t="shared" si="72"/>
        <v>0</v>
      </c>
      <c r="X2300" s="5">
        <f t="shared" si="73"/>
        <v>0</v>
      </c>
    </row>
    <row r="2301" spans="1:24" x14ac:dyDescent="0.25">
      <c r="A2301" s="17"/>
      <c r="B2301" s="17"/>
      <c r="C2301" s="17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8">
        <v>0</v>
      </c>
      <c r="W2301" s="17">
        <f t="shared" si="72"/>
        <v>0</v>
      </c>
      <c r="X2301" s="5">
        <f t="shared" si="73"/>
        <v>0</v>
      </c>
    </row>
    <row r="2302" spans="1:24" x14ac:dyDescent="0.25">
      <c r="A2302" s="17"/>
      <c r="B2302" s="17"/>
      <c r="C2302" s="17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8">
        <v>0</v>
      </c>
      <c r="W2302" s="17">
        <f t="shared" si="72"/>
        <v>0</v>
      </c>
      <c r="X2302" s="5">
        <f t="shared" si="73"/>
        <v>0</v>
      </c>
    </row>
    <row r="2303" spans="1:24" x14ac:dyDescent="0.25">
      <c r="A2303" s="17"/>
      <c r="B2303" s="17"/>
      <c r="C2303" s="17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8">
        <v>0</v>
      </c>
      <c r="W2303" s="17">
        <f t="shared" si="72"/>
        <v>0</v>
      </c>
      <c r="X2303" s="5">
        <f t="shared" si="73"/>
        <v>0</v>
      </c>
    </row>
    <row r="2304" spans="1:24" x14ac:dyDescent="0.25">
      <c r="A2304" s="17"/>
      <c r="B2304" s="17"/>
      <c r="C2304" s="17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8">
        <v>0</v>
      </c>
      <c r="W2304" s="17">
        <f t="shared" si="72"/>
        <v>0</v>
      </c>
      <c r="X2304" s="5">
        <f t="shared" si="73"/>
        <v>0</v>
      </c>
    </row>
    <row r="2305" spans="1:24" x14ac:dyDescent="0.25">
      <c r="A2305" s="17"/>
      <c r="B2305" s="17"/>
      <c r="C2305" s="17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8">
        <v>0</v>
      </c>
      <c r="W2305" s="17">
        <f t="shared" si="72"/>
        <v>0</v>
      </c>
      <c r="X2305" s="5">
        <f t="shared" si="73"/>
        <v>0</v>
      </c>
    </row>
    <row r="2306" spans="1:24" x14ac:dyDescent="0.25">
      <c r="A2306" s="17"/>
      <c r="B2306" s="17"/>
      <c r="C2306" s="17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8">
        <v>0</v>
      </c>
      <c r="W2306" s="17">
        <f t="shared" si="72"/>
        <v>0</v>
      </c>
      <c r="X2306" s="5">
        <f t="shared" si="73"/>
        <v>0</v>
      </c>
    </row>
    <row r="2307" spans="1:24" x14ac:dyDescent="0.25">
      <c r="A2307" s="17"/>
      <c r="B2307" s="17"/>
      <c r="C2307" s="17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8">
        <v>0</v>
      </c>
      <c r="W2307" s="17">
        <f t="shared" ref="W2307:W2370" si="74">HOUR(E2307)</f>
        <v>0</v>
      </c>
      <c r="X2307" s="5">
        <f t="shared" ref="X2307:X2370" si="75">IF(D2307=D2306,0,1)</f>
        <v>0</v>
      </c>
    </row>
    <row r="2308" spans="1:24" x14ac:dyDescent="0.25">
      <c r="A2308" s="17"/>
      <c r="B2308" s="17"/>
      <c r="C2308" s="17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8">
        <v>0</v>
      </c>
      <c r="W2308" s="17">
        <f t="shared" si="74"/>
        <v>0</v>
      </c>
      <c r="X2308" s="5">
        <f t="shared" si="75"/>
        <v>0</v>
      </c>
    </row>
    <row r="2309" spans="1:24" x14ac:dyDescent="0.25">
      <c r="A2309" s="17"/>
      <c r="B2309" s="17"/>
      <c r="C2309" s="17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8">
        <v>0</v>
      </c>
      <c r="W2309" s="17">
        <f t="shared" si="74"/>
        <v>0</v>
      </c>
      <c r="X2309" s="5">
        <f t="shared" si="75"/>
        <v>0</v>
      </c>
    </row>
    <row r="2310" spans="1:24" x14ac:dyDescent="0.25">
      <c r="A2310" s="17"/>
      <c r="B2310" s="17"/>
      <c r="C2310" s="17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8">
        <v>0</v>
      </c>
      <c r="W2310" s="17">
        <f t="shared" si="74"/>
        <v>0</v>
      </c>
      <c r="X2310" s="5">
        <f t="shared" si="75"/>
        <v>0</v>
      </c>
    </row>
    <row r="2311" spans="1:24" x14ac:dyDescent="0.25">
      <c r="A2311" s="17"/>
      <c r="B2311" s="17"/>
      <c r="C2311" s="17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8">
        <v>0</v>
      </c>
      <c r="W2311" s="17">
        <f t="shared" si="74"/>
        <v>0</v>
      </c>
      <c r="X2311" s="5">
        <f t="shared" si="75"/>
        <v>0</v>
      </c>
    </row>
    <row r="2312" spans="1:24" x14ac:dyDescent="0.25">
      <c r="A2312" s="17"/>
      <c r="B2312" s="17"/>
      <c r="C2312" s="17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  <c r="N2312" s="17"/>
      <c r="O2312" s="17"/>
      <c r="P2312" s="17"/>
      <c r="Q2312" s="17"/>
      <c r="R2312" s="17"/>
      <c r="S2312" s="17"/>
      <c r="T2312" s="17"/>
      <c r="U2312" s="17"/>
      <c r="V2312" s="18">
        <v>0</v>
      </c>
      <c r="W2312" s="17">
        <f t="shared" si="74"/>
        <v>0</v>
      </c>
      <c r="X2312" s="5">
        <f t="shared" si="75"/>
        <v>0</v>
      </c>
    </row>
    <row r="2313" spans="1:24" x14ac:dyDescent="0.25">
      <c r="A2313" s="17"/>
      <c r="B2313" s="17"/>
      <c r="C2313" s="17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  <c r="N2313" s="17"/>
      <c r="O2313" s="17"/>
      <c r="P2313" s="17"/>
      <c r="Q2313" s="17"/>
      <c r="R2313" s="17"/>
      <c r="S2313" s="17"/>
      <c r="T2313" s="17"/>
      <c r="U2313" s="17"/>
      <c r="V2313" s="18">
        <v>0</v>
      </c>
      <c r="W2313" s="17">
        <f t="shared" si="74"/>
        <v>0</v>
      </c>
      <c r="X2313" s="5">
        <f t="shared" si="75"/>
        <v>0</v>
      </c>
    </row>
    <row r="2314" spans="1:24" x14ac:dyDescent="0.25">
      <c r="A2314" s="17"/>
      <c r="B2314" s="17"/>
      <c r="C2314" s="17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  <c r="N2314" s="17"/>
      <c r="O2314" s="17"/>
      <c r="P2314" s="17"/>
      <c r="Q2314" s="17"/>
      <c r="R2314" s="17"/>
      <c r="S2314" s="17"/>
      <c r="T2314" s="17"/>
      <c r="U2314" s="17"/>
      <c r="V2314" s="18">
        <v>0</v>
      </c>
      <c r="W2314" s="17">
        <f t="shared" si="74"/>
        <v>0</v>
      </c>
      <c r="X2314" s="5">
        <f t="shared" si="75"/>
        <v>0</v>
      </c>
    </row>
    <row r="2315" spans="1:24" x14ac:dyDescent="0.25">
      <c r="A2315" s="17"/>
      <c r="B2315" s="17"/>
      <c r="C2315" s="17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  <c r="N2315" s="17"/>
      <c r="O2315" s="17"/>
      <c r="P2315" s="17"/>
      <c r="Q2315" s="17"/>
      <c r="R2315" s="17"/>
      <c r="S2315" s="17"/>
      <c r="T2315" s="17"/>
      <c r="U2315" s="17"/>
      <c r="V2315" s="18">
        <v>0</v>
      </c>
      <c r="W2315" s="17">
        <f t="shared" si="74"/>
        <v>0</v>
      </c>
      <c r="X2315" s="5">
        <f t="shared" si="75"/>
        <v>0</v>
      </c>
    </row>
    <row r="2316" spans="1:24" x14ac:dyDescent="0.25">
      <c r="A2316" s="17"/>
      <c r="B2316" s="17"/>
      <c r="C2316" s="17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  <c r="N2316" s="17"/>
      <c r="O2316" s="17"/>
      <c r="P2316" s="17"/>
      <c r="Q2316" s="17"/>
      <c r="R2316" s="17"/>
      <c r="S2316" s="17"/>
      <c r="T2316" s="17"/>
      <c r="U2316" s="17"/>
      <c r="V2316" s="18">
        <v>0</v>
      </c>
      <c r="W2316" s="17">
        <f t="shared" si="74"/>
        <v>0</v>
      </c>
      <c r="X2316" s="5">
        <f t="shared" si="75"/>
        <v>0</v>
      </c>
    </row>
    <row r="2317" spans="1:24" x14ac:dyDescent="0.25">
      <c r="A2317" s="17"/>
      <c r="B2317" s="17"/>
      <c r="C2317" s="17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  <c r="N2317" s="17"/>
      <c r="O2317" s="17"/>
      <c r="P2317" s="17"/>
      <c r="Q2317" s="17"/>
      <c r="R2317" s="17"/>
      <c r="S2317" s="17"/>
      <c r="T2317" s="17"/>
      <c r="U2317" s="17"/>
      <c r="V2317" s="18">
        <v>0</v>
      </c>
      <c r="W2317" s="17">
        <f t="shared" si="74"/>
        <v>0</v>
      </c>
      <c r="X2317" s="5">
        <f t="shared" si="75"/>
        <v>0</v>
      </c>
    </row>
    <row r="2318" spans="1:24" x14ac:dyDescent="0.25">
      <c r="A2318" s="17"/>
      <c r="B2318" s="17"/>
      <c r="C2318" s="17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8">
        <v>0</v>
      </c>
      <c r="W2318" s="17">
        <f t="shared" si="74"/>
        <v>0</v>
      </c>
      <c r="X2318" s="5">
        <f t="shared" si="75"/>
        <v>0</v>
      </c>
    </row>
    <row r="2319" spans="1:24" x14ac:dyDescent="0.25">
      <c r="A2319" s="17"/>
      <c r="B2319" s="17"/>
      <c r="C2319" s="17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  <c r="N2319" s="17"/>
      <c r="O2319" s="17"/>
      <c r="P2319" s="17"/>
      <c r="Q2319" s="17"/>
      <c r="R2319" s="17"/>
      <c r="S2319" s="17"/>
      <c r="T2319" s="17"/>
      <c r="U2319" s="17"/>
      <c r="V2319" s="18">
        <v>0</v>
      </c>
      <c r="W2319" s="17">
        <f t="shared" si="74"/>
        <v>0</v>
      </c>
      <c r="X2319" s="5">
        <f t="shared" si="75"/>
        <v>0</v>
      </c>
    </row>
    <row r="2320" spans="1:24" x14ac:dyDescent="0.25">
      <c r="A2320" s="17"/>
      <c r="B2320" s="17"/>
      <c r="C2320" s="17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  <c r="N2320" s="17"/>
      <c r="O2320" s="17"/>
      <c r="P2320" s="17"/>
      <c r="Q2320" s="17"/>
      <c r="R2320" s="17"/>
      <c r="S2320" s="17"/>
      <c r="T2320" s="17"/>
      <c r="U2320" s="17"/>
      <c r="V2320" s="18">
        <v>0</v>
      </c>
      <c r="W2320" s="17">
        <f t="shared" si="74"/>
        <v>0</v>
      </c>
      <c r="X2320" s="5">
        <f t="shared" si="75"/>
        <v>0</v>
      </c>
    </row>
    <row r="2321" spans="1:24" x14ac:dyDescent="0.25">
      <c r="A2321" s="17"/>
      <c r="B2321" s="17"/>
      <c r="C2321" s="17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  <c r="N2321" s="17"/>
      <c r="O2321" s="17"/>
      <c r="P2321" s="17"/>
      <c r="Q2321" s="17"/>
      <c r="R2321" s="17"/>
      <c r="S2321" s="17"/>
      <c r="T2321" s="17"/>
      <c r="U2321" s="17"/>
      <c r="V2321" s="18">
        <v>0</v>
      </c>
      <c r="W2321" s="17">
        <f t="shared" si="74"/>
        <v>0</v>
      </c>
      <c r="X2321" s="5">
        <f t="shared" si="75"/>
        <v>0</v>
      </c>
    </row>
    <row r="2322" spans="1:24" x14ac:dyDescent="0.25">
      <c r="A2322" s="17"/>
      <c r="B2322" s="17"/>
      <c r="C2322" s="17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8">
        <v>0</v>
      </c>
      <c r="W2322" s="17">
        <f t="shared" si="74"/>
        <v>0</v>
      </c>
      <c r="X2322" s="5">
        <f t="shared" si="75"/>
        <v>0</v>
      </c>
    </row>
    <row r="2323" spans="1:24" x14ac:dyDescent="0.25">
      <c r="A2323" s="17"/>
      <c r="B2323" s="17"/>
      <c r="C2323" s="17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  <c r="N2323" s="17"/>
      <c r="O2323" s="17"/>
      <c r="P2323" s="17"/>
      <c r="Q2323" s="17"/>
      <c r="R2323" s="17"/>
      <c r="S2323" s="17"/>
      <c r="T2323" s="17"/>
      <c r="U2323" s="17"/>
      <c r="V2323" s="18">
        <v>0</v>
      </c>
      <c r="W2323" s="17">
        <f t="shared" si="74"/>
        <v>0</v>
      </c>
      <c r="X2323" s="5">
        <f t="shared" si="75"/>
        <v>0</v>
      </c>
    </row>
    <row r="2324" spans="1:24" x14ac:dyDescent="0.25">
      <c r="A2324" s="17"/>
      <c r="B2324" s="17"/>
      <c r="C2324" s="17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  <c r="N2324" s="17"/>
      <c r="O2324" s="17"/>
      <c r="P2324" s="17"/>
      <c r="Q2324" s="17"/>
      <c r="R2324" s="17"/>
      <c r="S2324" s="17"/>
      <c r="T2324" s="17"/>
      <c r="U2324" s="17"/>
      <c r="V2324" s="18">
        <v>0</v>
      </c>
      <c r="W2324" s="17">
        <f t="shared" si="74"/>
        <v>0</v>
      </c>
      <c r="X2324" s="5">
        <f t="shared" si="75"/>
        <v>0</v>
      </c>
    </row>
    <row r="2325" spans="1:24" x14ac:dyDescent="0.25">
      <c r="A2325" s="17"/>
      <c r="B2325" s="17"/>
      <c r="C2325" s="17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  <c r="N2325" s="17"/>
      <c r="O2325" s="17"/>
      <c r="P2325" s="17"/>
      <c r="Q2325" s="17"/>
      <c r="R2325" s="17"/>
      <c r="S2325" s="17"/>
      <c r="T2325" s="17"/>
      <c r="U2325" s="17"/>
      <c r="V2325" s="18">
        <v>0</v>
      </c>
      <c r="W2325" s="17">
        <f t="shared" si="74"/>
        <v>0</v>
      </c>
      <c r="X2325" s="5">
        <f t="shared" si="75"/>
        <v>0</v>
      </c>
    </row>
    <row r="2326" spans="1:24" x14ac:dyDescent="0.25">
      <c r="A2326" s="17"/>
      <c r="B2326" s="17"/>
      <c r="C2326" s="17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8">
        <v>0</v>
      </c>
      <c r="W2326" s="17">
        <f t="shared" si="74"/>
        <v>0</v>
      </c>
      <c r="X2326" s="5">
        <f t="shared" si="75"/>
        <v>0</v>
      </c>
    </row>
    <row r="2327" spans="1:24" x14ac:dyDescent="0.25">
      <c r="A2327" s="17"/>
      <c r="B2327" s="17"/>
      <c r="C2327" s="17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8">
        <v>0</v>
      </c>
      <c r="W2327" s="17">
        <f t="shared" si="74"/>
        <v>0</v>
      </c>
      <c r="X2327" s="5">
        <f t="shared" si="75"/>
        <v>0</v>
      </c>
    </row>
    <row r="2328" spans="1:24" x14ac:dyDescent="0.25">
      <c r="A2328" s="17"/>
      <c r="B2328" s="17"/>
      <c r="C2328" s="17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8">
        <v>0</v>
      </c>
      <c r="W2328" s="17">
        <f t="shared" si="74"/>
        <v>0</v>
      </c>
      <c r="X2328" s="5">
        <f t="shared" si="75"/>
        <v>0</v>
      </c>
    </row>
    <row r="2329" spans="1:24" x14ac:dyDescent="0.25">
      <c r="A2329" s="17"/>
      <c r="B2329" s="17"/>
      <c r="C2329" s="17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8">
        <v>0</v>
      </c>
      <c r="W2329" s="17">
        <f t="shared" si="74"/>
        <v>0</v>
      </c>
      <c r="X2329" s="5">
        <f t="shared" si="75"/>
        <v>0</v>
      </c>
    </row>
    <row r="2330" spans="1:24" x14ac:dyDescent="0.25">
      <c r="A2330" s="17"/>
      <c r="B2330" s="17"/>
      <c r="C2330" s="17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8">
        <v>0</v>
      </c>
      <c r="W2330" s="17">
        <f t="shared" si="74"/>
        <v>0</v>
      </c>
      <c r="X2330" s="5">
        <f t="shared" si="75"/>
        <v>0</v>
      </c>
    </row>
    <row r="2331" spans="1:24" x14ac:dyDescent="0.25">
      <c r="A2331" s="17"/>
      <c r="B2331" s="17"/>
      <c r="C2331" s="17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8">
        <v>0</v>
      </c>
      <c r="W2331" s="17">
        <f t="shared" si="74"/>
        <v>0</v>
      </c>
      <c r="X2331" s="5">
        <f t="shared" si="75"/>
        <v>0</v>
      </c>
    </row>
    <row r="2332" spans="1:24" x14ac:dyDescent="0.25">
      <c r="A2332" s="17"/>
      <c r="B2332" s="17"/>
      <c r="C2332" s="17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8">
        <v>0</v>
      </c>
      <c r="W2332" s="17">
        <f t="shared" si="74"/>
        <v>0</v>
      </c>
      <c r="X2332" s="5">
        <f t="shared" si="75"/>
        <v>0</v>
      </c>
    </row>
    <row r="2333" spans="1:24" x14ac:dyDescent="0.25">
      <c r="A2333" s="17"/>
      <c r="B2333" s="17"/>
      <c r="C2333" s="17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8">
        <v>0</v>
      </c>
      <c r="W2333" s="17">
        <f t="shared" si="74"/>
        <v>0</v>
      </c>
      <c r="X2333" s="5">
        <f t="shared" si="75"/>
        <v>0</v>
      </c>
    </row>
    <row r="2334" spans="1:24" x14ac:dyDescent="0.25">
      <c r="A2334" s="17"/>
      <c r="B2334" s="17"/>
      <c r="C2334" s="17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8">
        <v>0</v>
      </c>
      <c r="W2334" s="17">
        <f t="shared" si="74"/>
        <v>0</v>
      </c>
      <c r="X2334" s="5">
        <f t="shared" si="75"/>
        <v>0</v>
      </c>
    </row>
    <row r="2335" spans="1:24" x14ac:dyDescent="0.25">
      <c r="A2335" s="17"/>
      <c r="B2335" s="17"/>
      <c r="C2335" s="17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8">
        <v>0</v>
      </c>
      <c r="W2335" s="17">
        <f t="shared" si="74"/>
        <v>0</v>
      </c>
      <c r="X2335" s="5">
        <f t="shared" si="75"/>
        <v>0</v>
      </c>
    </row>
    <row r="2336" spans="1:24" x14ac:dyDescent="0.25">
      <c r="A2336" s="17"/>
      <c r="B2336" s="17"/>
      <c r="C2336" s="17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8">
        <v>0</v>
      </c>
      <c r="W2336" s="17">
        <f t="shared" si="74"/>
        <v>0</v>
      </c>
      <c r="X2336" s="5">
        <f t="shared" si="75"/>
        <v>0</v>
      </c>
    </row>
    <row r="2337" spans="1:24" x14ac:dyDescent="0.25">
      <c r="A2337" s="17"/>
      <c r="B2337" s="17"/>
      <c r="C2337" s="17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8">
        <v>0</v>
      </c>
      <c r="W2337" s="17">
        <f t="shared" si="74"/>
        <v>0</v>
      </c>
      <c r="X2337" s="5">
        <f t="shared" si="75"/>
        <v>0</v>
      </c>
    </row>
    <row r="2338" spans="1:24" x14ac:dyDescent="0.25">
      <c r="A2338" s="17"/>
      <c r="B2338" s="17"/>
      <c r="C2338" s="17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8">
        <v>0</v>
      </c>
      <c r="W2338" s="17">
        <f t="shared" si="74"/>
        <v>0</v>
      </c>
      <c r="X2338" s="5">
        <f t="shared" si="75"/>
        <v>0</v>
      </c>
    </row>
    <row r="2339" spans="1:24" x14ac:dyDescent="0.25">
      <c r="A2339" s="17"/>
      <c r="B2339" s="17"/>
      <c r="C2339" s="17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8">
        <v>0</v>
      </c>
      <c r="W2339" s="17">
        <f t="shared" si="74"/>
        <v>0</v>
      </c>
      <c r="X2339" s="5">
        <f t="shared" si="75"/>
        <v>0</v>
      </c>
    </row>
    <row r="2340" spans="1:24" x14ac:dyDescent="0.25">
      <c r="A2340" s="17"/>
      <c r="B2340" s="17"/>
      <c r="C2340" s="17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  <c r="N2340" s="17"/>
      <c r="O2340" s="17"/>
      <c r="P2340" s="17"/>
      <c r="Q2340" s="17"/>
      <c r="R2340" s="17"/>
      <c r="S2340" s="17"/>
      <c r="T2340" s="17"/>
      <c r="U2340" s="17"/>
      <c r="V2340" s="18">
        <v>0</v>
      </c>
      <c r="W2340" s="17">
        <f t="shared" si="74"/>
        <v>0</v>
      </c>
      <c r="X2340" s="5">
        <f t="shared" si="75"/>
        <v>0</v>
      </c>
    </row>
    <row r="2341" spans="1:24" x14ac:dyDescent="0.25">
      <c r="A2341" s="17"/>
      <c r="B2341" s="17"/>
      <c r="C2341" s="17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  <c r="N2341" s="17"/>
      <c r="O2341" s="17"/>
      <c r="P2341" s="17"/>
      <c r="Q2341" s="17"/>
      <c r="R2341" s="17"/>
      <c r="S2341" s="17"/>
      <c r="T2341" s="17"/>
      <c r="U2341" s="17"/>
      <c r="V2341" s="18">
        <v>0</v>
      </c>
      <c r="W2341" s="17">
        <f t="shared" si="74"/>
        <v>0</v>
      </c>
      <c r="X2341" s="5">
        <f t="shared" si="75"/>
        <v>0</v>
      </c>
    </row>
    <row r="2342" spans="1:24" x14ac:dyDescent="0.25">
      <c r="A2342" s="17"/>
      <c r="B2342" s="17"/>
      <c r="C2342" s="17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  <c r="N2342" s="17"/>
      <c r="O2342" s="17"/>
      <c r="P2342" s="17"/>
      <c r="Q2342" s="17"/>
      <c r="R2342" s="17"/>
      <c r="S2342" s="17"/>
      <c r="T2342" s="17"/>
      <c r="U2342" s="17"/>
      <c r="V2342" s="18">
        <v>0</v>
      </c>
      <c r="W2342" s="17">
        <f t="shared" si="74"/>
        <v>0</v>
      </c>
      <c r="X2342" s="5">
        <f t="shared" si="75"/>
        <v>0</v>
      </c>
    </row>
    <row r="2343" spans="1:24" x14ac:dyDescent="0.25">
      <c r="A2343" s="17"/>
      <c r="B2343" s="17"/>
      <c r="C2343" s="17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8">
        <v>0</v>
      </c>
      <c r="W2343" s="17">
        <f t="shared" si="74"/>
        <v>0</v>
      </c>
      <c r="X2343" s="5">
        <f t="shared" si="75"/>
        <v>0</v>
      </c>
    </row>
    <row r="2344" spans="1:24" x14ac:dyDescent="0.25">
      <c r="A2344" s="17"/>
      <c r="B2344" s="17"/>
      <c r="C2344" s="17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8">
        <v>0</v>
      </c>
      <c r="W2344" s="17">
        <f t="shared" si="74"/>
        <v>0</v>
      </c>
      <c r="X2344" s="5">
        <f t="shared" si="75"/>
        <v>0</v>
      </c>
    </row>
    <row r="2345" spans="1:24" x14ac:dyDescent="0.25">
      <c r="A2345" s="17"/>
      <c r="B2345" s="17"/>
      <c r="C2345" s="17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8">
        <v>0</v>
      </c>
      <c r="W2345" s="17">
        <f t="shared" si="74"/>
        <v>0</v>
      </c>
      <c r="X2345" s="5">
        <f t="shared" si="75"/>
        <v>0</v>
      </c>
    </row>
    <row r="2346" spans="1:24" x14ac:dyDescent="0.25">
      <c r="A2346" s="17"/>
      <c r="B2346" s="17"/>
      <c r="C2346" s="17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8">
        <v>0</v>
      </c>
      <c r="W2346" s="17">
        <f t="shared" si="74"/>
        <v>0</v>
      </c>
      <c r="X2346" s="5">
        <f t="shared" si="75"/>
        <v>0</v>
      </c>
    </row>
    <row r="2347" spans="1:24" x14ac:dyDescent="0.25">
      <c r="A2347" s="17"/>
      <c r="B2347" s="17"/>
      <c r="C2347" s="17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8">
        <v>0</v>
      </c>
      <c r="W2347" s="17">
        <f t="shared" si="74"/>
        <v>0</v>
      </c>
      <c r="X2347" s="5">
        <f t="shared" si="75"/>
        <v>0</v>
      </c>
    </row>
    <row r="2348" spans="1:24" x14ac:dyDescent="0.25">
      <c r="A2348" s="17"/>
      <c r="B2348" s="17"/>
      <c r="C2348" s="17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  <c r="N2348" s="17"/>
      <c r="O2348" s="17"/>
      <c r="P2348" s="17"/>
      <c r="Q2348" s="17"/>
      <c r="R2348" s="17"/>
      <c r="S2348" s="17"/>
      <c r="T2348" s="17"/>
      <c r="U2348" s="17"/>
      <c r="V2348" s="18">
        <v>0</v>
      </c>
      <c r="W2348" s="17">
        <f t="shared" si="74"/>
        <v>0</v>
      </c>
      <c r="X2348" s="5">
        <f t="shared" si="75"/>
        <v>0</v>
      </c>
    </row>
    <row r="2349" spans="1:24" x14ac:dyDescent="0.25">
      <c r="A2349" s="17"/>
      <c r="B2349" s="17"/>
      <c r="C2349" s="17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  <c r="N2349" s="17"/>
      <c r="O2349" s="17"/>
      <c r="P2349" s="17"/>
      <c r="Q2349" s="17"/>
      <c r="R2349" s="17"/>
      <c r="S2349" s="17"/>
      <c r="T2349" s="17"/>
      <c r="U2349" s="17"/>
      <c r="V2349" s="18">
        <v>0</v>
      </c>
      <c r="W2349" s="17">
        <f t="shared" si="74"/>
        <v>0</v>
      </c>
      <c r="X2349" s="5">
        <f t="shared" si="75"/>
        <v>0</v>
      </c>
    </row>
    <row r="2350" spans="1:24" x14ac:dyDescent="0.25">
      <c r="A2350" s="17"/>
      <c r="B2350" s="17"/>
      <c r="C2350" s="17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  <c r="N2350" s="17"/>
      <c r="O2350" s="17"/>
      <c r="P2350" s="17"/>
      <c r="Q2350" s="17"/>
      <c r="R2350" s="17"/>
      <c r="S2350" s="17"/>
      <c r="T2350" s="17"/>
      <c r="U2350" s="17"/>
      <c r="V2350" s="18">
        <v>0</v>
      </c>
      <c r="W2350" s="17">
        <f t="shared" si="74"/>
        <v>0</v>
      </c>
      <c r="X2350" s="5">
        <f t="shared" si="75"/>
        <v>0</v>
      </c>
    </row>
    <row r="2351" spans="1:24" x14ac:dyDescent="0.25">
      <c r="A2351" s="17"/>
      <c r="B2351" s="17"/>
      <c r="C2351" s="17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8">
        <v>0</v>
      </c>
      <c r="W2351" s="17">
        <f t="shared" si="74"/>
        <v>0</v>
      </c>
      <c r="X2351" s="5">
        <f t="shared" si="75"/>
        <v>0</v>
      </c>
    </row>
    <row r="2352" spans="1:24" x14ac:dyDescent="0.25">
      <c r="A2352" s="17"/>
      <c r="B2352" s="17"/>
      <c r="C2352" s="17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8">
        <v>0</v>
      </c>
      <c r="W2352" s="17">
        <f t="shared" si="74"/>
        <v>0</v>
      </c>
      <c r="X2352" s="5">
        <f t="shared" si="75"/>
        <v>0</v>
      </c>
    </row>
    <row r="2353" spans="1:24" x14ac:dyDescent="0.25">
      <c r="A2353" s="17"/>
      <c r="B2353" s="17"/>
      <c r="C2353" s="17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8">
        <v>0</v>
      </c>
      <c r="W2353" s="17">
        <f t="shared" si="74"/>
        <v>0</v>
      </c>
      <c r="X2353" s="5">
        <f t="shared" si="75"/>
        <v>0</v>
      </c>
    </row>
    <row r="2354" spans="1:24" x14ac:dyDescent="0.25">
      <c r="A2354" s="17"/>
      <c r="B2354" s="17"/>
      <c r="C2354" s="17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8">
        <v>0</v>
      </c>
      <c r="W2354" s="17">
        <f t="shared" si="74"/>
        <v>0</v>
      </c>
      <c r="X2354" s="5">
        <f t="shared" si="75"/>
        <v>0</v>
      </c>
    </row>
    <row r="2355" spans="1:24" x14ac:dyDescent="0.25">
      <c r="A2355" s="17"/>
      <c r="B2355" s="17"/>
      <c r="C2355" s="17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  <c r="N2355" s="17"/>
      <c r="O2355" s="17"/>
      <c r="P2355" s="17"/>
      <c r="Q2355" s="17"/>
      <c r="R2355" s="17"/>
      <c r="S2355" s="17"/>
      <c r="T2355" s="17"/>
      <c r="U2355" s="17"/>
      <c r="V2355" s="18">
        <v>0</v>
      </c>
      <c r="W2355" s="17">
        <f t="shared" si="74"/>
        <v>0</v>
      </c>
      <c r="X2355" s="5">
        <f t="shared" si="75"/>
        <v>0</v>
      </c>
    </row>
    <row r="2356" spans="1:24" x14ac:dyDescent="0.25">
      <c r="A2356" s="17"/>
      <c r="B2356" s="17"/>
      <c r="C2356" s="17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  <c r="N2356" s="17"/>
      <c r="O2356" s="17"/>
      <c r="P2356" s="17"/>
      <c r="Q2356" s="17"/>
      <c r="R2356" s="17"/>
      <c r="S2356" s="17"/>
      <c r="T2356" s="17"/>
      <c r="U2356" s="17"/>
      <c r="V2356" s="18">
        <v>0</v>
      </c>
      <c r="W2356" s="17">
        <f t="shared" si="74"/>
        <v>0</v>
      </c>
      <c r="X2356" s="5">
        <f t="shared" si="75"/>
        <v>0</v>
      </c>
    </row>
    <row r="2357" spans="1:24" x14ac:dyDescent="0.25">
      <c r="A2357" s="17"/>
      <c r="B2357" s="17"/>
      <c r="C2357" s="17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  <c r="N2357" s="17"/>
      <c r="O2357" s="17"/>
      <c r="P2357" s="17"/>
      <c r="Q2357" s="17"/>
      <c r="R2357" s="17"/>
      <c r="S2357" s="17"/>
      <c r="T2357" s="17"/>
      <c r="U2357" s="17"/>
      <c r="V2357" s="18">
        <v>0</v>
      </c>
      <c r="W2357" s="17">
        <f t="shared" si="74"/>
        <v>0</v>
      </c>
      <c r="X2357" s="5">
        <f t="shared" si="75"/>
        <v>0</v>
      </c>
    </row>
    <row r="2358" spans="1:24" x14ac:dyDescent="0.25">
      <c r="A2358" s="17"/>
      <c r="B2358" s="17"/>
      <c r="C2358" s="17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8">
        <v>0</v>
      </c>
      <c r="W2358" s="17">
        <f t="shared" si="74"/>
        <v>0</v>
      </c>
      <c r="X2358" s="5">
        <f t="shared" si="75"/>
        <v>0</v>
      </c>
    </row>
    <row r="2359" spans="1:24" x14ac:dyDescent="0.25">
      <c r="A2359" s="17"/>
      <c r="B2359" s="17"/>
      <c r="C2359" s="17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8">
        <v>0</v>
      </c>
      <c r="W2359" s="17">
        <f t="shared" si="74"/>
        <v>0</v>
      </c>
      <c r="X2359" s="5">
        <f t="shared" si="75"/>
        <v>0</v>
      </c>
    </row>
    <row r="2360" spans="1:24" x14ac:dyDescent="0.25">
      <c r="A2360" s="17"/>
      <c r="B2360" s="17"/>
      <c r="C2360" s="17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8">
        <v>0</v>
      </c>
      <c r="W2360" s="17">
        <f t="shared" si="74"/>
        <v>0</v>
      </c>
      <c r="X2360" s="5">
        <f t="shared" si="75"/>
        <v>0</v>
      </c>
    </row>
    <row r="2361" spans="1:24" x14ac:dyDescent="0.25">
      <c r="A2361" s="17"/>
      <c r="B2361" s="17"/>
      <c r="C2361" s="17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8">
        <v>0</v>
      </c>
      <c r="W2361" s="17">
        <f t="shared" si="74"/>
        <v>0</v>
      </c>
      <c r="X2361" s="5">
        <f t="shared" si="75"/>
        <v>0</v>
      </c>
    </row>
    <row r="2362" spans="1:24" x14ac:dyDescent="0.25">
      <c r="A2362" s="17"/>
      <c r="B2362" s="17"/>
      <c r="C2362" s="17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8">
        <v>0</v>
      </c>
      <c r="W2362" s="17">
        <f t="shared" si="74"/>
        <v>0</v>
      </c>
      <c r="X2362" s="5">
        <f t="shared" si="75"/>
        <v>0</v>
      </c>
    </row>
    <row r="2363" spans="1:24" x14ac:dyDescent="0.25">
      <c r="A2363" s="17"/>
      <c r="B2363" s="17"/>
      <c r="C2363" s="17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8">
        <v>0</v>
      </c>
      <c r="W2363" s="17">
        <f t="shared" si="74"/>
        <v>0</v>
      </c>
      <c r="X2363" s="5">
        <f t="shared" si="75"/>
        <v>0</v>
      </c>
    </row>
    <row r="2364" spans="1:24" x14ac:dyDescent="0.25">
      <c r="A2364" s="17"/>
      <c r="B2364" s="17"/>
      <c r="C2364" s="17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8">
        <v>0</v>
      </c>
      <c r="W2364" s="17">
        <f t="shared" si="74"/>
        <v>0</v>
      </c>
      <c r="X2364" s="5">
        <f t="shared" si="75"/>
        <v>0</v>
      </c>
    </row>
    <row r="2365" spans="1:24" x14ac:dyDescent="0.25">
      <c r="A2365" s="17"/>
      <c r="B2365" s="17"/>
      <c r="C2365" s="17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8">
        <v>0</v>
      </c>
      <c r="W2365" s="17">
        <f t="shared" si="74"/>
        <v>0</v>
      </c>
      <c r="X2365" s="5">
        <f t="shared" si="75"/>
        <v>0</v>
      </c>
    </row>
    <row r="2366" spans="1:24" x14ac:dyDescent="0.25">
      <c r="A2366" s="17"/>
      <c r="B2366" s="17"/>
      <c r="C2366" s="17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8">
        <v>0</v>
      </c>
      <c r="W2366" s="17">
        <f t="shared" si="74"/>
        <v>0</v>
      </c>
      <c r="X2366" s="5">
        <f t="shared" si="75"/>
        <v>0</v>
      </c>
    </row>
    <row r="2367" spans="1:24" x14ac:dyDescent="0.25">
      <c r="A2367" s="17"/>
      <c r="B2367" s="17"/>
      <c r="C2367" s="17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  <c r="N2367" s="17"/>
      <c r="O2367" s="17"/>
      <c r="P2367" s="17"/>
      <c r="Q2367" s="17"/>
      <c r="R2367" s="17"/>
      <c r="S2367" s="17"/>
      <c r="T2367" s="17"/>
      <c r="U2367" s="17"/>
      <c r="V2367" s="18">
        <v>0</v>
      </c>
      <c r="W2367" s="17">
        <f t="shared" si="74"/>
        <v>0</v>
      </c>
      <c r="X2367" s="5">
        <f t="shared" si="75"/>
        <v>0</v>
      </c>
    </row>
    <row r="2368" spans="1:24" x14ac:dyDescent="0.25">
      <c r="A2368" s="17"/>
      <c r="B2368" s="17"/>
      <c r="C2368" s="17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  <c r="N2368" s="17"/>
      <c r="O2368" s="17"/>
      <c r="P2368" s="17"/>
      <c r="Q2368" s="17"/>
      <c r="R2368" s="17"/>
      <c r="S2368" s="17"/>
      <c r="T2368" s="17"/>
      <c r="U2368" s="17"/>
      <c r="V2368" s="18">
        <v>0</v>
      </c>
      <c r="W2368" s="17">
        <f t="shared" si="74"/>
        <v>0</v>
      </c>
      <c r="X2368" s="5">
        <f t="shared" si="75"/>
        <v>0</v>
      </c>
    </row>
    <row r="2369" spans="1:24" x14ac:dyDescent="0.25">
      <c r="A2369" s="17"/>
      <c r="B2369" s="17"/>
      <c r="C2369" s="17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  <c r="N2369" s="17"/>
      <c r="O2369" s="17"/>
      <c r="P2369" s="17"/>
      <c r="Q2369" s="17"/>
      <c r="R2369" s="17"/>
      <c r="S2369" s="17"/>
      <c r="T2369" s="17"/>
      <c r="U2369" s="17"/>
      <c r="V2369" s="18">
        <v>0</v>
      </c>
      <c r="W2369" s="17">
        <f t="shared" si="74"/>
        <v>0</v>
      </c>
      <c r="X2369" s="5">
        <f t="shared" si="75"/>
        <v>0</v>
      </c>
    </row>
    <row r="2370" spans="1:24" x14ac:dyDescent="0.25">
      <c r="A2370" s="17"/>
      <c r="B2370" s="17"/>
      <c r="C2370" s="17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8">
        <v>0</v>
      </c>
      <c r="W2370" s="17">
        <f t="shared" si="74"/>
        <v>0</v>
      </c>
      <c r="X2370" s="5">
        <f t="shared" si="75"/>
        <v>0</v>
      </c>
    </row>
    <row r="2371" spans="1:24" x14ac:dyDescent="0.25">
      <c r="A2371" s="17"/>
      <c r="B2371" s="17"/>
      <c r="C2371" s="17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8">
        <v>0</v>
      </c>
      <c r="W2371" s="17">
        <f t="shared" ref="W2371:W2434" si="76">HOUR(E2371)</f>
        <v>0</v>
      </c>
      <c r="X2371" s="5">
        <f t="shared" ref="X2371:X2434" si="77">IF(D2371=D2370,0,1)</f>
        <v>0</v>
      </c>
    </row>
    <row r="2372" spans="1:24" x14ac:dyDescent="0.25">
      <c r="A2372" s="17"/>
      <c r="B2372" s="17"/>
      <c r="C2372" s="17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8">
        <v>0</v>
      </c>
      <c r="W2372" s="17">
        <f t="shared" si="76"/>
        <v>0</v>
      </c>
      <c r="X2372" s="5">
        <f t="shared" si="77"/>
        <v>0</v>
      </c>
    </row>
    <row r="2373" spans="1:24" x14ac:dyDescent="0.25">
      <c r="A2373" s="17"/>
      <c r="B2373" s="17"/>
      <c r="C2373" s="17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8">
        <v>0</v>
      </c>
      <c r="W2373" s="17">
        <f t="shared" si="76"/>
        <v>0</v>
      </c>
      <c r="X2373" s="5">
        <f t="shared" si="77"/>
        <v>0</v>
      </c>
    </row>
    <row r="2374" spans="1:24" x14ac:dyDescent="0.25">
      <c r="A2374" s="17"/>
      <c r="B2374" s="17"/>
      <c r="C2374" s="17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8">
        <v>0</v>
      </c>
      <c r="W2374" s="17">
        <f t="shared" si="76"/>
        <v>0</v>
      </c>
      <c r="X2374" s="5">
        <f t="shared" si="77"/>
        <v>0</v>
      </c>
    </row>
    <row r="2375" spans="1:24" x14ac:dyDescent="0.25">
      <c r="A2375" s="17"/>
      <c r="B2375" s="17"/>
      <c r="C2375" s="17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8">
        <v>0</v>
      </c>
      <c r="W2375" s="17">
        <f t="shared" si="76"/>
        <v>0</v>
      </c>
      <c r="X2375" s="5">
        <f t="shared" si="77"/>
        <v>0</v>
      </c>
    </row>
    <row r="2376" spans="1:24" x14ac:dyDescent="0.25">
      <c r="A2376" s="17"/>
      <c r="B2376" s="17"/>
      <c r="C2376" s="17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8">
        <v>0</v>
      </c>
      <c r="W2376" s="17">
        <f t="shared" si="76"/>
        <v>0</v>
      </c>
      <c r="X2376" s="5">
        <f t="shared" si="77"/>
        <v>0</v>
      </c>
    </row>
    <row r="2377" spans="1:24" x14ac:dyDescent="0.25">
      <c r="A2377" s="17"/>
      <c r="B2377" s="17"/>
      <c r="C2377" s="17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8">
        <v>0</v>
      </c>
      <c r="W2377" s="17">
        <f t="shared" si="76"/>
        <v>0</v>
      </c>
      <c r="X2377" s="5">
        <f t="shared" si="77"/>
        <v>0</v>
      </c>
    </row>
    <row r="2378" spans="1:24" x14ac:dyDescent="0.25">
      <c r="A2378" s="17"/>
      <c r="B2378" s="17"/>
      <c r="C2378" s="17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  <c r="N2378" s="17"/>
      <c r="O2378" s="17"/>
      <c r="P2378" s="17"/>
      <c r="Q2378" s="17"/>
      <c r="R2378" s="17"/>
      <c r="S2378" s="17"/>
      <c r="T2378" s="17"/>
      <c r="U2378" s="17"/>
      <c r="V2378" s="18">
        <v>0</v>
      </c>
      <c r="W2378" s="17">
        <f t="shared" si="76"/>
        <v>0</v>
      </c>
      <c r="X2378" s="5">
        <f t="shared" si="77"/>
        <v>0</v>
      </c>
    </row>
    <row r="2379" spans="1:24" x14ac:dyDescent="0.25">
      <c r="A2379" s="17"/>
      <c r="B2379" s="17"/>
      <c r="C2379" s="17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  <c r="N2379" s="17"/>
      <c r="O2379" s="17"/>
      <c r="P2379" s="17"/>
      <c r="Q2379" s="17"/>
      <c r="R2379" s="17"/>
      <c r="S2379" s="17"/>
      <c r="T2379" s="17"/>
      <c r="U2379" s="17"/>
      <c r="V2379" s="18">
        <v>0</v>
      </c>
      <c r="W2379" s="17">
        <f t="shared" si="76"/>
        <v>0</v>
      </c>
      <c r="X2379" s="5">
        <f t="shared" si="77"/>
        <v>0</v>
      </c>
    </row>
    <row r="2380" spans="1:24" x14ac:dyDescent="0.25">
      <c r="A2380" s="17"/>
      <c r="B2380" s="17"/>
      <c r="C2380" s="17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  <c r="N2380" s="17"/>
      <c r="O2380" s="17"/>
      <c r="P2380" s="17"/>
      <c r="Q2380" s="17"/>
      <c r="R2380" s="17"/>
      <c r="S2380" s="17"/>
      <c r="T2380" s="17"/>
      <c r="U2380" s="17"/>
      <c r="V2380" s="18">
        <v>0</v>
      </c>
      <c r="W2380" s="17">
        <f t="shared" si="76"/>
        <v>0</v>
      </c>
      <c r="X2380" s="5">
        <f t="shared" si="77"/>
        <v>0</v>
      </c>
    </row>
    <row r="2381" spans="1:24" x14ac:dyDescent="0.25">
      <c r="A2381" s="17"/>
      <c r="B2381" s="17"/>
      <c r="C2381" s="17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  <c r="N2381" s="17"/>
      <c r="O2381" s="17"/>
      <c r="P2381" s="17"/>
      <c r="Q2381" s="17"/>
      <c r="R2381" s="17"/>
      <c r="S2381" s="17"/>
      <c r="T2381" s="17"/>
      <c r="U2381" s="17"/>
      <c r="V2381" s="18">
        <v>0</v>
      </c>
      <c r="W2381" s="17">
        <f t="shared" si="76"/>
        <v>0</v>
      </c>
      <c r="X2381" s="5">
        <f t="shared" si="77"/>
        <v>0</v>
      </c>
    </row>
    <row r="2382" spans="1:24" x14ac:dyDescent="0.25">
      <c r="A2382" s="17"/>
      <c r="B2382" s="17"/>
      <c r="C2382" s="17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  <c r="N2382" s="17"/>
      <c r="O2382" s="17"/>
      <c r="P2382" s="17"/>
      <c r="Q2382" s="17"/>
      <c r="R2382" s="17"/>
      <c r="S2382" s="17"/>
      <c r="T2382" s="17"/>
      <c r="U2382" s="17"/>
      <c r="V2382" s="18">
        <v>0</v>
      </c>
      <c r="W2382" s="17">
        <f t="shared" si="76"/>
        <v>0</v>
      </c>
      <c r="X2382" s="5">
        <f t="shared" si="77"/>
        <v>0</v>
      </c>
    </row>
    <row r="2383" spans="1:24" x14ac:dyDescent="0.25">
      <c r="A2383" s="17"/>
      <c r="B2383" s="17"/>
      <c r="C2383" s="17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  <c r="N2383" s="17"/>
      <c r="O2383" s="17"/>
      <c r="P2383" s="17"/>
      <c r="Q2383" s="17"/>
      <c r="R2383" s="17"/>
      <c r="S2383" s="17"/>
      <c r="T2383" s="17"/>
      <c r="U2383" s="17"/>
      <c r="V2383" s="18">
        <v>0</v>
      </c>
      <c r="W2383" s="17">
        <f t="shared" si="76"/>
        <v>0</v>
      </c>
      <c r="X2383" s="5">
        <f t="shared" si="77"/>
        <v>0</v>
      </c>
    </row>
    <row r="2384" spans="1:24" x14ac:dyDescent="0.25">
      <c r="A2384" s="17"/>
      <c r="B2384" s="17"/>
      <c r="C2384" s="17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  <c r="N2384" s="17"/>
      <c r="O2384" s="17"/>
      <c r="P2384" s="17"/>
      <c r="Q2384" s="17"/>
      <c r="R2384" s="17"/>
      <c r="S2384" s="17"/>
      <c r="T2384" s="17"/>
      <c r="U2384" s="17"/>
      <c r="V2384" s="18">
        <v>0</v>
      </c>
      <c r="W2384" s="17">
        <f t="shared" si="76"/>
        <v>0</v>
      </c>
      <c r="X2384" s="5">
        <f t="shared" si="77"/>
        <v>0</v>
      </c>
    </row>
    <row r="2385" spans="1:24" x14ac:dyDescent="0.25">
      <c r="A2385" s="17"/>
      <c r="B2385" s="17"/>
      <c r="C2385" s="17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  <c r="N2385" s="17"/>
      <c r="O2385" s="17"/>
      <c r="P2385" s="17"/>
      <c r="Q2385" s="17"/>
      <c r="R2385" s="17"/>
      <c r="S2385" s="17"/>
      <c r="T2385" s="17"/>
      <c r="U2385" s="17"/>
      <c r="V2385" s="18">
        <v>0</v>
      </c>
      <c r="W2385" s="17">
        <f t="shared" si="76"/>
        <v>0</v>
      </c>
      <c r="X2385" s="5">
        <f t="shared" si="77"/>
        <v>0</v>
      </c>
    </row>
    <row r="2386" spans="1:24" x14ac:dyDescent="0.25">
      <c r="A2386" s="17"/>
      <c r="B2386" s="17"/>
      <c r="C2386" s="17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  <c r="N2386" s="17"/>
      <c r="O2386" s="17"/>
      <c r="P2386" s="17"/>
      <c r="Q2386" s="17"/>
      <c r="R2386" s="17"/>
      <c r="S2386" s="17"/>
      <c r="T2386" s="17"/>
      <c r="U2386" s="17"/>
      <c r="V2386" s="18">
        <v>0</v>
      </c>
      <c r="W2386" s="17">
        <f t="shared" si="76"/>
        <v>0</v>
      </c>
      <c r="X2386" s="5">
        <f t="shared" si="77"/>
        <v>0</v>
      </c>
    </row>
    <row r="2387" spans="1:24" x14ac:dyDescent="0.25">
      <c r="A2387" s="17"/>
      <c r="B2387" s="17"/>
      <c r="C2387" s="17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8">
        <v>0</v>
      </c>
      <c r="W2387" s="17">
        <f t="shared" si="76"/>
        <v>0</v>
      </c>
      <c r="X2387" s="5">
        <f t="shared" si="77"/>
        <v>0</v>
      </c>
    </row>
    <row r="2388" spans="1:24" x14ac:dyDescent="0.25">
      <c r="A2388" s="17"/>
      <c r="B2388" s="17"/>
      <c r="C2388" s="17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  <c r="N2388" s="17"/>
      <c r="O2388" s="17"/>
      <c r="P2388" s="17"/>
      <c r="Q2388" s="17"/>
      <c r="R2388" s="17"/>
      <c r="S2388" s="17"/>
      <c r="T2388" s="17"/>
      <c r="U2388" s="17"/>
      <c r="V2388" s="18">
        <v>0</v>
      </c>
      <c r="W2388" s="17">
        <f t="shared" si="76"/>
        <v>0</v>
      </c>
      <c r="X2388" s="5">
        <f t="shared" si="77"/>
        <v>0</v>
      </c>
    </row>
    <row r="2389" spans="1:24" x14ac:dyDescent="0.25">
      <c r="A2389" s="17"/>
      <c r="B2389" s="17"/>
      <c r="C2389" s="17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  <c r="N2389" s="17"/>
      <c r="O2389" s="17"/>
      <c r="P2389" s="17"/>
      <c r="Q2389" s="17"/>
      <c r="R2389" s="17"/>
      <c r="S2389" s="17"/>
      <c r="T2389" s="17"/>
      <c r="U2389" s="17"/>
      <c r="V2389" s="18">
        <v>0</v>
      </c>
      <c r="W2389" s="17">
        <f t="shared" si="76"/>
        <v>0</v>
      </c>
      <c r="X2389" s="5">
        <f t="shared" si="77"/>
        <v>0</v>
      </c>
    </row>
    <row r="2390" spans="1:24" x14ac:dyDescent="0.25">
      <c r="A2390" s="17"/>
      <c r="B2390" s="17"/>
      <c r="C2390" s="17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  <c r="N2390" s="17"/>
      <c r="O2390" s="17"/>
      <c r="P2390" s="17"/>
      <c r="Q2390" s="17"/>
      <c r="R2390" s="17"/>
      <c r="S2390" s="17"/>
      <c r="T2390" s="17"/>
      <c r="U2390" s="17"/>
      <c r="V2390" s="18">
        <v>0</v>
      </c>
      <c r="W2390" s="17">
        <f t="shared" si="76"/>
        <v>0</v>
      </c>
      <c r="X2390" s="5">
        <f t="shared" si="77"/>
        <v>0</v>
      </c>
    </row>
    <row r="2391" spans="1:24" x14ac:dyDescent="0.25">
      <c r="A2391" s="17"/>
      <c r="B2391" s="17"/>
      <c r="C2391" s="17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  <c r="N2391" s="17"/>
      <c r="O2391" s="17"/>
      <c r="P2391" s="17"/>
      <c r="Q2391" s="17"/>
      <c r="R2391" s="17"/>
      <c r="S2391" s="17"/>
      <c r="T2391" s="17"/>
      <c r="U2391" s="17"/>
      <c r="V2391" s="18">
        <v>0</v>
      </c>
      <c r="W2391" s="17">
        <f t="shared" si="76"/>
        <v>0</v>
      </c>
      <c r="X2391" s="5">
        <f t="shared" si="77"/>
        <v>0</v>
      </c>
    </row>
    <row r="2392" spans="1:24" x14ac:dyDescent="0.25">
      <c r="A2392" s="17"/>
      <c r="B2392" s="17"/>
      <c r="C2392" s="17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  <c r="N2392" s="17"/>
      <c r="O2392" s="17"/>
      <c r="P2392" s="17"/>
      <c r="Q2392" s="17"/>
      <c r="R2392" s="17"/>
      <c r="S2392" s="17"/>
      <c r="T2392" s="17"/>
      <c r="U2392" s="17"/>
      <c r="V2392" s="18">
        <v>0</v>
      </c>
      <c r="W2392" s="17">
        <f t="shared" si="76"/>
        <v>0</v>
      </c>
      <c r="X2392" s="5">
        <f t="shared" si="77"/>
        <v>0</v>
      </c>
    </row>
    <row r="2393" spans="1:24" x14ac:dyDescent="0.25">
      <c r="A2393" s="17"/>
      <c r="B2393" s="17"/>
      <c r="C2393" s="17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  <c r="N2393" s="17"/>
      <c r="O2393" s="17"/>
      <c r="P2393" s="17"/>
      <c r="Q2393" s="17"/>
      <c r="R2393" s="17"/>
      <c r="S2393" s="17"/>
      <c r="T2393" s="17"/>
      <c r="U2393" s="17"/>
      <c r="V2393" s="18">
        <v>0</v>
      </c>
      <c r="W2393" s="17">
        <f t="shared" si="76"/>
        <v>0</v>
      </c>
      <c r="X2393" s="5">
        <f t="shared" si="77"/>
        <v>0</v>
      </c>
    </row>
    <row r="2394" spans="1:24" x14ac:dyDescent="0.25">
      <c r="A2394" s="17"/>
      <c r="B2394" s="17"/>
      <c r="C2394" s="17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8">
        <v>0</v>
      </c>
      <c r="W2394" s="17">
        <f t="shared" si="76"/>
        <v>0</v>
      </c>
      <c r="X2394" s="5">
        <f t="shared" si="77"/>
        <v>0</v>
      </c>
    </row>
    <row r="2395" spans="1:24" x14ac:dyDescent="0.25">
      <c r="A2395" s="17"/>
      <c r="B2395" s="17"/>
      <c r="C2395" s="17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8">
        <v>0</v>
      </c>
      <c r="W2395" s="17">
        <f t="shared" si="76"/>
        <v>0</v>
      </c>
      <c r="X2395" s="5">
        <f t="shared" si="77"/>
        <v>0</v>
      </c>
    </row>
    <row r="2396" spans="1:24" x14ac:dyDescent="0.25">
      <c r="A2396" s="17"/>
      <c r="B2396" s="17"/>
      <c r="C2396" s="17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8">
        <v>0</v>
      </c>
      <c r="W2396" s="17">
        <f t="shared" si="76"/>
        <v>0</v>
      </c>
      <c r="X2396" s="5">
        <f t="shared" si="77"/>
        <v>0</v>
      </c>
    </row>
    <row r="2397" spans="1:24" x14ac:dyDescent="0.25">
      <c r="A2397" s="17"/>
      <c r="B2397" s="17"/>
      <c r="C2397" s="17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8">
        <v>0</v>
      </c>
      <c r="W2397" s="17">
        <f t="shared" si="76"/>
        <v>0</v>
      </c>
      <c r="X2397" s="5">
        <f t="shared" si="77"/>
        <v>0</v>
      </c>
    </row>
    <row r="2398" spans="1:24" x14ac:dyDescent="0.25">
      <c r="A2398" s="17"/>
      <c r="B2398" s="17"/>
      <c r="C2398" s="17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  <c r="N2398" s="17"/>
      <c r="O2398" s="17"/>
      <c r="P2398" s="17"/>
      <c r="Q2398" s="17"/>
      <c r="R2398" s="17"/>
      <c r="S2398" s="17"/>
      <c r="T2398" s="17"/>
      <c r="U2398" s="17"/>
      <c r="V2398" s="18">
        <v>0</v>
      </c>
      <c r="W2398" s="17">
        <f t="shared" si="76"/>
        <v>0</v>
      </c>
      <c r="X2398" s="5">
        <f t="shared" si="77"/>
        <v>0</v>
      </c>
    </row>
    <row r="2399" spans="1:24" x14ac:dyDescent="0.25">
      <c r="A2399" s="17"/>
      <c r="B2399" s="17"/>
      <c r="C2399" s="17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  <c r="N2399" s="17"/>
      <c r="O2399" s="17"/>
      <c r="P2399" s="17"/>
      <c r="Q2399" s="17"/>
      <c r="R2399" s="17"/>
      <c r="S2399" s="17"/>
      <c r="T2399" s="17"/>
      <c r="U2399" s="17"/>
      <c r="V2399" s="18">
        <v>0</v>
      </c>
      <c r="W2399" s="17">
        <f t="shared" si="76"/>
        <v>0</v>
      </c>
      <c r="X2399" s="5">
        <f t="shared" si="77"/>
        <v>0</v>
      </c>
    </row>
    <row r="2400" spans="1:24" x14ac:dyDescent="0.25">
      <c r="A2400" s="17"/>
      <c r="B2400" s="17"/>
      <c r="C2400" s="17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  <c r="N2400" s="17"/>
      <c r="O2400" s="17"/>
      <c r="P2400" s="17"/>
      <c r="Q2400" s="17"/>
      <c r="R2400" s="17"/>
      <c r="S2400" s="17"/>
      <c r="T2400" s="17"/>
      <c r="U2400" s="17"/>
      <c r="V2400" s="18">
        <v>0</v>
      </c>
      <c r="W2400" s="17">
        <f t="shared" si="76"/>
        <v>0</v>
      </c>
      <c r="X2400" s="5">
        <f t="shared" si="77"/>
        <v>0</v>
      </c>
    </row>
    <row r="2401" spans="1:24" x14ac:dyDescent="0.25">
      <c r="A2401" s="17"/>
      <c r="B2401" s="17"/>
      <c r="C2401" s="17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8">
        <v>0</v>
      </c>
      <c r="W2401" s="17">
        <f t="shared" si="76"/>
        <v>0</v>
      </c>
      <c r="X2401" s="5">
        <f t="shared" si="77"/>
        <v>0</v>
      </c>
    </row>
    <row r="2402" spans="1:24" x14ac:dyDescent="0.25">
      <c r="A2402" s="17"/>
      <c r="B2402" s="17"/>
      <c r="C2402" s="17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8">
        <v>0</v>
      </c>
      <c r="W2402" s="17">
        <f t="shared" si="76"/>
        <v>0</v>
      </c>
      <c r="X2402" s="5">
        <f t="shared" si="77"/>
        <v>0</v>
      </c>
    </row>
    <row r="2403" spans="1:24" x14ac:dyDescent="0.25">
      <c r="A2403" s="17"/>
      <c r="B2403" s="17"/>
      <c r="C2403" s="17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8">
        <v>0</v>
      </c>
      <c r="W2403" s="17">
        <f t="shared" si="76"/>
        <v>0</v>
      </c>
      <c r="X2403" s="5">
        <f t="shared" si="77"/>
        <v>0</v>
      </c>
    </row>
    <row r="2404" spans="1:24" x14ac:dyDescent="0.25">
      <c r="A2404" s="17"/>
      <c r="B2404" s="17"/>
      <c r="C2404" s="17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8">
        <v>0</v>
      </c>
      <c r="W2404" s="17">
        <f t="shared" si="76"/>
        <v>0</v>
      </c>
      <c r="X2404" s="5">
        <f t="shared" si="77"/>
        <v>0</v>
      </c>
    </row>
    <row r="2405" spans="1:24" x14ac:dyDescent="0.25">
      <c r="A2405" s="17"/>
      <c r="B2405" s="17"/>
      <c r="C2405" s="17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8">
        <v>0</v>
      </c>
      <c r="W2405" s="17">
        <f t="shared" si="76"/>
        <v>0</v>
      </c>
      <c r="X2405" s="5">
        <f t="shared" si="77"/>
        <v>0</v>
      </c>
    </row>
    <row r="2406" spans="1:24" x14ac:dyDescent="0.25">
      <c r="A2406" s="17"/>
      <c r="B2406" s="17"/>
      <c r="C2406" s="17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8">
        <v>0</v>
      </c>
      <c r="W2406" s="17">
        <f t="shared" si="76"/>
        <v>0</v>
      </c>
      <c r="X2406" s="5">
        <f t="shared" si="77"/>
        <v>0</v>
      </c>
    </row>
    <row r="2407" spans="1:24" x14ac:dyDescent="0.25">
      <c r="A2407" s="17"/>
      <c r="B2407" s="17"/>
      <c r="C2407" s="17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8">
        <v>0</v>
      </c>
      <c r="W2407" s="17">
        <f t="shared" si="76"/>
        <v>0</v>
      </c>
      <c r="X2407" s="5">
        <f t="shared" si="77"/>
        <v>0</v>
      </c>
    </row>
    <row r="2408" spans="1:24" x14ac:dyDescent="0.25">
      <c r="A2408" s="17"/>
      <c r="B2408" s="17"/>
      <c r="C2408" s="17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  <c r="N2408" s="17"/>
      <c r="O2408" s="17"/>
      <c r="P2408" s="17"/>
      <c r="Q2408" s="17"/>
      <c r="R2408" s="17"/>
      <c r="S2408" s="17"/>
      <c r="T2408" s="17"/>
      <c r="U2408" s="17"/>
      <c r="V2408" s="18">
        <v>0</v>
      </c>
      <c r="W2408" s="17">
        <f t="shared" si="76"/>
        <v>0</v>
      </c>
      <c r="X2408" s="5">
        <f t="shared" si="77"/>
        <v>0</v>
      </c>
    </row>
    <row r="2409" spans="1:24" x14ac:dyDescent="0.25">
      <c r="A2409" s="17"/>
      <c r="B2409" s="17"/>
      <c r="C2409" s="17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  <c r="N2409" s="17"/>
      <c r="O2409" s="17"/>
      <c r="P2409" s="17"/>
      <c r="Q2409" s="17"/>
      <c r="R2409" s="17"/>
      <c r="S2409" s="17"/>
      <c r="T2409" s="17"/>
      <c r="U2409" s="17"/>
      <c r="V2409" s="18">
        <v>0</v>
      </c>
      <c r="W2409" s="17">
        <f t="shared" si="76"/>
        <v>0</v>
      </c>
      <c r="X2409" s="5">
        <f t="shared" si="77"/>
        <v>0</v>
      </c>
    </row>
    <row r="2410" spans="1:24" x14ac:dyDescent="0.25">
      <c r="A2410" s="17"/>
      <c r="B2410" s="17"/>
      <c r="C2410" s="17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  <c r="N2410" s="17"/>
      <c r="O2410" s="17"/>
      <c r="P2410" s="17"/>
      <c r="Q2410" s="17"/>
      <c r="R2410" s="17"/>
      <c r="S2410" s="17"/>
      <c r="T2410" s="17"/>
      <c r="U2410" s="17"/>
      <c r="V2410" s="18">
        <v>0</v>
      </c>
      <c r="W2410" s="17">
        <f t="shared" si="76"/>
        <v>0</v>
      </c>
      <c r="X2410" s="5">
        <f t="shared" si="77"/>
        <v>0</v>
      </c>
    </row>
    <row r="2411" spans="1:24" x14ac:dyDescent="0.25">
      <c r="A2411" s="17"/>
      <c r="B2411" s="17"/>
      <c r="C2411" s="17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8">
        <v>0</v>
      </c>
      <c r="W2411" s="17">
        <f t="shared" si="76"/>
        <v>0</v>
      </c>
      <c r="X2411" s="5">
        <f t="shared" si="77"/>
        <v>0</v>
      </c>
    </row>
    <row r="2412" spans="1:24" x14ac:dyDescent="0.25">
      <c r="A2412" s="17"/>
      <c r="B2412" s="17"/>
      <c r="C2412" s="17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8">
        <v>0</v>
      </c>
      <c r="W2412" s="17">
        <f t="shared" si="76"/>
        <v>0</v>
      </c>
      <c r="X2412" s="5">
        <f t="shared" si="77"/>
        <v>0</v>
      </c>
    </row>
    <row r="2413" spans="1:24" x14ac:dyDescent="0.25">
      <c r="A2413" s="17"/>
      <c r="B2413" s="17"/>
      <c r="C2413" s="17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/>
      <c r="V2413" s="18">
        <v>0</v>
      </c>
      <c r="W2413" s="17">
        <f t="shared" si="76"/>
        <v>0</v>
      </c>
      <c r="X2413" s="5">
        <f t="shared" si="77"/>
        <v>0</v>
      </c>
    </row>
    <row r="2414" spans="1:24" x14ac:dyDescent="0.25">
      <c r="A2414" s="17"/>
      <c r="B2414" s="17"/>
      <c r="C2414" s="17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8">
        <v>0</v>
      </c>
      <c r="W2414" s="17">
        <f t="shared" si="76"/>
        <v>0</v>
      </c>
      <c r="X2414" s="5">
        <f t="shared" si="77"/>
        <v>0</v>
      </c>
    </row>
    <row r="2415" spans="1:24" x14ac:dyDescent="0.25">
      <c r="A2415" s="17"/>
      <c r="B2415" s="17"/>
      <c r="C2415" s="17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/>
      <c r="V2415" s="18">
        <v>0</v>
      </c>
      <c r="W2415" s="17">
        <f t="shared" si="76"/>
        <v>0</v>
      </c>
      <c r="X2415" s="5">
        <f t="shared" si="77"/>
        <v>0</v>
      </c>
    </row>
    <row r="2416" spans="1:24" x14ac:dyDescent="0.25">
      <c r="A2416" s="17"/>
      <c r="B2416" s="17"/>
      <c r="C2416" s="17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8">
        <v>0</v>
      </c>
      <c r="W2416" s="17">
        <f t="shared" si="76"/>
        <v>0</v>
      </c>
      <c r="X2416" s="5">
        <f t="shared" si="77"/>
        <v>0</v>
      </c>
    </row>
    <row r="2417" spans="1:24" x14ac:dyDescent="0.25">
      <c r="A2417" s="17"/>
      <c r="B2417" s="17"/>
      <c r="C2417" s="17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8">
        <v>0</v>
      </c>
      <c r="W2417" s="17">
        <f t="shared" si="76"/>
        <v>0</v>
      </c>
      <c r="X2417" s="5">
        <f t="shared" si="77"/>
        <v>0</v>
      </c>
    </row>
    <row r="2418" spans="1:24" x14ac:dyDescent="0.25">
      <c r="A2418" s="17"/>
      <c r="B2418" s="17"/>
      <c r="C2418" s="17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8">
        <v>0</v>
      </c>
      <c r="W2418" s="17">
        <f t="shared" si="76"/>
        <v>0</v>
      </c>
      <c r="X2418" s="5">
        <f t="shared" si="77"/>
        <v>0</v>
      </c>
    </row>
    <row r="2419" spans="1:24" x14ac:dyDescent="0.25">
      <c r="A2419" s="17"/>
      <c r="B2419" s="17"/>
      <c r="C2419" s="17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8">
        <v>0</v>
      </c>
      <c r="W2419" s="17">
        <f t="shared" si="76"/>
        <v>0</v>
      </c>
      <c r="X2419" s="5">
        <f t="shared" si="77"/>
        <v>0</v>
      </c>
    </row>
    <row r="2420" spans="1:24" x14ac:dyDescent="0.25">
      <c r="A2420" s="17"/>
      <c r="B2420" s="17"/>
      <c r="C2420" s="17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8">
        <v>0</v>
      </c>
      <c r="W2420" s="17">
        <f t="shared" si="76"/>
        <v>0</v>
      </c>
      <c r="X2420" s="5">
        <f t="shared" si="77"/>
        <v>0</v>
      </c>
    </row>
    <row r="2421" spans="1:24" x14ac:dyDescent="0.25">
      <c r="A2421" s="17"/>
      <c r="B2421" s="17"/>
      <c r="C2421" s="17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8">
        <v>0</v>
      </c>
      <c r="W2421" s="17">
        <f t="shared" si="76"/>
        <v>0</v>
      </c>
      <c r="X2421" s="5">
        <f t="shared" si="77"/>
        <v>0</v>
      </c>
    </row>
    <row r="2422" spans="1:24" x14ac:dyDescent="0.25">
      <c r="A2422" s="17"/>
      <c r="B2422" s="17"/>
      <c r="C2422" s="17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  <c r="N2422" s="17"/>
      <c r="O2422" s="17"/>
      <c r="P2422" s="17"/>
      <c r="Q2422" s="17"/>
      <c r="R2422" s="17"/>
      <c r="S2422" s="17"/>
      <c r="T2422" s="17"/>
      <c r="U2422" s="17"/>
      <c r="V2422" s="18">
        <v>0</v>
      </c>
      <c r="W2422" s="17">
        <f t="shared" si="76"/>
        <v>0</v>
      </c>
      <c r="X2422" s="5">
        <f t="shared" si="77"/>
        <v>0</v>
      </c>
    </row>
    <row r="2423" spans="1:24" x14ac:dyDescent="0.25">
      <c r="A2423" s="17"/>
      <c r="B2423" s="17"/>
      <c r="C2423" s="17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  <c r="N2423" s="17"/>
      <c r="O2423" s="17"/>
      <c r="P2423" s="17"/>
      <c r="Q2423" s="17"/>
      <c r="R2423" s="17"/>
      <c r="S2423" s="17"/>
      <c r="T2423" s="17"/>
      <c r="U2423" s="17"/>
      <c r="V2423" s="18">
        <v>0</v>
      </c>
      <c r="W2423" s="17">
        <f t="shared" si="76"/>
        <v>0</v>
      </c>
      <c r="X2423" s="5">
        <f t="shared" si="77"/>
        <v>0</v>
      </c>
    </row>
    <row r="2424" spans="1:24" x14ac:dyDescent="0.25">
      <c r="A2424" s="17"/>
      <c r="B2424" s="17"/>
      <c r="C2424" s="17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  <c r="N2424" s="17"/>
      <c r="O2424" s="17"/>
      <c r="P2424" s="17"/>
      <c r="Q2424" s="17"/>
      <c r="R2424" s="17"/>
      <c r="S2424" s="17"/>
      <c r="T2424" s="17"/>
      <c r="U2424" s="17"/>
      <c r="V2424" s="18">
        <v>0</v>
      </c>
      <c r="W2424" s="17">
        <f t="shared" si="76"/>
        <v>0</v>
      </c>
      <c r="X2424" s="5">
        <f t="shared" si="77"/>
        <v>0</v>
      </c>
    </row>
    <row r="2425" spans="1:24" x14ac:dyDescent="0.25">
      <c r="A2425" s="17"/>
      <c r="B2425" s="17"/>
      <c r="C2425" s="17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8">
        <v>0</v>
      </c>
      <c r="W2425" s="17">
        <f t="shared" si="76"/>
        <v>0</v>
      </c>
      <c r="X2425" s="5">
        <f t="shared" si="77"/>
        <v>0</v>
      </c>
    </row>
    <row r="2426" spans="1:24" x14ac:dyDescent="0.25">
      <c r="A2426" s="17"/>
      <c r="B2426" s="17"/>
      <c r="C2426" s="17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8">
        <v>0</v>
      </c>
      <c r="W2426" s="17">
        <f t="shared" si="76"/>
        <v>0</v>
      </c>
      <c r="X2426" s="5">
        <f t="shared" si="77"/>
        <v>0</v>
      </c>
    </row>
    <row r="2427" spans="1:24" x14ac:dyDescent="0.25">
      <c r="A2427" s="17"/>
      <c r="B2427" s="17"/>
      <c r="C2427" s="17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8">
        <v>0</v>
      </c>
      <c r="W2427" s="17">
        <f t="shared" si="76"/>
        <v>0</v>
      </c>
      <c r="X2427" s="5">
        <f t="shared" si="77"/>
        <v>0</v>
      </c>
    </row>
    <row r="2428" spans="1:24" x14ac:dyDescent="0.25">
      <c r="A2428" s="17"/>
      <c r="B2428" s="17"/>
      <c r="C2428" s="17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8">
        <v>0</v>
      </c>
      <c r="W2428" s="17">
        <f t="shared" si="76"/>
        <v>0</v>
      </c>
      <c r="X2428" s="5">
        <f t="shared" si="77"/>
        <v>0</v>
      </c>
    </row>
    <row r="2429" spans="1:24" x14ac:dyDescent="0.25">
      <c r="A2429" s="17"/>
      <c r="B2429" s="17"/>
      <c r="C2429" s="17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8">
        <v>0</v>
      </c>
      <c r="W2429" s="17">
        <f t="shared" si="76"/>
        <v>0</v>
      </c>
      <c r="X2429" s="5">
        <f t="shared" si="77"/>
        <v>0</v>
      </c>
    </row>
    <row r="2430" spans="1:24" x14ac:dyDescent="0.25">
      <c r="A2430" s="17"/>
      <c r="B2430" s="17"/>
      <c r="C2430" s="17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8">
        <v>0</v>
      </c>
      <c r="W2430" s="17">
        <f t="shared" si="76"/>
        <v>0</v>
      </c>
      <c r="X2430" s="5">
        <f t="shared" si="77"/>
        <v>0</v>
      </c>
    </row>
    <row r="2431" spans="1:24" x14ac:dyDescent="0.25">
      <c r="A2431" s="17"/>
      <c r="B2431" s="17"/>
      <c r="C2431" s="17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8">
        <v>0</v>
      </c>
      <c r="W2431" s="17">
        <f t="shared" si="76"/>
        <v>0</v>
      </c>
      <c r="X2431" s="5">
        <f t="shared" si="77"/>
        <v>0</v>
      </c>
    </row>
    <row r="2432" spans="1:24" x14ac:dyDescent="0.25">
      <c r="A2432" s="17"/>
      <c r="B2432" s="17"/>
      <c r="C2432" s="17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8">
        <v>0</v>
      </c>
      <c r="W2432" s="17">
        <f t="shared" si="76"/>
        <v>0</v>
      </c>
      <c r="X2432" s="5">
        <f t="shared" si="77"/>
        <v>0</v>
      </c>
    </row>
    <row r="2433" spans="1:24" x14ac:dyDescent="0.25">
      <c r="A2433" s="17"/>
      <c r="B2433" s="17"/>
      <c r="C2433" s="17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8">
        <v>0</v>
      </c>
      <c r="W2433" s="17">
        <f t="shared" si="76"/>
        <v>0</v>
      </c>
      <c r="X2433" s="5">
        <f t="shared" si="77"/>
        <v>0</v>
      </c>
    </row>
    <row r="2434" spans="1:24" x14ac:dyDescent="0.25">
      <c r="A2434" s="17"/>
      <c r="B2434" s="17"/>
      <c r="C2434" s="17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8">
        <v>0</v>
      </c>
      <c r="W2434" s="17">
        <f t="shared" si="76"/>
        <v>0</v>
      </c>
      <c r="X2434" s="5">
        <f t="shared" si="77"/>
        <v>0</v>
      </c>
    </row>
    <row r="2435" spans="1:24" x14ac:dyDescent="0.25">
      <c r="A2435" s="17"/>
      <c r="B2435" s="17"/>
      <c r="C2435" s="17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8">
        <v>0</v>
      </c>
      <c r="W2435" s="17">
        <f t="shared" ref="W2435:W2498" si="78">HOUR(E2435)</f>
        <v>0</v>
      </c>
      <c r="X2435" s="5">
        <f t="shared" ref="X2435:X2498" si="79">IF(D2435=D2434,0,1)</f>
        <v>0</v>
      </c>
    </row>
    <row r="2436" spans="1:24" x14ac:dyDescent="0.25">
      <c r="A2436" s="17"/>
      <c r="B2436" s="17"/>
      <c r="C2436" s="17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  <c r="N2436" s="17"/>
      <c r="O2436" s="17"/>
      <c r="P2436" s="17"/>
      <c r="Q2436" s="17"/>
      <c r="R2436" s="17"/>
      <c r="S2436" s="17"/>
      <c r="T2436" s="17"/>
      <c r="U2436" s="17"/>
      <c r="V2436" s="18">
        <v>0</v>
      </c>
      <c r="W2436" s="17">
        <f t="shared" si="78"/>
        <v>0</v>
      </c>
      <c r="X2436" s="5">
        <f t="shared" si="79"/>
        <v>0</v>
      </c>
    </row>
    <row r="2437" spans="1:24" x14ac:dyDescent="0.25">
      <c r="A2437" s="17"/>
      <c r="B2437" s="17"/>
      <c r="C2437" s="17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  <c r="N2437" s="17"/>
      <c r="O2437" s="17"/>
      <c r="P2437" s="17"/>
      <c r="Q2437" s="17"/>
      <c r="R2437" s="17"/>
      <c r="S2437" s="17"/>
      <c r="T2437" s="17"/>
      <c r="U2437" s="17"/>
      <c r="V2437" s="18">
        <v>0</v>
      </c>
      <c r="W2437" s="17">
        <f t="shared" si="78"/>
        <v>0</v>
      </c>
      <c r="X2437" s="5">
        <f t="shared" si="79"/>
        <v>0</v>
      </c>
    </row>
    <row r="2438" spans="1:24" x14ac:dyDescent="0.25">
      <c r="A2438" s="17"/>
      <c r="B2438" s="17"/>
      <c r="C2438" s="17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  <c r="N2438" s="17"/>
      <c r="O2438" s="17"/>
      <c r="P2438" s="17"/>
      <c r="Q2438" s="17"/>
      <c r="R2438" s="17"/>
      <c r="S2438" s="17"/>
      <c r="T2438" s="17"/>
      <c r="U2438" s="17"/>
      <c r="V2438" s="18">
        <v>0</v>
      </c>
      <c r="W2438" s="17">
        <f t="shared" si="78"/>
        <v>0</v>
      </c>
      <c r="X2438" s="5">
        <f t="shared" si="79"/>
        <v>0</v>
      </c>
    </row>
    <row r="2439" spans="1:24" x14ac:dyDescent="0.25">
      <c r="A2439" s="17"/>
      <c r="B2439" s="17"/>
      <c r="C2439" s="17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8">
        <v>0</v>
      </c>
      <c r="W2439" s="17">
        <f t="shared" si="78"/>
        <v>0</v>
      </c>
      <c r="X2439" s="5">
        <f t="shared" si="79"/>
        <v>0</v>
      </c>
    </row>
    <row r="2440" spans="1:24" x14ac:dyDescent="0.25">
      <c r="A2440" s="17"/>
      <c r="B2440" s="17"/>
      <c r="C2440" s="17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8">
        <v>0</v>
      </c>
      <c r="W2440" s="17">
        <f t="shared" si="78"/>
        <v>0</v>
      </c>
      <c r="X2440" s="5">
        <f t="shared" si="79"/>
        <v>0</v>
      </c>
    </row>
    <row r="2441" spans="1:24" x14ac:dyDescent="0.25">
      <c r="A2441" s="17"/>
      <c r="B2441" s="17"/>
      <c r="C2441" s="17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8">
        <v>0</v>
      </c>
      <c r="W2441" s="17">
        <f t="shared" si="78"/>
        <v>0</v>
      </c>
      <c r="X2441" s="5">
        <f t="shared" si="79"/>
        <v>0</v>
      </c>
    </row>
    <row r="2442" spans="1:24" x14ac:dyDescent="0.25">
      <c r="A2442" s="17"/>
      <c r="B2442" s="17"/>
      <c r="C2442" s="17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8">
        <v>0</v>
      </c>
      <c r="W2442" s="17">
        <f t="shared" si="78"/>
        <v>0</v>
      </c>
      <c r="X2442" s="5">
        <f t="shared" si="79"/>
        <v>0</v>
      </c>
    </row>
    <row r="2443" spans="1:24" x14ac:dyDescent="0.25">
      <c r="A2443" s="17"/>
      <c r="B2443" s="17"/>
      <c r="C2443" s="17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8">
        <v>0</v>
      </c>
      <c r="W2443" s="17">
        <f t="shared" si="78"/>
        <v>0</v>
      </c>
      <c r="X2443" s="5">
        <f t="shared" si="79"/>
        <v>0</v>
      </c>
    </row>
    <row r="2444" spans="1:24" x14ac:dyDescent="0.25">
      <c r="A2444" s="17"/>
      <c r="B2444" s="17"/>
      <c r="C2444" s="17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8">
        <v>0</v>
      </c>
      <c r="W2444" s="17">
        <f t="shared" si="78"/>
        <v>0</v>
      </c>
      <c r="X2444" s="5">
        <f t="shared" si="79"/>
        <v>0</v>
      </c>
    </row>
    <row r="2445" spans="1:24" x14ac:dyDescent="0.25">
      <c r="A2445" s="17"/>
      <c r="B2445" s="17"/>
      <c r="C2445" s="17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8">
        <v>0</v>
      </c>
      <c r="W2445" s="17">
        <f t="shared" si="78"/>
        <v>0</v>
      </c>
      <c r="X2445" s="5">
        <f t="shared" si="79"/>
        <v>0</v>
      </c>
    </row>
    <row r="2446" spans="1:24" x14ac:dyDescent="0.25">
      <c r="A2446" s="17"/>
      <c r="B2446" s="17"/>
      <c r="C2446" s="17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8">
        <v>0</v>
      </c>
      <c r="W2446" s="17">
        <f t="shared" si="78"/>
        <v>0</v>
      </c>
      <c r="X2446" s="5">
        <f t="shared" si="79"/>
        <v>0</v>
      </c>
    </row>
    <row r="2447" spans="1:24" x14ac:dyDescent="0.25">
      <c r="A2447" s="17"/>
      <c r="B2447" s="17"/>
      <c r="C2447" s="17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8">
        <v>0</v>
      </c>
      <c r="W2447" s="17">
        <f t="shared" si="78"/>
        <v>0</v>
      </c>
      <c r="X2447" s="5">
        <f t="shared" si="79"/>
        <v>0</v>
      </c>
    </row>
    <row r="2448" spans="1:24" x14ac:dyDescent="0.25">
      <c r="A2448" s="17"/>
      <c r="B2448" s="17"/>
      <c r="C2448" s="17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8">
        <v>0</v>
      </c>
      <c r="W2448" s="17">
        <f t="shared" si="78"/>
        <v>0</v>
      </c>
      <c r="X2448" s="5">
        <f t="shared" si="79"/>
        <v>0</v>
      </c>
    </row>
    <row r="2449" spans="1:24" x14ac:dyDescent="0.25">
      <c r="A2449" s="17"/>
      <c r="B2449" s="17"/>
      <c r="C2449" s="17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8">
        <v>0</v>
      </c>
      <c r="W2449" s="17">
        <f t="shared" si="78"/>
        <v>0</v>
      </c>
      <c r="X2449" s="5">
        <f t="shared" si="79"/>
        <v>0</v>
      </c>
    </row>
    <row r="2450" spans="1:24" x14ac:dyDescent="0.25">
      <c r="A2450" s="17"/>
      <c r="B2450" s="17"/>
      <c r="C2450" s="17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8">
        <v>0</v>
      </c>
      <c r="W2450" s="17">
        <f t="shared" si="78"/>
        <v>0</v>
      </c>
      <c r="X2450" s="5">
        <f t="shared" si="79"/>
        <v>0</v>
      </c>
    </row>
    <row r="2451" spans="1:24" x14ac:dyDescent="0.25">
      <c r="A2451" s="17"/>
      <c r="B2451" s="17"/>
      <c r="C2451" s="17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8">
        <v>0</v>
      </c>
      <c r="W2451" s="17">
        <f t="shared" si="78"/>
        <v>0</v>
      </c>
      <c r="X2451" s="5">
        <f t="shared" si="79"/>
        <v>0</v>
      </c>
    </row>
    <row r="2452" spans="1:24" x14ac:dyDescent="0.25">
      <c r="A2452" s="17"/>
      <c r="B2452" s="17"/>
      <c r="C2452" s="17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8">
        <v>0</v>
      </c>
      <c r="W2452" s="17">
        <f t="shared" si="78"/>
        <v>0</v>
      </c>
      <c r="X2452" s="5">
        <f t="shared" si="79"/>
        <v>0</v>
      </c>
    </row>
    <row r="2453" spans="1:24" x14ac:dyDescent="0.25">
      <c r="A2453" s="17"/>
      <c r="B2453" s="17"/>
      <c r="C2453" s="17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8">
        <v>0</v>
      </c>
      <c r="W2453" s="17">
        <f t="shared" si="78"/>
        <v>0</v>
      </c>
      <c r="X2453" s="5">
        <f t="shared" si="79"/>
        <v>0</v>
      </c>
    </row>
    <row r="2454" spans="1:24" x14ac:dyDescent="0.25">
      <c r="A2454" s="17"/>
      <c r="B2454" s="17"/>
      <c r="C2454" s="17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8">
        <v>0</v>
      </c>
      <c r="W2454" s="17">
        <f t="shared" si="78"/>
        <v>0</v>
      </c>
      <c r="X2454" s="5">
        <f t="shared" si="79"/>
        <v>0</v>
      </c>
    </row>
    <row r="2455" spans="1:24" x14ac:dyDescent="0.25">
      <c r="A2455" s="17"/>
      <c r="B2455" s="17"/>
      <c r="C2455" s="17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8">
        <v>0</v>
      </c>
      <c r="W2455" s="17">
        <f t="shared" si="78"/>
        <v>0</v>
      </c>
      <c r="X2455" s="5">
        <f t="shared" si="79"/>
        <v>0</v>
      </c>
    </row>
    <row r="2456" spans="1:24" x14ac:dyDescent="0.25">
      <c r="A2456" s="17"/>
      <c r="B2456" s="17"/>
      <c r="C2456" s="17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  <c r="N2456" s="17"/>
      <c r="O2456" s="17"/>
      <c r="P2456" s="17"/>
      <c r="Q2456" s="17"/>
      <c r="R2456" s="17"/>
      <c r="S2456" s="17"/>
      <c r="T2456" s="17"/>
      <c r="U2456" s="17"/>
      <c r="V2456" s="18">
        <v>0</v>
      </c>
      <c r="W2456" s="17">
        <f t="shared" si="78"/>
        <v>0</v>
      </c>
      <c r="X2456" s="5">
        <f t="shared" si="79"/>
        <v>0</v>
      </c>
    </row>
    <row r="2457" spans="1:24" x14ac:dyDescent="0.25">
      <c r="A2457" s="17"/>
      <c r="B2457" s="17"/>
      <c r="C2457" s="17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  <c r="N2457" s="17"/>
      <c r="O2457" s="17"/>
      <c r="P2457" s="17"/>
      <c r="Q2457" s="17"/>
      <c r="R2457" s="17"/>
      <c r="S2457" s="17"/>
      <c r="T2457" s="17"/>
      <c r="U2457" s="17"/>
      <c r="V2457" s="18">
        <v>0</v>
      </c>
      <c r="W2457" s="17">
        <f t="shared" si="78"/>
        <v>0</v>
      </c>
      <c r="X2457" s="5">
        <f t="shared" si="79"/>
        <v>0</v>
      </c>
    </row>
    <row r="2458" spans="1:24" x14ac:dyDescent="0.25">
      <c r="A2458" s="17"/>
      <c r="B2458" s="17"/>
      <c r="C2458" s="17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  <c r="N2458" s="17"/>
      <c r="O2458" s="17"/>
      <c r="P2458" s="17"/>
      <c r="Q2458" s="17"/>
      <c r="R2458" s="17"/>
      <c r="S2458" s="17"/>
      <c r="T2458" s="17"/>
      <c r="U2458" s="17"/>
      <c r="V2458" s="18">
        <v>0</v>
      </c>
      <c r="W2458" s="17">
        <f t="shared" si="78"/>
        <v>0</v>
      </c>
      <c r="X2458" s="5">
        <f t="shared" si="79"/>
        <v>0</v>
      </c>
    </row>
    <row r="2459" spans="1:24" x14ac:dyDescent="0.25">
      <c r="A2459" s="17"/>
      <c r="B2459" s="17"/>
      <c r="C2459" s="17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8">
        <v>0</v>
      </c>
      <c r="W2459" s="17">
        <f t="shared" si="78"/>
        <v>0</v>
      </c>
      <c r="X2459" s="5">
        <f t="shared" si="79"/>
        <v>0</v>
      </c>
    </row>
    <row r="2460" spans="1:24" x14ac:dyDescent="0.25">
      <c r="A2460" s="17"/>
      <c r="B2460" s="17"/>
      <c r="C2460" s="17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8">
        <v>0</v>
      </c>
      <c r="W2460" s="17">
        <f t="shared" si="78"/>
        <v>0</v>
      </c>
      <c r="X2460" s="5">
        <f t="shared" si="79"/>
        <v>0</v>
      </c>
    </row>
    <row r="2461" spans="1:24" x14ac:dyDescent="0.25">
      <c r="A2461" s="17"/>
      <c r="B2461" s="17"/>
      <c r="C2461" s="17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8">
        <v>0</v>
      </c>
      <c r="W2461" s="17">
        <f t="shared" si="78"/>
        <v>0</v>
      </c>
      <c r="X2461" s="5">
        <f t="shared" si="79"/>
        <v>0</v>
      </c>
    </row>
    <row r="2462" spans="1:24" x14ac:dyDescent="0.25">
      <c r="A2462" s="17"/>
      <c r="B2462" s="17"/>
      <c r="C2462" s="17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8">
        <v>0</v>
      </c>
      <c r="W2462" s="17">
        <f t="shared" si="78"/>
        <v>0</v>
      </c>
      <c r="X2462" s="5">
        <f t="shared" si="79"/>
        <v>0</v>
      </c>
    </row>
    <row r="2463" spans="1:24" x14ac:dyDescent="0.25">
      <c r="A2463" s="17"/>
      <c r="B2463" s="17"/>
      <c r="C2463" s="17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8">
        <v>0</v>
      </c>
      <c r="W2463" s="17">
        <f t="shared" si="78"/>
        <v>0</v>
      </c>
      <c r="X2463" s="5">
        <f t="shared" si="79"/>
        <v>0</v>
      </c>
    </row>
    <row r="2464" spans="1:24" x14ac:dyDescent="0.25">
      <c r="A2464" s="17"/>
      <c r="B2464" s="17"/>
      <c r="C2464" s="17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8">
        <v>0</v>
      </c>
      <c r="W2464" s="17">
        <f t="shared" si="78"/>
        <v>0</v>
      </c>
      <c r="X2464" s="5">
        <f t="shared" si="79"/>
        <v>0</v>
      </c>
    </row>
    <row r="2465" spans="1:24" x14ac:dyDescent="0.25">
      <c r="A2465" s="17"/>
      <c r="B2465" s="17"/>
      <c r="C2465" s="17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8">
        <v>0</v>
      </c>
      <c r="W2465" s="17">
        <f t="shared" si="78"/>
        <v>0</v>
      </c>
      <c r="X2465" s="5">
        <f t="shared" si="79"/>
        <v>0</v>
      </c>
    </row>
    <row r="2466" spans="1:24" x14ac:dyDescent="0.25">
      <c r="A2466" s="17"/>
      <c r="B2466" s="17"/>
      <c r="C2466" s="17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  <c r="N2466" s="17"/>
      <c r="O2466" s="17"/>
      <c r="P2466" s="17"/>
      <c r="Q2466" s="17"/>
      <c r="R2466" s="17"/>
      <c r="S2466" s="17"/>
      <c r="T2466" s="17"/>
      <c r="U2466" s="17"/>
      <c r="V2466" s="18">
        <v>0</v>
      </c>
      <c r="W2466" s="17">
        <f t="shared" si="78"/>
        <v>0</v>
      </c>
      <c r="X2466" s="5">
        <f t="shared" si="79"/>
        <v>0</v>
      </c>
    </row>
    <row r="2467" spans="1:24" x14ac:dyDescent="0.25">
      <c r="A2467" s="17"/>
      <c r="B2467" s="17"/>
      <c r="C2467" s="17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  <c r="N2467" s="17"/>
      <c r="O2467" s="17"/>
      <c r="P2467" s="17"/>
      <c r="Q2467" s="17"/>
      <c r="R2467" s="17"/>
      <c r="S2467" s="17"/>
      <c r="T2467" s="17"/>
      <c r="U2467" s="17"/>
      <c r="V2467" s="18">
        <v>0</v>
      </c>
      <c r="W2467" s="17">
        <f t="shared" si="78"/>
        <v>0</v>
      </c>
      <c r="X2467" s="5">
        <f t="shared" si="79"/>
        <v>0</v>
      </c>
    </row>
    <row r="2468" spans="1:24" x14ac:dyDescent="0.25">
      <c r="A2468" s="17"/>
      <c r="B2468" s="17"/>
      <c r="C2468" s="17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  <c r="N2468" s="17"/>
      <c r="O2468" s="17"/>
      <c r="P2468" s="17"/>
      <c r="Q2468" s="17"/>
      <c r="R2468" s="17"/>
      <c r="S2468" s="17"/>
      <c r="T2468" s="17"/>
      <c r="U2468" s="17"/>
      <c r="V2468" s="18">
        <v>0</v>
      </c>
      <c r="W2468" s="17">
        <f t="shared" si="78"/>
        <v>0</v>
      </c>
      <c r="X2468" s="5">
        <f t="shared" si="79"/>
        <v>0</v>
      </c>
    </row>
    <row r="2469" spans="1:24" x14ac:dyDescent="0.25">
      <c r="A2469" s="17"/>
      <c r="B2469" s="17"/>
      <c r="C2469" s="17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8">
        <v>0</v>
      </c>
      <c r="W2469" s="17">
        <f t="shared" si="78"/>
        <v>0</v>
      </c>
      <c r="X2469" s="5">
        <f t="shared" si="79"/>
        <v>0</v>
      </c>
    </row>
    <row r="2470" spans="1:24" x14ac:dyDescent="0.25">
      <c r="A2470" s="17"/>
      <c r="B2470" s="17"/>
      <c r="C2470" s="17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8">
        <v>0</v>
      </c>
      <c r="W2470" s="17">
        <f t="shared" si="78"/>
        <v>0</v>
      </c>
      <c r="X2470" s="5">
        <f t="shared" si="79"/>
        <v>0</v>
      </c>
    </row>
    <row r="2471" spans="1:24" x14ac:dyDescent="0.25">
      <c r="A2471" s="17"/>
      <c r="B2471" s="17"/>
      <c r="C2471" s="17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8">
        <v>0</v>
      </c>
      <c r="W2471" s="17">
        <f t="shared" si="78"/>
        <v>0</v>
      </c>
      <c r="X2471" s="5">
        <f t="shared" si="79"/>
        <v>0</v>
      </c>
    </row>
    <row r="2472" spans="1:24" x14ac:dyDescent="0.25">
      <c r="A2472" s="17"/>
      <c r="B2472" s="17"/>
      <c r="C2472" s="17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8">
        <v>0</v>
      </c>
      <c r="W2472" s="17">
        <f t="shared" si="78"/>
        <v>0</v>
      </c>
      <c r="X2472" s="5">
        <f t="shared" si="79"/>
        <v>0</v>
      </c>
    </row>
    <row r="2473" spans="1:24" x14ac:dyDescent="0.25">
      <c r="A2473" s="17"/>
      <c r="B2473" s="17"/>
      <c r="C2473" s="17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8">
        <v>0</v>
      </c>
      <c r="W2473" s="17">
        <f t="shared" si="78"/>
        <v>0</v>
      </c>
      <c r="X2473" s="5">
        <f t="shared" si="79"/>
        <v>0</v>
      </c>
    </row>
    <row r="2474" spans="1:24" x14ac:dyDescent="0.25">
      <c r="A2474" s="17"/>
      <c r="B2474" s="17"/>
      <c r="C2474" s="17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8">
        <v>0</v>
      </c>
      <c r="W2474" s="17">
        <f t="shared" si="78"/>
        <v>0</v>
      </c>
      <c r="X2474" s="5">
        <f t="shared" si="79"/>
        <v>0</v>
      </c>
    </row>
    <row r="2475" spans="1:24" x14ac:dyDescent="0.25">
      <c r="A2475" s="17"/>
      <c r="B2475" s="17"/>
      <c r="C2475" s="17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8">
        <v>0</v>
      </c>
      <c r="W2475" s="17">
        <f t="shared" si="78"/>
        <v>0</v>
      </c>
      <c r="X2475" s="5">
        <f t="shared" si="79"/>
        <v>0</v>
      </c>
    </row>
    <row r="2476" spans="1:24" x14ac:dyDescent="0.25">
      <c r="A2476" s="17"/>
      <c r="B2476" s="17"/>
      <c r="C2476" s="17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8">
        <v>0</v>
      </c>
      <c r="W2476" s="17">
        <f t="shared" si="78"/>
        <v>0</v>
      </c>
      <c r="X2476" s="5">
        <f t="shared" si="79"/>
        <v>0</v>
      </c>
    </row>
    <row r="2477" spans="1:24" x14ac:dyDescent="0.25">
      <c r="A2477" s="17"/>
      <c r="B2477" s="17"/>
      <c r="C2477" s="17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8">
        <v>0</v>
      </c>
      <c r="W2477" s="17">
        <f t="shared" si="78"/>
        <v>0</v>
      </c>
      <c r="X2477" s="5">
        <f t="shared" si="79"/>
        <v>0</v>
      </c>
    </row>
    <row r="2478" spans="1:24" x14ac:dyDescent="0.25">
      <c r="A2478" s="17"/>
      <c r="B2478" s="17"/>
      <c r="C2478" s="17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  <c r="N2478" s="17"/>
      <c r="O2478" s="17"/>
      <c r="P2478" s="17"/>
      <c r="Q2478" s="17"/>
      <c r="R2478" s="17"/>
      <c r="S2478" s="17"/>
      <c r="T2478" s="17"/>
      <c r="U2478" s="17"/>
      <c r="V2478" s="18">
        <v>0</v>
      </c>
      <c r="W2478" s="17">
        <f t="shared" si="78"/>
        <v>0</v>
      </c>
      <c r="X2478" s="5">
        <f t="shared" si="79"/>
        <v>0</v>
      </c>
    </row>
    <row r="2479" spans="1:24" x14ac:dyDescent="0.25">
      <c r="A2479" s="17"/>
      <c r="B2479" s="17"/>
      <c r="C2479" s="17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  <c r="N2479" s="17"/>
      <c r="O2479" s="17"/>
      <c r="P2479" s="17"/>
      <c r="Q2479" s="17"/>
      <c r="R2479" s="17"/>
      <c r="S2479" s="17"/>
      <c r="T2479" s="17"/>
      <c r="U2479" s="17"/>
      <c r="V2479" s="18">
        <v>0</v>
      </c>
      <c r="W2479" s="17">
        <f t="shared" si="78"/>
        <v>0</v>
      </c>
      <c r="X2479" s="5">
        <f t="shared" si="79"/>
        <v>0</v>
      </c>
    </row>
    <row r="2480" spans="1:24" x14ac:dyDescent="0.25">
      <c r="A2480" s="17"/>
      <c r="B2480" s="17"/>
      <c r="C2480" s="17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  <c r="N2480" s="17"/>
      <c r="O2480" s="17"/>
      <c r="P2480" s="17"/>
      <c r="Q2480" s="17"/>
      <c r="R2480" s="17"/>
      <c r="S2480" s="17"/>
      <c r="T2480" s="17"/>
      <c r="U2480" s="17"/>
      <c r="V2480" s="18">
        <v>0</v>
      </c>
      <c r="W2480" s="17">
        <f t="shared" si="78"/>
        <v>0</v>
      </c>
      <c r="X2480" s="5">
        <f t="shared" si="79"/>
        <v>0</v>
      </c>
    </row>
    <row r="2481" spans="1:24" x14ac:dyDescent="0.25">
      <c r="A2481" s="17"/>
      <c r="B2481" s="17"/>
      <c r="C2481" s="17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8">
        <v>0</v>
      </c>
      <c r="W2481" s="17">
        <f t="shared" si="78"/>
        <v>0</v>
      </c>
      <c r="X2481" s="5">
        <f t="shared" si="79"/>
        <v>0</v>
      </c>
    </row>
    <row r="2482" spans="1:24" x14ac:dyDescent="0.25">
      <c r="A2482" s="17"/>
      <c r="B2482" s="17"/>
      <c r="C2482" s="17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8">
        <v>0</v>
      </c>
      <c r="W2482" s="17">
        <f t="shared" si="78"/>
        <v>0</v>
      </c>
      <c r="X2482" s="5">
        <f t="shared" si="79"/>
        <v>0</v>
      </c>
    </row>
    <row r="2483" spans="1:24" x14ac:dyDescent="0.25">
      <c r="A2483" s="17"/>
      <c r="B2483" s="17"/>
      <c r="C2483" s="17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8">
        <v>0</v>
      </c>
      <c r="W2483" s="17">
        <f t="shared" si="78"/>
        <v>0</v>
      </c>
      <c r="X2483" s="5">
        <f t="shared" si="79"/>
        <v>0</v>
      </c>
    </row>
    <row r="2484" spans="1:24" x14ac:dyDescent="0.25">
      <c r="A2484" s="17"/>
      <c r="B2484" s="17"/>
      <c r="C2484" s="17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8">
        <v>0</v>
      </c>
      <c r="W2484" s="17">
        <f t="shared" si="78"/>
        <v>0</v>
      </c>
      <c r="X2484" s="5">
        <f t="shared" si="79"/>
        <v>0</v>
      </c>
    </row>
    <row r="2485" spans="1:24" x14ac:dyDescent="0.25">
      <c r="A2485" s="17"/>
      <c r="B2485" s="17"/>
      <c r="C2485" s="17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8">
        <v>0</v>
      </c>
      <c r="W2485" s="17">
        <f t="shared" si="78"/>
        <v>0</v>
      </c>
      <c r="X2485" s="5">
        <f t="shared" si="79"/>
        <v>0</v>
      </c>
    </row>
    <row r="2486" spans="1:24" x14ac:dyDescent="0.25">
      <c r="A2486" s="17"/>
      <c r="B2486" s="17"/>
      <c r="C2486" s="17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8">
        <v>0</v>
      </c>
      <c r="W2486" s="17">
        <f t="shared" si="78"/>
        <v>0</v>
      </c>
      <c r="X2486" s="5">
        <f t="shared" si="79"/>
        <v>0</v>
      </c>
    </row>
    <row r="2487" spans="1:24" x14ac:dyDescent="0.25">
      <c r="A2487" s="17"/>
      <c r="B2487" s="17"/>
      <c r="C2487" s="17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8">
        <v>0</v>
      </c>
      <c r="W2487" s="17">
        <f t="shared" si="78"/>
        <v>0</v>
      </c>
      <c r="X2487" s="5">
        <f t="shared" si="79"/>
        <v>0</v>
      </c>
    </row>
    <row r="2488" spans="1:24" x14ac:dyDescent="0.25">
      <c r="A2488" s="17"/>
      <c r="B2488" s="17"/>
      <c r="C2488" s="17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8">
        <v>0</v>
      </c>
      <c r="W2488" s="17">
        <f t="shared" si="78"/>
        <v>0</v>
      </c>
      <c r="X2488" s="5">
        <f t="shared" si="79"/>
        <v>0</v>
      </c>
    </row>
    <row r="2489" spans="1:24" x14ac:dyDescent="0.25">
      <c r="A2489" s="17"/>
      <c r="B2489" s="17"/>
      <c r="C2489" s="17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8">
        <v>0</v>
      </c>
      <c r="W2489" s="17">
        <f t="shared" si="78"/>
        <v>0</v>
      </c>
      <c r="X2489" s="5">
        <f t="shared" si="79"/>
        <v>0</v>
      </c>
    </row>
    <row r="2490" spans="1:24" x14ac:dyDescent="0.25">
      <c r="A2490" s="17"/>
      <c r="B2490" s="17"/>
      <c r="C2490" s="17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8">
        <v>0</v>
      </c>
      <c r="W2490" s="17">
        <f t="shared" si="78"/>
        <v>0</v>
      </c>
      <c r="X2490" s="5">
        <f t="shared" si="79"/>
        <v>0</v>
      </c>
    </row>
    <row r="2491" spans="1:24" x14ac:dyDescent="0.25">
      <c r="A2491" s="17"/>
      <c r="B2491" s="17"/>
      <c r="C2491" s="17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8">
        <v>0</v>
      </c>
      <c r="W2491" s="17">
        <f t="shared" si="78"/>
        <v>0</v>
      </c>
      <c r="X2491" s="5">
        <f t="shared" si="79"/>
        <v>0</v>
      </c>
    </row>
    <row r="2492" spans="1:24" x14ac:dyDescent="0.25">
      <c r="A2492" s="17"/>
      <c r="B2492" s="17"/>
      <c r="C2492" s="17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8">
        <v>0</v>
      </c>
      <c r="W2492" s="17">
        <f t="shared" si="78"/>
        <v>0</v>
      </c>
      <c r="X2492" s="5">
        <f t="shared" si="79"/>
        <v>0</v>
      </c>
    </row>
    <row r="2493" spans="1:24" x14ac:dyDescent="0.25">
      <c r="A2493" s="17"/>
      <c r="B2493" s="17"/>
      <c r="C2493" s="17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8">
        <v>0</v>
      </c>
      <c r="W2493" s="17">
        <f t="shared" si="78"/>
        <v>0</v>
      </c>
      <c r="X2493" s="5">
        <f t="shared" si="79"/>
        <v>0</v>
      </c>
    </row>
    <row r="2494" spans="1:24" x14ac:dyDescent="0.25">
      <c r="A2494" s="17"/>
      <c r="B2494" s="17"/>
      <c r="C2494" s="17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  <c r="N2494" s="17"/>
      <c r="O2494" s="17"/>
      <c r="P2494" s="17"/>
      <c r="Q2494" s="17"/>
      <c r="R2494" s="17"/>
      <c r="S2494" s="17"/>
      <c r="T2494" s="17"/>
      <c r="U2494" s="17"/>
      <c r="V2494" s="18">
        <v>0</v>
      </c>
      <c r="W2494" s="17">
        <f t="shared" si="78"/>
        <v>0</v>
      </c>
      <c r="X2494" s="5">
        <f t="shared" si="79"/>
        <v>0</v>
      </c>
    </row>
    <row r="2495" spans="1:24" x14ac:dyDescent="0.25">
      <c r="A2495" s="17"/>
      <c r="B2495" s="17"/>
      <c r="C2495" s="17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  <c r="N2495" s="17"/>
      <c r="O2495" s="17"/>
      <c r="P2495" s="17"/>
      <c r="Q2495" s="17"/>
      <c r="R2495" s="17"/>
      <c r="S2495" s="17"/>
      <c r="T2495" s="17"/>
      <c r="U2495" s="17"/>
      <c r="V2495" s="18">
        <v>0</v>
      </c>
      <c r="W2495" s="17">
        <f t="shared" si="78"/>
        <v>0</v>
      </c>
      <c r="X2495" s="5">
        <f t="shared" si="79"/>
        <v>0</v>
      </c>
    </row>
    <row r="2496" spans="1:24" x14ac:dyDescent="0.25">
      <c r="A2496" s="17"/>
      <c r="B2496" s="17"/>
      <c r="C2496" s="17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  <c r="N2496" s="17"/>
      <c r="O2496" s="17"/>
      <c r="P2496" s="17"/>
      <c r="Q2496" s="17"/>
      <c r="R2496" s="17"/>
      <c r="S2496" s="17"/>
      <c r="T2496" s="17"/>
      <c r="U2496" s="17"/>
      <c r="V2496" s="18">
        <v>0</v>
      </c>
      <c r="W2496" s="17">
        <f t="shared" si="78"/>
        <v>0</v>
      </c>
      <c r="X2496" s="5">
        <f t="shared" si="79"/>
        <v>0</v>
      </c>
    </row>
    <row r="2497" spans="1:24" x14ac:dyDescent="0.25">
      <c r="A2497" s="17"/>
      <c r="B2497" s="17"/>
      <c r="C2497" s="17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8">
        <v>0</v>
      </c>
      <c r="W2497" s="17">
        <f t="shared" si="78"/>
        <v>0</v>
      </c>
      <c r="X2497" s="5">
        <f t="shared" si="79"/>
        <v>0</v>
      </c>
    </row>
    <row r="2498" spans="1:24" x14ac:dyDescent="0.25">
      <c r="A2498" s="17"/>
      <c r="B2498" s="17"/>
      <c r="C2498" s="17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8">
        <v>0</v>
      </c>
      <c r="W2498" s="17">
        <f t="shared" si="78"/>
        <v>0</v>
      </c>
      <c r="X2498" s="5">
        <f t="shared" si="79"/>
        <v>0</v>
      </c>
    </row>
    <row r="2499" spans="1:24" x14ac:dyDescent="0.25">
      <c r="A2499" s="17"/>
      <c r="B2499" s="17"/>
      <c r="C2499" s="17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8">
        <v>0</v>
      </c>
      <c r="W2499" s="17">
        <f t="shared" ref="W2499:W2562" si="80">HOUR(E2499)</f>
        <v>0</v>
      </c>
      <c r="X2499" s="5">
        <f t="shared" ref="X2499:X2562" si="81">IF(D2499=D2498,0,1)</f>
        <v>0</v>
      </c>
    </row>
    <row r="2500" spans="1:24" x14ac:dyDescent="0.25">
      <c r="A2500" s="17"/>
      <c r="B2500" s="17"/>
      <c r="C2500" s="17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8">
        <v>0</v>
      </c>
      <c r="W2500" s="17">
        <f t="shared" si="80"/>
        <v>0</v>
      </c>
      <c r="X2500" s="5">
        <f t="shared" si="81"/>
        <v>0</v>
      </c>
    </row>
    <row r="2501" spans="1:24" x14ac:dyDescent="0.25">
      <c r="A2501" s="17"/>
      <c r="B2501" s="17"/>
      <c r="C2501" s="17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8">
        <v>0</v>
      </c>
      <c r="W2501" s="17">
        <f t="shared" si="80"/>
        <v>0</v>
      </c>
      <c r="X2501" s="5">
        <f t="shared" si="81"/>
        <v>0</v>
      </c>
    </row>
    <row r="2502" spans="1:24" x14ac:dyDescent="0.25">
      <c r="A2502" s="17"/>
      <c r="B2502" s="17"/>
      <c r="C2502" s="17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8">
        <v>0</v>
      </c>
      <c r="W2502" s="17">
        <f t="shared" si="80"/>
        <v>0</v>
      </c>
      <c r="X2502" s="5">
        <f t="shared" si="81"/>
        <v>0</v>
      </c>
    </row>
    <row r="2503" spans="1:24" x14ac:dyDescent="0.25">
      <c r="A2503" s="17"/>
      <c r="B2503" s="17"/>
      <c r="C2503" s="17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8">
        <v>0</v>
      </c>
      <c r="W2503" s="17">
        <f t="shared" si="80"/>
        <v>0</v>
      </c>
      <c r="X2503" s="5">
        <f t="shared" si="81"/>
        <v>0</v>
      </c>
    </row>
    <row r="2504" spans="1:24" x14ac:dyDescent="0.25">
      <c r="A2504" s="17"/>
      <c r="B2504" s="17"/>
      <c r="C2504" s="17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8">
        <v>0</v>
      </c>
      <c r="W2504" s="17">
        <f t="shared" si="80"/>
        <v>0</v>
      </c>
      <c r="X2504" s="5">
        <f t="shared" si="81"/>
        <v>0</v>
      </c>
    </row>
    <row r="2505" spans="1:24" x14ac:dyDescent="0.25">
      <c r="A2505" s="17"/>
      <c r="B2505" s="17"/>
      <c r="C2505" s="17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8">
        <v>0</v>
      </c>
      <c r="W2505" s="17">
        <f t="shared" si="80"/>
        <v>0</v>
      </c>
      <c r="X2505" s="5">
        <f t="shared" si="81"/>
        <v>0</v>
      </c>
    </row>
    <row r="2506" spans="1:24" x14ac:dyDescent="0.25">
      <c r="A2506" s="17"/>
      <c r="B2506" s="17"/>
      <c r="C2506" s="17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8">
        <v>0</v>
      </c>
      <c r="W2506" s="17">
        <f t="shared" si="80"/>
        <v>0</v>
      </c>
      <c r="X2506" s="5">
        <f t="shared" si="81"/>
        <v>0</v>
      </c>
    </row>
    <row r="2507" spans="1:24" x14ac:dyDescent="0.25">
      <c r="A2507" s="17"/>
      <c r="B2507" s="17"/>
      <c r="C2507" s="17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8">
        <v>0</v>
      </c>
      <c r="W2507" s="17">
        <f t="shared" si="80"/>
        <v>0</v>
      </c>
      <c r="X2507" s="5">
        <f t="shared" si="81"/>
        <v>0</v>
      </c>
    </row>
    <row r="2508" spans="1:24" x14ac:dyDescent="0.25">
      <c r="A2508" s="17"/>
      <c r="B2508" s="17"/>
      <c r="C2508" s="17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8">
        <v>0</v>
      </c>
      <c r="W2508" s="17">
        <f t="shared" si="80"/>
        <v>0</v>
      </c>
      <c r="X2508" s="5">
        <f t="shared" si="81"/>
        <v>0</v>
      </c>
    </row>
    <row r="2509" spans="1:24" x14ac:dyDescent="0.25">
      <c r="A2509" s="17"/>
      <c r="B2509" s="17"/>
      <c r="C2509" s="17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8">
        <v>0</v>
      </c>
      <c r="W2509" s="17">
        <f t="shared" si="80"/>
        <v>0</v>
      </c>
      <c r="X2509" s="5">
        <f t="shared" si="81"/>
        <v>0</v>
      </c>
    </row>
    <row r="2510" spans="1:24" x14ac:dyDescent="0.25">
      <c r="A2510" s="17"/>
      <c r="B2510" s="17"/>
      <c r="C2510" s="17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  <c r="N2510" s="17"/>
      <c r="O2510" s="17"/>
      <c r="P2510" s="17"/>
      <c r="Q2510" s="17"/>
      <c r="R2510" s="17"/>
      <c r="S2510" s="17"/>
      <c r="T2510" s="17"/>
      <c r="U2510" s="17"/>
      <c r="V2510" s="18">
        <v>0</v>
      </c>
      <c r="W2510" s="17">
        <f t="shared" si="80"/>
        <v>0</v>
      </c>
      <c r="X2510" s="5">
        <f t="shared" si="81"/>
        <v>0</v>
      </c>
    </row>
    <row r="2511" spans="1:24" x14ac:dyDescent="0.25">
      <c r="A2511" s="17"/>
      <c r="B2511" s="17"/>
      <c r="C2511" s="17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  <c r="N2511" s="17"/>
      <c r="O2511" s="17"/>
      <c r="P2511" s="17"/>
      <c r="Q2511" s="17"/>
      <c r="R2511" s="17"/>
      <c r="S2511" s="17"/>
      <c r="T2511" s="17"/>
      <c r="U2511" s="17"/>
      <c r="V2511" s="18">
        <v>0</v>
      </c>
      <c r="W2511" s="17">
        <f t="shared" si="80"/>
        <v>0</v>
      </c>
      <c r="X2511" s="5">
        <f t="shared" si="81"/>
        <v>0</v>
      </c>
    </row>
    <row r="2512" spans="1:24" x14ac:dyDescent="0.25">
      <c r="A2512" s="17"/>
      <c r="B2512" s="17"/>
      <c r="C2512" s="17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  <c r="N2512" s="17"/>
      <c r="O2512" s="17"/>
      <c r="P2512" s="17"/>
      <c r="Q2512" s="17"/>
      <c r="R2512" s="17"/>
      <c r="S2512" s="17"/>
      <c r="T2512" s="17"/>
      <c r="U2512" s="17"/>
      <c r="V2512" s="18">
        <v>0</v>
      </c>
      <c r="W2512" s="17">
        <f t="shared" si="80"/>
        <v>0</v>
      </c>
      <c r="X2512" s="5">
        <f t="shared" si="81"/>
        <v>0</v>
      </c>
    </row>
    <row r="2513" spans="1:24" x14ac:dyDescent="0.25">
      <c r="A2513" s="17"/>
      <c r="B2513" s="17"/>
      <c r="C2513" s="17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8">
        <v>0</v>
      </c>
      <c r="W2513" s="17">
        <f t="shared" si="80"/>
        <v>0</v>
      </c>
      <c r="X2513" s="5">
        <f t="shared" si="81"/>
        <v>0</v>
      </c>
    </row>
    <row r="2514" spans="1:24" x14ac:dyDescent="0.25">
      <c r="A2514" s="17"/>
      <c r="B2514" s="17"/>
      <c r="C2514" s="17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8">
        <v>0</v>
      </c>
      <c r="W2514" s="17">
        <f t="shared" si="80"/>
        <v>0</v>
      </c>
      <c r="X2514" s="5">
        <f t="shared" si="81"/>
        <v>0</v>
      </c>
    </row>
    <row r="2515" spans="1:24" x14ac:dyDescent="0.25">
      <c r="A2515" s="17"/>
      <c r="B2515" s="17"/>
      <c r="C2515" s="17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8">
        <v>0</v>
      </c>
      <c r="W2515" s="17">
        <f t="shared" si="80"/>
        <v>0</v>
      </c>
      <c r="X2515" s="5">
        <f t="shared" si="81"/>
        <v>0</v>
      </c>
    </row>
    <row r="2516" spans="1:24" x14ac:dyDescent="0.25">
      <c r="A2516" s="17"/>
      <c r="B2516" s="17"/>
      <c r="C2516" s="17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8">
        <v>0</v>
      </c>
      <c r="W2516" s="17">
        <f t="shared" si="80"/>
        <v>0</v>
      </c>
      <c r="X2516" s="5">
        <f t="shared" si="81"/>
        <v>0</v>
      </c>
    </row>
    <row r="2517" spans="1:24" x14ac:dyDescent="0.25">
      <c r="A2517" s="17"/>
      <c r="B2517" s="17"/>
      <c r="C2517" s="17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8">
        <v>0</v>
      </c>
      <c r="W2517" s="17">
        <f t="shared" si="80"/>
        <v>0</v>
      </c>
      <c r="X2517" s="5">
        <f t="shared" si="81"/>
        <v>0</v>
      </c>
    </row>
    <row r="2518" spans="1:24" x14ac:dyDescent="0.25">
      <c r="A2518" s="17"/>
      <c r="B2518" s="17"/>
      <c r="C2518" s="17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8">
        <v>0</v>
      </c>
      <c r="W2518" s="17">
        <f t="shared" si="80"/>
        <v>0</v>
      </c>
      <c r="X2518" s="5">
        <f t="shared" si="81"/>
        <v>0</v>
      </c>
    </row>
    <row r="2519" spans="1:24" x14ac:dyDescent="0.25">
      <c r="A2519" s="17"/>
      <c r="B2519" s="17"/>
      <c r="C2519" s="17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8">
        <v>0</v>
      </c>
      <c r="W2519" s="17">
        <f t="shared" si="80"/>
        <v>0</v>
      </c>
      <c r="X2519" s="5">
        <f t="shared" si="81"/>
        <v>0</v>
      </c>
    </row>
    <row r="2520" spans="1:24" x14ac:dyDescent="0.25">
      <c r="A2520" s="17"/>
      <c r="B2520" s="17"/>
      <c r="C2520" s="17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8">
        <v>0</v>
      </c>
      <c r="W2520" s="17">
        <f t="shared" si="80"/>
        <v>0</v>
      </c>
      <c r="X2520" s="5">
        <f t="shared" si="81"/>
        <v>0</v>
      </c>
    </row>
    <row r="2521" spans="1:24" x14ac:dyDescent="0.25">
      <c r="A2521" s="17"/>
      <c r="B2521" s="17"/>
      <c r="C2521" s="17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8">
        <v>0</v>
      </c>
      <c r="W2521" s="17">
        <f t="shared" si="80"/>
        <v>0</v>
      </c>
      <c r="X2521" s="5">
        <f t="shared" si="81"/>
        <v>0</v>
      </c>
    </row>
    <row r="2522" spans="1:24" x14ac:dyDescent="0.25">
      <c r="A2522" s="17"/>
      <c r="B2522" s="17"/>
      <c r="C2522" s="17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8">
        <v>0</v>
      </c>
      <c r="W2522" s="17">
        <f t="shared" si="80"/>
        <v>0</v>
      </c>
      <c r="X2522" s="5">
        <f t="shared" si="81"/>
        <v>0</v>
      </c>
    </row>
    <row r="2523" spans="1:24" x14ac:dyDescent="0.25">
      <c r="A2523" s="17"/>
      <c r="B2523" s="17"/>
      <c r="C2523" s="17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8">
        <v>0</v>
      </c>
      <c r="W2523" s="17">
        <f t="shared" si="80"/>
        <v>0</v>
      </c>
      <c r="X2523" s="5">
        <f t="shared" si="81"/>
        <v>0</v>
      </c>
    </row>
    <row r="2524" spans="1:24" x14ac:dyDescent="0.25">
      <c r="A2524" s="17"/>
      <c r="B2524" s="17"/>
      <c r="C2524" s="17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8">
        <v>0</v>
      </c>
      <c r="W2524" s="17">
        <f t="shared" si="80"/>
        <v>0</v>
      </c>
      <c r="X2524" s="5">
        <f t="shared" si="81"/>
        <v>0</v>
      </c>
    </row>
    <row r="2525" spans="1:24" x14ac:dyDescent="0.25">
      <c r="A2525" s="17"/>
      <c r="B2525" s="17"/>
      <c r="C2525" s="17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8">
        <v>0</v>
      </c>
      <c r="W2525" s="17">
        <f t="shared" si="80"/>
        <v>0</v>
      </c>
      <c r="X2525" s="5">
        <f t="shared" si="81"/>
        <v>0</v>
      </c>
    </row>
    <row r="2526" spans="1:24" x14ac:dyDescent="0.25">
      <c r="A2526" s="17"/>
      <c r="B2526" s="17"/>
      <c r="C2526" s="17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  <c r="N2526" s="17"/>
      <c r="O2526" s="17"/>
      <c r="P2526" s="17"/>
      <c r="Q2526" s="17"/>
      <c r="R2526" s="17"/>
      <c r="S2526" s="17"/>
      <c r="T2526" s="17"/>
      <c r="U2526" s="17"/>
      <c r="V2526" s="18">
        <v>0</v>
      </c>
      <c r="W2526" s="17">
        <f t="shared" si="80"/>
        <v>0</v>
      </c>
      <c r="X2526" s="5">
        <f t="shared" si="81"/>
        <v>0</v>
      </c>
    </row>
    <row r="2527" spans="1:24" x14ac:dyDescent="0.25">
      <c r="A2527" s="17"/>
      <c r="B2527" s="17"/>
      <c r="C2527" s="17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  <c r="N2527" s="17"/>
      <c r="O2527" s="17"/>
      <c r="P2527" s="17"/>
      <c r="Q2527" s="17"/>
      <c r="R2527" s="17"/>
      <c r="S2527" s="17"/>
      <c r="T2527" s="17"/>
      <c r="U2527" s="17"/>
      <c r="V2527" s="18">
        <v>0</v>
      </c>
      <c r="W2527" s="17">
        <f t="shared" si="80"/>
        <v>0</v>
      </c>
      <c r="X2527" s="5">
        <f t="shared" si="81"/>
        <v>0</v>
      </c>
    </row>
    <row r="2528" spans="1:24" x14ac:dyDescent="0.25">
      <c r="A2528" s="17"/>
      <c r="B2528" s="17"/>
      <c r="C2528" s="17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  <c r="N2528" s="17"/>
      <c r="O2528" s="17"/>
      <c r="P2528" s="17"/>
      <c r="Q2528" s="17"/>
      <c r="R2528" s="17"/>
      <c r="S2528" s="17"/>
      <c r="T2528" s="17"/>
      <c r="U2528" s="17"/>
      <c r="V2528" s="18">
        <v>0</v>
      </c>
      <c r="W2528" s="17">
        <f t="shared" si="80"/>
        <v>0</v>
      </c>
      <c r="X2528" s="5">
        <f t="shared" si="81"/>
        <v>0</v>
      </c>
    </row>
    <row r="2529" spans="1:24" x14ac:dyDescent="0.25">
      <c r="A2529" s="17"/>
      <c r="B2529" s="17"/>
      <c r="C2529" s="17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  <c r="N2529" s="17"/>
      <c r="O2529" s="17"/>
      <c r="P2529" s="17"/>
      <c r="Q2529" s="17"/>
      <c r="R2529" s="17"/>
      <c r="S2529" s="17"/>
      <c r="T2529" s="17"/>
      <c r="U2529" s="17"/>
      <c r="V2529" s="18">
        <v>0</v>
      </c>
      <c r="W2529" s="17">
        <f t="shared" si="80"/>
        <v>0</v>
      </c>
      <c r="X2529" s="5">
        <f t="shared" si="81"/>
        <v>0</v>
      </c>
    </row>
    <row r="2530" spans="1:24" x14ac:dyDescent="0.25">
      <c r="A2530" s="17"/>
      <c r="B2530" s="17"/>
      <c r="C2530" s="17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  <c r="N2530" s="17"/>
      <c r="O2530" s="17"/>
      <c r="P2530" s="17"/>
      <c r="Q2530" s="17"/>
      <c r="R2530" s="17"/>
      <c r="S2530" s="17"/>
      <c r="T2530" s="17"/>
      <c r="U2530" s="17"/>
      <c r="V2530" s="18">
        <v>0</v>
      </c>
      <c r="W2530" s="17">
        <f t="shared" si="80"/>
        <v>0</v>
      </c>
      <c r="X2530" s="5">
        <f t="shared" si="81"/>
        <v>0</v>
      </c>
    </row>
    <row r="2531" spans="1:24" x14ac:dyDescent="0.25">
      <c r="A2531" s="17"/>
      <c r="B2531" s="17"/>
      <c r="C2531" s="17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  <c r="N2531" s="17"/>
      <c r="O2531" s="17"/>
      <c r="P2531" s="17"/>
      <c r="Q2531" s="17"/>
      <c r="R2531" s="17"/>
      <c r="S2531" s="17"/>
      <c r="T2531" s="17"/>
      <c r="U2531" s="17"/>
      <c r="V2531" s="18">
        <v>0</v>
      </c>
      <c r="W2531" s="17">
        <f t="shared" si="80"/>
        <v>0</v>
      </c>
      <c r="X2531" s="5">
        <f t="shared" si="81"/>
        <v>0</v>
      </c>
    </row>
    <row r="2532" spans="1:24" x14ac:dyDescent="0.25">
      <c r="A2532" s="17"/>
      <c r="B2532" s="17"/>
      <c r="C2532" s="17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  <c r="N2532" s="17"/>
      <c r="O2532" s="17"/>
      <c r="P2532" s="17"/>
      <c r="Q2532" s="17"/>
      <c r="R2532" s="17"/>
      <c r="S2532" s="17"/>
      <c r="T2532" s="17"/>
      <c r="U2532" s="17"/>
      <c r="V2532" s="18">
        <v>0</v>
      </c>
      <c r="W2532" s="17">
        <f t="shared" si="80"/>
        <v>0</v>
      </c>
      <c r="X2532" s="5">
        <f t="shared" si="81"/>
        <v>0</v>
      </c>
    </row>
    <row r="2533" spans="1:24" x14ac:dyDescent="0.25">
      <c r="A2533" s="17"/>
      <c r="B2533" s="17"/>
      <c r="C2533" s="17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  <c r="N2533" s="17"/>
      <c r="O2533" s="17"/>
      <c r="P2533" s="17"/>
      <c r="Q2533" s="17"/>
      <c r="R2533" s="17"/>
      <c r="S2533" s="17"/>
      <c r="T2533" s="17"/>
      <c r="U2533" s="17"/>
      <c r="V2533" s="18">
        <v>0</v>
      </c>
      <c r="W2533" s="17">
        <f t="shared" si="80"/>
        <v>0</v>
      </c>
      <c r="X2533" s="5">
        <f t="shared" si="81"/>
        <v>0</v>
      </c>
    </row>
    <row r="2534" spans="1:24" x14ac:dyDescent="0.25">
      <c r="A2534" s="17"/>
      <c r="B2534" s="17"/>
      <c r="C2534" s="17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  <c r="N2534" s="17"/>
      <c r="O2534" s="17"/>
      <c r="P2534" s="17"/>
      <c r="Q2534" s="17"/>
      <c r="R2534" s="17"/>
      <c r="S2534" s="17"/>
      <c r="T2534" s="17"/>
      <c r="U2534" s="17"/>
      <c r="V2534" s="18">
        <v>0</v>
      </c>
      <c r="W2534" s="17">
        <f t="shared" si="80"/>
        <v>0</v>
      </c>
      <c r="X2534" s="5">
        <f t="shared" si="81"/>
        <v>0</v>
      </c>
    </row>
    <row r="2535" spans="1:24" x14ac:dyDescent="0.25">
      <c r="A2535" s="17"/>
      <c r="B2535" s="17"/>
      <c r="C2535" s="17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8">
        <v>0</v>
      </c>
      <c r="W2535" s="17">
        <f t="shared" si="80"/>
        <v>0</v>
      </c>
      <c r="X2535" s="5">
        <f t="shared" si="81"/>
        <v>0</v>
      </c>
    </row>
    <row r="2536" spans="1:24" x14ac:dyDescent="0.25">
      <c r="A2536" s="17"/>
      <c r="B2536" s="17"/>
      <c r="C2536" s="17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8">
        <v>0</v>
      </c>
      <c r="W2536" s="17">
        <f t="shared" si="80"/>
        <v>0</v>
      </c>
      <c r="X2536" s="5">
        <f t="shared" si="81"/>
        <v>0</v>
      </c>
    </row>
    <row r="2537" spans="1:24" x14ac:dyDescent="0.25">
      <c r="A2537" s="17"/>
      <c r="B2537" s="17"/>
      <c r="C2537" s="17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  <c r="N2537" s="17"/>
      <c r="O2537" s="17"/>
      <c r="P2537" s="17"/>
      <c r="Q2537" s="17"/>
      <c r="R2537" s="17"/>
      <c r="S2537" s="17"/>
      <c r="T2537" s="17"/>
      <c r="U2537" s="17"/>
      <c r="V2537" s="18">
        <v>0</v>
      </c>
      <c r="W2537" s="17">
        <f t="shared" si="80"/>
        <v>0</v>
      </c>
      <c r="X2537" s="5">
        <f t="shared" si="81"/>
        <v>0</v>
      </c>
    </row>
    <row r="2538" spans="1:24" x14ac:dyDescent="0.25">
      <c r="A2538" s="17"/>
      <c r="B2538" s="17"/>
      <c r="C2538" s="17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  <c r="N2538" s="17"/>
      <c r="O2538" s="17"/>
      <c r="P2538" s="17"/>
      <c r="Q2538" s="17"/>
      <c r="R2538" s="17"/>
      <c r="S2538" s="17"/>
      <c r="T2538" s="17"/>
      <c r="U2538" s="17"/>
      <c r="V2538" s="18">
        <v>0</v>
      </c>
      <c r="W2538" s="17">
        <f t="shared" si="80"/>
        <v>0</v>
      </c>
      <c r="X2538" s="5">
        <f t="shared" si="81"/>
        <v>0</v>
      </c>
    </row>
    <row r="2539" spans="1:24" x14ac:dyDescent="0.25">
      <c r="A2539" s="17"/>
      <c r="B2539" s="17"/>
      <c r="C2539" s="17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  <c r="N2539" s="17"/>
      <c r="O2539" s="17"/>
      <c r="P2539" s="17"/>
      <c r="Q2539" s="17"/>
      <c r="R2539" s="17"/>
      <c r="S2539" s="17"/>
      <c r="T2539" s="17"/>
      <c r="U2539" s="17"/>
      <c r="V2539" s="18">
        <v>0</v>
      </c>
      <c r="W2539" s="17">
        <f t="shared" si="80"/>
        <v>0</v>
      </c>
      <c r="X2539" s="5">
        <f t="shared" si="81"/>
        <v>0</v>
      </c>
    </row>
    <row r="2540" spans="1:24" x14ac:dyDescent="0.25">
      <c r="A2540" s="17"/>
      <c r="B2540" s="17"/>
      <c r="C2540" s="17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  <c r="N2540" s="17"/>
      <c r="O2540" s="17"/>
      <c r="P2540" s="17"/>
      <c r="Q2540" s="17"/>
      <c r="R2540" s="17"/>
      <c r="S2540" s="17"/>
      <c r="T2540" s="17"/>
      <c r="U2540" s="17"/>
      <c r="V2540" s="18">
        <v>0</v>
      </c>
      <c r="W2540" s="17">
        <f t="shared" si="80"/>
        <v>0</v>
      </c>
      <c r="X2540" s="5">
        <f t="shared" si="81"/>
        <v>0</v>
      </c>
    </row>
    <row r="2541" spans="1:24" x14ac:dyDescent="0.25">
      <c r="A2541" s="17"/>
      <c r="B2541" s="17"/>
      <c r="C2541" s="17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  <c r="N2541" s="17"/>
      <c r="O2541" s="17"/>
      <c r="P2541" s="17"/>
      <c r="Q2541" s="17"/>
      <c r="R2541" s="17"/>
      <c r="S2541" s="17"/>
      <c r="T2541" s="17"/>
      <c r="U2541" s="17"/>
      <c r="V2541" s="18">
        <v>0</v>
      </c>
      <c r="W2541" s="17">
        <f t="shared" si="80"/>
        <v>0</v>
      </c>
      <c r="X2541" s="5">
        <f t="shared" si="81"/>
        <v>0</v>
      </c>
    </row>
    <row r="2542" spans="1:24" x14ac:dyDescent="0.25">
      <c r="A2542" s="17"/>
      <c r="B2542" s="17"/>
      <c r="C2542" s="17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  <c r="N2542" s="17"/>
      <c r="O2542" s="17"/>
      <c r="P2542" s="17"/>
      <c r="Q2542" s="17"/>
      <c r="R2542" s="17"/>
      <c r="S2542" s="17"/>
      <c r="T2542" s="17"/>
      <c r="U2542" s="17"/>
      <c r="V2542" s="18">
        <v>0</v>
      </c>
      <c r="W2542" s="17">
        <f t="shared" si="80"/>
        <v>0</v>
      </c>
      <c r="X2542" s="5">
        <f t="shared" si="81"/>
        <v>0</v>
      </c>
    </row>
    <row r="2543" spans="1:24" x14ac:dyDescent="0.25">
      <c r="A2543" s="17"/>
      <c r="B2543" s="17"/>
      <c r="C2543" s="17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8">
        <v>0</v>
      </c>
      <c r="W2543" s="17">
        <f t="shared" si="80"/>
        <v>0</v>
      </c>
      <c r="X2543" s="5">
        <f t="shared" si="81"/>
        <v>0</v>
      </c>
    </row>
    <row r="2544" spans="1:24" x14ac:dyDescent="0.25">
      <c r="A2544" s="17"/>
      <c r="B2544" s="17"/>
      <c r="C2544" s="17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8">
        <v>0</v>
      </c>
      <c r="W2544" s="17">
        <f t="shared" si="80"/>
        <v>0</v>
      </c>
      <c r="X2544" s="5">
        <f t="shared" si="81"/>
        <v>0</v>
      </c>
    </row>
    <row r="2545" spans="1:24" x14ac:dyDescent="0.25">
      <c r="A2545" s="17"/>
      <c r="B2545" s="17"/>
      <c r="C2545" s="17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  <c r="N2545" s="17"/>
      <c r="O2545" s="17"/>
      <c r="P2545" s="17"/>
      <c r="Q2545" s="17"/>
      <c r="R2545" s="17"/>
      <c r="S2545" s="17"/>
      <c r="T2545" s="17"/>
      <c r="U2545" s="17"/>
      <c r="V2545" s="18">
        <v>0</v>
      </c>
      <c r="W2545" s="17">
        <f t="shared" si="80"/>
        <v>0</v>
      </c>
      <c r="X2545" s="5">
        <f t="shared" si="81"/>
        <v>0</v>
      </c>
    </row>
    <row r="2546" spans="1:24" x14ac:dyDescent="0.25">
      <c r="A2546" s="17"/>
      <c r="B2546" s="17"/>
      <c r="C2546" s="17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  <c r="N2546" s="17"/>
      <c r="O2546" s="17"/>
      <c r="P2546" s="17"/>
      <c r="Q2546" s="17"/>
      <c r="R2546" s="17"/>
      <c r="S2546" s="17"/>
      <c r="T2546" s="17"/>
      <c r="U2546" s="17"/>
      <c r="V2546" s="18">
        <v>0</v>
      </c>
      <c r="W2546" s="17">
        <f t="shared" si="80"/>
        <v>0</v>
      </c>
      <c r="X2546" s="5">
        <f t="shared" si="81"/>
        <v>0</v>
      </c>
    </row>
    <row r="2547" spans="1:24" x14ac:dyDescent="0.25">
      <c r="A2547" s="17"/>
      <c r="B2547" s="17"/>
      <c r="C2547" s="17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  <c r="N2547" s="17"/>
      <c r="O2547" s="17"/>
      <c r="P2547" s="17"/>
      <c r="Q2547" s="17"/>
      <c r="R2547" s="17"/>
      <c r="S2547" s="17"/>
      <c r="T2547" s="17"/>
      <c r="U2547" s="17"/>
      <c r="V2547" s="18">
        <v>0</v>
      </c>
      <c r="W2547" s="17">
        <f t="shared" si="80"/>
        <v>0</v>
      </c>
      <c r="X2547" s="5">
        <f t="shared" si="81"/>
        <v>0</v>
      </c>
    </row>
    <row r="2548" spans="1:24" x14ac:dyDescent="0.25">
      <c r="A2548" s="17"/>
      <c r="B2548" s="17"/>
      <c r="C2548" s="17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  <c r="N2548" s="17"/>
      <c r="O2548" s="17"/>
      <c r="P2548" s="17"/>
      <c r="Q2548" s="17"/>
      <c r="R2548" s="17"/>
      <c r="S2548" s="17"/>
      <c r="T2548" s="17"/>
      <c r="U2548" s="17"/>
      <c r="V2548" s="18">
        <v>0</v>
      </c>
      <c r="W2548" s="17">
        <f t="shared" si="80"/>
        <v>0</v>
      </c>
      <c r="X2548" s="5">
        <f t="shared" si="81"/>
        <v>0</v>
      </c>
    </row>
    <row r="2549" spans="1:24" x14ac:dyDescent="0.25">
      <c r="A2549" s="17"/>
      <c r="B2549" s="17"/>
      <c r="C2549" s="17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  <c r="N2549" s="17"/>
      <c r="O2549" s="17"/>
      <c r="P2549" s="17"/>
      <c r="Q2549" s="17"/>
      <c r="R2549" s="17"/>
      <c r="S2549" s="17"/>
      <c r="T2549" s="17"/>
      <c r="U2549" s="17"/>
      <c r="V2549" s="18">
        <v>0</v>
      </c>
      <c r="W2549" s="17">
        <f t="shared" si="80"/>
        <v>0</v>
      </c>
      <c r="X2549" s="5">
        <f t="shared" si="81"/>
        <v>0</v>
      </c>
    </row>
    <row r="2550" spans="1:24" x14ac:dyDescent="0.25">
      <c r="A2550" s="17"/>
      <c r="B2550" s="17"/>
      <c r="C2550" s="17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  <c r="N2550" s="17"/>
      <c r="O2550" s="17"/>
      <c r="P2550" s="17"/>
      <c r="Q2550" s="17"/>
      <c r="R2550" s="17"/>
      <c r="S2550" s="17"/>
      <c r="T2550" s="17"/>
      <c r="U2550" s="17"/>
      <c r="V2550" s="18">
        <v>0</v>
      </c>
      <c r="W2550" s="17">
        <f t="shared" si="80"/>
        <v>0</v>
      </c>
      <c r="X2550" s="5">
        <f t="shared" si="81"/>
        <v>0</v>
      </c>
    </row>
    <row r="2551" spans="1:24" x14ac:dyDescent="0.25">
      <c r="A2551" s="17"/>
      <c r="B2551" s="17"/>
      <c r="C2551" s="17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8">
        <v>0</v>
      </c>
      <c r="W2551" s="17">
        <f t="shared" si="80"/>
        <v>0</v>
      </c>
      <c r="X2551" s="5">
        <f t="shared" si="81"/>
        <v>0</v>
      </c>
    </row>
    <row r="2552" spans="1:24" x14ac:dyDescent="0.25">
      <c r="A2552" s="17"/>
      <c r="B2552" s="17"/>
      <c r="C2552" s="17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8">
        <v>0</v>
      </c>
      <c r="W2552" s="17">
        <f t="shared" si="80"/>
        <v>0</v>
      </c>
      <c r="X2552" s="5">
        <f t="shared" si="81"/>
        <v>0</v>
      </c>
    </row>
    <row r="2553" spans="1:24" x14ac:dyDescent="0.25">
      <c r="A2553" s="17"/>
      <c r="B2553" s="17"/>
      <c r="C2553" s="17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8">
        <v>0</v>
      </c>
      <c r="W2553" s="17">
        <f t="shared" si="80"/>
        <v>0</v>
      </c>
      <c r="X2553" s="5">
        <f t="shared" si="81"/>
        <v>0</v>
      </c>
    </row>
    <row r="2554" spans="1:24" x14ac:dyDescent="0.25">
      <c r="A2554" s="17"/>
      <c r="B2554" s="17"/>
      <c r="C2554" s="17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8">
        <v>0</v>
      </c>
      <c r="W2554" s="17">
        <f t="shared" si="80"/>
        <v>0</v>
      </c>
      <c r="X2554" s="5">
        <f t="shared" si="81"/>
        <v>0</v>
      </c>
    </row>
    <row r="2555" spans="1:24" x14ac:dyDescent="0.25">
      <c r="A2555" s="17"/>
      <c r="B2555" s="17"/>
      <c r="C2555" s="17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8">
        <v>0</v>
      </c>
      <c r="W2555" s="17">
        <f t="shared" si="80"/>
        <v>0</v>
      </c>
      <c r="X2555" s="5">
        <f t="shared" si="81"/>
        <v>0</v>
      </c>
    </row>
    <row r="2556" spans="1:24" x14ac:dyDescent="0.25">
      <c r="A2556" s="17"/>
      <c r="B2556" s="17"/>
      <c r="C2556" s="17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8">
        <v>0</v>
      </c>
      <c r="W2556" s="17">
        <f t="shared" si="80"/>
        <v>0</v>
      </c>
      <c r="X2556" s="5">
        <f t="shared" si="81"/>
        <v>0</v>
      </c>
    </row>
    <row r="2557" spans="1:24" x14ac:dyDescent="0.25">
      <c r="A2557" s="17"/>
      <c r="B2557" s="17"/>
      <c r="C2557" s="17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  <c r="N2557" s="17"/>
      <c r="O2557" s="17"/>
      <c r="P2557" s="17"/>
      <c r="Q2557" s="17"/>
      <c r="R2557" s="17"/>
      <c r="S2557" s="17"/>
      <c r="T2557" s="17"/>
      <c r="U2557" s="17"/>
      <c r="V2557" s="18">
        <v>0</v>
      </c>
      <c r="W2557" s="17">
        <f t="shared" si="80"/>
        <v>0</v>
      </c>
      <c r="X2557" s="5">
        <f t="shared" si="81"/>
        <v>0</v>
      </c>
    </row>
    <row r="2558" spans="1:24" x14ac:dyDescent="0.25">
      <c r="A2558" s="17"/>
      <c r="B2558" s="17"/>
      <c r="C2558" s="17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  <c r="N2558" s="17"/>
      <c r="O2558" s="17"/>
      <c r="P2558" s="17"/>
      <c r="Q2558" s="17"/>
      <c r="R2558" s="17"/>
      <c r="S2558" s="17"/>
      <c r="T2558" s="17"/>
      <c r="U2558" s="17"/>
      <c r="V2558" s="18">
        <v>0</v>
      </c>
      <c r="W2558" s="17">
        <f t="shared" si="80"/>
        <v>0</v>
      </c>
      <c r="X2558" s="5">
        <f t="shared" si="81"/>
        <v>0</v>
      </c>
    </row>
    <row r="2559" spans="1:24" x14ac:dyDescent="0.25">
      <c r="A2559" s="17"/>
      <c r="B2559" s="17"/>
      <c r="C2559" s="17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  <c r="N2559" s="17"/>
      <c r="O2559" s="17"/>
      <c r="P2559" s="17"/>
      <c r="Q2559" s="17"/>
      <c r="R2559" s="17"/>
      <c r="S2559" s="17"/>
      <c r="T2559" s="17"/>
      <c r="U2559" s="17"/>
      <c r="V2559" s="18">
        <v>0</v>
      </c>
      <c r="W2559" s="17">
        <f t="shared" si="80"/>
        <v>0</v>
      </c>
      <c r="X2559" s="5">
        <f t="shared" si="81"/>
        <v>0</v>
      </c>
    </row>
    <row r="2560" spans="1:24" x14ac:dyDescent="0.25">
      <c r="A2560" s="17"/>
      <c r="B2560" s="17"/>
      <c r="C2560" s="17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8">
        <v>0</v>
      </c>
      <c r="W2560" s="17">
        <f t="shared" si="80"/>
        <v>0</v>
      </c>
      <c r="X2560" s="5">
        <f t="shared" si="81"/>
        <v>0</v>
      </c>
    </row>
    <row r="2561" spans="1:24" x14ac:dyDescent="0.25">
      <c r="A2561" s="17"/>
      <c r="B2561" s="17"/>
      <c r="C2561" s="17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8">
        <v>0</v>
      </c>
      <c r="W2561" s="17">
        <f t="shared" si="80"/>
        <v>0</v>
      </c>
      <c r="X2561" s="5">
        <f t="shared" si="81"/>
        <v>0</v>
      </c>
    </row>
    <row r="2562" spans="1:24" x14ac:dyDescent="0.25">
      <c r="A2562" s="17"/>
      <c r="B2562" s="17"/>
      <c r="C2562" s="17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8">
        <v>0</v>
      </c>
      <c r="W2562" s="17">
        <f t="shared" si="80"/>
        <v>0</v>
      </c>
      <c r="X2562" s="5">
        <f t="shared" si="81"/>
        <v>0</v>
      </c>
    </row>
    <row r="2563" spans="1:24" x14ac:dyDescent="0.25">
      <c r="A2563" s="17"/>
      <c r="B2563" s="17"/>
      <c r="C2563" s="17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8">
        <v>0</v>
      </c>
      <c r="W2563" s="17">
        <f t="shared" ref="W2563:W2626" si="82">HOUR(E2563)</f>
        <v>0</v>
      </c>
      <c r="X2563" s="5">
        <f t="shared" ref="X2563:X2626" si="83">IF(D2563=D2562,0,1)</f>
        <v>0</v>
      </c>
    </row>
    <row r="2564" spans="1:24" x14ac:dyDescent="0.25">
      <c r="A2564" s="17"/>
      <c r="B2564" s="17"/>
      <c r="C2564" s="17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8">
        <v>0</v>
      </c>
      <c r="W2564" s="17">
        <f t="shared" si="82"/>
        <v>0</v>
      </c>
      <c r="X2564" s="5">
        <f t="shared" si="83"/>
        <v>0</v>
      </c>
    </row>
    <row r="2565" spans="1:24" x14ac:dyDescent="0.25">
      <c r="A2565" s="17"/>
      <c r="B2565" s="17"/>
      <c r="C2565" s="17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8">
        <v>0</v>
      </c>
      <c r="W2565" s="17">
        <f t="shared" si="82"/>
        <v>0</v>
      </c>
      <c r="X2565" s="5">
        <f t="shared" si="83"/>
        <v>0</v>
      </c>
    </row>
    <row r="2566" spans="1:24" x14ac:dyDescent="0.25">
      <c r="A2566" s="17"/>
      <c r="B2566" s="17"/>
      <c r="C2566" s="17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8">
        <v>0</v>
      </c>
      <c r="W2566" s="17">
        <f t="shared" si="82"/>
        <v>0</v>
      </c>
      <c r="X2566" s="5">
        <f t="shared" si="83"/>
        <v>0</v>
      </c>
    </row>
    <row r="2567" spans="1:24" x14ac:dyDescent="0.25">
      <c r="A2567" s="17"/>
      <c r="B2567" s="17"/>
      <c r="C2567" s="17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8">
        <v>0</v>
      </c>
      <c r="W2567" s="17">
        <f t="shared" si="82"/>
        <v>0</v>
      </c>
      <c r="X2567" s="5">
        <f t="shared" si="83"/>
        <v>0</v>
      </c>
    </row>
    <row r="2568" spans="1:24" x14ac:dyDescent="0.25">
      <c r="A2568" s="17"/>
      <c r="B2568" s="17"/>
      <c r="C2568" s="17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8">
        <v>0</v>
      </c>
      <c r="W2568" s="17">
        <f t="shared" si="82"/>
        <v>0</v>
      </c>
      <c r="X2568" s="5">
        <f t="shared" si="83"/>
        <v>0</v>
      </c>
    </row>
    <row r="2569" spans="1:24" x14ac:dyDescent="0.25">
      <c r="A2569" s="17"/>
      <c r="B2569" s="17"/>
      <c r="C2569" s="17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  <c r="N2569" s="17"/>
      <c r="O2569" s="17"/>
      <c r="P2569" s="17"/>
      <c r="Q2569" s="17"/>
      <c r="R2569" s="17"/>
      <c r="S2569" s="17"/>
      <c r="T2569" s="17"/>
      <c r="U2569" s="17"/>
      <c r="V2569" s="18">
        <v>0</v>
      </c>
      <c r="W2569" s="17">
        <f t="shared" si="82"/>
        <v>0</v>
      </c>
      <c r="X2569" s="5">
        <f t="shared" si="83"/>
        <v>0</v>
      </c>
    </row>
    <row r="2570" spans="1:24" x14ac:dyDescent="0.25">
      <c r="A2570" s="17"/>
      <c r="B2570" s="17"/>
      <c r="C2570" s="17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  <c r="N2570" s="17"/>
      <c r="O2570" s="17"/>
      <c r="P2570" s="17"/>
      <c r="Q2570" s="17"/>
      <c r="R2570" s="17"/>
      <c r="S2570" s="17"/>
      <c r="T2570" s="17"/>
      <c r="U2570" s="17"/>
      <c r="V2570" s="18">
        <v>0</v>
      </c>
      <c r="W2570" s="17">
        <f t="shared" si="82"/>
        <v>0</v>
      </c>
      <c r="X2570" s="5">
        <f t="shared" si="83"/>
        <v>0</v>
      </c>
    </row>
    <row r="2571" spans="1:24" x14ac:dyDescent="0.25">
      <c r="A2571" s="17"/>
      <c r="B2571" s="17"/>
      <c r="C2571" s="17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  <c r="N2571" s="17"/>
      <c r="O2571" s="17"/>
      <c r="P2571" s="17"/>
      <c r="Q2571" s="17"/>
      <c r="R2571" s="17"/>
      <c r="S2571" s="17"/>
      <c r="T2571" s="17"/>
      <c r="U2571" s="17"/>
      <c r="V2571" s="18">
        <v>0</v>
      </c>
      <c r="W2571" s="17">
        <f t="shared" si="82"/>
        <v>0</v>
      </c>
      <c r="X2571" s="5">
        <f t="shared" si="83"/>
        <v>0</v>
      </c>
    </row>
    <row r="2572" spans="1:24" x14ac:dyDescent="0.25">
      <c r="A2572" s="17"/>
      <c r="B2572" s="17"/>
      <c r="C2572" s="17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8">
        <v>0</v>
      </c>
      <c r="W2572" s="17">
        <f t="shared" si="82"/>
        <v>0</v>
      </c>
      <c r="X2572" s="5">
        <f t="shared" si="83"/>
        <v>0</v>
      </c>
    </row>
    <row r="2573" spans="1:24" x14ac:dyDescent="0.25">
      <c r="A2573" s="17"/>
      <c r="B2573" s="17"/>
      <c r="C2573" s="17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8">
        <v>0</v>
      </c>
      <c r="W2573" s="17">
        <f t="shared" si="82"/>
        <v>0</v>
      </c>
      <c r="X2573" s="5">
        <f t="shared" si="83"/>
        <v>0</v>
      </c>
    </row>
    <row r="2574" spans="1:24" x14ac:dyDescent="0.25">
      <c r="A2574" s="17"/>
      <c r="B2574" s="17"/>
      <c r="C2574" s="17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8">
        <v>0</v>
      </c>
      <c r="W2574" s="17">
        <f t="shared" si="82"/>
        <v>0</v>
      </c>
      <c r="X2574" s="5">
        <f t="shared" si="83"/>
        <v>0</v>
      </c>
    </row>
    <row r="2575" spans="1:24" x14ac:dyDescent="0.25">
      <c r="A2575" s="17"/>
      <c r="B2575" s="17"/>
      <c r="C2575" s="17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8">
        <v>0</v>
      </c>
      <c r="W2575" s="17">
        <f t="shared" si="82"/>
        <v>0</v>
      </c>
      <c r="X2575" s="5">
        <f t="shared" si="83"/>
        <v>0</v>
      </c>
    </row>
    <row r="2576" spans="1:24" x14ac:dyDescent="0.25">
      <c r="A2576" s="17"/>
      <c r="B2576" s="17"/>
      <c r="C2576" s="17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8">
        <v>0</v>
      </c>
      <c r="W2576" s="17">
        <f t="shared" si="82"/>
        <v>0</v>
      </c>
      <c r="X2576" s="5">
        <f t="shared" si="83"/>
        <v>0</v>
      </c>
    </row>
    <row r="2577" spans="1:24" x14ac:dyDescent="0.25">
      <c r="A2577" s="17"/>
      <c r="B2577" s="17"/>
      <c r="C2577" s="17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8">
        <v>0</v>
      </c>
      <c r="W2577" s="17">
        <f t="shared" si="82"/>
        <v>0</v>
      </c>
      <c r="X2577" s="5">
        <f t="shared" si="83"/>
        <v>0</v>
      </c>
    </row>
    <row r="2578" spans="1:24" x14ac:dyDescent="0.25">
      <c r="A2578" s="17"/>
      <c r="B2578" s="17"/>
      <c r="C2578" s="17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8">
        <v>0</v>
      </c>
      <c r="W2578" s="17">
        <f t="shared" si="82"/>
        <v>0</v>
      </c>
      <c r="X2578" s="5">
        <f t="shared" si="83"/>
        <v>0</v>
      </c>
    </row>
    <row r="2579" spans="1:24" x14ac:dyDescent="0.25">
      <c r="A2579" s="17"/>
      <c r="B2579" s="17"/>
      <c r="C2579" s="17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8">
        <v>0</v>
      </c>
      <c r="W2579" s="17">
        <f t="shared" si="82"/>
        <v>0</v>
      </c>
      <c r="X2579" s="5">
        <f t="shared" si="83"/>
        <v>0</v>
      </c>
    </row>
    <row r="2580" spans="1:24" x14ac:dyDescent="0.25">
      <c r="A2580" s="17"/>
      <c r="B2580" s="17"/>
      <c r="C2580" s="17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8">
        <v>0</v>
      </c>
      <c r="W2580" s="17">
        <f t="shared" si="82"/>
        <v>0</v>
      </c>
      <c r="X2580" s="5">
        <f t="shared" si="83"/>
        <v>0</v>
      </c>
    </row>
    <row r="2581" spans="1:24" x14ac:dyDescent="0.25">
      <c r="A2581" s="17"/>
      <c r="B2581" s="17"/>
      <c r="C2581" s="17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8">
        <v>0</v>
      </c>
      <c r="W2581" s="17">
        <f t="shared" si="82"/>
        <v>0</v>
      </c>
      <c r="X2581" s="5">
        <f t="shared" si="83"/>
        <v>0</v>
      </c>
    </row>
    <row r="2582" spans="1:24" x14ac:dyDescent="0.25">
      <c r="A2582" s="17"/>
      <c r="B2582" s="17"/>
      <c r="C2582" s="17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8">
        <v>0</v>
      </c>
      <c r="W2582" s="17">
        <f t="shared" si="82"/>
        <v>0</v>
      </c>
      <c r="X2582" s="5">
        <f t="shared" si="83"/>
        <v>0</v>
      </c>
    </row>
    <row r="2583" spans="1:24" x14ac:dyDescent="0.25">
      <c r="A2583" s="17"/>
      <c r="B2583" s="17"/>
      <c r="C2583" s="17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8">
        <v>0</v>
      </c>
      <c r="W2583" s="17">
        <f t="shared" si="82"/>
        <v>0</v>
      </c>
      <c r="X2583" s="5">
        <f t="shared" si="83"/>
        <v>0</v>
      </c>
    </row>
    <row r="2584" spans="1:24" x14ac:dyDescent="0.25">
      <c r="A2584" s="17"/>
      <c r="B2584" s="17"/>
      <c r="C2584" s="17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8">
        <v>0</v>
      </c>
      <c r="W2584" s="17">
        <f t="shared" si="82"/>
        <v>0</v>
      </c>
      <c r="X2584" s="5">
        <f t="shared" si="83"/>
        <v>0</v>
      </c>
    </row>
    <row r="2585" spans="1:24" x14ac:dyDescent="0.25">
      <c r="A2585" s="17"/>
      <c r="B2585" s="17"/>
      <c r="C2585" s="17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8">
        <v>0</v>
      </c>
      <c r="W2585" s="17">
        <f t="shared" si="82"/>
        <v>0</v>
      </c>
      <c r="X2585" s="5">
        <f t="shared" si="83"/>
        <v>0</v>
      </c>
    </row>
    <row r="2586" spans="1:24" x14ac:dyDescent="0.25">
      <c r="A2586" s="17"/>
      <c r="B2586" s="17"/>
      <c r="C2586" s="17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  <c r="N2586" s="17"/>
      <c r="O2586" s="17"/>
      <c r="P2586" s="17"/>
      <c r="Q2586" s="17"/>
      <c r="R2586" s="17"/>
      <c r="S2586" s="17"/>
      <c r="T2586" s="17"/>
      <c r="U2586" s="17"/>
      <c r="V2586" s="18">
        <v>0</v>
      </c>
      <c r="W2586" s="17">
        <f t="shared" si="82"/>
        <v>0</v>
      </c>
      <c r="X2586" s="5">
        <f t="shared" si="83"/>
        <v>0</v>
      </c>
    </row>
    <row r="2587" spans="1:24" x14ac:dyDescent="0.25">
      <c r="A2587" s="17"/>
      <c r="B2587" s="17"/>
      <c r="C2587" s="17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  <c r="N2587" s="17"/>
      <c r="O2587" s="17"/>
      <c r="P2587" s="17"/>
      <c r="Q2587" s="17"/>
      <c r="R2587" s="17"/>
      <c r="S2587" s="17"/>
      <c r="T2587" s="17"/>
      <c r="U2587" s="17"/>
      <c r="V2587" s="18">
        <v>0</v>
      </c>
      <c r="W2587" s="17">
        <f t="shared" si="82"/>
        <v>0</v>
      </c>
      <c r="X2587" s="5">
        <f t="shared" si="83"/>
        <v>0</v>
      </c>
    </row>
    <row r="2588" spans="1:24" x14ac:dyDescent="0.25">
      <c r="A2588" s="17"/>
      <c r="B2588" s="17"/>
      <c r="C2588" s="17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  <c r="N2588" s="17"/>
      <c r="O2588" s="17"/>
      <c r="P2588" s="17"/>
      <c r="Q2588" s="17"/>
      <c r="R2588" s="17"/>
      <c r="S2588" s="17"/>
      <c r="T2588" s="17"/>
      <c r="U2588" s="17"/>
      <c r="V2588" s="18">
        <v>0</v>
      </c>
      <c r="W2588" s="17">
        <f t="shared" si="82"/>
        <v>0</v>
      </c>
      <c r="X2588" s="5">
        <f t="shared" si="83"/>
        <v>0</v>
      </c>
    </row>
    <row r="2589" spans="1:24" x14ac:dyDescent="0.25">
      <c r="A2589" s="17"/>
      <c r="B2589" s="17"/>
      <c r="C2589" s="17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8">
        <v>0</v>
      </c>
      <c r="W2589" s="17">
        <f t="shared" si="82"/>
        <v>0</v>
      </c>
      <c r="X2589" s="5">
        <f t="shared" si="83"/>
        <v>0</v>
      </c>
    </row>
    <row r="2590" spans="1:24" x14ac:dyDescent="0.25">
      <c r="A2590" s="17"/>
      <c r="B2590" s="17"/>
      <c r="C2590" s="17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8">
        <v>0</v>
      </c>
      <c r="W2590" s="17">
        <f t="shared" si="82"/>
        <v>0</v>
      </c>
      <c r="X2590" s="5">
        <f t="shared" si="83"/>
        <v>0</v>
      </c>
    </row>
    <row r="2591" spans="1:24" x14ac:dyDescent="0.25">
      <c r="A2591" s="17"/>
      <c r="B2591" s="17"/>
      <c r="C2591" s="17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8">
        <v>0</v>
      </c>
      <c r="W2591" s="17">
        <f t="shared" si="82"/>
        <v>0</v>
      </c>
      <c r="X2591" s="5">
        <f t="shared" si="83"/>
        <v>0</v>
      </c>
    </row>
    <row r="2592" spans="1:24" x14ac:dyDescent="0.25">
      <c r="A2592" s="17"/>
      <c r="B2592" s="17"/>
      <c r="C2592" s="17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8">
        <v>0</v>
      </c>
      <c r="W2592" s="17">
        <f t="shared" si="82"/>
        <v>0</v>
      </c>
      <c r="X2592" s="5">
        <f t="shared" si="83"/>
        <v>0</v>
      </c>
    </row>
    <row r="2593" spans="1:24" x14ac:dyDescent="0.25">
      <c r="A2593" s="17"/>
      <c r="B2593" s="17"/>
      <c r="C2593" s="17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8">
        <v>0</v>
      </c>
      <c r="W2593" s="17">
        <f t="shared" si="82"/>
        <v>0</v>
      </c>
      <c r="X2593" s="5">
        <f t="shared" si="83"/>
        <v>0</v>
      </c>
    </row>
    <row r="2594" spans="1:24" x14ac:dyDescent="0.25">
      <c r="A2594" s="17"/>
      <c r="B2594" s="17"/>
      <c r="C2594" s="17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8">
        <v>0</v>
      </c>
      <c r="W2594" s="17">
        <f t="shared" si="82"/>
        <v>0</v>
      </c>
      <c r="X2594" s="5">
        <f t="shared" si="83"/>
        <v>0</v>
      </c>
    </row>
    <row r="2595" spans="1:24" x14ac:dyDescent="0.25">
      <c r="A2595" s="17"/>
      <c r="B2595" s="17"/>
      <c r="C2595" s="17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8">
        <v>0</v>
      </c>
      <c r="W2595" s="17">
        <f t="shared" si="82"/>
        <v>0</v>
      </c>
      <c r="X2595" s="5">
        <f t="shared" si="83"/>
        <v>0</v>
      </c>
    </row>
    <row r="2596" spans="1:24" x14ac:dyDescent="0.25">
      <c r="A2596" s="17"/>
      <c r="B2596" s="17"/>
      <c r="C2596" s="17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8">
        <v>0</v>
      </c>
      <c r="W2596" s="17">
        <f t="shared" si="82"/>
        <v>0</v>
      </c>
      <c r="X2596" s="5">
        <f t="shared" si="83"/>
        <v>0</v>
      </c>
    </row>
    <row r="2597" spans="1:24" x14ac:dyDescent="0.25">
      <c r="A2597" s="17"/>
      <c r="B2597" s="17"/>
      <c r="C2597" s="17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8">
        <v>0</v>
      </c>
      <c r="W2597" s="17">
        <f t="shared" si="82"/>
        <v>0</v>
      </c>
      <c r="X2597" s="5">
        <f t="shared" si="83"/>
        <v>0</v>
      </c>
    </row>
    <row r="2598" spans="1:24" x14ac:dyDescent="0.25">
      <c r="A2598" s="17"/>
      <c r="B2598" s="17"/>
      <c r="C2598" s="17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8">
        <v>0</v>
      </c>
      <c r="W2598" s="17">
        <f t="shared" si="82"/>
        <v>0</v>
      </c>
      <c r="X2598" s="5">
        <f t="shared" si="83"/>
        <v>0</v>
      </c>
    </row>
    <row r="2599" spans="1:24" x14ac:dyDescent="0.25">
      <c r="A2599" s="17"/>
      <c r="B2599" s="17"/>
      <c r="C2599" s="17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8">
        <v>0</v>
      </c>
      <c r="W2599" s="17">
        <f t="shared" si="82"/>
        <v>0</v>
      </c>
      <c r="X2599" s="5">
        <f t="shared" si="83"/>
        <v>0</v>
      </c>
    </row>
    <row r="2600" spans="1:24" x14ac:dyDescent="0.25">
      <c r="A2600" s="17"/>
      <c r="B2600" s="17"/>
      <c r="C2600" s="17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8">
        <v>0</v>
      </c>
      <c r="W2600" s="17">
        <f t="shared" si="82"/>
        <v>0</v>
      </c>
      <c r="X2600" s="5">
        <f t="shared" si="83"/>
        <v>0</v>
      </c>
    </row>
    <row r="2601" spans="1:24" x14ac:dyDescent="0.25">
      <c r="A2601" s="17"/>
      <c r="B2601" s="17"/>
      <c r="C2601" s="17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8">
        <v>0</v>
      </c>
      <c r="W2601" s="17">
        <f t="shared" si="82"/>
        <v>0</v>
      </c>
      <c r="X2601" s="5">
        <f t="shared" si="83"/>
        <v>0</v>
      </c>
    </row>
    <row r="2602" spans="1:24" x14ac:dyDescent="0.25">
      <c r="A2602" s="17"/>
      <c r="B2602" s="17"/>
      <c r="C2602" s="17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8">
        <v>0</v>
      </c>
      <c r="W2602" s="17">
        <f t="shared" si="82"/>
        <v>0</v>
      </c>
      <c r="X2602" s="5">
        <f t="shared" si="83"/>
        <v>0</v>
      </c>
    </row>
    <row r="2603" spans="1:24" x14ac:dyDescent="0.25">
      <c r="A2603" s="17"/>
      <c r="B2603" s="17"/>
      <c r="C2603" s="17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8">
        <v>0</v>
      </c>
      <c r="W2603" s="17">
        <f t="shared" si="82"/>
        <v>0</v>
      </c>
      <c r="X2603" s="5">
        <f t="shared" si="83"/>
        <v>0</v>
      </c>
    </row>
    <row r="2604" spans="1:24" x14ac:dyDescent="0.25">
      <c r="A2604" s="17"/>
      <c r="B2604" s="17"/>
      <c r="C2604" s="17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8">
        <v>0</v>
      </c>
      <c r="W2604" s="17">
        <f t="shared" si="82"/>
        <v>0</v>
      </c>
      <c r="X2604" s="5">
        <f t="shared" si="83"/>
        <v>0</v>
      </c>
    </row>
    <row r="2605" spans="1:24" x14ac:dyDescent="0.25">
      <c r="A2605" s="17"/>
      <c r="B2605" s="17"/>
      <c r="C2605" s="17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8">
        <v>0</v>
      </c>
      <c r="W2605" s="17">
        <f t="shared" si="82"/>
        <v>0</v>
      </c>
      <c r="X2605" s="5">
        <f t="shared" si="83"/>
        <v>0</v>
      </c>
    </row>
    <row r="2606" spans="1:24" x14ac:dyDescent="0.25">
      <c r="A2606" s="17"/>
      <c r="B2606" s="17"/>
      <c r="C2606" s="17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  <c r="N2606" s="17"/>
      <c r="O2606" s="17"/>
      <c r="P2606" s="17"/>
      <c r="Q2606" s="17"/>
      <c r="R2606" s="17"/>
      <c r="S2606" s="17"/>
      <c r="T2606" s="17"/>
      <c r="U2606" s="17"/>
      <c r="V2606" s="18">
        <v>0</v>
      </c>
      <c r="W2606" s="17">
        <f t="shared" si="82"/>
        <v>0</v>
      </c>
      <c r="X2606" s="5">
        <f t="shared" si="83"/>
        <v>0</v>
      </c>
    </row>
    <row r="2607" spans="1:24" x14ac:dyDescent="0.25">
      <c r="A2607" s="17"/>
      <c r="B2607" s="17"/>
      <c r="C2607" s="17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  <c r="N2607" s="17"/>
      <c r="O2607" s="17"/>
      <c r="P2607" s="17"/>
      <c r="Q2607" s="17"/>
      <c r="R2607" s="17"/>
      <c r="S2607" s="17"/>
      <c r="T2607" s="17"/>
      <c r="U2607" s="17"/>
      <c r="V2607" s="18">
        <v>0</v>
      </c>
      <c r="W2607" s="17">
        <f t="shared" si="82"/>
        <v>0</v>
      </c>
      <c r="X2607" s="5">
        <f t="shared" si="83"/>
        <v>0</v>
      </c>
    </row>
    <row r="2608" spans="1:24" x14ac:dyDescent="0.25">
      <c r="A2608" s="17"/>
      <c r="B2608" s="17"/>
      <c r="C2608" s="17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  <c r="N2608" s="17"/>
      <c r="O2608" s="17"/>
      <c r="P2608" s="17"/>
      <c r="Q2608" s="17"/>
      <c r="R2608" s="17"/>
      <c r="S2608" s="17"/>
      <c r="T2608" s="17"/>
      <c r="U2608" s="17"/>
      <c r="V2608" s="18">
        <v>0</v>
      </c>
      <c r="W2608" s="17">
        <f t="shared" si="82"/>
        <v>0</v>
      </c>
      <c r="X2608" s="5">
        <f t="shared" si="83"/>
        <v>0</v>
      </c>
    </row>
    <row r="2609" spans="1:24" x14ac:dyDescent="0.25">
      <c r="A2609" s="17"/>
      <c r="B2609" s="17"/>
      <c r="C2609" s="17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8">
        <v>0</v>
      </c>
      <c r="W2609" s="17">
        <f t="shared" si="82"/>
        <v>0</v>
      </c>
      <c r="X2609" s="5">
        <f t="shared" si="83"/>
        <v>0</v>
      </c>
    </row>
    <row r="2610" spans="1:24" x14ac:dyDescent="0.25">
      <c r="A2610" s="17"/>
      <c r="B2610" s="17"/>
      <c r="C2610" s="17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8">
        <v>0</v>
      </c>
      <c r="W2610" s="17">
        <f t="shared" si="82"/>
        <v>0</v>
      </c>
      <c r="X2610" s="5">
        <f t="shared" si="83"/>
        <v>0</v>
      </c>
    </row>
    <row r="2611" spans="1:24" x14ac:dyDescent="0.25">
      <c r="A2611" s="17"/>
      <c r="B2611" s="17"/>
      <c r="C2611" s="17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8">
        <v>0</v>
      </c>
      <c r="W2611" s="17">
        <f t="shared" si="82"/>
        <v>0</v>
      </c>
      <c r="X2611" s="5">
        <f t="shared" si="83"/>
        <v>0</v>
      </c>
    </row>
    <row r="2612" spans="1:24" x14ac:dyDescent="0.25">
      <c r="A2612" s="17"/>
      <c r="B2612" s="17"/>
      <c r="C2612" s="17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8">
        <v>0</v>
      </c>
      <c r="W2612" s="17">
        <f t="shared" si="82"/>
        <v>0</v>
      </c>
      <c r="X2612" s="5">
        <f t="shared" si="83"/>
        <v>0</v>
      </c>
    </row>
    <row r="2613" spans="1:24" x14ac:dyDescent="0.25">
      <c r="A2613" s="17"/>
      <c r="B2613" s="17"/>
      <c r="C2613" s="17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8">
        <v>0</v>
      </c>
      <c r="W2613" s="17">
        <f t="shared" si="82"/>
        <v>0</v>
      </c>
      <c r="X2613" s="5">
        <f t="shared" si="83"/>
        <v>0</v>
      </c>
    </row>
    <row r="2614" spans="1:24" x14ac:dyDescent="0.25">
      <c r="A2614" s="17"/>
      <c r="B2614" s="17"/>
      <c r="C2614" s="17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8">
        <v>0</v>
      </c>
      <c r="W2614" s="17">
        <f t="shared" si="82"/>
        <v>0</v>
      </c>
      <c r="X2614" s="5">
        <f t="shared" si="83"/>
        <v>0</v>
      </c>
    </row>
    <row r="2615" spans="1:24" x14ac:dyDescent="0.25">
      <c r="A2615" s="17"/>
      <c r="B2615" s="17"/>
      <c r="C2615" s="17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8">
        <v>0</v>
      </c>
      <c r="W2615" s="17">
        <f t="shared" si="82"/>
        <v>0</v>
      </c>
      <c r="X2615" s="5">
        <f t="shared" si="83"/>
        <v>0</v>
      </c>
    </row>
    <row r="2616" spans="1:24" x14ac:dyDescent="0.25">
      <c r="A2616" s="17"/>
      <c r="B2616" s="17"/>
      <c r="C2616" s="17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8">
        <v>0</v>
      </c>
      <c r="W2616" s="17">
        <f t="shared" si="82"/>
        <v>0</v>
      </c>
      <c r="X2616" s="5">
        <f t="shared" si="83"/>
        <v>0</v>
      </c>
    </row>
    <row r="2617" spans="1:24" x14ac:dyDescent="0.25">
      <c r="A2617" s="17"/>
      <c r="B2617" s="17"/>
      <c r="C2617" s="17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8">
        <v>0</v>
      </c>
      <c r="W2617" s="17">
        <f t="shared" si="82"/>
        <v>0</v>
      </c>
      <c r="X2617" s="5">
        <f t="shared" si="83"/>
        <v>0</v>
      </c>
    </row>
    <row r="2618" spans="1:24" x14ac:dyDescent="0.25">
      <c r="A2618" s="17"/>
      <c r="B2618" s="17"/>
      <c r="C2618" s="17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8">
        <v>0</v>
      </c>
      <c r="W2618" s="17">
        <f t="shared" si="82"/>
        <v>0</v>
      </c>
      <c r="X2618" s="5">
        <f t="shared" si="83"/>
        <v>0</v>
      </c>
    </row>
    <row r="2619" spans="1:24" x14ac:dyDescent="0.25">
      <c r="A2619" s="17"/>
      <c r="B2619" s="17"/>
      <c r="C2619" s="17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  <c r="N2619" s="17"/>
      <c r="O2619" s="17"/>
      <c r="P2619" s="17"/>
      <c r="Q2619" s="17"/>
      <c r="R2619" s="17"/>
      <c r="S2619" s="17"/>
      <c r="T2619" s="17"/>
      <c r="U2619" s="17"/>
      <c r="V2619" s="18">
        <v>0</v>
      </c>
      <c r="W2619" s="17">
        <f t="shared" si="82"/>
        <v>0</v>
      </c>
      <c r="X2619" s="5">
        <f t="shared" si="83"/>
        <v>0</v>
      </c>
    </row>
    <row r="2620" spans="1:24" x14ac:dyDescent="0.25">
      <c r="A2620" s="17"/>
      <c r="B2620" s="17"/>
      <c r="C2620" s="17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  <c r="N2620" s="17"/>
      <c r="O2620" s="17"/>
      <c r="P2620" s="17"/>
      <c r="Q2620" s="17"/>
      <c r="R2620" s="17"/>
      <c r="S2620" s="17"/>
      <c r="T2620" s="17"/>
      <c r="U2620" s="17"/>
      <c r="V2620" s="18">
        <v>0</v>
      </c>
      <c r="W2620" s="17">
        <f t="shared" si="82"/>
        <v>0</v>
      </c>
      <c r="X2620" s="5">
        <f t="shared" si="83"/>
        <v>0</v>
      </c>
    </row>
    <row r="2621" spans="1:24" x14ac:dyDescent="0.25">
      <c r="A2621" s="17"/>
      <c r="B2621" s="17"/>
      <c r="C2621" s="17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  <c r="N2621" s="17"/>
      <c r="O2621" s="17"/>
      <c r="P2621" s="17"/>
      <c r="Q2621" s="17"/>
      <c r="R2621" s="17"/>
      <c r="S2621" s="17"/>
      <c r="T2621" s="17"/>
      <c r="U2621" s="17"/>
      <c r="V2621" s="18">
        <v>0</v>
      </c>
      <c r="W2621" s="17">
        <f t="shared" si="82"/>
        <v>0</v>
      </c>
      <c r="X2621" s="5">
        <f t="shared" si="83"/>
        <v>0</v>
      </c>
    </row>
    <row r="2622" spans="1:24" x14ac:dyDescent="0.25">
      <c r="A2622" s="17"/>
      <c r="B2622" s="17"/>
      <c r="C2622" s="17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  <c r="N2622" s="17"/>
      <c r="O2622" s="17"/>
      <c r="P2622" s="17"/>
      <c r="Q2622" s="17"/>
      <c r="R2622" s="17"/>
      <c r="S2622" s="17"/>
      <c r="T2622" s="17"/>
      <c r="U2622" s="17"/>
      <c r="V2622" s="18">
        <v>0</v>
      </c>
      <c r="W2622" s="17">
        <f t="shared" si="82"/>
        <v>0</v>
      </c>
      <c r="X2622" s="5">
        <f t="shared" si="83"/>
        <v>0</v>
      </c>
    </row>
    <row r="2623" spans="1:24" x14ac:dyDescent="0.25">
      <c r="A2623" s="17"/>
      <c r="B2623" s="17"/>
      <c r="C2623" s="17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  <c r="N2623" s="17"/>
      <c r="O2623" s="17"/>
      <c r="P2623" s="17"/>
      <c r="Q2623" s="17"/>
      <c r="R2623" s="17"/>
      <c r="S2623" s="17"/>
      <c r="T2623" s="17"/>
      <c r="U2623" s="17"/>
      <c r="V2623" s="18">
        <v>0</v>
      </c>
      <c r="W2623" s="17">
        <f t="shared" si="82"/>
        <v>0</v>
      </c>
      <c r="X2623" s="5">
        <f t="shared" si="83"/>
        <v>0</v>
      </c>
    </row>
    <row r="2624" spans="1:24" x14ac:dyDescent="0.25">
      <c r="A2624" s="17"/>
      <c r="B2624" s="17"/>
      <c r="C2624" s="17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  <c r="N2624" s="17"/>
      <c r="O2624" s="17"/>
      <c r="P2624" s="17"/>
      <c r="Q2624" s="17"/>
      <c r="R2624" s="17"/>
      <c r="S2624" s="17"/>
      <c r="T2624" s="17"/>
      <c r="U2624" s="17"/>
      <c r="V2624" s="18">
        <v>0</v>
      </c>
      <c r="W2624" s="17">
        <f t="shared" si="82"/>
        <v>0</v>
      </c>
      <c r="X2624" s="5">
        <f t="shared" si="83"/>
        <v>0</v>
      </c>
    </row>
    <row r="2625" spans="1:24" x14ac:dyDescent="0.25">
      <c r="A2625" s="17"/>
      <c r="B2625" s="17"/>
      <c r="C2625" s="17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8">
        <v>0</v>
      </c>
      <c r="W2625" s="17">
        <f t="shared" si="82"/>
        <v>0</v>
      </c>
      <c r="X2625" s="5">
        <f t="shared" si="83"/>
        <v>0</v>
      </c>
    </row>
    <row r="2626" spans="1:24" x14ac:dyDescent="0.25">
      <c r="A2626" s="17"/>
      <c r="B2626" s="17"/>
      <c r="C2626" s="17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  <c r="N2626" s="17"/>
      <c r="O2626" s="17"/>
      <c r="P2626" s="17"/>
      <c r="Q2626" s="17"/>
      <c r="R2626" s="17"/>
      <c r="S2626" s="17"/>
      <c r="T2626" s="17"/>
      <c r="U2626" s="17"/>
      <c r="V2626" s="18">
        <v>0</v>
      </c>
      <c r="W2626" s="17">
        <f t="shared" si="82"/>
        <v>0</v>
      </c>
      <c r="X2626" s="5">
        <f t="shared" si="83"/>
        <v>0</v>
      </c>
    </row>
    <row r="2627" spans="1:24" x14ac:dyDescent="0.25">
      <c r="A2627" s="17"/>
      <c r="B2627" s="17"/>
      <c r="C2627" s="17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  <c r="N2627" s="17"/>
      <c r="O2627" s="17"/>
      <c r="P2627" s="17"/>
      <c r="Q2627" s="17"/>
      <c r="R2627" s="17"/>
      <c r="S2627" s="17"/>
      <c r="T2627" s="17"/>
      <c r="U2627" s="17"/>
      <c r="V2627" s="18">
        <v>0</v>
      </c>
      <c r="W2627" s="17">
        <f t="shared" ref="W2627:W2690" si="84">HOUR(E2627)</f>
        <v>0</v>
      </c>
      <c r="X2627" s="5">
        <f t="shared" ref="X2627:X2690" si="85">IF(D2627=D2626,0,1)</f>
        <v>0</v>
      </c>
    </row>
    <row r="2628" spans="1:24" x14ac:dyDescent="0.25">
      <c r="A2628" s="17"/>
      <c r="B2628" s="17"/>
      <c r="C2628" s="17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  <c r="N2628" s="17"/>
      <c r="O2628" s="17"/>
      <c r="P2628" s="17"/>
      <c r="Q2628" s="17"/>
      <c r="R2628" s="17"/>
      <c r="S2628" s="17"/>
      <c r="T2628" s="17"/>
      <c r="U2628" s="17"/>
      <c r="V2628" s="18">
        <v>0</v>
      </c>
      <c r="W2628" s="17">
        <f t="shared" si="84"/>
        <v>0</v>
      </c>
      <c r="X2628" s="5">
        <f t="shared" si="85"/>
        <v>0</v>
      </c>
    </row>
    <row r="2629" spans="1:24" x14ac:dyDescent="0.25">
      <c r="A2629" s="17"/>
      <c r="B2629" s="17"/>
      <c r="C2629" s="17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8">
        <v>0</v>
      </c>
      <c r="W2629" s="17">
        <f t="shared" si="84"/>
        <v>0</v>
      </c>
      <c r="X2629" s="5">
        <f t="shared" si="85"/>
        <v>0</v>
      </c>
    </row>
    <row r="2630" spans="1:24" x14ac:dyDescent="0.25">
      <c r="A2630" s="17"/>
      <c r="B2630" s="17"/>
      <c r="C2630" s="17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8">
        <v>0</v>
      </c>
      <c r="W2630" s="17">
        <f t="shared" si="84"/>
        <v>0</v>
      </c>
      <c r="X2630" s="5">
        <f t="shared" si="85"/>
        <v>0</v>
      </c>
    </row>
    <row r="2631" spans="1:24" x14ac:dyDescent="0.25">
      <c r="A2631" s="17"/>
      <c r="B2631" s="17"/>
      <c r="C2631" s="17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8">
        <v>0</v>
      </c>
      <c r="W2631" s="17">
        <f t="shared" si="84"/>
        <v>0</v>
      </c>
      <c r="X2631" s="5">
        <f t="shared" si="85"/>
        <v>0</v>
      </c>
    </row>
    <row r="2632" spans="1:24" x14ac:dyDescent="0.25">
      <c r="A2632" s="17"/>
      <c r="B2632" s="17"/>
      <c r="C2632" s="17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8">
        <v>0</v>
      </c>
      <c r="W2632" s="17">
        <f t="shared" si="84"/>
        <v>0</v>
      </c>
      <c r="X2632" s="5">
        <f t="shared" si="85"/>
        <v>0</v>
      </c>
    </row>
    <row r="2633" spans="1:24" x14ac:dyDescent="0.25">
      <c r="A2633" s="17"/>
      <c r="B2633" s="17"/>
      <c r="C2633" s="17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8">
        <v>0</v>
      </c>
      <c r="W2633" s="17">
        <f t="shared" si="84"/>
        <v>0</v>
      </c>
      <c r="X2633" s="5">
        <f t="shared" si="85"/>
        <v>0</v>
      </c>
    </row>
    <row r="2634" spans="1:24" x14ac:dyDescent="0.25">
      <c r="A2634" s="17"/>
      <c r="B2634" s="17"/>
      <c r="C2634" s="17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8">
        <v>0</v>
      </c>
      <c r="W2634" s="17">
        <f t="shared" si="84"/>
        <v>0</v>
      </c>
      <c r="X2634" s="5">
        <f t="shared" si="85"/>
        <v>0</v>
      </c>
    </row>
    <row r="2635" spans="1:24" x14ac:dyDescent="0.25">
      <c r="A2635" s="17"/>
      <c r="B2635" s="17"/>
      <c r="C2635" s="17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8">
        <v>0</v>
      </c>
      <c r="W2635" s="17">
        <f t="shared" si="84"/>
        <v>0</v>
      </c>
      <c r="X2635" s="5">
        <f t="shared" si="85"/>
        <v>0</v>
      </c>
    </row>
    <row r="2636" spans="1:24" x14ac:dyDescent="0.25">
      <c r="A2636" s="17"/>
      <c r="B2636" s="17"/>
      <c r="C2636" s="17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8">
        <v>0</v>
      </c>
      <c r="W2636" s="17">
        <f t="shared" si="84"/>
        <v>0</v>
      </c>
      <c r="X2636" s="5">
        <f t="shared" si="85"/>
        <v>0</v>
      </c>
    </row>
    <row r="2637" spans="1:24" x14ac:dyDescent="0.25">
      <c r="A2637" s="17"/>
      <c r="B2637" s="17"/>
      <c r="C2637" s="17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8">
        <v>0</v>
      </c>
      <c r="W2637" s="17">
        <f t="shared" si="84"/>
        <v>0</v>
      </c>
      <c r="X2637" s="5">
        <f t="shared" si="85"/>
        <v>0</v>
      </c>
    </row>
    <row r="2638" spans="1:24" x14ac:dyDescent="0.25">
      <c r="A2638" s="17"/>
      <c r="B2638" s="17"/>
      <c r="C2638" s="17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8">
        <v>0</v>
      </c>
      <c r="W2638" s="17">
        <f t="shared" si="84"/>
        <v>0</v>
      </c>
      <c r="X2638" s="5">
        <f t="shared" si="85"/>
        <v>0</v>
      </c>
    </row>
    <row r="2639" spans="1:24" x14ac:dyDescent="0.25">
      <c r="A2639" s="17"/>
      <c r="B2639" s="17"/>
      <c r="C2639" s="17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8">
        <v>0</v>
      </c>
      <c r="W2639" s="17">
        <f t="shared" si="84"/>
        <v>0</v>
      </c>
      <c r="X2639" s="5">
        <f t="shared" si="85"/>
        <v>0</v>
      </c>
    </row>
    <row r="2640" spans="1:24" x14ac:dyDescent="0.25">
      <c r="A2640" s="17"/>
      <c r="B2640" s="17"/>
      <c r="C2640" s="17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8">
        <v>0</v>
      </c>
      <c r="W2640" s="17">
        <f t="shared" si="84"/>
        <v>0</v>
      </c>
      <c r="X2640" s="5">
        <f t="shared" si="85"/>
        <v>0</v>
      </c>
    </row>
    <row r="2641" spans="1:24" x14ac:dyDescent="0.25">
      <c r="A2641" s="17"/>
      <c r="B2641" s="17"/>
      <c r="C2641" s="17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  <c r="N2641" s="17"/>
      <c r="O2641" s="17"/>
      <c r="P2641" s="17"/>
      <c r="Q2641" s="17"/>
      <c r="R2641" s="17"/>
      <c r="S2641" s="17"/>
      <c r="T2641" s="17"/>
      <c r="U2641" s="17"/>
      <c r="V2641" s="18">
        <v>0</v>
      </c>
      <c r="W2641" s="17">
        <f t="shared" si="84"/>
        <v>0</v>
      </c>
      <c r="X2641" s="5">
        <f t="shared" si="85"/>
        <v>0</v>
      </c>
    </row>
    <row r="2642" spans="1:24" x14ac:dyDescent="0.25">
      <c r="A2642" s="17"/>
      <c r="B2642" s="17"/>
      <c r="C2642" s="17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  <c r="N2642" s="17"/>
      <c r="O2642" s="17"/>
      <c r="P2642" s="17"/>
      <c r="Q2642" s="17"/>
      <c r="R2642" s="17"/>
      <c r="S2642" s="17"/>
      <c r="T2642" s="17"/>
      <c r="U2642" s="17"/>
      <c r="V2642" s="18">
        <v>0</v>
      </c>
      <c r="W2642" s="17">
        <f t="shared" si="84"/>
        <v>0</v>
      </c>
      <c r="X2642" s="5">
        <f t="shared" si="85"/>
        <v>0</v>
      </c>
    </row>
    <row r="2643" spans="1:24" x14ac:dyDescent="0.25">
      <c r="A2643" s="17"/>
      <c r="B2643" s="17"/>
      <c r="C2643" s="17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  <c r="N2643" s="17"/>
      <c r="O2643" s="17"/>
      <c r="P2643" s="17"/>
      <c r="Q2643" s="17"/>
      <c r="R2643" s="17"/>
      <c r="S2643" s="17"/>
      <c r="T2643" s="17"/>
      <c r="U2643" s="17"/>
      <c r="V2643" s="18">
        <v>0</v>
      </c>
      <c r="W2643" s="17">
        <f t="shared" si="84"/>
        <v>0</v>
      </c>
      <c r="X2643" s="5">
        <f t="shared" si="85"/>
        <v>0</v>
      </c>
    </row>
    <row r="2644" spans="1:24" x14ac:dyDescent="0.25">
      <c r="A2644" s="17"/>
      <c r="B2644" s="17"/>
      <c r="C2644" s="17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8">
        <v>0</v>
      </c>
      <c r="W2644" s="17">
        <f t="shared" si="84"/>
        <v>0</v>
      </c>
      <c r="X2644" s="5">
        <f t="shared" si="85"/>
        <v>0</v>
      </c>
    </row>
    <row r="2645" spans="1:24" x14ac:dyDescent="0.25">
      <c r="A2645" s="17"/>
      <c r="B2645" s="17"/>
      <c r="C2645" s="17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  <c r="N2645" s="17"/>
      <c r="O2645" s="17"/>
      <c r="P2645" s="17"/>
      <c r="Q2645" s="17"/>
      <c r="R2645" s="17"/>
      <c r="S2645" s="17"/>
      <c r="T2645" s="17"/>
      <c r="U2645" s="17"/>
      <c r="V2645" s="18">
        <v>0</v>
      </c>
      <c r="W2645" s="17">
        <f t="shared" si="84"/>
        <v>0</v>
      </c>
      <c r="X2645" s="5">
        <f t="shared" si="85"/>
        <v>0</v>
      </c>
    </row>
    <row r="2646" spans="1:24" x14ac:dyDescent="0.25">
      <c r="A2646" s="17"/>
      <c r="B2646" s="17"/>
      <c r="C2646" s="17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  <c r="N2646" s="17"/>
      <c r="O2646" s="17"/>
      <c r="P2646" s="17"/>
      <c r="Q2646" s="17"/>
      <c r="R2646" s="17"/>
      <c r="S2646" s="17"/>
      <c r="T2646" s="17"/>
      <c r="U2646" s="17"/>
      <c r="V2646" s="18">
        <v>0</v>
      </c>
      <c r="W2646" s="17">
        <f t="shared" si="84"/>
        <v>0</v>
      </c>
      <c r="X2646" s="5">
        <f t="shared" si="85"/>
        <v>0</v>
      </c>
    </row>
    <row r="2647" spans="1:24" x14ac:dyDescent="0.25">
      <c r="A2647" s="17"/>
      <c r="B2647" s="17"/>
      <c r="C2647" s="17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  <c r="N2647" s="17"/>
      <c r="O2647" s="17"/>
      <c r="P2647" s="17"/>
      <c r="Q2647" s="17"/>
      <c r="R2647" s="17"/>
      <c r="S2647" s="17"/>
      <c r="T2647" s="17"/>
      <c r="U2647" s="17"/>
      <c r="V2647" s="18">
        <v>0</v>
      </c>
      <c r="W2647" s="17">
        <f t="shared" si="84"/>
        <v>0</v>
      </c>
      <c r="X2647" s="5">
        <f t="shared" si="85"/>
        <v>0</v>
      </c>
    </row>
    <row r="2648" spans="1:24" x14ac:dyDescent="0.25">
      <c r="A2648" s="17"/>
      <c r="B2648" s="17"/>
      <c r="C2648" s="17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8">
        <v>0</v>
      </c>
      <c r="W2648" s="17">
        <f t="shared" si="84"/>
        <v>0</v>
      </c>
      <c r="X2648" s="5">
        <f t="shared" si="85"/>
        <v>0</v>
      </c>
    </row>
    <row r="2649" spans="1:24" x14ac:dyDescent="0.25">
      <c r="A2649" s="17"/>
      <c r="B2649" s="17"/>
      <c r="C2649" s="17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  <c r="N2649" s="17"/>
      <c r="O2649" s="17"/>
      <c r="P2649" s="17"/>
      <c r="Q2649" s="17"/>
      <c r="R2649" s="17"/>
      <c r="S2649" s="17"/>
      <c r="T2649" s="17"/>
      <c r="U2649" s="17"/>
      <c r="V2649" s="18">
        <v>0</v>
      </c>
      <c r="W2649" s="17">
        <f t="shared" si="84"/>
        <v>0</v>
      </c>
      <c r="X2649" s="5">
        <f t="shared" si="85"/>
        <v>0</v>
      </c>
    </row>
    <row r="2650" spans="1:24" x14ac:dyDescent="0.25">
      <c r="A2650" s="17"/>
      <c r="B2650" s="17"/>
      <c r="C2650" s="17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  <c r="N2650" s="17"/>
      <c r="O2650" s="17"/>
      <c r="P2650" s="17"/>
      <c r="Q2650" s="17"/>
      <c r="R2650" s="17"/>
      <c r="S2650" s="17"/>
      <c r="T2650" s="17"/>
      <c r="U2650" s="17"/>
      <c r="V2650" s="18">
        <v>0</v>
      </c>
      <c r="W2650" s="17">
        <f t="shared" si="84"/>
        <v>0</v>
      </c>
      <c r="X2650" s="5">
        <f t="shared" si="85"/>
        <v>0</v>
      </c>
    </row>
    <row r="2651" spans="1:24" x14ac:dyDescent="0.25">
      <c r="A2651" s="17"/>
      <c r="B2651" s="17"/>
      <c r="C2651" s="17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  <c r="N2651" s="17"/>
      <c r="O2651" s="17"/>
      <c r="P2651" s="17"/>
      <c r="Q2651" s="17"/>
      <c r="R2651" s="17"/>
      <c r="S2651" s="17"/>
      <c r="T2651" s="17"/>
      <c r="U2651" s="17"/>
      <c r="V2651" s="18">
        <v>0</v>
      </c>
      <c r="W2651" s="17">
        <f t="shared" si="84"/>
        <v>0</v>
      </c>
      <c r="X2651" s="5">
        <f t="shared" si="85"/>
        <v>0</v>
      </c>
    </row>
    <row r="2652" spans="1:24" x14ac:dyDescent="0.25">
      <c r="A2652" s="17"/>
      <c r="B2652" s="17"/>
      <c r="C2652" s="17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  <c r="N2652" s="17"/>
      <c r="O2652" s="17"/>
      <c r="P2652" s="17"/>
      <c r="Q2652" s="17"/>
      <c r="R2652" s="17"/>
      <c r="S2652" s="17"/>
      <c r="T2652" s="17"/>
      <c r="U2652" s="17"/>
      <c r="V2652" s="18">
        <v>0</v>
      </c>
      <c r="W2652" s="17">
        <f t="shared" si="84"/>
        <v>0</v>
      </c>
      <c r="X2652" s="5">
        <f t="shared" si="85"/>
        <v>0</v>
      </c>
    </row>
    <row r="2653" spans="1:24" x14ac:dyDescent="0.25">
      <c r="A2653" s="17"/>
      <c r="B2653" s="17"/>
      <c r="C2653" s="17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  <c r="N2653" s="17"/>
      <c r="O2653" s="17"/>
      <c r="P2653" s="17"/>
      <c r="Q2653" s="17"/>
      <c r="R2653" s="17"/>
      <c r="S2653" s="17"/>
      <c r="T2653" s="17"/>
      <c r="U2653" s="17"/>
      <c r="V2653" s="18">
        <v>0</v>
      </c>
      <c r="W2653" s="17">
        <f t="shared" si="84"/>
        <v>0</v>
      </c>
      <c r="X2653" s="5">
        <f t="shared" si="85"/>
        <v>0</v>
      </c>
    </row>
    <row r="2654" spans="1:24" x14ac:dyDescent="0.25">
      <c r="A2654" s="17"/>
      <c r="B2654" s="17"/>
      <c r="C2654" s="17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  <c r="N2654" s="17"/>
      <c r="O2654" s="17"/>
      <c r="P2654" s="17"/>
      <c r="Q2654" s="17"/>
      <c r="R2654" s="17"/>
      <c r="S2654" s="17"/>
      <c r="T2654" s="17"/>
      <c r="U2654" s="17"/>
      <c r="V2654" s="18">
        <v>0</v>
      </c>
      <c r="W2654" s="17">
        <f t="shared" si="84"/>
        <v>0</v>
      </c>
      <c r="X2654" s="5">
        <f t="shared" si="85"/>
        <v>0</v>
      </c>
    </row>
    <row r="2655" spans="1:24" x14ac:dyDescent="0.25">
      <c r="A2655" s="17"/>
      <c r="B2655" s="17"/>
      <c r="C2655" s="17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  <c r="N2655" s="17"/>
      <c r="O2655" s="17"/>
      <c r="P2655" s="17"/>
      <c r="Q2655" s="17"/>
      <c r="R2655" s="17"/>
      <c r="S2655" s="17"/>
      <c r="T2655" s="17"/>
      <c r="U2655" s="17"/>
      <c r="V2655" s="18">
        <v>0</v>
      </c>
      <c r="W2655" s="17">
        <f t="shared" si="84"/>
        <v>0</v>
      </c>
      <c r="X2655" s="5">
        <f t="shared" si="85"/>
        <v>0</v>
      </c>
    </row>
    <row r="2656" spans="1:24" x14ac:dyDescent="0.25">
      <c r="A2656" s="17"/>
      <c r="B2656" s="17"/>
      <c r="C2656" s="17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  <c r="N2656" s="17"/>
      <c r="O2656" s="17"/>
      <c r="P2656" s="17"/>
      <c r="Q2656" s="17"/>
      <c r="R2656" s="17"/>
      <c r="S2656" s="17"/>
      <c r="T2656" s="17"/>
      <c r="U2656" s="17"/>
      <c r="V2656" s="18">
        <v>0</v>
      </c>
      <c r="W2656" s="17">
        <f t="shared" si="84"/>
        <v>0</v>
      </c>
      <c r="X2656" s="5">
        <f t="shared" si="85"/>
        <v>0</v>
      </c>
    </row>
    <row r="2657" spans="1:24" x14ac:dyDescent="0.25">
      <c r="A2657" s="17"/>
      <c r="B2657" s="17"/>
      <c r="C2657" s="17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  <c r="N2657" s="17"/>
      <c r="O2657" s="17"/>
      <c r="P2657" s="17"/>
      <c r="Q2657" s="17"/>
      <c r="R2657" s="17"/>
      <c r="S2657" s="17"/>
      <c r="T2657" s="17"/>
      <c r="U2657" s="17"/>
      <c r="V2657" s="18">
        <v>0</v>
      </c>
      <c r="W2657" s="17">
        <f t="shared" si="84"/>
        <v>0</v>
      </c>
      <c r="X2657" s="5">
        <f t="shared" si="85"/>
        <v>0</v>
      </c>
    </row>
    <row r="2658" spans="1:24" x14ac:dyDescent="0.25">
      <c r="A2658" s="17"/>
      <c r="B2658" s="17"/>
      <c r="C2658" s="17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8">
        <v>0</v>
      </c>
      <c r="W2658" s="17">
        <f t="shared" si="84"/>
        <v>0</v>
      </c>
      <c r="X2658" s="5">
        <f t="shared" si="85"/>
        <v>0</v>
      </c>
    </row>
    <row r="2659" spans="1:24" x14ac:dyDescent="0.25">
      <c r="A2659" s="17"/>
      <c r="B2659" s="17"/>
      <c r="C2659" s="17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8">
        <v>0</v>
      </c>
      <c r="W2659" s="17">
        <f t="shared" si="84"/>
        <v>0</v>
      </c>
      <c r="X2659" s="5">
        <f t="shared" si="85"/>
        <v>0</v>
      </c>
    </row>
    <row r="2660" spans="1:24" x14ac:dyDescent="0.25">
      <c r="A2660" s="17"/>
      <c r="B2660" s="17"/>
      <c r="C2660" s="17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8">
        <v>0</v>
      </c>
      <c r="W2660" s="17">
        <f t="shared" si="84"/>
        <v>0</v>
      </c>
      <c r="X2660" s="5">
        <f t="shared" si="85"/>
        <v>0</v>
      </c>
    </row>
    <row r="2661" spans="1:24" x14ac:dyDescent="0.25">
      <c r="A2661" s="17"/>
      <c r="B2661" s="17"/>
      <c r="C2661" s="17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8">
        <v>0</v>
      </c>
      <c r="W2661" s="17">
        <f t="shared" si="84"/>
        <v>0</v>
      </c>
      <c r="X2661" s="5">
        <f t="shared" si="85"/>
        <v>0</v>
      </c>
    </row>
    <row r="2662" spans="1:24" x14ac:dyDescent="0.25">
      <c r="A2662" s="17"/>
      <c r="B2662" s="17"/>
      <c r="C2662" s="17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8">
        <v>0</v>
      </c>
      <c r="W2662" s="17">
        <f t="shared" si="84"/>
        <v>0</v>
      </c>
      <c r="X2662" s="5">
        <f t="shared" si="85"/>
        <v>0</v>
      </c>
    </row>
    <row r="2663" spans="1:24" x14ac:dyDescent="0.25">
      <c r="A2663" s="17"/>
      <c r="B2663" s="17"/>
      <c r="C2663" s="17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8">
        <v>0</v>
      </c>
      <c r="W2663" s="17">
        <f t="shared" si="84"/>
        <v>0</v>
      </c>
      <c r="X2663" s="5">
        <f t="shared" si="85"/>
        <v>0</v>
      </c>
    </row>
    <row r="2664" spans="1:24" x14ac:dyDescent="0.25">
      <c r="A2664" s="17"/>
      <c r="B2664" s="17"/>
      <c r="C2664" s="17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  <c r="N2664" s="17"/>
      <c r="O2664" s="17"/>
      <c r="P2664" s="17"/>
      <c r="Q2664" s="17"/>
      <c r="R2664" s="17"/>
      <c r="S2664" s="17"/>
      <c r="T2664" s="17"/>
      <c r="U2664" s="17"/>
      <c r="V2664" s="18">
        <v>0</v>
      </c>
      <c r="W2664" s="17">
        <f t="shared" si="84"/>
        <v>0</v>
      </c>
      <c r="X2664" s="5">
        <f t="shared" si="85"/>
        <v>0</v>
      </c>
    </row>
    <row r="2665" spans="1:24" x14ac:dyDescent="0.25">
      <c r="A2665" s="17"/>
      <c r="B2665" s="17"/>
      <c r="C2665" s="17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  <c r="N2665" s="17"/>
      <c r="O2665" s="17"/>
      <c r="P2665" s="17"/>
      <c r="Q2665" s="17"/>
      <c r="R2665" s="17"/>
      <c r="S2665" s="17"/>
      <c r="T2665" s="17"/>
      <c r="U2665" s="17"/>
      <c r="V2665" s="18">
        <v>0</v>
      </c>
      <c r="W2665" s="17">
        <f t="shared" si="84"/>
        <v>0</v>
      </c>
      <c r="X2665" s="5">
        <f t="shared" si="85"/>
        <v>0</v>
      </c>
    </row>
    <row r="2666" spans="1:24" x14ac:dyDescent="0.25">
      <c r="A2666" s="17"/>
      <c r="B2666" s="17"/>
      <c r="C2666" s="17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  <c r="N2666" s="17"/>
      <c r="O2666" s="17"/>
      <c r="P2666" s="17"/>
      <c r="Q2666" s="17"/>
      <c r="R2666" s="17"/>
      <c r="S2666" s="17"/>
      <c r="T2666" s="17"/>
      <c r="U2666" s="17"/>
      <c r="V2666" s="18">
        <v>0</v>
      </c>
      <c r="W2666" s="17">
        <f t="shared" si="84"/>
        <v>0</v>
      </c>
      <c r="X2666" s="5">
        <f t="shared" si="85"/>
        <v>0</v>
      </c>
    </row>
    <row r="2667" spans="1:24" x14ac:dyDescent="0.25">
      <c r="A2667" s="17"/>
      <c r="B2667" s="17"/>
      <c r="C2667" s="17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8">
        <v>0</v>
      </c>
      <c r="W2667" s="17">
        <f t="shared" si="84"/>
        <v>0</v>
      </c>
      <c r="X2667" s="5">
        <f t="shared" si="85"/>
        <v>0</v>
      </c>
    </row>
    <row r="2668" spans="1:24" x14ac:dyDescent="0.25">
      <c r="A2668" s="17"/>
      <c r="B2668" s="17"/>
      <c r="C2668" s="17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8">
        <v>0</v>
      </c>
      <c r="W2668" s="17">
        <f t="shared" si="84"/>
        <v>0</v>
      </c>
      <c r="X2668" s="5">
        <f t="shared" si="85"/>
        <v>0</v>
      </c>
    </row>
    <row r="2669" spans="1:24" x14ac:dyDescent="0.25">
      <c r="A2669" s="17"/>
      <c r="B2669" s="17"/>
      <c r="C2669" s="17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8">
        <v>0</v>
      </c>
      <c r="W2669" s="17">
        <f t="shared" si="84"/>
        <v>0</v>
      </c>
      <c r="X2669" s="5">
        <f t="shared" si="85"/>
        <v>0</v>
      </c>
    </row>
    <row r="2670" spans="1:24" x14ac:dyDescent="0.25">
      <c r="A2670" s="17"/>
      <c r="B2670" s="17"/>
      <c r="C2670" s="17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8">
        <v>0</v>
      </c>
      <c r="W2670" s="17">
        <f t="shared" si="84"/>
        <v>0</v>
      </c>
      <c r="X2670" s="5">
        <f t="shared" si="85"/>
        <v>0</v>
      </c>
    </row>
    <row r="2671" spans="1:24" x14ac:dyDescent="0.25">
      <c r="A2671" s="17"/>
      <c r="B2671" s="17"/>
      <c r="C2671" s="17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  <c r="N2671" s="17"/>
      <c r="O2671" s="17"/>
      <c r="P2671" s="17"/>
      <c r="Q2671" s="17"/>
      <c r="R2671" s="17"/>
      <c r="S2671" s="17"/>
      <c r="T2671" s="17"/>
      <c r="U2671" s="17"/>
      <c r="V2671" s="18">
        <v>0</v>
      </c>
      <c r="W2671" s="17">
        <f t="shared" si="84"/>
        <v>0</v>
      </c>
      <c r="X2671" s="5">
        <f t="shared" si="85"/>
        <v>0</v>
      </c>
    </row>
    <row r="2672" spans="1:24" x14ac:dyDescent="0.25">
      <c r="A2672" s="17"/>
      <c r="B2672" s="17"/>
      <c r="C2672" s="17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  <c r="N2672" s="17"/>
      <c r="O2672" s="17"/>
      <c r="P2672" s="17"/>
      <c r="Q2672" s="17"/>
      <c r="R2672" s="17"/>
      <c r="S2672" s="17"/>
      <c r="T2672" s="17"/>
      <c r="U2672" s="17"/>
      <c r="V2672" s="18">
        <v>0</v>
      </c>
      <c r="W2672" s="17">
        <f t="shared" si="84"/>
        <v>0</v>
      </c>
      <c r="X2672" s="5">
        <f t="shared" si="85"/>
        <v>0</v>
      </c>
    </row>
    <row r="2673" spans="1:24" x14ac:dyDescent="0.25">
      <c r="A2673" s="17"/>
      <c r="B2673" s="17"/>
      <c r="C2673" s="17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  <c r="N2673" s="17"/>
      <c r="O2673" s="17"/>
      <c r="P2673" s="17"/>
      <c r="Q2673" s="17"/>
      <c r="R2673" s="17"/>
      <c r="S2673" s="17"/>
      <c r="T2673" s="17"/>
      <c r="U2673" s="17"/>
      <c r="V2673" s="18">
        <v>0</v>
      </c>
      <c r="W2673" s="17">
        <f t="shared" si="84"/>
        <v>0</v>
      </c>
      <c r="X2673" s="5">
        <f t="shared" si="85"/>
        <v>0</v>
      </c>
    </row>
    <row r="2674" spans="1:24" x14ac:dyDescent="0.25">
      <c r="A2674" s="17"/>
      <c r="B2674" s="17"/>
      <c r="C2674" s="17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8">
        <v>0</v>
      </c>
      <c r="W2674" s="17">
        <f t="shared" si="84"/>
        <v>0</v>
      </c>
      <c r="X2674" s="5">
        <f t="shared" si="85"/>
        <v>0</v>
      </c>
    </row>
    <row r="2675" spans="1:24" x14ac:dyDescent="0.25">
      <c r="A2675" s="17"/>
      <c r="B2675" s="17"/>
      <c r="C2675" s="17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8">
        <v>0</v>
      </c>
      <c r="W2675" s="17">
        <f t="shared" si="84"/>
        <v>0</v>
      </c>
      <c r="X2675" s="5">
        <f t="shared" si="85"/>
        <v>0</v>
      </c>
    </row>
    <row r="2676" spans="1:24" x14ac:dyDescent="0.25">
      <c r="A2676" s="17"/>
      <c r="B2676" s="17"/>
      <c r="C2676" s="17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8">
        <v>0</v>
      </c>
      <c r="W2676" s="17">
        <f t="shared" si="84"/>
        <v>0</v>
      </c>
      <c r="X2676" s="5">
        <f t="shared" si="85"/>
        <v>0</v>
      </c>
    </row>
    <row r="2677" spans="1:24" x14ac:dyDescent="0.25">
      <c r="A2677" s="17"/>
      <c r="B2677" s="17"/>
      <c r="C2677" s="17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8">
        <v>0</v>
      </c>
      <c r="W2677" s="17">
        <f t="shared" si="84"/>
        <v>0</v>
      </c>
      <c r="X2677" s="5">
        <f t="shared" si="85"/>
        <v>0</v>
      </c>
    </row>
    <row r="2678" spans="1:24" x14ac:dyDescent="0.25">
      <c r="A2678" s="17"/>
      <c r="B2678" s="17"/>
      <c r="C2678" s="17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8">
        <v>0</v>
      </c>
      <c r="W2678" s="17">
        <f t="shared" si="84"/>
        <v>0</v>
      </c>
      <c r="X2678" s="5">
        <f t="shared" si="85"/>
        <v>0</v>
      </c>
    </row>
    <row r="2679" spans="1:24" x14ac:dyDescent="0.25">
      <c r="A2679" s="17"/>
      <c r="B2679" s="17"/>
      <c r="C2679" s="17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8">
        <v>0</v>
      </c>
      <c r="W2679" s="17">
        <f t="shared" si="84"/>
        <v>0</v>
      </c>
      <c r="X2679" s="5">
        <f t="shared" si="85"/>
        <v>0</v>
      </c>
    </row>
    <row r="2680" spans="1:24" x14ac:dyDescent="0.25">
      <c r="A2680" s="17"/>
      <c r="B2680" s="17"/>
      <c r="C2680" s="17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8">
        <v>0</v>
      </c>
      <c r="W2680" s="17">
        <f t="shared" si="84"/>
        <v>0</v>
      </c>
      <c r="X2680" s="5">
        <f t="shared" si="85"/>
        <v>0</v>
      </c>
    </row>
    <row r="2681" spans="1:24" x14ac:dyDescent="0.25">
      <c r="A2681" s="17"/>
      <c r="B2681" s="17"/>
      <c r="C2681" s="17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8">
        <v>0</v>
      </c>
      <c r="W2681" s="17">
        <f t="shared" si="84"/>
        <v>0</v>
      </c>
      <c r="X2681" s="5">
        <f t="shared" si="85"/>
        <v>0</v>
      </c>
    </row>
    <row r="2682" spans="1:24" x14ac:dyDescent="0.25">
      <c r="A2682" s="17"/>
      <c r="B2682" s="17"/>
      <c r="C2682" s="17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8">
        <v>0</v>
      </c>
      <c r="W2682" s="17">
        <f t="shared" si="84"/>
        <v>0</v>
      </c>
      <c r="X2682" s="5">
        <f t="shared" si="85"/>
        <v>0</v>
      </c>
    </row>
    <row r="2683" spans="1:24" x14ac:dyDescent="0.25">
      <c r="A2683" s="17"/>
      <c r="B2683" s="17"/>
      <c r="C2683" s="17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8">
        <v>0</v>
      </c>
      <c r="W2683" s="17">
        <f t="shared" si="84"/>
        <v>0</v>
      </c>
      <c r="X2683" s="5">
        <f t="shared" si="85"/>
        <v>0</v>
      </c>
    </row>
    <row r="2684" spans="1:24" x14ac:dyDescent="0.25">
      <c r="A2684" s="17"/>
      <c r="B2684" s="17"/>
      <c r="C2684" s="17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8">
        <v>0</v>
      </c>
      <c r="W2684" s="17">
        <f t="shared" si="84"/>
        <v>0</v>
      </c>
      <c r="X2684" s="5">
        <f t="shared" si="85"/>
        <v>0</v>
      </c>
    </row>
    <row r="2685" spans="1:24" x14ac:dyDescent="0.25">
      <c r="A2685" s="17"/>
      <c r="B2685" s="17"/>
      <c r="C2685" s="17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8">
        <v>0</v>
      </c>
      <c r="W2685" s="17">
        <f t="shared" si="84"/>
        <v>0</v>
      </c>
      <c r="X2685" s="5">
        <f t="shared" si="85"/>
        <v>0</v>
      </c>
    </row>
    <row r="2686" spans="1:24" x14ac:dyDescent="0.25">
      <c r="A2686" s="17"/>
      <c r="B2686" s="17"/>
      <c r="C2686" s="17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8">
        <v>0</v>
      </c>
      <c r="W2686" s="17">
        <f t="shared" si="84"/>
        <v>0</v>
      </c>
      <c r="X2686" s="5">
        <f t="shared" si="85"/>
        <v>0</v>
      </c>
    </row>
    <row r="2687" spans="1:24" x14ac:dyDescent="0.25">
      <c r="A2687" s="17"/>
      <c r="B2687" s="17"/>
      <c r="C2687" s="17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8">
        <v>0</v>
      </c>
      <c r="W2687" s="17">
        <f t="shared" si="84"/>
        <v>0</v>
      </c>
      <c r="X2687" s="5">
        <f t="shared" si="85"/>
        <v>0</v>
      </c>
    </row>
    <row r="2688" spans="1:24" x14ac:dyDescent="0.25">
      <c r="A2688" s="17"/>
      <c r="B2688" s="17"/>
      <c r="C2688" s="17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8">
        <v>0</v>
      </c>
      <c r="W2688" s="17">
        <f t="shared" si="84"/>
        <v>0</v>
      </c>
      <c r="X2688" s="5">
        <f t="shared" si="85"/>
        <v>0</v>
      </c>
    </row>
    <row r="2689" spans="1:24" x14ac:dyDescent="0.25">
      <c r="A2689" s="17"/>
      <c r="B2689" s="17"/>
      <c r="C2689" s="17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8">
        <v>0</v>
      </c>
      <c r="W2689" s="17">
        <f t="shared" si="84"/>
        <v>0</v>
      </c>
      <c r="X2689" s="5">
        <f t="shared" si="85"/>
        <v>0</v>
      </c>
    </row>
    <row r="2690" spans="1:24" x14ac:dyDescent="0.25">
      <c r="A2690" s="17"/>
      <c r="B2690" s="17"/>
      <c r="C2690" s="17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8">
        <v>0</v>
      </c>
      <c r="W2690" s="17">
        <f t="shared" si="84"/>
        <v>0</v>
      </c>
      <c r="X2690" s="5">
        <f t="shared" si="85"/>
        <v>0</v>
      </c>
    </row>
    <row r="2691" spans="1:24" x14ac:dyDescent="0.25">
      <c r="A2691" s="17"/>
      <c r="B2691" s="17"/>
      <c r="C2691" s="17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8">
        <v>0</v>
      </c>
      <c r="W2691" s="17">
        <f t="shared" ref="W2691:W2754" si="86">HOUR(E2691)</f>
        <v>0</v>
      </c>
      <c r="X2691" s="5">
        <f t="shared" ref="X2691:X2754" si="87">IF(D2691=D2690,0,1)</f>
        <v>0</v>
      </c>
    </row>
    <row r="2692" spans="1:24" x14ac:dyDescent="0.25">
      <c r="A2692" s="17"/>
      <c r="B2692" s="17"/>
      <c r="C2692" s="17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  <c r="N2692" s="17"/>
      <c r="O2692" s="17"/>
      <c r="P2692" s="17"/>
      <c r="Q2692" s="17"/>
      <c r="R2692" s="17"/>
      <c r="S2692" s="17"/>
      <c r="T2692" s="17"/>
      <c r="U2692" s="17"/>
      <c r="V2692" s="18">
        <v>0</v>
      </c>
      <c r="W2692" s="17">
        <f t="shared" si="86"/>
        <v>0</v>
      </c>
      <c r="X2692" s="5">
        <f t="shared" si="87"/>
        <v>0</v>
      </c>
    </row>
    <row r="2693" spans="1:24" x14ac:dyDescent="0.25">
      <c r="A2693" s="17"/>
      <c r="B2693" s="17"/>
      <c r="C2693" s="17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  <c r="N2693" s="17"/>
      <c r="O2693" s="17"/>
      <c r="P2693" s="17"/>
      <c r="Q2693" s="17"/>
      <c r="R2693" s="17"/>
      <c r="S2693" s="17"/>
      <c r="T2693" s="17"/>
      <c r="U2693" s="17"/>
      <c r="V2693" s="18">
        <v>0</v>
      </c>
      <c r="W2693" s="17">
        <f t="shared" si="86"/>
        <v>0</v>
      </c>
      <c r="X2693" s="5">
        <f t="shared" si="87"/>
        <v>0</v>
      </c>
    </row>
    <row r="2694" spans="1:24" x14ac:dyDescent="0.25">
      <c r="A2694" s="17"/>
      <c r="B2694" s="17"/>
      <c r="C2694" s="17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  <c r="N2694" s="17"/>
      <c r="O2694" s="17"/>
      <c r="P2694" s="17"/>
      <c r="Q2694" s="17"/>
      <c r="R2694" s="17"/>
      <c r="S2694" s="17"/>
      <c r="T2694" s="17"/>
      <c r="U2694" s="17"/>
      <c r="V2694" s="18">
        <v>0</v>
      </c>
      <c r="W2694" s="17">
        <f t="shared" si="86"/>
        <v>0</v>
      </c>
      <c r="X2694" s="5">
        <f t="shared" si="87"/>
        <v>0</v>
      </c>
    </row>
    <row r="2695" spans="1:24" x14ac:dyDescent="0.25">
      <c r="A2695" s="17"/>
      <c r="B2695" s="17"/>
      <c r="C2695" s="17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8">
        <v>0</v>
      </c>
      <c r="W2695" s="17">
        <f t="shared" si="86"/>
        <v>0</v>
      </c>
      <c r="X2695" s="5">
        <f t="shared" si="87"/>
        <v>0</v>
      </c>
    </row>
    <row r="2696" spans="1:24" x14ac:dyDescent="0.25">
      <c r="A2696" s="17"/>
      <c r="B2696" s="17"/>
      <c r="C2696" s="17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8">
        <v>0</v>
      </c>
      <c r="W2696" s="17">
        <f t="shared" si="86"/>
        <v>0</v>
      </c>
      <c r="X2696" s="5">
        <f t="shared" si="87"/>
        <v>0</v>
      </c>
    </row>
    <row r="2697" spans="1:24" x14ac:dyDescent="0.25">
      <c r="A2697" s="17"/>
      <c r="B2697" s="17"/>
      <c r="C2697" s="17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8">
        <v>0</v>
      </c>
      <c r="W2697" s="17">
        <f t="shared" si="86"/>
        <v>0</v>
      </c>
      <c r="X2697" s="5">
        <f t="shared" si="87"/>
        <v>0</v>
      </c>
    </row>
    <row r="2698" spans="1:24" x14ac:dyDescent="0.25">
      <c r="A2698" s="17"/>
      <c r="B2698" s="17"/>
      <c r="C2698" s="17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8">
        <v>0</v>
      </c>
      <c r="W2698" s="17">
        <f t="shared" si="86"/>
        <v>0</v>
      </c>
      <c r="X2698" s="5">
        <f t="shared" si="87"/>
        <v>0</v>
      </c>
    </row>
    <row r="2699" spans="1:24" x14ac:dyDescent="0.25">
      <c r="A2699" s="17"/>
      <c r="B2699" s="17"/>
      <c r="C2699" s="17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8">
        <v>0</v>
      </c>
      <c r="W2699" s="17">
        <f t="shared" si="86"/>
        <v>0</v>
      </c>
      <c r="X2699" s="5">
        <f t="shared" si="87"/>
        <v>0</v>
      </c>
    </row>
    <row r="2700" spans="1:24" x14ac:dyDescent="0.25">
      <c r="A2700" s="17"/>
      <c r="B2700" s="17"/>
      <c r="C2700" s="17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8">
        <v>0</v>
      </c>
      <c r="W2700" s="17">
        <f t="shared" si="86"/>
        <v>0</v>
      </c>
      <c r="X2700" s="5">
        <f t="shared" si="87"/>
        <v>0</v>
      </c>
    </row>
    <row r="2701" spans="1:24" x14ac:dyDescent="0.25">
      <c r="A2701" s="17"/>
      <c r="B2701" s="17"/>
      <c r="C2701" s="17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8">
        <v>0</v>
      </c>
      <c r="W2701" s="17">
        <f t="shared" si="86"/>
        <v>0</v>
      </c>
      <c r="X2701" s="5">
        <f t="shared" si="87"/>
        <v>0</v>
      </c>
    </row>
    <row r="2702" spans="1:24" x14ac:dyDescent="0.25">
      <c r="A2702" s="17"/>
      <c r="B2702" s="17"/>
      <c r="C2702" s="17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8">
        <v>0</v>
      </c>
      <c r="W2702" s="17">
        <f t="shared" si="86"/>
        <v>0</v>
      </c>
      <c r="X2702" s="5">
        <f t="shared" si="87"/>
        <v>0</v>
      </c>
    </row>
    <row r="2703" spans="1:24" x14ac:dyDescent="0.25">
      <c r="A2703" s="17"/>
      <c r="B2703" s="17"/>
      <c r="C2703" s="17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8">
        <v>0</v>
      </c>
      <c r="W2703" s="17">
        <f t="shared" si="86"/>
        <v>0</v>
      </c>
      <c r="X2703" s="5">
        <f t="shared" si="87"/>
        <v>0</v>
      </c>
    </row>
    <row r="2704" spans="1:24" x14ac:dyDescent="0.25">
      <c r="A2704" s="17"/>
      <c r="B2704" s="17"/>
      <c r="C2704" s="17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8">
        <v>0</v>
      </c>
      <c r="W2704" s="17">
        <f t="shared" si="86"/>
        <v>0</v>
      </c>
      <c r="X2704" s="5">
        <f t="shared" si="87"/>
        <v>0</v>
      </c>
    </row>
    <row r="2705" spans="1:24" x14ac:dyDescent="0.25">
      <c r="A2705" s="17"/>
      <c r="B2705" s="17"/>
      <c r="C2705" s="17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8">
        <v>0</v>
      </c>
      <c r="W2705" s="17">
        <f t="shared" si="86"/>
        <v>0</v>
      </c>
      <c r="X2705" s="5">
        <f t="shared" si="87"/>
        <v>0</v>
      </c>
    </row>
    <row r="2706" spans="1:24" x14ac:dyDescent="0.25">
      <c r="A2706" s="17"/>
      <c r="B2706" s="17"/>
      <c r="C2706" s="17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8">
        <v>0</v>
      </c>
      <c r="W2706" s="17">
        <f t="shared" si="86"/>
        <v>0</v>
      </c>
      <c r="X2706" s="5">
        <f t="shared" si="87"/>
        <v>0</v>
      </c>
    </row>
    <row r="2707" spans="1:24" x14ac:dyDescent="0.25">
      <c r="A2707" s="17"/>
      <c r="B2707" s="17"/>
      <c r="C2707" s="17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8">
        <v>0</v>
      </c>
      <c r="W2707" s="17">
        <f t="shared" si="86"/>
        <v>0</v>
      </c>
      <c r="X2707" s="5">
        <f t="shared" si="87"/>
        <v>0</v>
      </c>
    </row>
    <row r="2708" spans="1:24" x14ac:dyDescent="0.25">
      <c r="A2708" s="17"/>
      <c r="B2708" s="17"/>
      <c r="C2708" s="17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8">
        <v>0</v>
      </c>
      <c r="W2708" s="17">
        <f t="shared" si="86"/>
        <v>0</v>
      </c>
      <c r="X2708" s="5">
        <f t="shared" si="87"/>
        <v>0</v>
      </c>
    </row>
    <row r="2709" spans="1:24" x14ac:dyDescent="0.25">
      <c r="A2709" s="17"/>
      <c r="B2709" s="17"/>
      <c r="C2709" s="17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8">
        <v>0</v>
      </c>
      <c r="W2709" s="17">
        <f t="shared" si="86"/>
        <v>0</v>
      </c>
      <c r="X2709" s="5">
        <f t="shared" si="87"/>
        <v>0</v>
      </c>
    </row>
    <row r="2710" spans="1:24" x14ac:dyDescent="0.25">
      <c r="A2710" s="17"/>
      <c r="B2710" s="17"/>
      <c r="C2710" s="17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8">
        <v>0</v>
      </c>
      <c r="W2710" s="17">
        <f t="shared" si="86"/>
        <v>0</v>
      </c>
      <c r="X2710" s="5">
        <f t="shared" si="87"/>
        <v>0</v>
      </c>
    </row>
    <row r="2711" spans="1:24" x14ac:dyDescent="0.25">
      <c r="A2711" s="17"/>
      <c r="B2711" s="17"/>
      <c r="C2711" s="17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/>
      <c r="V2711" s="18">
        <v>0</v>
      </c>
      <c r="W2711" s="17">
        <f t="shared" si="86"/>
        <v>0</v>
      </c>
      <c r="X2711" s="5">
        <f t="shared" si="87"/>
        <v>0</v>
      </c>
    </row>
    <row r="2712" spans="1:24" x14ac:dyDescent="0.25">
      <c r="A2712" s="17"/>
      <c r="B2712" s="17"/>
      <c r="C2712" s="17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/>
      <c r="V2712" s="18">
        <v>0</v>
      </c>
      <c r="W2712" s="17">
        <f t="shared" si="86"/>
        <v>0</v>
      </c>
      <c r="X2712" s="5">
        <f t="shared" si="87"/>
        <v>0</v>
      </c>
    </row>
    <row r="2713" spans="1:24" x14ac:dyDescent="0.25">
      <c r="A2713" s="17"/>
      <c r="B2713" s="17"/>
      <c r="C2713" s="17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  <c r="N2713" s="17"/>
      <c r="O2713" s="17"/>
      <c r="P2713" s="17"/>
      <c r="Q2713" s="17"/>
      <c r="R2713" s="17"/>
      <c r="S2713" s="17"/>
      <c r="T2713" s="17"/>
      <c r="U2713" s="17"/>
      <c r="V2713" s="18">
        <v>0</v>
      </c>
      <c r="W2713" s="17">
        <f t="shared" si="86"/>
        <v>0</v>
      </c>
      <c r="X2713" s="5">
        <f t="shared" si="87"/>
        <v>0</v>
      </c>
    </row>
    <row r="2714" spans="1:24" x14ac:dyDescent="0.25">
      <c r="A2714" s="17"/>
      <c r="B2714" s="17"/>
      <c r="C2714" s="17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  <c r="N2714" s="17"/>
      <c r="O2714" s="17"/>
      <c r="P2714" s="17"/>
      <c r="Q2714" s="17"/>
      <c r="R2714" s="17"/>
      <c r="S2714" s="17"/>
      <c r="T2714" s="17"/>
      <c r="U2714" s="17"/>
      <c r="V2714" s="18">
        <v>0</v>
      </c>
      <c r="W2714" s="17">
        <f t="shared" si="86"/>
        <v>0</v>
      </c>
      <c r="X2714" s="5">
        <f t="shared" si="87"/>
        <v>0</v>
      </c>
    </row>
    <row r="2715" spans="1:24" x14ac:dyDescent="0.25">
      <c r="A2715" s="17"/>
      <c r="B2715" s="17"/>
      <c r="C2715" s="17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  <c r="N2715" s="17"/>
      <c r="O2715" s="17"/>
      <c r="P2715" s="17"/>
      <c r="Q2715" s="17"/>
      <c r="R2715" s="17"/>
      <c r="S2715" s="17"/>
      <c r="T2715" s="17"/>
      <c r="U2715" s="17"/>
      <c r="V2715" s="18">
        <v>0</v>
      </c>
      <c r="W2715" s="17">
        <f t="shared" si="86"/>
        <v>0</v>
      </c>
      <c r="X2715" s="5">
        <f t="shared" si="87"/>
        <v>0</v>
      </c>
    </row>
    <row r="2716" spans="1:24" x14ac:dyDescent="0.25">
      <c r="A2716" s="17"/>
      <c r="B2716" s="17"/>
      <c r="C2716" s="17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8">
        <v>0</v>
      </c>
      <c r="W2716" s="17">
        <f t="shared" si="86"/>
        <v>0</v>
      </c>
      <c r="X2716" s="5">
        <f t="shared" si="87"/>
        <v>0</v>
      </c>
    </row>
    <row r="2717" spans="1:24" x14ac:dyDescent="0.25">
      <c r="A2717" s="17"/>
      <c r="B2717" s="17"/>
      <c r="C2717" s="17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8">
        <v>0</v>
      </c>
      <c r="W2717" s="17">
        <f t="shared" si="86"/>
        <v>0</v>
      </c>
      <c r="X2717" s="5">
        <f t="shared" si="87"/>
        <v>0</v>
      </c>
    </row>
    <row r="2718" spans="1:24" x14ac:dyDescent="0.25">
      <c r="A2718" s="17"/>
      <c r="B2718" s="17"/>
      <c r="C2718" s="17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8">
        <v>0</v>
      </c>
      <c r="W2718" s="17">
        <f t="shared" si="86"/>
        <v>0</v>
      </c>
      <c r="X2718" s="5">
        <f t="shared" si="87"/>
        <v>0</v>
      </c>
    </row>
    <row r="2719" spans="1:24" x14ac:dyDescent="0.25">
      <c r="A2719" s="17"/>
      <c r="B2719" s="17"/>
      <c r="C2719" s="17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/>
      <c r="V2719" s="18">
        <v>0</v>
      </c>
      <c r="W2719" s="17">
        <f t="shared" si="86"/>
        <v>0</v>
      </c>
      <c r="X2719" s="5">
        <f t="shared" si="87"/>
        <v>0</v>
      </c>
    </row>
    <row r="2720" spans="1:24" x14ac:dyDescent="0.25">
      <c r="A2720" s="17"/>
      <c r="B2720" s="17"/>
      <c r="C2720" s="17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8">
        <v>0</v>
      </c>
      <c r="W2720" s="17">
        <f t="shared" si="86"/>
        <v>0</v>
      </c>
      <c r="X2720" s="5">
        <f t="shared" si="87"/>
        <v>0</v>
      </c>
    </row>
    <row r="2721" spans="1:24" x14ac:dyDescent="0.25">
      <c r="A2721" s="17"/>
      <c r="B2721" s="17"/>
      <c r="C2721" s="17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/>
      <c r="V2721" s="18">
        <v>0</v>
      </c>
      <c r="W2721" s="17">
        <f t="shared" si="86"/>
        <v>0</v>
      </c>
      <c r="X2721" s="5">
        <f t="shared" si="87"/>
        <v>0</v>
      </c>
    </row>
    <row r="2722" spans="1:24" x14ac:dyDescent="0.25">
      <c r="A2722" s="17"/>
      <c r="B2722" s="17"/>
      <c r="C2722" s="17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/>
      <c r="V2722" s="18">
        <v>0</v>
      </c>
      <c r="W2722" s="17">
        <f t="shared" si="86"/>
        <v>0</v>
      </c>
      <c r="X2722" s="5">
        <f t="shared" si="87"/>
        <v>0</v>
      </c>
    </row>
    <row r="2723" spans="1:24" x14ac:dyDescent="0.25">
      <c r="A2723" s="17"/>
      <c r="B2723" s="17"/>
      <c r="C2723" s="17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8">
        <v>0</v>
      </c>
      <c r="W2723" s="17">
        <f t="shared" si="86"/>
        <v>0</v>
      </c>
      <c r="X2723" s="5">
        <f t="shared" si="87"/>
        <v>0</v>
      </c>
    </row>
    <row r="2724" spans="1:24" x14ac:dyDescent="0.25">
      <c r="A2724" s="17"/>
      <c r="B2724" s="17"/>
      <c r="C2724" s="17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8">
        <v>0</v>
      </c>
      <c r="W2724" s="17">
        <f t="shared" si="86"/>
        <v>0</v>
      </c>
      <c r="X2724" s="5">
        <f t="shared" si="87"/>
        <v>0</v>
      </c>
    </row>
    <row r="2725" spans="1:24" x14ac:dyDescent="0.25">
      <c r="A2725" s="17"/>
      <c r="B2725" s="17"/>
      <c r="C2725" s="17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/>
      <c r="V2725" s="18">
        <v>0</v>
      </c>
      <c r="W2725" s="17">
        <f t="shared" si="86"/>
        <v>0</v>
      </c>
      <c r="X2725" s="5">
        <f t="shared" si="87"/>
        <v>0</v>
      </c>
    </row>
    <row r="2726" spans="1:24" x14ac:dyDescent="0.25">
      <c r="A2726" s="17"/>
      <c r="B2726" s="17"/>
      <c r="C2726" s="17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8">
        <v>0</v>
      </c>
      <c r="W2726" s="17">
        <f t="shared" si="86"/>
        <v>0</v>
      </c>
      <c r="X2726" s="5">
        <f t="shared" si="87"/>
        <v>0</v>
      </c>
    </row>
    <row r="2727" spans="1:24" x14ac:dyDescent="0.25">
      <c r="A2727" s="17"/>
      <c r="B2727" s="17"/>
      <c r="C2727" s="17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8">
        <v>0</v>
      </c>
      <c r="W2727" s="17">
        <f t="shared" si="86"/>
        <v>0</v>
      </c>
      <c r="X2727" s="5">
        <f t="shared" si="87"/>
        <v>0</v>
      </c>
    </row>
    <row r="2728" spans="1:24" x14ac:dyDescent="0.25">
      <c r="A2728" s="17"/>
      <c r="B2728" s="17"/>
      <c r="C2728" s="17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8">
        <v>0</v>
      </c>
      <c r="W2728" s="17">
        <f t="shared" si="86"/>
        <v>0</v>
      </c>
      <c r="X2728" s="5">
        <f t="shared" si="87"/>
        <v>0</v>
      </c>
    </row>
    <row r="2729" spans="1:24" x14ac:dyDescent="0.25">
      <c r="A2729" s="17"/>
      <c r="B2729" s="17"/>
      <c r="C2729" s="17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8">
        <v>0</v>
      </c>
      <c r="W2729" s="17">
        <f t="shared" si="86"/>
        <v>0</v>
      </c>
      <c r="X2729" s="5">
        <f t="shared" si="87"/>
        <v>0</v>
      </c>
    </row>
    <row r="2730" spans="1:24" x14ac:dyDescent="0.25">
      <c r="A2730" s="17"/>
      <c r="B2730" s="17"/>
      <c r="C2730" s="17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/>
      <c r="U2730" s="17"/>
      <c r="V2730" s="18">
        <v>0</v>
      </c>
      <c r="W2730" s="17">
        <f t="shared" si="86"/>
        <v>0</v>
      </c>
      <c r="X2730" s="5">
        <f t="shared" si="87"/>
        <v>0</v>
      </c>
    </row>
    <row r="2731" spans="1:24" x14ac:dyDescent="0.25">
      <c r="A2731" s="17"/>
      <c r="B2731" s="17"/>
      <c r="C2731" s="17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/>
      <c r="V2731" s="18">
        <v>0</v>
      </c>
      <c r="W2731" s="17">
        <f t="shared" si="86"/>
        <v>0</v>
      </c>
      <c r="X2731" s="5">
        <f t="shared" si="87"/>
        <v>0</v>
      </c>
    </row>
    <row r="2732" spans="1:24" x14ac:dyDescent="0.25">
      <c r="A2732" s="17"/>
      <c r="B2732" s="17"/>
      <c r="C2732" s="17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8">
        <v>0</v>
      </c>
      <c r="W2732" s="17">
        <f t="shared" si="86"/>
        <v>0</v>
      </c>
      <c r="X2732" s="5">
        <f t="shared" si="87"/>
        <v>0</v>
      </c>
    </row>
    <row r="2733" spans="1:24" x14ac:dyDescent="0.25">
      <c r="A2733" s="17"/>
      <c r="B2733" s="17"/>
      <c r="C2733" s="17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/>
      <c r="V2733" s="18">
        <v>0</v>
      </c>
      <c r="W2733" s="17">
        <f t="shared" si="86"/>
        <v>0</v>
      </c>
      <c r="X2733" s="5">
        <f t="shared" si="87"/>
        <v>0</v>
      </c>
    </row>
    <row r="2734" spans="1:24" x14ac:dyDescent="0.25">
      <c r="A2734" s="17"/>
      <c r="B2734" s="17"/>
      <c r="C2734" s="17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8">
        <v>0</v>
      </c>
      <c r="W2734" s="17">
        <f t="shared" si="86"/>
        <v>0</v>
      </c>
      <c r="X2734" s="5">
        <f t="shared" si="87"/>
        <v>0</v>
      </c>
    </row>
    <row r="2735" spans="1:24" x14ac:dyDescent="0.25">
      <c r="A2735" s="17"/>
      <c r="B2735" s="17"/>
      <c r="C2735" s="17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8">
        <v>0</v>
      </c>
      <c r="W2735" s="17">
        <f t="shared" si="86"/>
        <v>0</v>
      </c>
      <c r="X2735" s="5">
        <f t="shared" si="87"/>
        <v>0</v>
      </c>
    </row>
    <row r="2736" spans="1:24" x14ac:dyDescent="0.25">
      <c r="A2736" s="17"/>
      <c r="B2736" s="17"/>
      <c r="C2736" s="17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8">
        <v>0</v>
      </c>
      <c r="W2736" s="17">
        <f t="shared" si="86"/>
        <v>0</v>
      </c>
      <c r="X2736" s="5">
        <f t="shared" si="87"/>
        <v>0</v>
      </c>
    </row>
    <row r="2737" spans="1:24" x14ac:dyDescent="0.25">
      <c r="A2737" s="17"/>
      <c r="B2737" s="17"/>
      <c r="C2737" s="17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  <c r="N2737" s="17"/>
      <c r="O2737" s="17"/>
      <c r="P2737" s="17"/>
      <c r="Q2737" s="17"/>
      <c r="R2737" s="17"/>
      <c r="S2737" s="17"/>
      <c r="T2737" s="17"/>
      <c r="U2737" s="17"/>
      <c r="V2737" s="18">
        <v>0</v>
      </c>
      <c r="W2737" s="17">
        <f t="shared" si="86"/>
        <v>0</v>
      </c>
      <c r="X2737" s="5">
        <f t="shared" si="87"/>
        <v>0</v>
      </c>
    </row>
    <row r="2738" spans="1:24" x14ac:dyDescent="0.25">
      <c r="A2738" s="17"/>
      <c r="B2738" s="17"/>
      <c r="C2738" s="17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  <c r="N2738" s="17"/>
      <c r="O2738" s="17"/>
      <c r="P2738" s="17"/>
      <c r="Q2738" s="17"/>
      <c r="R2738" s="17"/>
      <c r="S2738" s="17"/>
      <c r="T2738" s="17"/>
      <c r="U2738" s="17"/>
      <c r="V2738" s="18">
        <v>0</v>
      </c>
      <c r="W2738" s="17">
        <f t="shared" si="86"/>
        <v>0</v>
      </c>
      <c r="X2738" s="5">
        <f t="shared" si="87"/>
        <v>0</v>
      </c>
    </row>
    <row r="2739" spans="1:24" x14ac:dyDescent="0.25">
      <c r="A2739" s="17"/>
      <c r="B2739" s="17"/>
      <c r="C2739" s="17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  <c r="N2739" s="17"/>
      <c r="O2739" s="17"/>
      <c r="P2739" s="17"/>
      <c r="Q2739" s="17"/>
      <c r="R2739" s="17"/>
      <c r="S2739" s="17"/>
      <c r="T2739" s="17"/>
      <c r="U2739" s="17"/>
      <c r="V2739" s="18">
        <v>0</v>
      </c>
      <c r="W2739" s="17">
        <f t="shared" si="86"/>
        <v>0</v>
      </c>
      <c r="X2739" s="5">
        <f t="shared" si="87"/>
        <v>0</v>
      </c>
    </row>
    <row r="2740" spans="1:24" x14ac:dyDescent="0.25">
      <c r="A2740" s="17"/>
      <c r="B2740" s="17"/>
      <c r="C2740" s="17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  <c r="N2740" s="17"/>
      <c r="O2740" s="17"/>
      <c r="P2740" s="17"/>
      <c r="Q2740" s="17"/>
      <c r="R2740" s="17"/>
      <c r="S2740" s="17"/>
      <c r="T2740" s="17"/>
      <c r="U2740" s="17"/>
      <c r="V2740" s="18">
        <v>0</v>
      </c>
      <c r="W2740" s="17">
        <f t="shared" si="86"/>
        <v>0</v>
      </c>
      <c r="X2740" s="5">
        <f t="shared" si="87"/>
        <v>0</v>
      </c>
    </row>
    <row r="2741" spans="1:24" x14ac:dyDescent="0.25">
      <c r="A2741" s="17"/>
      <c r="B2741" s="17"/>
      <c r="C2741" s="17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  <c r="N2741" s="17"/>
      <c r="O2741" s="17"/>
      <c r="P2741" s="17"/>
      <c r="Q2741" s="17"/>
      <c r="R2741" s="17"/>
      <c r="S2741" s="17"/>
      <c r="T2741" s="17"/>
      <c r="U2741" s="17"/>
      <c r="V2741" s="18">
        <v>0</v>
      </c>
      <c r="W2741" s="17">
        <f t="shared" si="86"/>
        <v>0</v>
      </c>
      <c r="X2741" s="5">
        <f t="shared" si="87"/>
        <v>0</v>
      </c>
    </row>
    <row r="2742" spans="1:24" x14ac:dyDescent="0.25">
      <c r="A2742" s="17"/>
      <c r="B2742" s="17"/>
      <c r="C2742" s="17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  <c r="N2742" s="17"/>
      <c r="O2742" s="17"/>
      <c r="P2742" s="17"/>
      <c r="Q2742" s="17"/>
      <c r="R2742" s="17"/>
      <c r="S2742" s="17"/>
      <c r="T2742" s="17"/>
      <c r="U2742" s="17"/>
      <c r="V2742" s="18">
        <v>0</v>
      </c>
      <c r="W2742" s="17">
        <f t="shared" si="86"/>
        <v>0</v>
      </c>
      <c r="X2742" s="5">
        <f t="shared" si="87"/>
        <v>0</v>
      </c>
    </row>
    <row r="2743" spans="1:24" x14ac:dyDescent="0.25">
      <c r="A2743" s="17"/>
      <c r="B2743" s="17"/>
      <c r="C2743" s="17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8">
        <v>0</v>
      </c>
      <c r="W2743" s="17">
        <f t="shared" si="86"/>
        <v>0</v>
      </c>
      <c r="X2743" s="5">
        <f t="shared" si="87"/>
        <v>0</v>
      </c>
    </row>
    <row r="2744" spans="1:24" x14ac:dyDescent="0.25">
      <c r="A2744" s="17"/>
      <c r="B2744" s="17"/>
      <c r="C2744" s="17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8">
        <v>0</v>
      </c>
      <c r="W2744" s="17">
        <f t="shared" si="86"/>
        <v>0</v>
      </c>
      <c r="X2744" s="5">
        <f t="shared" si="87"/>
        <v>0</v>
      </c>
    </row>
    <row r="2745" spans="1:24" x14ac:dyDescent="0.25">
      <c r="A2745" s="17"/>
      <c r="B2745" s="17"/>
      <c r="C2745" s="17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8">
        <v>0</v>
      </c>
      <c r="W2745" s="17">
        <f t="shared" si="86"/>
        <v>0</v>
      </c>
      <c r="X2745" s="5">
        <f t="shared" si="87"/>
        <v>0</v>
      </c>
    </row>
    <row r="2746" spans="1:24" x14ac:dyDescent="0.25">
      <c r="A2746" s="17"/>
      <c r="B2746" s="17"/>
      <c r="C2746" s="17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8">
        <v>0</v>
      </c>
      <c r="W2746" s="17">
        <f t="shared" si="86"/>
        <v>0</v>
      </c>
      <c r="X2746" s="5">
        <f t="shared" si="87"/>
        <v>0</v>
      </c>
    </row>
    <row r="2747" spans="1:24" x14ac:dyDescent="0.25">
      <c r="A2747" s="17"/>
      <c r="B2747" s="17"/>
      <c r="C2747" s="17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8">
        <v>0</v>
      </c>
      <c r="W2747" s="17">
        <f t="shared" si="86"/>
        <v>0</v>
      </c>
      <c r="X2747" s="5">
        <f t="shared" si="87"/>
        <v>0</v>
      </c>
    </row>
    <row r="2748" spans="1:24" x14ac:dyDescent="0.25">
      <c r="A2748" s="17"/>
      <c r="B2748" s="17"/>
      <c r="C2748" s="17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8">
        <v>0</v>
      </c>
      <c r="W2748" s="17">
        <f t="shared" si="86"/>
        <v>0</v>
      </c>
      <c r="X2748" s="5">
        <f t="shared" si="87"/>
        <v>0</v>
      </c>
    </row>
    <row r="2749" spans="1:24" x14ac:dyDescent="0.25">
      <c r="A2749" s="17"/>
      <c r="B2749" s="17"/>
      <c r="C2749" s="17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/>
      <c r="V2749" s="18">
        <v>0</v>
      </c>
      <c r="W2749" s="17">
        <f t="shared" si="86"/>
        <v>0</v>
      </c>
      <c r="X2749" s="5">
        <f t="shared" si="87"/>
        <v>0</v>
      </c>
    </row>
    <row r="2750" spans="1:24" x14ac:dyDescent="0.25">
      <c r="A2750" s="17"/>
      <c r="B2750" s="17"/>
      <c r="C2750" s="17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8">
        <v>0</v>
      </c>
      <c r="W2750" s="17">
        <f t="shared" si="86"/>
        <v>0</v>
      </c>
      <c r="X2750" s="5">
        <f t="shared" si="87"/>
        <v>0</v>
      </c>
    </row>
    <row r="2751" spans="1:24" x14ac:dyDescent="0.25">
      <c r="A2751" s="17"/>
      <c r="B2751" s="17"/>
      <c r="C2751" s="17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  <c r="N2751" s="17"/>
      <c r="O2751" s="17"/>
      <c r="P2751" s="17"/>
      <c r="Q2751" s="17"/>
      <c r="R2751" s="17"/>
      <c r="S2751" s="17"/>
      <c r="T2751" s="17"/>
      <c r="U2751" s="17"/>
      <c r="V2751" s="18">
        <v>0</v>
      </c>
      <c r="W2751" s="17">
        <f t="shared" si="86"/>
        <v>0</v>
      </c>
      <c r="X2751" s="5">
        <f t="shared" si="87"/>
        <v>0</v>
      </c>
    </row>
    <row r="2752" spans="1:24" x14ac:dyDescent="0.25">
      <c r="A2752" s="17"/>
      <c r="B2752" s="17"/>
      <c r="C2752" s="17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  <c r="N2752" s="17"/>
      <c r="O2752" s="17"/>
      <c r="P2752" s="17"/>
      <c r="Q2752" s="17"/>
      <c r="R2752" s="17"/>
      <c r="S2752" s="17"/>
      <c r="T2752" s="17"/>
      <c r="U2752" s="17"/>
      <c r="V2752" s="18">
        <v>0</v>
      </c>
      <c r="W2752" s="17">
        <f t="shared" si="86"/>
        <v>0</v>
      </c>
      <c r="X2752" s="5">
        <f t="shared" si="87"/>
        <v>0</v>
      </c>
    </row>
    <row r="2753" spans="1:24" x14ac:dyDescent="0.25">
      <c r="A2753" s="17"/>
      <c r="B2753" s="17"/>
      <c r="C2753" s="17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  <c r="N2753" s="17"/>
      <c r="O2753" s="17"/>
      <c r="P2753" s="17"/>
      <c r="Q2753" s="17"/>
      <c r="R2753" s="17"/>
      <c r="S2753" s="17"/>
      <c r="T2753" s="17"/>
      <c r="U2753" s="17"/>
      <c r="V2753" s="18">
        <v>0</v>
      </c>
      <c r="W2753" s="17">
        <f t="shared" si="86"/>
        <v>0</v>
      </c>
      <c r="X2753" s="5">
        <f t="shared" si="87"/>
        <v>0</v>
      </c>
    </row>
    <row r="2754" spans="1:24" x14ac:dyDescent="0.25">
      <c r="A2754" s="17"/>
      <c r="B2754" s="17"/>
      <c r="C2754" s="17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/>
      <c r="V2754" s="18">
        <v>0</v>
      </c>
      <c r="W2754" s="17">
        <f t="shared" si="86"/>
        <v>0</v>
      </c>
      <c r="X2754" s="5">
        <f t="shared" si="87"/>
        <v>0</v>
      </c>
    </row>
    <row r="2755" spans="1:24" x14ac:dyDescent="0.25">
      <c r="A2755" s="17"/>
      <c r="B2755" s="17"/>
      <c r="C2755" s="17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8">
        <v>0</v>
      </c>
      <c r="W2755" s="17">
        <f t="shared" ref="W2755:W2818" si="88">HOUR(E2755)</f>
        <v>0</v>
      </c>
      <c r="X2755" s="5">
        <f t="shared" ref="X2755:X2818" si="89">IF(D2755=D2754,0,1)</f>
        <v>0</v>
      </c>
    </row>
    <row r="2756" spans="1:24" x14ac:dyDescent="0.25">
      <c r="A2756" s="17"/>
      <c r="B2756" s="17"/>
      <c r="C2756" s="17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  <c r="N2756" s="17"/>
      <c r="O2756" s="17"/>
      <c r="P2756" s="17"/>
      <c r="Q2756" s="17"/>
      <c r="R2756" s="17"/>
      <c r="S2756" s="17"/>
      <c r="T2756" s="17"/>
      <c r="U2756" s="17"/>
      <c r="V2756" s="18">
        <v>0</v>
      </c>
      <c r="W2756" s="17">
        <f t="shared" si="88"/>
        <v>0</v>
      </c>
      <c r="X2756" s="5">
        <f t="shared" si="89"/>
        <v>0</v>
      </c>
    </row>
    <row r="2757" spans="1:24" x14ac:dyDescent="0.25">
      <c r="A2757" s="17"/>
      <c r="B2757" s="17"/>
      <c r="C2757" s="17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  <c r="N2757" s="17"/>
      <c r="O2757" s="17"/>
      <c r="P2757" s="17"/>
      <c r="Q2757" s="17"/>
      <c r="R2757" s="17"/>
      <c r="S2757" s="17"/>
      <c r="T2757" s="17"/>
      <c r="U2757" s="17"/>
      <c r="V2757" s="18">
        <v>0</v>
      </c>
      <c r="W2757" s="17">
        <f t="shared" si="88"/>
        <v>0</v>
      </c>
      <c r="X2757" s="5">
        <f t="shared" si="89"/>
        <v>0</v>
      </c>
    </row>
    <row r="2758" spans="1:24" x14ac:dyDescent="0.25">
      <c r="A2758" s="17"/>
      <c r="B2758" s="17"/>
      <c r="C2758" s="17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  <c r="N2758" s="17"/>
      <c r="O2758" s="17"/>
      <c r="P2758" s="17"/>
      <c r="Q2758" s="17"/>
      <c r="R2758" s="17"/>
      <c r="S2758" s="17"/>
      <c r="T2758" s="17"/>
      <c r="U2758" s="17"/>
      <c r="V2758" s="18">
        <v>0</v>
      </c>
      <c r="W2758" s="17">
        <f t="shared" si="88"/>
        <v>0</v>
      </c>
      <c r="X2758" s="5">
        <f t="shared" si="89"/>
        <v>0</v>
      </c>
    </row>
    <row r="2759" spans="1:24" x14ac:dyDescent="0.25">
      <c r="A2759" s="17"/>
      <c r="B2759" s="17"/>
      <c r="C2759" s="17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8">
        <v>0</v>
      </c>
      <c r="W2759" s="17">
        <f t="shared" si="88"/>
        <v>0</v>
      </c>
      <c r="X2759" s="5">
        <f t="shared" si="89"/>
        <v>0</v>
      </c>
    </row>
    <row r="2760" spans="1:24" x14ac:dyDescent="0.25">
      <c r="A2760" s="17"/>
      <c r="B2760" s="17"/>
      <c r="C2760" s="17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8">
        <v>0</v>
      </c>
      <c r="W2760" s="17">
        <f t="shared" si="88"/>
        <v>0</v>
      </c>
      <c r="X2760" s="5">
        <f t="shared" si="89"/>
        <v>0</v>
      </c>
    </row>
    <row r="2761" spans="1:24" x14ac:dyDescent="0.25">
      <c r="A2761" s="17"/>
      <c r="B2761" s="17"/>
      <c r="C2761" s="17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8">
        <v>0</v>
      </c>
      <c r="W2761" s="17">
        <f t="shared" si="88"/>
        <v>0</v>
      </c>
      <c r="X2761" s="5">
        <f t="shared" si="89"/>
        <v>0</v>
      </c>
    </row>
    <row r="2762" spans="1:24" x14ac:dyDescent="0.25">
      <c r="A2762" s="17"/>
      <c r="B2762" s="17"/>
      <c r="C2762" s="17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8">
        <v>0</v>
      </c>
      <c r="W2762" s="17">
        <f t="shared" si="88"/>
        <v>0</v>
      </c>
      <c r="X2762" s="5">
        <f t="shared" si="89"/>
        <v>0</v>
      </c>
    </row>
    <row r="2763" spans="1:24" x14ac:dyDescent="0.25">
      <c r="A2763" s="17"/>
      <c r="B2763" s="17"/>
      <c r="C2763" s="17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/>
      <c r="V2763" s="18">
        <v>0</v>
      </c>
      <c r="W2763" s="17">
        <f t="shared" si="88"/>
        <v>0</v>
      </c>
      <c r="X2763" s="5">
        <f t="shared" si="89"/>
        <v>0</v>
      </c>
    </row>
    <row r="2764" spans="1:24" x14ac:dyDescent="0.25">
      <c r="A2764" s="17"/>
      <c r="B2764" s="17"/>
      <c r="C2764" s="17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8">
        <v>0</v>
      </c>
      <c r="W2764" s="17">
        <f t="shared" si="88"/>
        <v>0</v>
      </c>
      <c r="X2764" s="5">
        <f t="shared" si="89"/>
        <v>0</v>
      </c>
    </row>
    <row r="2765" spans="1:24" x14ac:dyDescent="0.25">
      <c r="A2765" s="17"/>
      <c r="B2765" s="17"/>
      <c r="C2765" s="17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8">
        <v>0</v>
      </c>
      <c r="W2765" s="17">
        <f t="shared" si="88"/>
        <v>0</v>
      </c>
      <c r="X2765" s="5">
        <f t="shared" si="89"/>
        <v>0</v>
      </c>
    </row>
    <row r="2766" spans="1:24" x14ac:dyDescent="0.25">
      <c r="A2766" s="17"/>
      <c r="B2766" s="17"/>
      <c r="C2766" s="17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/>
      <c r="V2766" s="18">
        <v>0</v>
      </c>
      <c r="W2766" s="17">
        <f t="shared" si="88"/>
        <v>0</v>
      </c>
      <c r="X2766" s="5">
        <f t="shared" si="89"/>
        <v>0</v>
      </c>
    </row>
    <row r="2767" spans="1:24" x14ac:dyDescent="0.25">
      <c r="A2767" s="17"/>
      <c r="B2767" s="17"/>
      <c r="C2767" s="17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/>
      <c r="V2767" s="18">
        <v>0</v>
      </c>
      <c r="W2767" s="17">
        <f t="shared" si="88"/>
        <v>0</v>
      </c>
      <c r="X2767" s="5">
        <f t="shared" si="89"/>
        <v>0</v>
      </c>
    </row>
    <row r="2768" spans="1:24" x14ac:dyDescent="0.25">
      <c r="A2768" s="17"/>
      <c r="B2768" s="17"/>
      <c r="C2768" s="17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8">
        <v>0</v>
      </c>
      <c r="W2768" s="17">
        <f t="shared" si="88"/>
        <v>0</v>
      </c>
      <c r="X2768" s="5">
        <f t="shared" si="89"/>
        <v>0</v>
      </c>
    </row>
    <row r="2769" spans="1:24" x14ac:dyDescent="0.25">
      <c r="A2769" s="17"/>
      <c r="B2769" s="17"/>
      <c r="C2769" s="17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8">
        <v>0</v>
      </c>
      <c r="W2769" s="17">
        <f t="shared" si="88"/>
        <v>0</v>
      </c>
      <c r="X2769" s="5">
        <f t="shared" si="89"/>
        <v>0</v>
      </c>
    </row>
    <row r="2770" spans="1:24" x14ac:dyDescent="0.25">
      <c r="A2770" s="17"/>
      <c r="B2770" s="17"/>
      <c r="C2770" s="17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/>
      <c r="V2770" s="18">
        <v>0</v>
      </c>
      <c r="W2770" s="17">
        <f t="shared" si="88"/>
        <v>0</v>
      </c>
      <c r="X2770" s="5">
        <f t="shared" si="89"/>
        <v>0</v>
      </c>
    </row>
    <row r="2771" spans="1:24" x14ac:dyDescent="0.25">
      <c r="A2771" s="17"/>
      <c r="B2771" s="17"/>
      <c r="C2771" s="17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8">
        <v>0</v>
      </c>
      <c r="W2771" s="17">
        <f t="shared" si="88"/>
        <v>0</v>
      </c>
      <c r="X2771" s="5">
        <f t="shared" si="89"/>
        <v>0</v>
      </c>
    </row>
    <row r="2772" spans="1:24" x14ac:dyDescent="0.25">
      <c r="A2772" s="17"/>
      <c r="B2772" s="17"/>
      <c r="C2772" s="17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  <c r="N2772" s="17"/>
      <c r="O2772" s="17"/>
      <c r="P2772" s="17"/>
      <c r="Q2772" s="17"/>
      <c r="R2772" s="17"/>
      <c r="S2772" s="17"/>
      <c r="T2772" s="17"/>
      <c r="U2772" s="17"/>
      <c r="V2772" s="18">
        <v>0</v>
      </c>
      <c r="W2772" s="17">
        <f t="shared" si="88"/>
        <v>0</v>
      </c>
      <c r="X2772" s="5">
        <f t="shared" si="89"/>
        <v>0</v>
      </c>
    </row>
    <row r="2773" spans="1:24" x14ac:dyDescent="0.25">
      <c r="A2773" s="17"/>
      <c r="B2773" s="17"/>
      <c r="C2773" s="17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  <c r="N2773" s="17"/>
      <c r="O2773" s="17"/>
      <c r="P2773" s="17"/>
      <c r="Q2773" s="17"/>
      <c r="R2773" s="17"/>
      <c r="S2773" s="17"/>
      <c r="T2773" s="17"/>
      <c r="U2773" s="17"/>
      <c r="V2773" s="18">
        <v>0</v>
      </c>
      <c r="W2773" s="17">
        <f t="shared" si="88"/>
        <v>0</v>
      </c>
      <c r="X2773" s="5">
        <f t="shared" si="89"/>
        <v>0</v>
      </c>
    </row>
    <row r="2774" spans="1:24" x14ac:dyDescent="0.25">
      <c r="A2774" s="17"/>
      <c r="B2774" s="17"/>
      <c r="C2774" s="17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  <c r="N2774" s="17"/>
      <c r="O2774" s="17"/>
      <c r="P2774" s="17"/>
      <c r="Q2774" s="17"/>
      <c r="R2774" s="17"/>
      <c r="S2774" s="17"/>
      <c r="T2774" s="17"/>
      <c r="U2774" s="17"/>
      <c r="V2774" s="18">
        <v>0</v>
      </c>
      <c r="W2774" s="17">
        <f t="shared" si="88"/>
        <v>0</v>
      </c>
      <c r="X2774" s="5">
        <f t="shared" si="89"/>
        <v>0</v>
      </c>
    </row>
    <row r="2775" spans="1:24" x14ac:dyDescent="0.25">
      <c r="A2775" s="17"/>
      <c r="B2775" s="17"/>
      <c r="C2775" s="17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  <c r="N2775" s="17"/>
      <c r="O2775" s="17"/>
      <c r="P2775" s="17"/>
      <c r="Q2775" s="17"/>
      <c r="R2775" s="17"/>
      <c r="S2775" s="17"/>
      <c r="T2775" s="17"/>
      <c r="U2775" s="17"/>
      <c r="V2775" s="18">
        <v>0</v>
      </c>
      <c r="W2775" s="17">
        <f t="shared" si="88"/>
        <v>0</v>
      </c>
      <c r="X2775" s="5">
        <f t="shared" si="89"/>
        <v>0</v>
      </c>
    </row>
    <row r="2776" spans="1:24" x14ac:dyDescent="0.25">
      <c r="A2776" s="17"/>
      <c r="B2776" s="17"/>
      <c r="C2776" s="17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  <c r="N2776" s="17"/>
      <c r="O2776" s="17"/>
      <c r="P2776" s="17"/>
      <c r="Q2776" s="17"/>
      <c r="R2776" s="17"/>
      <c r="S2776" s="17"/>
      <c r="T2776" s="17"/>
      <c r="U2776" s="17"/>
      <c r="V2776" s="18">
        <v>0</v>
      </c>
      <c r="W2776" s="17">
        <f t="shared" si="88"/>
        <v>0</v>
      </c>
      <c r="X2776" s="5">
        <f t="shared" si="89"/>
        <v>0</v>
      </c>
    </row>
    <row r="2777" spans="1:24" x14ac:dyDescent="0.25">
      <c r="A2777" s="17"/>
      <c r="B2777" s="17"/>
      <c r="C2777" s="17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  <c r="N2777" s="17"/>
      <c r="O2777" s="17"/>
      <c r="P2777" s="17"/>
      <c r="Q2777" s="17"/>
      <c r="R2777" s="17"/>
      <c r="S2777" s="17"/>
      <c r="T2777" s="17"/>
      <c r="U2777" s="17"/>
      <c r="V2777" s="18">
        <v>0</v>
      </c>
      <c r="W2777" s="17">
        <f t="shared" si="88"/>
        <v>0</v>
      </c>
      <c r="X2777" s="5">
        <f t="shared" si="89"/>
        <v>0</v>
      </c>
    </row>
    <row r="2778" spans="1:24" x14ac:dyDescent="0.25">
      <c r="A2778" s="17"/>
      <c r="B2778" s="17"/>
      <c r="C2778" s="17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/>
      <c r="V2778" s="18">
        <v>0</v>
      </c>
      <c r="W2778" s="17">
        <f t="shared" si="88"/>
        <v>0</v>
      </c>
      <c r="X2778" s="5">
        <f t="shared" si="89"/>
        <v>0</v>
      </c>
    </row>
    <row r="2779" spans="1:24" x14ac:dyDescent="0.25">
      <c r="A2779" s="17"/>
      <c r="B2779" s="17"/>
      <c r="C2779" s="17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8">
        <v>0</v>
      </c>
      <c r="W2779" s="17">
        <f t="shared" si="88"/>
        <v>0</v>
      </c>
      <c r="X2779" s="5">
        <f t="shared" si="89"/>
        <v>0</v>
      </c>
    </row>
    <row r="2780" spans="1:24" x14ac:dyDescent="0.25">
      <c r="A2780" s="17"/>
      <c r="B2780" s="17"/>
      <c r="C2780" s="17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  <c r="N2780" s="17"/>
      <c r="O2780" s="17"/>
      <c r="P2780" s="17"/>
      <c r="Q2780" s="17"/>
      <c r="R2780" s="17"/>
      <c r="S2780" s="17"/>
      <c r="T2780" s="17"/>
      <c r="U2780" s="17"/>
      <c r="V2780" s="18">
        <v>0</v>
      </c>
      <c r="W2780" s="17">
        <f t="shared" si="88"/>
        <v>0</v>
      </c>
      <c r="X2780" s="5">
        <f t="shared" si="89"/>
        <v>0</v>
      </c>
    </row>
    <row r="2781" spans="1:24" x14ac:dyDescent="0.25">
      <c r="A2781" s="17"/>
      <c r="B2781" s="17"/>
      <c r="C2781" s="17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  <c r="N2781" s="17"/>
      <c r="O2781" s="17"/>
      <c r="P2781" s="17"/>
      <c r="Q2781" s="17"/>
      <c r="R2781" s="17"/>
      <c r="S2781" s="17"/>
      <c r="T2781" s="17"/>
      <c r="U2781" s="17"/>
      <c r="V2781" s="18">
        <v>0</v>
      </c>
      <c r="W2781" s="17">
        <f t="shared" si="88"/>
        <v>0</v>
      </c>
      <c r="X2781" s="5">
        <f t="shared" si="89"/>
        <v>0</v>
      </c>
    </row>
    <row r="2782" spans="1:24" x14ac:dyDescent="0.25">
      <c r="A2782" s="17"/>
      <c r="B2782" s="17"/>
      <c r="C2782" s="17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  <c r="N2782" s="17"/>
      <c r="O2782" s="17"/>
      <c r="P2782" s="17"/>
      <c r="Q2782" s="17"/>
      <c r="R2782" s="17"/>
      <c r="S2782" s="17"/>
      <c r="T2782" s="17"/>
      <c r="U2782" s="17"/>
      <c r="V2782" s="18">
        <v>0</v>
      </c>
      <c r="W2782" s="17">
        <f t="shared" si="88"/>
        <v>0</v>
      </c>
      <c r="X2782" s="5">
        <f t="shared" si="89"/>
        <v>0</v>
      </c>
    </row>
    <row r="2783" spans="1:24" x14ac:dyDescent="0.25">
      <c r="A2783" s="17"/>
      <c r="B2783" s="17"/>
      <c r="C2783" s="17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8">
        <v>0</v>
      </c>
      <c r="W2783" s="17">
        <f t="shared" si="88"/>
        <v>0</v>
      </c>
      <c r="X2783" s="5">
        <f t="shared" si="89"/>
        <v>0</v>
      </c>
    </row>
    <row r="2784" spans="1:24" x14ac:dyDescent="0.25">
      <c r="A2784" s="17"/>
      <c r="B2784" s="17"/>
      <c r="C2784" s="17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  <c r="N2784" s="17"/>
      <c r="O2784" s="17"/>
      <c r="P2784" s="17"/>
      <c r="Q2784" s="17"/>
      <c r="R2784" s="17"/>
      <c r="S2784" s="17"/>
      <c r="T2784" s="17"/>
      <c r="U2784" s="17"/>
      <c r="V2784" s="18">
        <v>0</v>
      </c>
      <c r="W2784" s="17">
        <f t="shared" si="88"/>
        <v>0</v>
      </c>
      <c r="X2784" s="5">
        <f t="shared" si="89"/>
        <v>0</v>
      </c>
    </row>
    <row r="2785" spans="1:24" x14ac:dyDescent="0.25">
      <c r="A2785" s="17"/>
      <c r="B2785" s="17"/>
      <c r="C2785" s="17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  <c r="N2785" s="17"/>
      <c r="O2785" s="17"/>
      <c r="P2785" s="17"/>
      <c r="Q2785" s="17"/>
      <c r="R2785" s="17"/>
      <c r="S2785" s="17"/>
      <c r="T2785" s="17"/>
      <c r="U2785" s="17"/>
      <c r="V2785" s="18">
        <v>0</v>
      </c>
      <c r="W2785" s="17">
        <f t="shared" si="88"/>
        <v>0</v>
      </c>
      <c r="X2785" s="5">
        <f t="shared" si="89"/>
        <v>0</v>
      </c>
    </row>
    <row r="2786" spans="1:24" x14ac:dyDescent="0.25">
      <c r="A2786" s="17"/>
      <c r="B2786" s="17"/>
      <c r="C2786" s="17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  <c r="N2786" s="17"/>
      <c r="O2786" s="17"/>
      <c r="P2786" s="17"/>
      <c r="Q2786" s="17"/>
      <c r="R2786" s="17"/>
      <c r="S2786" s="17"/>
      <c r="T2786" s="17"/>
      <c r="U2786" s="17"/>
      <c r="V2786" s="18">
        <v>0</v>
      </c>
      <c r="W2786" s="17">
        <f t="shared" si="88"/>
        <v>0</v>
      </c>
      <c r="X2786" s="5">
        <f t="shared" si="89"/>
        <v>0</v>
      </c>
    </row>
    <row r="2787" spans="1:24" x14ac:dyDescent="0.25">
      <c r="A2787" s="17"/>
      <c r="B2787" s="17"/>
      <c r="C2787" s="17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  <c r="N2787" s="17"/>
      <c r="O2787" s="17"/>
      <c r="P2787" s="17"/>
      <c r="Q2787" s="17"/>
      <c r="R2787" s="17"/>
      <c r="S2787" s="17"/>
      <c r="T2787" s="17"/>
      <c r="U2787" s="17"/>
      <c r="V2787" s="18">
        <v>0</v>
      </c>
      <c r="W2787" s="17">
        <f t="shared" si="88"/>
        <v>0</v>
      </c>
      <c r="X2787" s="5">
        <f t="shared" si="89"/>
        <v>0</v>
      </c>
    </row>
    <row r="2788" spans="1:24" x14ac:dyDescent="0.25">
      <c r="A2788" s="17"/>
      <c r="B2788" s="17"/>
      <c r="C2788" s="17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  <c r="N2788" s="17"/>
      <c r="O2788" s="17"/>
      <c r="P2788" s="17"/>
      <c r="Q2788" s="17"/>
      <c r="R2788" s="17"/>
      <c r="S2788" s="17"/>
      <c r="T2788" s="17"/>
      <c r="U2788" s="17"/>
      <c r="V2788" s="18">
        <v>0</v>
      </c>
      <c r="W2788" s="17">
        <f t="shared" si="88"/>
        <v>0</v>
      </c>
      <c r="X2788" s="5">
        <f t="shared" si="89"/>
        <v>0</v>
      </c>
    </row>
    <row r="2789" spans="1:24" x14ac:dyDescent="0.25">
      <c r="A2789" s="17"/>
      <c r="B2789" s="17"/>
      <c r="C2789" s="17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  <c r="N2789" s="17"/>
      <c r="O2789" s="17"/>
      <c r="P2789" s="17"/>
      <c r="Q2789" s="17"/>
      <c r="R2789" s="17"/>
      <c r="S2789" s="17"/>
      <c r="T2789" s="17"/>
      <c r="U2789" s="17"/>
      <c r="V2789" s="18">
        <v>0</v>
      </c>
      <c r="W2789" s="17">
        <f t="shared" si="88"/>
        <v>0</v>
      </c>
      <c r="X2789" s="5">
        <f t="shared" si="89"/>
        <v>0</v>
      </c>
    </row>
    <row r="2790" spans="1:24" x14ac:dyDescent="0.25">
      <c r="A2790" s="17"/>
      <c r="B2790" s="17"/>
      <c r="C2790" s="17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8">
        <v>0</v>
      </c>
      <c r="W2790" s="17">
        <f t="shared" si="88"/>
        <v>0</v>
      </c>
      <c r="X2790" s="5">
        <f t="shared" si="89"/>
        <v>0</v>
      </c>
    </row>
    <row r="2791" spans="1:24" x14ac:dyDescent="0.25">
      <c r="A2791" s="17"/>
      <c r="B2791" s="17"/>
      <c r="C2791" s="17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8">
        <v>0</v>
      </c>
      <c r="W2791" s="17">
        <f t="shared" si="88"/>
        <v>0</v>
      </c>
      <c r="X2791" s="5">
        <f t="shared" si="89"/>
        <v>0</v>
      </c>
    </row>
    <row r="2792" spans="1:24" x14ac:dyDescent="0.25">
      <c r="A2792" s="17"/>
      <c r="B2792" s="17"/>
      <c r="C2792" s="17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8">
        <v>0</v>
      </c>
      <c r="W2792" s="17">
        <f t="shared" si="88"/>
        <v>0</v>
      </c>
      <c r="X2792" s="5">
        <f t="shared" si="89"/>
        <v>0</v>
      </c>
    </row>
    <row r="2793" spans="1:24" x14ac:dyDescent="0.25">
      <c r="A2793" s="17"/>
      <c r="B2793" s="17"/>
      <c r="C2793" s="17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8">
        <v>0</v>
      </c>
      <c r="W2793" s="17">
        <f t="shared" si="88"/>
        <v>0</v>
      </c>
      <c r="X2793" s="5">
        <f t="shared" si="89"/>
        <v>0</v>
      </c>
    </row>
    <row r="2794" spans="1:24" x14ac:dyDescent="0.25">
      <c r="A2794" s="17"/>
      <c r="B2794" s="17"/>
      <c r="C2794" s="17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8">
        <v>0</v>
      </c>
      <c r="W2794" s="17">
        <f t="shared" si="88"/>
        <v>0</v>
      </c>
      <c r="X2794" s="5">
        <f t="shared" si="89"/>
        <v>0</v>
      </c>
    </row>
    <row r="2795" spans="1:24" x14ac:dyDescent="0.25">
      <c r="A2795" s="17"/>
      <c r="B2795" s="17"/>
      <c r="C2795" s="17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8">
        <v>0</v>
      </c>
      <c r="W2795" s="17">
        <f t="shared" si="88"/>
        <v>0</v>
      </c>
      <c r="X2795" s="5">
        <f t="shared" si="89"/>
        <v>0</v>
      </c>
    </row>
    <row r="2796" spans="1:24" x14ac:dyDescent="0.25">
      <c r="A2796" s="17"/>
      <c r="B2796" s="17"/>
      <c r="C2796" s="17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8">
        <v>0</v>
      </c>
      <c r="W2796" s="17">
        <f t="shared" si="88"/>
        <v>0</v>
      </c>
      <c r="X2796" s="5">
        <f t="shared" si="89"/>
        <v>0</v>
      </c>
    </row>
    <row r="2797" spans="1:24" x14ac:dyDescent="0.25">
      <c r="A2797" s="17"/>
      <c r="B2797" s="17"/>
      <c r="C2797" s="17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8">
        <v>0</v>
      </c>
      <c r="W2797" s="17">
        <f t="shared" si="88"/>
        <v>0</v>
      </c>
      <c r="X2797" s="5">
        <f t="shared" si="89"/>
        <v>0</v>
      </c>
    </row>
    <row r="2798" spans="1:24" x14ac:dyDescent="0.25">
      <c r="A2798" s="17"/>
      <c r="B2798" s="17"/>
      <c r="C2798" s="17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  <c r="N2798" s="17"/>
      <c r="O2798" s="17"/>
      <c r="P2798" s="17"/>
      <c r="Q2798" s="17"/>
      <c r="R2798" s="17"/>
      <c r="S2798" s="17"/>
      <c r="T2798" s="17"/>
      <c r="U2798" s="17"/>
      <c r="V2798" s="18">
        <v>0</v>
      </c>
      <c r="W2798" s="17">
        <f t="shared" si="88"/>
        <v>0</v>
      </c>
      <c r="X2798" s="5">
        <f t="shared" si="89"/>
        <v>0</v>
      </c>
    </row>
    <row r="2799" spans="1:24" x14ac:dyDescent="0.25">
      <c r="A2799" s="17"/>
      <c r="B2799" s="17"/>
      <c r="C2799" s="17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  <c r="N2799" s="17"/>
      <c r="O2799" s="17"/>
      <c r="P2799" s="17"/>
      <c r="Q2799" s="17"/>
      <c r="R2799" s="17"/>
      <c r="S2799" s="17"/>
      <c r="T2799" s="17"/>
      <c r="U2799" s="17"/>
      <c r="V2799" s="18">
        <v>0</v>
      </c>
      <c r="W2799" s="17">
        <f t="shared" si="88"/>
        <v>0</v>
      </c>
      <c r="X2799" s="5">
        <f t="shared" si="89"/>
        <v>0</v>
      </c>
    </row>
    <row r="2800" spans="1:24" x14ac:dyDescent="0.25">
      <c r="A2800" s="17"/>
      <c r="B2800" s="17"/>
      <c r="C2800" s="17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  <c r="N2800" s="17"/>
      <c r="O2800" s="17"/>
      <c r="P2800" s="17"/>
      <c r="Q2800" s="17"/>
      <c r="R2800" s="17"/>
      <c r="S2800" s="17"/>
      <c r="T2800" s="17"/>
      <c r="U2800" s="17"/>
      <c r="V2800" s="18">
        <v>0</v>
      </c>
      <c r="W2800" s="17">
        <f t="shared" si="88"/>
        <v>0</v>
      </c>
      <c r="X2800" s="5">
        <f t="shared" si="89"/>
        <v>0</v>
      </c>
    </row>
    <row r="2801" spans="1:24" x14ac:dyDescent="0.25">
      <c r="A2801" s="17"/>
      <c r="B2801" s="17"/>
      <c r="C2801" s="17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  <c r="N2801" s="17"/>
      <c r="O2801" s="17"/>
      <c r="P2801" s="17"/>
      <c r="Q2801" s="17"/>
      <c r="R2801" s="17"/>
      <c r="S2801" s="17"/>
      <c r="T2801" s="17"/>
      <c r="U2801" s="17"/>
      <c r="V2801" s="18">
        <v>0</v>
      </c>
      <c r="W2801" s="17">
        <f t="shared" si="88"/>
        <v>0</v>
      </c>
      <c r="X2801" s="5">
        <f t="shared" si="89"/>
        <v>0</v>
      </c>
    </row>
    <row r="2802" spans="1:24" x14ac:dyDescent="0.25">
      <c r="A2802" s="17"/>
      <c r="B2802" s="17"/>
      <c r="C2802" s="17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  <c r="N2802" s="17"/>
      <c r="O2802" s="17"/>
      <c r="P2802" s="17"/>
      <c r="Q2802" s="17"/>
      <c r="R2802" s="17"/>
      <c r="S2802" s="17"/>
      <c r="T2802" s="17"/>
      <c r="U2802" s="17"/>
      <c r="V2802" s="18">
        <v>0</v>
      </c>
      <c r="W2802" s="17">
        <f t="shared" si="88"/>
        <v>0</v>
      </c>
      <c r="X2802" s="5">
        <f t="shared" si="89"/>
        <v>0</v>
      </c>
    </row>
    <row r="2803" spans="1:24" x14ac:dyDescent="0.25">
      <c r="A2803" s="17"/>
      <c r="B2803" s="17"/>
      <c r="C2803" s="17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  <c r="N2803" s="17"/>
      <c r="O2803" s="17"/>
      <c r="P2803" s="17"/>
      <c r="Q2803" s="17"/>
      <c r="R2803" s="17"/>
      <c r="S2803" s="17"/>
      <c r="T2803" s="17"/>
      <c r="U2803" s="17"/>
      <c r="V2803" s="18">
        <v>0</v>
      </c>
      <c r="W2803" s="17">
        <f t="shared" si="88"/>
        <v>0</v>
      </c>
      <c r="X2803" s="5">
        <f t="shared" si="89"/>
        <v>0</v>
      </c>
    </row>
    <row r="2804" spans="1:24" x14ac:dyDescent="0.25">
      <c r="A2804" s="17"/>
      <c r="B2804" s="17"/>
      <c r="C2804" s="17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8">
        <v>0</v>
      </c>
      <c r="W2804" s="17">
        <f t="shared" si="88"/>
        <v>0</v>
      </c>
      <c r="X2804" s="5">
        <f t="shared" si="89"/>
        <v>0</v>
      </c>
    </row>
    <row r="2805" spans="1:24" x14ac:dyDescent="0.25">
      <c r="A2805" s="17"/>
      <c r="B2805" s="17"/>
      <c r="C2805" s="17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8">
        <v>0</v>
      </c>
      <c r="W2805" s="17">
        <f t="shared" si="88"/>
        <v>0</v>
      </c>
      <c r="X2805" s="5">
        <f t="shared" si="89"/>
        <v>0</v>
      </c>
    </row>
    <row r="2806" spans="1:24" x14ac:dyDescent="0.25">
      <c r="A2806" s="17"/>
      <c r="B2806" s="17"/>
      <c r="C2806" s="17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8">
        <v>0</v>
      </c>
      <c r="W2806" s="17">
        <f t="shared" si="88"/>
        <v>0</v>
      </c>
      <c r="X2806" s="5">
        <f t="shared" si="89"/>
        <v>0</v>
      </c>
    </row>
    <row r="2807" spans="1:24" x14ac:dyDescent="0.25">
      <c r="A2807" s="17"/>
      <c r="B2807" s="17"/>
      <c r="C2807" s="17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/>
      <c r="V2807" s="18">
        <v>0</v>
      </c>
      <c r="W2807" s="17">
        <f t="shared" si="88"/>
        <v>0</v>
      </c>
      <c r="X2807" s="5">
        <f t="shared" si="89"/>
        <v>0</v>
      </c>
    </row>
    <row r="2808" spans="1:24" x14ac:dyDescent="0.25">
      <c r="A2808" s="17"/>
      <c r="B2808" s="17"/>
      <c r="C2808" s="17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/>
      <c r="V2808" s="18">
        <v>0</v>
      </c>
      <c r="W2808" s="17">
        <f t="shared" si="88"/>
        <v>0</v>
      </c>
      <c r="X2808" s="5">
        <f t="shared" si="89"/>
        <v>0</v>
      </c>
    </row>
    <row r="2809" spans="1:24" x14ac:dyDescent="0.25">
      <c r="A2809" s="17"/>
      <c r="B2809" s="17"/>
      <c r="C2809" s="17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/>
      <c r="V2809" s="18">
        <v>0</v>
      </c>
      <c r="W2809" s="17">
        <f t="shared" si="88"/>
        <v>0</v>
      </c>
      <c r="X2809" s="5">
        <f t="shared" si="89"/>
        <v>0</v>
      </c>
    </row>
    <row r="2810" spans="1:24" x14ac:dyDescent="0.25">
      <c r="A2810" s="17"/>
      <c r="B2810" s="17"/>
      <c r="C2810" s="17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18">
        <v>0</v>
      </c>
      <c r="W2810" s="17">
        <f t="shared" si="88"/>
        <v>0</v>
      </c>
      <c r="X2810" s="5">
        <f t="shared" si="89"/>
        <v>0</v>
      </c>
    </row>
    <row r="2811" spans="1:24" x14ac:dyDescent="0.25">
      <c r="A2811" s="17"/>
      <c r="B2811" s="17"/>
      <c r="C2811" s="17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8">
        <v>0</v>
      </c>
      <c r="W2811" s="17">
        <f t="shared" si="88"/>
        <v>0</v>
      </c>
      <c r="X2811" s="5">
        <f t="shared" si="89"/>
        <v>0</v>
      </c>
    </row>
    <row r="2812" spans="1:24" x14ac:dyDescent="0.25">
      <c r="A2812" s="17"/>
      <c r="B2812" s="17"/>
      <c r="C2812" s="17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8">
        <v>0</v>
      </c>
      <c r="W2812" s="17">
        <f t="shared" si="88"/>
        <v>0</v>
      </c>
      <c r="X2812" s="5">
        <f t="shared" si="89"/>
        <v>0</v>
      </c>
    </row>
    <row r="2813" spans="1:24" x14ac:dyDescent="0.25">
      <c r="A2813" s="17"/>
      <c r="B2813" s="17"/>
      <c r="C2813" s="17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  <c r="N2813" s="17"/>
      <c r="O2813" s="17"/>
      <c r="P2813" s="17"/>
      <c r="Q2813" s="17"/>
      <c r="R2813" s="17"/>
      <c r="S2813" s="17"/>
      <c r="T2813" s="17"/>
      <c r="U2813" s="17"/>
      <c r="V2813" s="18">
        <v>0</v>
      </c>
      <c r="W2813" s="17">
        <f t="shared" si="88"/>
        <v>0</v>
      </c>
      <c r="X2813" s="5">
        <f t="shared" si="89"/>
        <v>0</v>
      </c>
    </row>
    <row r="2814" spans="1:24" x14ac:dyDescent="0.25">
      <c r="A2814" s="17"/>
      <c r="B2814" s="17"/>
      <c r="C2814" s="17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  <c r="N2814" s="17"/>
      <c r="O2814" s="17"/>
      <c r="P2814" s="17"/>
      <c r="Q2814" s="17"/>
      <c r="R2814" s="17"/>
      <c r="S2814" s="17"/>
      <c r="T2814" s="17"/>
      <c r="U2814" s="17"/>
      <c r="V2814" s="18">
        <v>0</v>
      </c>
      <c r="W2814" s="17">
        <f t="shared" si="88"/>
        <v>0</v>
      </c>
      <c r="X2814" s="5">
        <f t="shared" si="89"/>
        <v>0</v>
      </c>
    </row>
    <row r="2815" spans="1:24" x14ac:dyDescent="0.25">
      <c r="A2815" s="17"/>
      <c r="B2815" s="17"/>
      <c r="C2815" s="17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  <c r="N2815" s="17"/>
      <c r="O2815" s="17"/>
      <c r="P2815" s="17"/>
      <c r="Q2815" s="17"/>
      <c r="R2815" s="17"/>
      <c r="S2815" s="17"/>
      <c r="T2815" s="17"/>
      <c r="U2815" s="17"/>
      <c r="V2815" s="18">
        <v>0</v>
      </c>
      <c r="W2815" s="17">
        <f t="shared" si="88"/>
        <v>0</v>
      </c>
      <c r="X2815" s="5">
        <f t="shared" si="89"/>
        <v>0</v>
      </c>
    </row>
    <row r="2816" spans="1:24" x14ac:dyDescent="0.25">
      <c r="A2816" s="17"/>
      <c r="B2816" s="17"/>
      <c r="C2816" s="17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  <c r="N2816" s="17"/>
      <c r="O2816" s="17"/>
      <c r="P2816" s="17"/>
      <c r="Q2816" s="17"/>
      <c r="R2816" s="17"/>
      <c r="S2816" s="17"/>
      <c r="T2816" s="17"/>
      <c r="U2816" s="17"/>
      <c r="V2816" s="18">
        <v>0</v>
      </c>
      <c r="W2816" s="17">
        <f t="shared" si="88"/>
        <v>0</v>
      </c>
      <c r="X2816" s="5">
        <f t="shared" si="89"/>
        <v>0</v>
      </c>
    </row>
    <row r="2817" spans="1:24" x14ac:dyDescent="0.25">
      <c r="A2817" s="17"/>
      <c r="B2817" s="17"/>
      <c r="C2817" s="17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  <c r="N2817" s="17"/>
      <c r="O2817" s="17"/>
      <c r="P2817" s="17"/>
      <c r="Q2817" s="17"/>
      <c r="R2817" s="17"/>
      <c r="S2817" s="17"/>
      <c r="T2817" s="17"/>
      <c r="U2817" s="17"/>
      <c r="V2817" s="18">
        <v>0</v>
      </c>
      <c r="W2817" s="17">
        <f t="shared" si="88"/>
        <v>0</v>
      </c>
      <c r="X2817" s="5">
        <f t="shared" si="89"/>
        <v>0</v>
      </c>
    </row>
    <row r="2818" spans="1:24" x14ac:dyDescent="0.25">
      <c r="A2818" s="17"/>
      <c r="B2818" s="17"/>
      <c r="C2818" s="17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  <c r="N2818" s="17"/>
      <c r="O2818" s="17"/>
      <c r="P2818" s="17"/>
      <c r="Q2818" s="17"/>
      <c r="R2818" s="17"/>
      <c r="S2818" s="17"/>
      <c r="T2818" s="17"/>
      <c r="U2818" s="17"/>
      <c r="V2818" s="18">
        <v>0</v>
      </c>
      <c r="W2818" s="17">
        <f t="shared" si="88"/>
        <v>0</v>
      </c>
      <c r="X2818" s="5">
        <f t="shared" si="89"/>
        <v>0</v>
      </c>
    </row>
    <row r="2819" spans="1:24" x14ac:dyDescent="0.25">
      <c r="A2819" s="17"/>
      <c r="B2819" s="17"/>
      <c r="C2819" s="17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  <c r="N2819" s="17"/>
      <c r="O2819" s="17"/>
      <c r="P2819" s="17"/>
      <c r="Q2819" s="17"/>
      <c r="R2819" s="17"/>
      <c r="S2819" s="17"/>
      <c r="T2819" s="17"/>
      <c r="U2819" s="17"/>
      <c r="V2819" s="18">
        <v>0</v>
      </c>
      <c r="W2819" s="17">
        <f t="shared" ref="W2819:W2882" si="90">HOUR(E2819)</f>
        <v>0</v>
      </c>
      <c r="X2819" s="5">
        <f t="shared" ref="X2819:X2882" si="91">IF(D2819=D2818,0,1)</f>
        <v>0</v>
      </c>
    </row>
    <row r="2820" spans="1:24" x14ac:dyDescent="0.25">
      <c r="A2820" s="17"/>
      <c r="B2820" s="17"/>
      <c r="C2820" s="17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  <c r="N2820" s="17"/>
      <c r="O2820" s="17"/>
      <c r="P2820" s="17"/>
      <c r="Q2820" s="17"/>
      <c r="R2820" s="17"/>
      <c r="S2820" s="17"/>
      <c r="T2820" s="17"/>
      <c r="U2820" s="17"/>
      <c r="V2820" s="18">
        <v>0</v>
      </c>
      <c r="W2820" s="17">
        <f t="shared" si="90"/>
        <v>0</v>
      </c>
      <c r="X2820" s="5">
        <f t="shared" si="91"/>
        <v>0</v>
      </c>
    </row>
    <row r="2821" spans="1:24" x14ac:dyDescent="0.25">
      <c r="A2821" s="17"/>
      <c r="B2821" s="17"/>
      <c r="C2821" s="17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  <c r="N2821" s="17"/>
      <c r="O2821" s="17"/>
      <c r="P2821" s="17"/>
      <c r="Q2821" s="17"/>
      <c r="R2821" s="17"/>
      <c r="S2821" s="17"/>
      <c r="T2821" s="17"/>
      <c r="U2821" s="17"/>
      <c r="V2821" s="18">
        <v>0</v>
      </c>
      <c r="W2821" s="17">
        <f t="shared" si="90"/>
        <v>0</v>
      </c>
      <c r="X2821" s="5">
        <f t="shared" si="91"/>
        <v>0</v>
      </c>
    </row>
    <row r="2822" spans="1:24" x14ac:dyDescent="0.25">
      <c r="A2822" s="17"/>
      <c r="B2822" s="17"/>
      <c r="C2822" s="17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  <c r="N2822" s="17"/>
      <c r="O2822" s="17"/>
      <c r="P2822" s="17"/>
      <c r="Q2822" s="17"/>
      <c r="R2822" s="17"/>
      <c r="S2822" s="17"/>
      <c r="T2822" s="17"/>
      <c r="U2822" s="17"/>
      <c r="V2822" s="18">
        <v>0</v>
      </c>
      <c r="W2822" s="17">
        <f t="shared" si="90"/>
        <v>0</v>
      </c>
      <c r="X2822" s="5">
        <f t="shared" si="91"/>
        <v>0</v>
      </c>
    </row>
    <row r="2823" spans="1:24" x14ac:dyDescent="0.25">
      <c r="A2823" s="17"/>
      <c r="B2823" s="17"/>
      <c r="C2823" s="17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  <c r="N2823" s="17"/>
      <c r="O2823" s="17"/>
      <c r="P2823" s="17"/>
      <c r="Q2823" s="17"/>
      <c r="R2823" s="17"/>
      <c r="S2823" s="17"/>
      <c r="T2823" s="17"/>
      <c r="U2823" s="17"/>
      <c r="V2823" s="18">
        <v>0</v>
      </c>
      <c r="W2823" s="17">
        <f t="shared" si="90"/>
        <v>0</v>
      </c>
      <c r="X2823" s="5">
        <f t="shared" si="91"/>
        <v>0</v>
      </c>
    </row>
    <row r="2824" spans="1:24" x14ac:dyDescent="0.25">
      <c r="A2824" s="17"/>
      <c r="B2824" s="17"/>
      <c r="C2824" s="17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  <c r="N2824" s="17"/>
      <c r="O2824" s="17"/>
      <c r="P2824" s="17"/>
      <c r="Q2824" s="17"/>
      <c r="R2824" s="17"/>
      <c r="S2824" s="17"/>
      <c r="T2824" s="17"/>
      <c r="U2824" s="17"/>
      <c r="V2824" s="18">
        <v>0</v>
      </c>
      <c r="W2824" s="17">
        <f t="shared" si="90"/>
        <v>0</v>
      </c>
      <c r="X2824" s="5">
        <f t="shared" si="91"/>
        <v>0</v>
      </c>
    </row>
    <row r="2825" spans="1:24" x14ac:dyDescent="0.25">
      <c r="A2825" s="17"/>
      <c r="B2825" s="17"/>
      <c r="C2825" s="17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8">
        <v>0</v>
      </c>
      <c r="W2825" s="17">
        <f t="shared" si="90"/>
        <v>0</v>
      </c>
      <c r="X2825" s="5">
        <f t="shared" si="91"/>
        <v>0</v>
      </c>
    </row>
    <row r="2826" spans="1:24" x14ac:dyDescent="0.25">
      <c r="A2826" s="17"/>
      <c r="B2826" s="17"/>
      <c r="C2826" s="17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8">
        <v>0</v>
      </c>
      <c r="W2826" s="17">
        <f t="shared" si="90"/>
        <v>0</v>
      </c>
      <c r="X2826" s="5">
        <f t="shared" si="91"/>
        <v>0</v>
      </c>
    </row>
    <row r="2827" spans="1:24" x14ac:dyDescent="0.25">
      <c r="A2827" s="17"/>
      <c r="B2827" s="17"/>
      <c r="C2827" s="17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  <c r="N2827" s="17"/>
      <c r="O2827" s="17"/>
      <c r="P2827" s="17"/>
      <c r="Q2827" s="17"/>
      <c r="R2827" s="17"/>
      <c r="S2827" s="17"/>
      <c r="T2827" s="17"/>
      <c r="U2827" s="17"/>
      <c r="V2827" s="18">
        <v>0</v>
      </c>
      <c r="W2827" s="17">
        <f t="shared" si="90"/>
        <v>0</v>
      </c>
      <c r="X2827" s="5">
        <f t="shared" si="91"/>
        <v>0</v>
      </c>
    </row>
    <row r="2828" spans="1:24" x14ac:dyDescent="0.25">
      <c r="A2828" s="17"/>
      <c r="B2828" s="17"/>
      <c r="C2828" s="17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  <c r="N2828" s="17"/>
      <c r="O2828" s="17"/>
      <c r="P2828" s="17"/>
      <c r="Q2828" s="17"/>
      <c r="R2828" s="17"/>
      <c r="S2828" s="17"/>
      <c r="T2828" s="17"/>
      <c r="U2828" s="17"/>
      <c r="V2828" s="18">
        <v>0</v>
      </c>
      <c r="W2828" s="17">
        <f t="shared" si="90"/>
        <v>0</v>
      </c>
      <c r="X2828" s="5">
        <f t="shared" si="91"/>
        <v>0</v>
      </c>
    </row>
    <row r="2829" spans="1:24" x14ac:dyDescent="0.25">
      <c r="A2829" s="17"/>
      <c r="B2829" s="17"/>
      <c r="C2829" s="17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  <c r="N2829" s="17"/>
      <c r="O2829" s="17"/>
      <c r="P2829" s="17"/>
      <c r="Q2829" s="17"/>
      <c r="R2829" s="17"/>
      <c r="S2829" s="17"/>
      <c r="T2829" s="17"/>
      <c r="U2829" s="17"/>
      <c r="V2829" s="18">
        <v>0</v>
      </c>
      <c r="W2829" s="17">
        <f t="shared" si="90"/>
        <v>0</v>
      </c>
      <c r="X2829" s="5">
        <f t="shared" si="91"/>
        <v>0</v>
      </c>
    </row>
    <row r="2830" spans="1:24" x14ac:dyDescent="0.25">
      <c r="A2830" s="17"/>
      <c r="B2830" s="17"/>
      <c r="C2830" s="17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8">
        <v>0</v>
      </c>
      <c r="W2830" s="17">
        <f t="shared" si="90"/>
        <v>0</v>
      </c>
      <c r="X2830" s="5">
        <f t="shared" si="91"/>
        <v>0</v>
      </c>
    </row>
    <row r="2831" spans="1:24" x14ac:dyDescent="0.25">
      <c r="A2831" s="17"/>
      <c r="B2831" s="17"/>
      <c r="C2831" s="17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8">
        <v>0</v>
      </c>
      <c r="W2831" s="17">
        <f t="shared" si="90"/>
        <v>0</v>
      </c>
      <c r="X2831" s="5">
        <f t="shared" si="91"/>
        <v>0</v>
      </c>
    </row>
    <row r="2832" spans="1:24" x14ac:dyDescent="0.25">
      <c r="A2832" s="17"/>
      <c r="B2832" s="17"/>
      <c r="C2832" s="17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8">
        <v>0</v>
      </c>
      <c r="W2832" s="17">
        <f t="shared" si="90"/>
        <v>0</v>
      </c>
      <c r="X2832" s="5">
        <f t="shared" si="91"/>
        <v>0</v>
      </c>
    </row>
    <row r="2833" spans="1:24" x14ac:dyDescent="0.25">
      <c r="A2833" s="17"/>
      <c r="B2833" s="17"/>
      <c r="C2833" s="17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/>
      <c r="V2833" s="18">
        <v>0</v>
      </c>
      <c r="W2833" s="17">
        <f t="shared" si="90"/>
        <v>0</v>
      </c>
      <c r="X2833" s="5">
        <f t="shared" si="91"/>
        <v>0</v>
      </c>
    </row>
    <row r="2834" spans="1:24" x14ac:dyDescent="0.25">
      <c r="A2834" s="17"/>
      <c r="B2834" s="17"/>
      <c r="C2834" s="17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  <c r="N2834" s="17"/>
      <c r="O2834" s="17"/>
      <c r="P2834" s="17"/>
      <c r="Q2834" s="17"/>
      <c r="R2834" s="17"/>
      <c r="S2834" s="17"/>
      <c r="T2834" s="17"/>
      <c r="U2834" s="17"/>
      <c r="V2834" s="18">
        <v>0</v>
      </c>
      <c r="W2834" s="17">
        <f t="shared" si="90"/>
        <v>0</v>
      </c>
      <c r="X2834" s="5">
        <f t="shared" si="91"/>
        <v>0</v>
      </c>
    </row>
    <row r="2835" spans="1:24" x14ac:dyDescent="0.25">
      <c r="A2835" s="17"/>
      <c r="B2835" s="17"/>
      <c r="C2835" s="17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  <c r="N2835" s="17"/>
      <c r="O2835" s="17"/>
      <c r="P2835" s="17"/>
      <c r="Q2835" s="17"/>
      <c r="R2835" s="17"/>
      <c r="S2835" s="17"/>
      <c r="T2835" s="17"/>
      <c r="U2835" s="17"/>
      <c r="V2835" s="18">
        <v>0</v>
      </c>
      <c r="W2835" s="17">
        <f t="shared" si="90"/>
        <v>0</v>
      </c>
      <c r="X2835" s="5">
        <f t="shared" si="91"/>
        <v>0</v>
      </c>
    </row>
    <row r="2836" spans="1:24" x14ac:dyDescent="0.25">
      <c r="A2836" s="17"/>
      <c r="B2836" s="17"/>
      <c r="C2836" s="17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  <c r="N2836" s="17"/>
      <c r="O2836" s="17"/>
      <c r="P2836" s="17"/>
      <c r="Q2836" s="17"/>
      <c r="R2836" s="17"/>
      <c r="S2836" s="17"/>
      <c r="T2836" s="17"/>
      <c r="U2836" s="17"/>
      <c r="V2836" s="18">
        <v>0</v>
      </c>
      <c r="W2836" s="17">
        <f t="shared" si="90"/>
        <v>0</v>
      </c>
      <c r="X2836" s="5">
        <f t="shared" si="91"/>
        <v>0</v>
      </c>
    </row>
    <row r="2837" spans="1:24" x14ac:dyDescent="0.25">
      <c r="A2837" s="17"/>
      <c r="B2837" s="17"/>
      <c r="C2837" s="17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8">
        <v>0</v>
      </c>
      <c r="W2837" s="17">
        <f t="shared" si="90"/>
        <v>0</v>
      </c>
      <c r="X2837" s="5">
        <f t="shared" si="91"/>
        <v>0</v>
      </c>
    </row>
    <row r="2838" spans="1:24" x14ac:dyDescent="0.25">
      <c r="A2838" s="17"/>
      <c r="B2838" s="17"/>
      <c r="C2838" s="17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8">
        <v>0</v>
      </c>
      <c r="W2838" s="17">
        <f t="shared" si="90"/>
        <v>0</v>
      </c>
      <c r="X2838" s="5">
        <f t="shared" si="91"/>
        <v>0</v>
      </c>
    </row>
    <row r="2839" spans="1:24" x14ac:dyDescent="0.25">
      <c r="A2839" s="17"/>
      <c r="B2839" s="17"/>
      <c r="C2839" s="17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/>
      <c r="V2839" s="18">
        <v>0</v>
      </c>
      <c r="W2839" s="17">
        <f t="shared" si="90"/>
        <v>0</v>
      </c>
      <c r="X2839" s="5">
        <f t="shared" si="91"/>
        <v>0</v>
      </c>
    </row>
    <row r="2840" spans="1:24" x14ac:dyDescent="0.25">
      <c r="A2840" s="17"/>
      <c r="B2840" s="17"/>
      <c r="C2840" s="17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8">
        <v>0</v>
      </c>
      <c r="W2840" s="17">
        <f t="shared" si="90"/>
        <v>0</v>
      </c>
      <c r="X2840" s="5">
        <f t="shared" si="91"/>
        <v>0</v>
      </c>
    </row>
    <row r="2841" spans="1:24" x14ac:dyDescent="0.25">
      <c r="A2841" s="17"/>
      <c r="B2841" s="17"/>
      <c r="C2841" s="17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8">
        <v>0</v>
      </c>
      <c r="W2841" s="17">
        <f t="shared" si="90"/>
        <v>0</v>
      </c>
      <c r="X2841" s="5">
        <f t="shared" si="91"/>
        <v>0</v>
      </c>
    </row>
    <row r="2842" spans="1:24" x14ac:dyDescent="0.25">
      <c r="A2842" s="17"/>
      <c r="B2842" s="17"/>
      <c r="C2842" s="17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/>
      <c r="V2842" s="18">
        <v>0</v>
      </c>
      <c r="W2842" s="17">
        <f t="shared" si="90"/>
        <v>0</v>
      </c>
      <c r="X2842" s="5">
        <f t="shared" si="91"/>
        <v>0</v>
      </c>
    </row>
    <row r="2843" spans="1:24" x14ac:dyDescent="0.25">
      <c r="A2843" s="17"/>
      <c r="B2843" s="17"/>
      <c r="C2843" s="17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8">
        <v>0</v>
      </c>
      <c r="W2843" s="17">
        <f t="shared" si="90"/>
        <v>0</v>
      </c>
      <c r="X2843" s="5">
        <f t="shared" si="91"/>
        <v>0</v>
      </c>
    </row>
    <row r="2844" spans="1:24" x14ac:dyDescent="0.25">
      <c r="A2844" s="17"/>
      <c r="B2844" s="17"/>
      <c r="C2844" s="17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8">
        <v>0</v>
      </c>
      <c r="W2844" s="17">
        <f t="shared" si="90"/>
        <v>0</v>
      </c>
      <c r="X2844" s="5">
        <f t="shared" si="91"/>
        <v>0</v>
      </c>
    </row>
    <row r="2845" spans="1:24" x14ac:dyDescent="0.25">
      <c r="A2845" s="17"/>
      <c r="B2845" s="17"/>
      <c r="C2845" s="17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  <c r="N2845" s="17"/>
      <c r="O2845" s="17"/>
      <c r="P2845" s="17"/>
      <c r="Q2845" s="17"/>
      <c r="R2845" s="17"/>
      <c r="S2845" s="17"/>
      <c r="T2845" s="17"/>
      <c r="U2845" s="17"/>
      <c r="V2845" s="18">
        <v>0</v>
      </c>
      <c r="W2845" s="17">
        <f t="shared" si="90"/>
        <v>0</v>
      </c>
      <c r="X2845" s="5">
        <f t="shared" si="91"/>
        <v>0</v>
      </c>
    </row>
    <row r="2846" spans="1:24" x14ac:dyDescent="0.25">
      <c r="A2846" s="17"/>
      <c r="B2846" s="17"/>
      <c r="C2846" s="17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  <c r="N2846" s="17"/>
      <c r="O2846" s="17"/>
      <c r="P2846" s="17"/>
      <c r="Q2846" s="17"/>
      <c r="R2846" s="17"/>
      <c r="S2846" s="17"/>
      <c r="T2846" s="17"/>
      <c r="U2846" s="17"/>
      <c r="V2846" s="18">
        <v>0</v>
      </c>
      <c r="W2846" s="17">
        <f t="shared" si="90"/>
        <v>0</v>
      </c>
      <c r="X2846" s="5">
        <f t="shared" si="91"/>
        <v>0</v>
      </c>
    </row>
    <row r="2847" spans="1:24" x14ac:dyDescent="0.25">
      <c r="A2847" s="17"/>
      <c r="B2847" s="17"/>
      <c r="C2847" s="17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  <c r="N2847" s="17"/>
      <c r="O2847" s="17"/>
      <c r="P2847" s="17"/>
      <c r="Q2847" s="17"/>
      <c r="R2847" s="17"/>
      <c r="S2847" s="17"/>
      <c r="T2847" s="17"/>
      <c r="U2847" s="17"/>
      <c r="V2847" s="18">
        <v>0</v>
      </c>
      <c r="W2847" s="17">
        <f t="shared" si="90"/>
        <v>0</v>
      </c>
      <c r="X2847" s="5">
        <f t="shared" si="91"/>
        <v>0</v>
      </c>
    </row>
    <row r="2848" spans="1:24" x14ac:dyDescent="0.25">
      <c r="A2848" s="17"/>
      <c r="B2848" s="17"/>
      <c r="C2848" s="17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8">
        <v>0</v>
      </c>
      <c r="W2848" s="17">
        <f t="shared" si="90"/>
        <v>0</v>
      </c>
      <c r="X2848" s="5">
        <f t="shared" si="91"/>
        <v>0</v>
      </c>
    </row>
    <row r="2849" spans="1:24" x14ac:dyDescent="0.25">
      <c r="A2849" s="17"/>
      <c r="B2849" s="17"/>
      <c r="C2849" s="17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8">
        <v>0</v>
      </c>
      <c r="W2849" s="17">
        <f t="shared" si="90"/>
        <v>0</v>
      </c>
      <c r="X2849" s="5">
        <f t="shared" si="91"/>
        <v>0</v>
      </c>
    </row>
    <row r="2850" spans="1:24" x14ac:dyDescent="0.25">
      <c r="A2850" s="17"/>
      <c r="B2850" s="17"/>
      <c r="C2850" s="17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/>
      <c r="V2850" s="18">
        <v>0</v>
      </c>
      <c r="W2850" s="17">
        <f t="shared" si="90"/>
        <v>0</v>
      </c>
      <c r="X2850" s="5">
        <f t="shared" si="91"/>
        <v>0</v>
      </c>
    </row>
    <row r="2851" spans="1:24" x14ac:dyDescent="0.25">
      <c r="A2851" s="17"/>
      <c r="B2851" s="17"/>
      <c r="C2851" s="17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8">
        <v>0</v>
      </c>
      <c r="W2851" s="17">
        <f t="shared" si="90"/>
        <v>0</v>
      </c>
      <c r="X2851" s="5">
        <f t="shared" si="91"/>
        <v>0</v>
      </c>
    </row>
    <row r="2852" spans="1:24" x14ac:dyDescent="0.25">
      <c r="A2852" s="17"/>
      <c r="B2852" s="17"/>
      <c r="C2852" s="17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8">
        <v>0</v>
      </c>
      <c r="W2852" s="17">
        <f t="shared" si="90"/>
        <v>0</v>
      </c>
      <c r="X2852" s="5">
        <f t="shared" si="91"/>
        <v>0</v>
      </c>
    </row>
    <row r="2853" spans="1:24" x14ac:dyDescent="0.25">
      <c r="A2853" s="17"/>
      <c r="B2853" s="17"/>
      <c r="C2853" s="17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/>
      <c r="V2853" s="18">
        <v>0</v>
      </c>
      <c r="W2853" s="17">
        <f t="shared" si="90"/>
        <v>0</v>
      </c>
      <c r="X2853" s="5">
        <f t="shared" si="91"/>
        <v>0</v>
      </c>
    </row>
    <row r="2854" spans="1:24" x14ac:dyDescent="0.25">
      <c r="A2854" s="17"/>
      <c r="B2854" s="17"/>
      <c r="C2854" s="17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/>
      <c r="V2854" s="18">
        <v>0</v>
      </c>
      <c r="W2854" s="17">
        <f t="shared" si="90"/>
        <v>0</v>
      </c>
      <c r="X2854" s="5">
        <f t="shared" si="91"/>
        <v>0</v>
      </c>
    </row>
    <row r="2855" spans="1:24" x14ac:dyDescent="0.25">
      <c r="A2855" s="17"/>
      <c r="B2855" s="17"/>
      <c r="C2855" s="17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  <c r="N2855" s="17"/>
      <c r="O2855" s="17"/>
      <c r="P2855" s="17"/>
      <c r="Q2855" s="17"/>
      <c r="R2855" s="17"/>
      <c r="S2855" s="17"/>
      <c r="T2855" s="17"/>
      <c r="U2855" s="17"/>
      <c r="V2855" s="18">
        <v>0</v>
      </c>
      <c r="W2855" s="17">
        <f t="shared" si="90"/>
        <v>0</v>
      </c>
      <c r="X2855" s="5">
        <f t="shared" si="91"/>
        <v>0</v>
      </c>
    </row>
    <row r="2856" spans="1:24" x14ac:dyDescent="0.25">
      <c r="A2856" s="17"/>
      <c r="B2856" s="17"/>
      <c r="C2856" s="17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  <c r="N2856" s="17"/>
      <c r="O2856" s="17"/>
      <c r="P2856" s="17"/>
      <c r="Q2856" s="17"/>
      <c r="R2856" s="17"/>
      <c r="S2856" s="17"/>
      <c r="T2856" s="17"/>
      <c r="U2856" s="17"/>
      <c r="V2856" s="18">
        <v>0</v>
      </c>
      <c r="W2856" s="17">
        <f t="shared" si="90"/>
        <v>0</v>
      </c>
      <c r="X2856" s="5">
        <f t="shared" si="91"/>
        <v>0</v>
      </c>
    </row>
    <row r="2857" spans="1:24" x14ac:dyDescent="0.25">
      <c r="A2857" s="17"/>
      <c r="B2857" s="17"/>
      <c r="C2857" s="17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  <c r="N2857" s="17"/>
      <c r="O2857" s="17"/>
      <c r="P2857" s="17"/>
      <c r="Q2857" s="17"/>
      <c r="R2857" s="17"/>
      <c r="S2857" s="17"/>
      <c r="T2857" s="17"/>
      <c r="U2857" s="17"/>
      <c r="V2857" s="18">
        <v>0</v>
      </c>
      <c r="W2857" s="17">
        <f t="shared" si="90"/>
        <v>0</v>
      </c>
      <c r="X2857" s="5">
        <f t="shared" si="91"/>
        <v>0</v>
      </c>
    </row>
    <row r="2858" spans="1:24" x14ac:dyDescent="0.25">
      <c r="A2858" s="17"/>
      <c r="B2858" s="17"/>
      <c r="C2858" s="17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8">
        <v>0</v>
      </c>
      <c r="W2858" s="17">
        <f t="shared" si="90"/>
        <v>0</v>
      </c>
      <c r="X2858" s="5">
        <f t="shared" si="91"/>
        <v>0</v>
      </c>
    </row>
    <row r="2859" spans="1:24" x14ac:dyDescent="0.25">
      <c r="A2859" s="17"/>
      <c r="B2859" s="17"/>
      <c r="C2859" s="17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8">
        <v>0</v>
      </c>
      <c r="W2859" s="17">
        <f t="shared" si="90"/>
        <v>0</v>
      </c>
      <c r="X2859" s="5">
        <f t="shared" si="91"/>
        <v>0</v>
      </c>
    </row>
    <row r="2860" spans="1:24" x14ac:dyDescent="0.25">
      <c r="A2860" s="17"/>
      <c r="B2860" s="17"/>
      <c r="C2860" s="17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8">
        <v>0</v>
      </c>
      <c r="W2860" s="17">
        <f t="shared" si="90"/>
        <v>0</v>
      </c>
      <c r="X2860" s="5">
        <f t="shared" si="91"/>
        <v>0</v>
      </c>
    </row>
    <row r="2861" spans="1:24" x14ac:dyDescent="0.25">
      <c r="A2861" s="17"/>
      <c r="B2861" s="17"/>
      <c r="C2861" s="17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8">
        <v>0</v>
      </c>
      <c r="W2861" s="17">
        <f t="shared" si="90"/>
        <v>0</v>
      </c>
      <c r="X2861" s="5">
        <f t="shared" si="91"/>
        <v>0</v>
      </c>
    </row>
    <row r="2862" spans="1:24" x14ac:dyDescent="0.25">
      <c r="A2862" s="17"/>
      <c r="B2862" s="17"/>
      <c r="C2862" s="17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8">
        <v>0</v>
      </c>
      <c r="W2862" s="17">
        <f t="shared" si="90"/>
        <v>0</v>
      </c>
      <c r="X2862" s="5">
        <f t="shared" si="91"/>
        <v>0</v>
      </c>
    </row>
    <row r="2863" spans="1:24" x14ac:dyDescent="0.25">
      <c r="A2863" s="17"/>
      <c r="B2863" s="17"/>
      <c r="C2863" s="17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/>
      <c r="V2863" s="18">
        <v>0</v>
      </c>
      <c r="W2863" s="17">
        <f t="shared" si="90"/>
        <v>0</v>
      </c>
      <c r="X2863" s="5">
        <f t="shared" si="91"/>
        <v>0</v>
      </c>
    </row>
    <row r="2864" spans="1:24" x14ac:dyDescent="0.25">
      <c r="A2864" s="17"/>
      <c r="B2864" s="17"/>
      <c r="C2864" s="17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8">
        <v>0</v>
      </c>
      <c r="W2864" s="17">
        <f t="shared" si="90"/>
        <v>0</v>
      </c>
      <c r="X2864" s="5">
        <f t="shared" si="91"/>
        <v>0</v>
      </c>
    </row>
    <row r="2865" spans="1:24" x14ac:dyDescent="0.25">
      <c r="A2865" s="17"/>
      <c r="B2865" s="17"/>
      <c r="C2865" s="17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/>
      <c r="V2865" s="18">
        <v>0</v>
      </c>
      <c r="W2865" s="17">
        <f t="shared" si="90"/>
        <v>0</v>
      </c>
      <c r="X2865" s="5">
        <f t="shared" si="91"/>
        <v>0</v>
      </c>
    </row>
    <row r="2866" spans="1:24" x14ac:dyDescent="0.25">
      <c r="A2866" s="17"/>
      <c r="B2866" s="17"/>
      <c r="C2866" s="17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8">
        <v>0</v>
      </c>
      <c r="W2866" s="17">
        <f t="shared" si="90"/>
        <v>0</v>
      </c>
      <c r="X2866" s="5">
        <f t="shared" si="91"/>
        <v>0</v>
      </c>
    </row>
    <row r="2867" spans="1:24" x14ac:dyDescent="0.25">
      <c r="A2867" s="17"/>
      <c r="B2867" s="17"/>
      <c r="C2867" s="17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8">
        <v>0</v>
      </c>
      <c r="W2867" s="17">
        <f t="shared" si="90"/>
        <v>0</v>
      </c>
      <c r="X2867" s="5">
        <f t="shared" si="91"/>
        <v>0</v>
      </c>
    </row>
    <row r="2868" spans="1:24" x14ac:dyDescent="0.25">
      <c r="A2868" s="17"/>
      <c r="B2868" s="17"/>
      <c r="C2868" s="17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8">
        <v>0</v>
      </c>
      <c r="W2868" s="17">
        <f t="shared" si="90"/>
        <v>0</v>
      </c>
      <c r="X2868" s="5">
        <f t="shared" si="91"/>
        <v>0</v>
      </c>
    </row>
    <row r="2869" spans="1:24" x14ac:dyDescent="0.25">
      <c r="A2869" s="17"/>
      <c r="B2869" s="17"/>
      <c r="C2869" s="17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  <c r="N2869" s="17"/>
      <c r="O2869" s="17"/>
      <c r="P2869" s="17"/>
      <c r="Q2869" s="17"/>
      <c r="R2869" s="17"/>
      <c r="S2869" s="17"/>
      <c r="T2869" s="17"/>
      <c r="U2869" s="17"/>
      <c r="V2869" s="18">
        <v>0</v>
      </c>
      <c r="W2869" s="17">
        <f t="shared" si="90"/>
        <v>0</v>
      </c>
      <c r="X2869" s="5">
        <f t="shared" si="91"/>
        <v>0</v>
      </c>
    </row>
    <row r="2870" spans="1:24" x14ac:dyDescent="0.25">
      <c r="A2870" s="17"/>
      <c r="B2870" s="17"/>
      <c r="C2870" s="17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  <c r="N2870" s="17"/>
      <c r="O2870" s="17"/>
      <c r="P2870" s="17"/>
      <c r="Q2870" s="17"/>
      <c r="R2870" s="17"/>
      <c r="S2870" s="17"/>
      <c r="T2870" s="17"/>
      <c r="U2870" s="17"/>
      <c r="V2870" s="18">
        <v>0</v>
      </c>
      <c r="W2870" s="17">
        <f t="shared" si="90"/>
        <v>0</v>
      </c>
      <c r="X2870" s="5">
        <f t="shared" si="91"/>
        <v>0</v>
      </c>
    </row>
    <row r="2871" spans="1:24" x14ac:dyDescent="0.25">
      <c r="A2871" s="17"/>
      <c r="B2871" s="17"/>
      <c r="C2871" s="17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  <c r="N2871" s="17"/>
      <c r="O2871" s="17"/>
      <c r="P2871" s="17"/>
      <c r="Q2871" s="17"/>
      <c r="R2871" s="17"/>
      <c r="S2871" s="17"/>
      <c r="T2871" s="17"/>
      <c r="U2871" s="17"/>
      <c r="V2871" s="18">
        <v>0</v>
      </c>
      <c r="W2871" s="17">
        <f t="shared" si="90"/>
        <v>0</v>
      </c>
      <c r="X2871" s="5">
        <f t="shared" si="91"/>
        <v>0</v>
      </c>
    </row>
    <row r="2872" spans="1:24" x14ac:dyDescent="0.25">
      <c r="A2872" s="17"/>
      <c r="B2872" s="17"/>
      <c r="C2872" s="17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8">
        <v>0</v>
      </c>
      <c r="W2872" s="17">
        <f t="shared" si="90"/>
        <v>0</v>
      </c>
      <c r="X2872" s="5">
        <f t="shared" si="91"/>
        <v>0</v>
      </c>
    </row>
    <row r="2873" spans="1:24" x14ac:dyDescent="0.25">
      <c r="A2873" s="17"/>
      <c r="B2873" s="17"/>
      <c r="C2873" s="17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8">
        <v>0</v>
      </c>
      <c r="W2873" s="17">
        <f t="shared" si="90"/>
        <v>0</v>
      </c>
      <c r="X2873" s="5">
        <f t="shared" si="91"/>
        <v>0</v>
      </c>
    </row>
    <row r="2874" spans="1:24" x14ac:dyDescent="0.25">
      <c r="A2874" s="17"/>
      <c r="B2874" s="17"/>
      <c r="C2874" s="17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8">
        <v>0</v>
      </c>
      <c r="W2874" s="17">
        <f t="shared" si="90"/>
        <v>0</v>
      </c>
      <c r="X2874" s="5">
        <f t="shared" si="91"/>
        <v>0</v>
      </c>
    </row>
    <row r="2875" spans="1:24" x14ac:dyDescent="0.25">
      <c r="A2875" s="17"/>
      <c r="B2875" s="17"/>
      <c r="C2875" s="17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8">
        <v>0</v>
      </c>
      <c r="W2875" s="17">
        <f t="shared" si="90"/>
        <v>0</v>
      </c>
      <c r="X2875" s="5">
        <f t="shared" si="91"/>
        <v>0</v>
      </c>
    </row>
    <row r="2876" spans="1:24" x14ac:dyDescent="0.25">
      <c r="A2876" s="17"/>
      <c r="B2876" s="17"/>
      <c r="C2876" s="17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8">
        <v>0</v>
      </c>
      <c r="W2876" s="17">
        <f t="shared" si="90"/>
        <v>0</v>
      </c>
      <c r="X2876" s="5">
        <f t="shared" si="91"/>
        <v>0</v>
      </c>
    </row>
    <row r="2877" spans="1:24" x14ac:dyDescent="0.25">
      <c r="A2877" s="17"/>
      <c r="B2877" s="17"/>
      <c r="C2877" s="17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8">
        <v>0</v>
      </c>
      <c r="W2877" s="17">
        <f t="shared" si="90"/>
        <v>0</v>
      </c>
      <c r="X2877" s="5">
        <f t="shared" si="91"/>
        <v>0</v>
      </c>
    </row>
    <row r="2878" spans="1:24" x14ac:dyDescent="0.25">
      <c r="A2878" s="17"/>
      <c r="B2878" s="17"/>
      <c r="C2878" s="17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8">
        <v>0</v>
      </c>
      <c r="W2878" s="17">
        <f t="shared" si="90"/>
        <v>0</v>
      </c>
      <c r="X2878" s="5">
        <f t="shared" si="91"/>
        <v>0</v>
      </c>
    </row>
    <row r="2879" spans="1:24" x14ac:dyDescent="0.25">
      <c r="A2879" s="17"/>
      <c r="B2879" s="17"/>
      <c r="C2879" s="17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8">
        <v>0</v>
      </c>
      <c r="W2879" s="17">
        <f t="shared" si="90"/>
        <v>0</v>
      </c>
      <c r="X2879" s="5">
        <f t="shared" si="91"/>
        <v>0</v>
      </c>
    </row>
    <row r="2880" spans="1:24" x14ac:dyDescent="0.25">
      <c r="A2880" s="17"/>
      <c r="B2880" s="17"/>
      <c r="C2880" s="17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8">
        <v>0</v>
      </c>
      <c r="W2880" s="17">
        <f t="shared" si="90"/>
        <v>0</v>
      </c>
      <c r="X2880" s="5">
        <f t="shared" si="91"/>
        <v>0</v>
      </c>
    </row>
    <row r="2881" spans="1:24" x14ac:dyDescent="0.25">
      <c r="A2881" s="17"/>
      <c r="B2881" s="17"/>
      <c r="C2881" s="17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8">
        <v>0</v>
      </c>
      <c r="W2881" s="17">
        <f t="shared" si="90"/>
        <v>0</v>
      </c>
      <c r="X2881" s="5">
        <f t="shared" si="91"/>
        <v>0</v>
      </c>
    </row>
    <row r="2882" spans="1:24" x14ac:dyDescent="0.25">
      <c r="A2882" s="17"/>
      <c r="B2882" s="17"/>
      <c r="C2882" s="17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8">
        <v>0</v>
      </c>
      <c r="W2882" s="17">
        <f t="shared" si="90"/>
        <v>0</v>
      </c>
      <c r="X2882" s="5">
        <f t="shared" si="91"/>
        <v>0</v>
      </c>
    </row>
    <row r="2883" spans="1:24" x14ac:dyDescent="0.25">
      <c r="A2883" s="17"/>
      <c r="B2883" s="17"/>
      <c r="C2883" s="17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8">
        <v>0</v>
      </c>
      <c r="W2883" s="17">
        <f t="shared" ref="W2883:W2946" si="92">HOUR(E2883)</f>
        <v>0</v>
      </c>
      <c r="X2883" s="5">
        <f t="shared" ref="X2883:X2946" si="93">IF(D2883=D2882,0,1)</f>
        <v>0</v>
      </c>
    </row>
    <row r="2884" spans="1:24" x14ac:dyDescent="0.25">
      <c r="A2884" s="17"/>
      <c r="B2884" s="17"/>
      <c r="C2884" s="17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  <c r="N2884" s="17"/>
      <c r="O2884" s="17"/>
      <c r="P2884" s="17"/>
      <c r="Q2884" s="17"/>
      <c r="R2884" s="17"/>
      <c r="S2884" s="17"/>
      <c r="T2884" s="17"/>
      <c r="U2884" s="17"/>
      <c r="V2884" s="18">
        <v>0</v>
      </c>
      <c r="W2884" s="17">
        <f t="shared" si="92"/>
        <v>0</v>
      </c>
      <c r="X2884" s="5">
        <f t="shared" si="93"/>
        <v>0</v>
      </c>
    </row>
    <row r="2885" spans="1:24" x14ac:dyDescent="0.25">
      <c r="A2885" s="17"/>
      <c r="B2885" s="17"/>
      <c r="C2885" s="17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  <c r="N2885" s="17"/>
      <c r="O2885" s="17"/>
      <c r="P2885" s="17"/>
      <c r="Q2885" s="17"/>
      <c r="R2885" s="17"/>
      <c r="S2885" s="17"/>
      <c r="T2885" s="17"/>
      <c r="U2885" s="17"/>
      <c r="V2885" s="18">
        <v>0</v>
      </c>
      <c r="W2885" s="17">
        <f t="shared" si="92"/>
        <v>0</v>
      </c>
      <c r="X2885" s="5">
        <f t="shared" si="93"/>
        <v>0</v>
      </c>
    </row>
    <row r="2886" spans="1:24" x14ac:dyDescent="0.25">
      <c r="A2886" s="17"/>
      <c r="B2886" s="17"/>
      <c r="C2886" s="17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  <c r="N2886" s="17"/>
      <c r="O2886" s="17"/>
      <c r="P2886" s="17"/>
      <c r="Q2886" s="17"/>
      <c r="R2886" s="17"/>
      <c r="S2886" s="17"/>
      <c r="T2886" s="17"/>
      <c r="U2886" s="17"/>
      <c r="V2886" s="18">
        <v>0</v>
      </c>
      <c r="W2886" s="17">
        <f t="shared" si="92"/>
        <v>0</v>
      </c>
      <c r="X2886" s="5">
        <f t="shared" si="93"/>
        <v>0</v>
      </c>
    </row>
    <row r="2887" spans="1:24" x14ac:dyDescent="0.25">
      <c r="A2887" s="17"/>
      <c r="B2887" s="17"/>
      <c r="C2887" s="17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8">
        <v>0</v>
      </c>
      <c r="W2887" s="17">
        <f t="shared" si="92"/>
        <v>0</v>
      </c>
      <c r="X2887" s="5">
        <f t="shared" si="93"/>
        <v>0</v>
      </c>
    </row>
    <row r="2888" spans="1:24" x14ac:dyDescent="0.25">
      <c r="A2888" s="17"/>
      <c r="B2888" s="17"/>
      <c r="C2888" s="17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8">
        <v>0</v>
      </c>
      <c r="W2888" s="17">
        <f t="shared" si="92"/>
        <v>0</v>
      </c>
      <c r="X2888" s="5">
        <f t="shared" si="93"/>
        <v>0</v>
      </c>
    </row>
    <row r="2889" spans="1:24" x14ac:dyDescent="0.25">
      <c r="A2889" s="17"/>
      <c r="B2889" s="17"/>
      <c r="C2889" s="17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8">
        <v>0</v>
      </c>
      <c r="W2889" s="17">
        <f t="shared" si="92"/>
        <v>0</v>
      </c>
      <c r="X2889" s="5">
        <f t="shared" si="93"/>
        <v>0</v>
      </c>
    </row>
    <row r="2890" spans="1:24" x14ac:dyDescent="0.25">
      <c r="A2890" s="17"/>
      <c r="B2890" s="17"/>
      <c r="C2890" s="17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8">
        <v>0</v>
      </c>
      <c r="W2890" s="17">
        <f t="shared" si="92"/>
        <v>0</v>
      </c>
      <c r="X2890" s="5">
        <f t="shared" si="93"/>
        <v>0</v>
      </c>
    </row>
    <row r="2891" spans="1:24" x14ac:dyDescent="0.25">
      <c r="A2891" s="17"/>
      <c r="B2891" s="17"/>
      <c r="C2891" s="17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  <c r="N2891" s="17"/>
      <c r="O2891" s="17"/>
      <c r="P2891" s="17"/>
      <c r="Q2891" s="17"/>
      <c r="R2891" s="17"/>
      <c r="S2891" s="17"/>
      <c r="T2891" s="17"/>
      <c r="U2891" s="17"/>
      <c r="V2891" s="18">
        <v>0</v>
      </c>
      <c r="W2891" s="17">
        <f t="shared" si="92"/>
        <v>0</v>
      </c>
      <c r="X2891" s="5">
        <f t="shared" si="93"/>
        <v>0</v>
      </c>
    </row>
    <row r="2892" spans="1:24" x14ac:dyDescent="0.25">
      <c r="A2892" s="17"/>
      <c r="B2892" s="17"/>
      <c r="C2892" s="17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  <c r="N2892" s="17"/>
      <c r="O2892" s="17"/>
      <c r="P2892" s="17"/>
      <c r="Q2892" s="17"/>
      <c r="R2892" s="17"/>
      <c r="S2892" s="17"/>
      <c r="T2892" s="17"/>
      <c r="U2892" s="17"/>
      <c r="V2892" s="18">
        <v>0</v>
      </c>
      <c r="W2892" s="17">
        <f t="shared" si="92"/>
        <v>0</v>
      </c>
      <c r="X2892" s="5">
        <f t="shared" si="93"/>
        <v>0</v>
      </c>
    </row>
    <row r="2893" spans="1:24" x14ac:dyDescent="0.25">
      <c r="A2893" s="17"/>
      <c r="B2893" s="17"/>
      <c r="C2893" s="17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  <c r="N2893" s="17"/>
      <c r="O2893" s="17"/>
      <c r="P2893" s="17"/>
      <c r="Q2893" s="17"/>
      <c r="R2893" s="17"/>
      <c r="S2893" s="17"/>
      <c r="T2893" s="17"/>
      <c r="U2893" s="17"/>
      <c r="V2893" s="18">
        <v>0</v>
      </c>
      <c r="W2893" s="17">
        <f t="shared" si="92"/>
        <v>0</v>
      </c>
      <c r="X2893" s="5">
        <f t="shared" si="93"/>
        <v>0</v>
      </c>
    </row>
    <row r="2894" spans="1:24" x14ac:dyDescent="0.25">
      <c r="A2894" s="17"/>
      <c r="B2894" s="17"/>
      <c r="C2894" s="17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8">
        <v>0</v>
      </c>
      <c r="W2894" s="17">
        <f t="shared" si="92"/>
        <v>0</v>
      </c>
      <c r="X2894" s="5">
        <f t="shared" si="93"/>
        <v>0</v>
      </c>
    </row>
    <row r="2895" spans="1:24" x14ac:dyDescent="0.25">
      <c r="A2895" s="17"/>
      <c r="B2895" s="17"/>
      <c r="C2895" s="17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8">
        <v>0</v>
      </c>
      <c r="W2895" s="17">
        <f t="shared" si="92"/>
        <v>0</v>
      </c>
      <c r="X2895" s="5">
        <f t="shared" si="93"/>
        <v>0</v>
      </c>
    </row>
    <row r="2896" spans="1:24" x14ac:dyDescent="0.25">
      <c r="A2896" s="17"/>
      <c r="B2896" s="17"/>
      <c r="C2896" s="17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8">
        <v>0</v>
      </c>
      <c r="W2896" s="17">
        <f t="shared" si="92"/>
        <v>0</v>
      </c>
      <c r="X2896" s="5">
        <f t="shared" si="93"/>
        <v>0</v>
      </c>
    </row>
    <row r="2897" spans="1:24" x14ac:dyDescent="0.25">
      <c r="A2897" s="17"/>
      <c r="B2897" s="17"/>
      <c r="C2897" s="17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8">
        <v>0</v>
      </c>
      <c r="W2897" s="17">
        <f t="shared" si="92"/>
        <v>0</v>
      </c>
      <c r="X2897" s="5">
        <f t="shared" si="93"/>
        <v>0</v>
      </c>
    </row>
    <row r="2898" spans="1:24" x14ac:dyDescent="0.25">
      <c r="A2898" s="17"/>
      <c r="B2898" s="17"/>
      <c r="C2898" s="17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8">
        <v>0</v>
      </c>
      <c r="W2898" s="17">
        <f t="shared" si="92"/>
        <v>0</v>
      </c>
      <c r="X2898" s="5">
        <f t="shared" si="93"/>
        <v>0</v>
      </c>
    </row>
    <row r="2899" spans="1:24" x14ac:dyDescent="0.25">
      <c r="A2899" s="17"/>
      <c r="B2899" s="17"/>
      <c r="C2899" s="17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8">
        <v>0</v>
      </c>
      <c r="W2899" s="17">
        <f t="shared" si="92"/>
        <v>0</v>
      </c>
      <c r="X2899" s="5">
        <f t="shared" si="93"/>
        <v>0</v>
      </c>
    </row>
    <row r="2900" spans="1:24" x14ac:dyDescent="0.25">
      <c r="A2900" s="17"/>
      <c r="B2900" s="17"/>
      <c r="C2900" s="17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8">
        <v>0</v>
      </c>
      <c r="W2900" s="17">
        <f t="shared" si="92"/>
        <v>0</v>
      </c>
      <c r="X2900" s="5">
        <f t="shared" si="93"/>
        <v>0</v>
      </c>
    </row>
    <row r="2901" spans="1:24" x14ac:dyDescent="0.25">
      <c r="A2901" s="17"/>
      <c r="B2901" s="17"/>
      <c r="C2901" s="17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/>
      <c r="V2901" s="18">
        <v>0</v>
      </c>
      <c r="W2901" s="17">
        <f t="shared" si="92"/>
        <v>0</v>
      </c>
      <c r="X2901" s="5">
        <f t="shared" si="93"/>
        <v>0</v>
      </c>
    </row>
    <row r="2902" spans="1:24" x14ac:dyDescent="0.25">
      <c r="A2902" s="17"/>
      <c r="B2902" s="17"/>
      <c r="C2902" s="17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  <c r="V2902" s="18">
        <v>0</v>
      </c>
      <c r="W2902" s="17">
        <f t="shared" si="92"/>
        <v>0</v>
      </c>
      <c r="X2902" s="5">
        <f t="shared" si="93"/>
        <v>0</v>
      </c>
    </row>
    <row r="2903" spans="1:24" x14ac:dyDescent="0.25">
      <c r="A2903" s="17"/>
      <c r="B2903" s="17"/>
      <c r="C2903" s="17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8">
        <v>0</v>
      </c>
      <c r="W2903" s="17">
        <f t="shared" si="92"/>
        <v>0</v>
      </c>
      <c r="X2903" s="5">
        <f t="shared" si="93"/>
        <v>0</v>
      </c>
    </row>
    <row r="2904" spans="1:24" x14ac:dyDescent="0.25">
      <c r="A2904" s="17"/>
      <c r="B2904" s="17"/>
      <c r="C2904" s="17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8">
        <v>0</v>
      </c>
      <c r="W2904" s="17">
        <f t="shared" si="92"/>
        <v>0</v>
      </c>
      <c r="X2904" s="5">
        <f t="shared" si="93"/>
        <v>0</v>
      </c>
    </row>
    <row r="2905" spans="1:24" x14ac:dyDescent="0.25">
      <c r="A2905" s="17"/>
      <c r="B2905" s="17"/>
      <c r="C2905" s="17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8">
        <v>0</v>
      </c>
      <c r="W2905" s="17">
        <f t="shared" si="92"/>
        <v>0</v>
      </c>
      <c r="X2905" s="5">
        <f t="shared" si="93"/>
        <v>0</v>
      </c>
    </row>
    <row r="2906" spans="1:24" x14ac:dyDescent="0.25">
      <c r="A2906" s="17"/>
      <c r="B2906" s="17"/>
      <c r="C2906" s="17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8">
        <v>0</v>
      </c>
      <c r="W2906" s="17">
        <f t="shared" si="92"/>
        <v>0</v>
      </c>
      <c r="X2906" s="5">
        <f t="shared" si="93"/>
        <v>0</v>
      </c>
    </row>
    <row r="2907" spans="1:24" x14ac:dyDescent="0.25">
      <c r="A2907" s="17"/>
      <c r="B2907" s="17"/>
      <c r="C2907" s="17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  <c r="N2907" s="17"/>
      <c r="O2907" s="17"/>
      <c r="P2907" s="17"/>
      <c r="Q2907" s="17"/>
      <c r="R2907" s="17"/>
      <c r="S2907" s="17"/>
      <c r="T2907" s="17"/>
      <c r="U2907" s="17"/>
      <c r="V2907" s="18">
        <v>0</v>
      </c>
      <c r="W2907" s="17">
        <f t="shared" si="92"/>
        <v>0</v>
      </c>
      <c r="X2907" s="5">
        <f t="shared" si="93"/>
        <v>0</v>
      </c>
    </row>
    <row r="2908" spans="1:24" x14ac:dyDescent="0.25">
      <c r="A2908" s="17"/>
      <c r="B2908" s="17"/>
      <c r="C2908" s="17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  <c r="N2908" s="17"/>
      <c r="O2908" s="17"/>
      <c r="P2908" s="17"/>
      <c r="Q2908" s="17"/>
      <c r="R2908" s="17"/>
      <c r="S2908" s="17"/>
      <c r="T2908" s="17"/>
      <c r="U2908" s="17"/>
      <c r="V2908" s="18">
        <v>0</v>
      </c>
      <c r="W2908" s="17">
        <f t="shared" si="92"/>
        <v>0</v>
      </c>
      <c r="X2908" s="5">
        <f t="shared" si="93"/>
        <v>0</v>
      </c>
    </row>
    <row r="2909" spans="1:24" x14ac:dyDescent="0.25">
      <c r="A2909" s="17"/>
      <c r="B2909" s="17"/>
      <c r="C2909" s="17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  <c r="N2909" s="17"/>
      <c r="O2909" s="17"/>
      <c r="P2909" s="17"/>
      <c r="Q2909" s="17"/>
      <c r="R2909" s="17"/>
      <c r="S2909" s="17"/>
      <c r="T2909" s="17"/>
      <c r="U2909" s="17"/>
      <c r="V2909" s="18">
        <v>0</v>
      </c>
      <c r="W2909" s="17">
        <f t="shared" si="92"/>
        <v>0</v>
      </c>
      <c r="X2909" s="5">
        <f t="shared" si="93"/>
        <v>0</v>
      </c>
    </row>
    <row r="2910" spans="1:24" x14ac:dyDescent="0.25">
      <c r="A2910" s="17"/>
      <c r="B2910" s="17"/>
      <c r="C2910" s="17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  <c r="N2910" s="17"/>
      <c r="O2910" s="17"/>
      <c r="P2910" s="17"/>
      <c r="Q2910" s="17"/>
      <c r="R2910" s="17"/>
      <c r="S2910" s="17"/>
      <c r="T2910" s="17"/>
      <c r="U2910" s="17"/>
      <c r="V2910" s="18">
        <v>0</v>
      </c>
      <c r="W2910" s="17">
        <f t="shared" si="92"/>
        <v>0</v>
      </c>
      <c r="X2910" s="5">
        <f t="shared" si="93"/>
        <v>0</v>
      </c>
    </row>
    <row r="2911" spans="1:24" x14ac:dyDescent="0.25">
      <c r="A2911" s="17"/>
      <c r="B2911" s="17"/>
      <c r="C2911" s="17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  <c r="N2911" s="17"/>
      <c r="O2911" s="17"/>
      <c r="P2911" s="17"/>
      <c r="Q2911" s="17"/>
      <c r="R2911" s="17"/>
      <c r="S2911" s="17"/>
      <c r="T2911" s="17"/>
      <c r="U2911" s="17"/>
      <c r="V2911" s="18">
        <v>0</v>
      </c>
      <c r="W2911" s="17">
        <f t="shared" si="92"/>
        <v>0</v>
      </c>
      <c r="X2911" s="5">
        <f t="shared" si="93"/>
        <v>0</v>
      </c>
    </row>
    <row r="2912" spans="1:24" x14ac:dyDescent="0.25">
      <c r="A2912" s="17"/>
      <c r="B2912" s="17"/>
      <c r="C2912" s="17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  <c r="N2912" s="17"/>
      <c r="O2912" s="17"/>
      <c r="P2912" s="17"/>
      <c r="Q2912" s="17"/>
      <c r="R2912" s="17"/>
      <c r="S2912" s="17"/>
      <c r="T2912" s="17"/>
      <c r="U2912" s="17"/>
      <c r="V2912" s="18">
        <v>0</v>
      </c>
      <c r="W2912" s="17">
        <f t="shared" si="92"/>
        <v>0</v>
      </c>
      <c r="X2912" s="5">
        <f t="shared" si="93"/>
        <v>0</v>
      </c>
    </row>
    <row r="2913" spans="1:24" x14ac:dyDescent="0.25">
      <c r="A2913" s="17"/>
      <c r="B2913" s="17"/>
      <c r="C2913" s="17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8">
        <v>0</v>
      </c>
      <c r="W2913" s="17">
        <f t="shared" si="92"/>
        <v>0</v>
      </c>
      <c r="X2913" s="5">
        <f t="shared" si="93"/>
        <v>0</v>
      </c>
    </row>
    <row r="2914" spans="1:24" x14ac:dyDescent="0.25">
      <c r="A2914" s="17"/>
      <c r="B2914" s="17"/>
      <c r="C2914" s="17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8">
        <v>0</v>
      </c>
      <c r="W2914" s="17">
        <f t="shared" si="92"/>
        <v>0</v>
      </c>
      <c r="X2914" s="5">
        <f t="shared" si="93"/>
        <v>0</v>
      </c>
    </row>
    <row r="2915" spans="1:24" x14ac:dyDescent="0.25">
      <c r="A2915" s="17"/>
      <c r="B2915" s="17"/>
      <c r="C2915" s="17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8">
        <v>0</v>
      </c>
      <c r="W2915" s="17">
        <f t="shared" si="92"/>
        <v>0</v>
      </c>
      <c r="X2915" s="5">
        <f t="shared" si="93"/>
        <v>0</v>
      </c>
    </row>
    <row r="2916" spans="1:24" x14ac:dyDescent="0.25">
      <c r="A2916" s="17"/>
      <c r="B2916" s="17"/>
      <c r="C2916" s="17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8">
        <v>0</v>
      </c>
      <c r="W2916" s="17">
        <f t="shared" si="92"/>
        <v>0</v>
      </c>
      <c r="X2916" s="5">
        <f t="shared" si="93"/>
        <v>0</v>
      </c>
    </row>
    <row r="2917" spans="1:24" x14ac:dyDescent="0.25">
      <c r="A2917" s="17"/>
      <c r="B2917" s="17"/>
      <c r="C2917" s="17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8">
        <v>0</v>
      </c>
      <c r="W2917" s="17">
        <f t="shared" si="92"/>
        <v>0</v>
      </c>
      <c r="X2917" s="5">
        <f t="shared" si="93"/>
        <v>0</v>
      </c>
    </row>
    <row r="2918" spans="1:24" x14ac:dyDescent="0.25">
      <c r="A2918" s="17"/>
      <c r="B2918" s="17"/>
      <c r="C2918" s="17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  <c r="N2918" s="17"/>
      <c r="O2918" s="17"/>
      <c r="P2918" s="17"/>
      <c r="Q2918" s="17"/>
      <c r="R2918" s="17"/>
      <c r="S2918" s="17"/>
      <c r="T2918" s="17"/>
      <c r="U2918" s="17"/>
      <c r="V2918" s="18">
        <v>0</v>
      </c>
      <c r="W2918" s="17">
        <f t="shared" si="92"/>
        <v>0</v>
      </c>
      <c r="X2918" s="5">
        <f t="shared" si="93"/>
        <v>0</v>
      </c>
    </row>
    <row r="2919" spans="1:24" x14ac:dyDescent="0.25">
      <c r="A2919" s="17"/>
      <c r="B2919" s="17"/>
      <c r="C2919" s="17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  <c r="N2919" s="17"/>
      <c r="O2919" s="17"/>
      <c r="P2919" s="17"/>
      <c r="Q2919" s="17"/>
      <c r="R2919" s="17"/>
      <c r="S2919" s="17"/>
      <c r="T2919" s="17"/>
      <c r="U2919" s="17"/>
      <c r="V2919" s="18">
        <v>0</v>
      </c>
      <c r="W2919" s="17">
        <f t="shared" si="92"/>
        <v>0</v>
      </c>
      <c r="X2919" s="5">
        <f t="shared" si="93"/>
        <v>0</v>
      </c>
    </row>
    <row r="2920" spans="1:24" x14ac:dyDescent="0.25">
      <c r="A2920" s="17"/>
      <c r="B2920" s="17"/>
      <c r="C2920" s="17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  <c r="N2920" s="17"/>
      <c r="O2920" s="17"/>
      <c r="P2920" s="17"/>
      <c r="Q2920" s="17"/>
      <c r="R2920" s="17"/>
      <c r="S2920" s="17"/>
      <c r="T2920" s="17"/>
      <c r="U2920" s="17"/>
      <c r="V2920" s="18">
        <v>0</v>
      </c>
      <c r="W2920" s="17">
        <f t="shared" si="92"/>
        <v>0</v>
      </c>
      <c r="X2920" s="5">
        <f t="shared" si="93"/>
        <v>0</v>
      </c>
    </row>
    <row r="2921" spans="1:24" x14ac:dyDescent="0.25">
      <c r="A2921" s="17"/>
      <c r="B2921" s="17"/>
      <c r="C2921" s="17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8">
        <v>0</v>
      </c>
      <c r="W2921" s="17">
        <f t="shared" si="92"/>
        <v>0</v>
      </c>
      <c r="X2921" s="5">
        <f t="shared" si="93"/>
        <v>0</v>
      </c>
    </row>
    <row r="2922" spans="1:24" x14ac:dyDescent="0.25">
      <c r="A2922" s="17"/>
      <c r="B2922" s="17"/>
      <c r="C2922" s="17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8">
        <v>0</v>
      </c>
      <c r="W2922" s="17">
        <f t="shared" si="92"/>
        <v>0</v>
      </c>
      <c r="X2922" s="5">
        <f t="shared" si="93"/>
        <v>0</v>
      </c>
    </row>
    <row r="2923" spans="1:24" x14ac:dyDescent="0.25">
      <c r="A2923" s="17"/>
      <c r="B2923" s="17"/>
      <c r="C2923" s="17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8">
        <v>0</v>
      </c>
      <c r="W2923" s="17">
        <f t="shared" si="92"/>
        <v>0</v>
      </c>
      <c r="X2923" s="5">
        <f t="shared" si="93"/>
        <v>0</v>
      </c>
    </row>
    <row r="2924" spans="1:24" x14ac:dyDescent="0.25">
      <c r="A2924" s="17"/>
      <c r="B2924" s="17"/>
      <c r="C2924" s="17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8">
        <v>0</v>
      </c>
      <c r="W2924" s="17">
        <f t="shared" si="92"/>
        <v>0</v>
      </c>
      <c r="X2924" s="5">
        <f t="shared" si="93"/>
        <v>0</v>
      </c>
    </row>
    <row r="2925" spans="1:24" x14ac:dyDescent="0.25">
      <c r="A2925" s="17"/>
      <c r="B2925" s="17"/>
      <c r="C2925" s="17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8">
        <v>0</v>
      </c>
      <c r="W2925" s="17">
        <f t="shared" si="92"/>
        <v>0</v>
      </c>
      <c r="X2925" s="5">
        <f t="shared" si="93"/>
        <v>0</v>
      </c>
    </row>
    <row r="2926" spans="1:24" x14ac:dyDescent="0.25">
      <c r="A2926" s="17"/>
      <c r="B2926" s="17"/>
      <c r="C2926" s="17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/>
      <c r="U2926" s="17"/>
      <c r="V2926" s="18">
        <v>0</v>
      </c>
      <c r="W2926" s="17">
        <f t="shared" si="92"/>
        <v>0</v>
      </c>
      <c r="X2926" s="5">
        <f t="shared" si="93"/>
        <v>0</v>
      </c>
    </row>
    <row r="2927" spans="1:24" x14ac:dyDescent="0.25">
      <c r="A2927" s="17"/>
      <c r="B2927" s="17"/>
      <c r="C2927" s="17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/>
      <c r="V2927" s="18">
        <v>0</v>
      </c>
      <c r="W2927" s="17">
        <f t="shared" si="92"/>
        <v>0</v>
      </c>
      <c r="X2927" s="5">
        <f t="shared" si="93"/>
        <v>0</v>
      </c>
    </row>
    <row r="2928" spans="1:24" x14ac:dyDescent="0.25">
      <c r="A2928" s="17"/>
      <c r="B2928" s="17"/>
      <c r="C2928" s="17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/>
      <c r="V2928" s="18">
        <v>0</v>
      </c>
      <c r="W2928" s="17">
        <f t="shared" si="92"/>
        <v>0</v>
      </c>
      <c r="X2928" s="5">
        <f t="shared" si="93"/>
        <v>0</v>
      </c>
    </row>
    <row r="2929" spans="1:24" x14ac:dyDescent="0.25">
      <c r="A2929" s="17"/>
      <c r="B2929" s="17"/>
      <c r="C2929" s="17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  <c r="N2929" s="17"/>
      <c r="O2929" s="17"/>
      <c r="P2929" s="17"/>
      <c r="Q2929" s="17"/>
      <c r="R2929" s="17"/>
      <c r="S2929" s="17"/>
      <c r="T2929" s="17"/>
      <c r="U2929" s="17"/>
      <c r="V2929" s="18">
        <v>0</v>
      </c>
      <c r="W2929" s="17">
        <f t="shared" si="92"/>
        <v>0</v>
      </c>
      <c r="X2929" s="5">
        <f t="shared" si="93"/>
        <v>0</v>
      </c>
    </row>
    <row r="2930" spans="1:24" x14ac:dyDescent="0.25">
      <c r="A2930" s="17"/>
      <c r="B2930" s="17"/>
      <c r="C2930" s="17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  <c r="N2930" s="17"/>
      <c r="O2930" s="17"/>
      <c r="P2930" s="17"/>
      <c r="Q2930" s="17"/>
      <c r="R2930" s="17"/>
      <c r="S2930" s="17"/>
      <c r="T2930" s="17"/>
      <c r="U2930" s="17"/>
      <c r="V2930" s="18">
        <v>0</v>
      </c>
      <c r="W2930" s="17">
        <f t="shared" si="92"/>
        <v>0</v>
      </c>
      <c r="X2930" s="5">
        <f t="shared" si="93"/>
        <v>0</v>
      </c>
    </row>
    <row r="2931" spans="1:24" x14ac:dyDescent="0.25">
      <c r="A2931" s="17"/>
      <c r="B2931" s="17"/>
      <c r="C2931" s="17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  <c r="N2931" s="17"/>
      <c r="O2931" s="17"/>
      <c r="P2931" s="17"/>
      <c r="Q2931" s="17"/>
      <c r="R2931" s="17"/>
      <c r="S2931" s="17"/>
      <c r="T2931" s="17"/>
      <c r="U2931" s="17"/>
      <c r="V2931" s="18">
        <v>0</v>
      </c>
      <c r="W2931" s="17">
        <f t="shared" si="92"/>
        <v>0</v>
      </c>
      <c r="X2931" s="5">
        <f t="shared" si="93"/>
        <v>0</v>
      </c>
    </row>
    <row r="2932" spans="1:24" x14ac:dyDescent="0.25">
      <c r="A2932" s="17"/>
      <c r="B2932" s="17"/>
      <c r="C2932" s="17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8">
        <v>0</v>
      </c>
      <c r="W2932" s="17">
        <f t="shared" si="92"/>
        <v>0</v>
      </c>
      <c r="X2932" s="5">
        <f t="shared" si="93"/>
        <v>0</v>
      </c>
    </row>
    <row r="2933" spans="1:24" x14ac:dyDescent="0.25">
      <c r="A2933" s="17"/>
      <c r="B2933" s="17"/>
      <c r="C2933" s="17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8">
        <v>0</v>
      </c>
      <c r="W2933" s="17">
        <f t="shared" si="92"/>
        <v>0</v>
      </c>
      <c r="X2933" s="5">
        <f t="shared" si="93"/>
        <v>0</v>
      </c>
    </row>
    <row r="2934" spans="1:24" x14ac:dyDescent="0.25">
      <c r="A2934" s="17"/>
      <c r="B2934" s="17"/>
      <c r="C2934" s="17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/>
      <c r="V2934" s="18">
        <v>0</v>
      </c>
      <c r="W2934" s="17">
        <f t="shared" si="92"/>
        <v>0</v>
      </c>
      <c r="X2934" s="5">
        <f t="shared" si="93"/>
        <v>0</v>
      </c>
    </row>
    <row r="2935" spans="1:24" x14ac:dyDescent="0.25">
      <c r="A2935" s="17"/>
      <c r="B2935" s="17"/>
      <c r="C2935" s="17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/>
      <c r="V2935" s="18">
        <v>0</v>
      </c>
      <c r="W2935" s="17">
        <f t="shared" si="92"/>
        <v>0</v>
      </c>
      <c r="X2935" s="5">
        <f t="shared" si="93"/>
        <v>0</v>
      </c>
    </row>
    <row r="2936" spans="1:24" x14ac:dyDescent="0.25">
      <c r="A2936" s="17"/>
      <c r="B2936" s="17"/>
      <c r="C2936" s="17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8">
        <v>0</v>
      </c>
      <c r="W2936" s="17">
        <f t="shared" si="92"/>
        <v>0</v>
      </c>
      <c r="X2936" s="5">
        <f t="shared" si="93"/>
        <v>0</v>
      </c>
    </row>
    <row r="2937" spans="1:24" x14ac:dyDescent="0.25">
      <c r="A2937" s="17"/>
      <c r="B2937" s="17"/>
      <c r="C2937" s="17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8">
        <v>0</v>
      </c>
      <c r="W2937" s="17">
        <f t="shared" si="92"/>
        <v>0</v>
      </c>
      <c r="X2937" s="5">
        <f t="shared" si="93"/>
        <v>0</v>
      </c>
    </row>
    <row r="2938" spans="1:24" x14ac:dyDescent="0.25">
      <c r="A2938" s="17"/>
      <c r="B2938" s="17"/>
      <c r="C2938" s="17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/>
      <c r="V2938" s="18">
        <v>0</v>
      </c>
      <c r="W2938" s="17">
        <f t="shared" si="92"/>
        <v>0</v>
      </c>
      <c r="X2938" s="5">
        <f t="shared" si="93"/>
        <v>0</v>
      </c>
    </row>
    <row r="2939" spans="1:24" x14ac:dyDescent="0.25">
      <c r="A2939" s="17"/>
      <c r="B2939" s="17"/>
      <c r="C2939" s="17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8">
        <v>0</v>
      </c>
      <c r="W2939" s="17">
        <f t="shared" si="92"/>
        <v>0</v>
      </c>
      <c r="X2939" s="5">
        <f t="shared" si="93"/>
        <v>0</v>
      </c>
    </row>
    <row r="2940" spans="1:24" x14ac:dyDescent="0.25">
      <c r="A2940" s="17"/>
      <c r="B2940" s="17"/>
      <c r="C2940" s="17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/>
      <c r="U2940" s="17"/>
      <c r="V2940" s="18">
        <v>0</v>
      </c>
      <c r="W2940" s="17">
        <f t="shared" si="92"/>
        <v>0</v>
      </c>
      <c r="X2940" s="5">
        <f t="shared" si="93"/>
        <v>0</v>
      </c>
    </row>
    <row r="2941" spans="1:24" x14ac:dyDescent="0.25">
      <c r="A2941" s="17"/>
      <c r="B2941" s="17"/>
      <c r="C2941" s="17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/>
      <c r="V2941" s="18">
        <v>0</v>
      </c>
      <c r="W2941" s="17">
        <f t="shared" si="92"/>
        <v>0</v>
      </c>
      <c r="X2941" s="5">
        <f t="shared" si="93"/>
        <v>0</v>
      </c>
    </row>
    <row r="2942" spans="1:24" x14ac:dyDescent="0.25">
      <c r="A2942" s="17"/>
      <c r="B2942" s="17"/>
      <c r="C2942" s="17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/>
      <c r="V2942" s="18">
        <v>0</v>
      </c>
      <c r="W2942" s="17">
        <f t="shared" si="92"/>
        <v>0</v>
      </c>
      <c r="X2942" s="5">
        <f t="shared" si="93"/>
        <v>0</v>
      </c>
    </row>
    <row r="2943" spans="1:24" x14ac:dyDescent="0.25">
      <c r="A2943" s="17"/>
      <c r="B2943" s="17"/>
      <c r="C2943" s="17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8">
        <v>0</v>
      </c>
      <c r="W2943" s="17">
        <f t="shared" si="92"/>
        <v>0</v>
      </c>
      <c r="X2943" s="5">
        <f t="shared" si="93"/>
        <v>0</v>
      </c>
    </row>
    <row r="2944" spans="1:24" x14ac:dyDescent="0.25">
      <c r="A2944" s="17"/>
      <c r="B2944" s="17"/>
      <c r="C2944" s="17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  <c r="N2944" s="17"/>
      <c r="O2944" s="17"/>
      <c r="P2944" s="17"/>
      <c r="Q2944" s="17"/>
      <c r="R2944" s="17"/>
      <c r="S2944" s="17"/>
      <c r="T2944" s="17"/>
      <c r="U2944" s="17"/>
      <c r="V2944" s="18">
        <v>0</v>
      </c>
      <c r="W2944" s="17">
        <f t="shared" si="92"/>
        <v>0</v>
      </c>
      <c r="X2944" s="5">
        <f t="shared" si="93"/>
        <v>0</v>
      </c>
    </row>
    <row r="2945" spans="1:24" x14ac:dyDescent="0.25">
      <c r="A2945" s="17"/>
      <c r="B2945" s="17"/>
      <c r="C2945" s="17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  <c r="N2945" s="17"/>
      <c r="O2945" s="17"/>
      <c r="P2945" s="17"/>
      <c r="Q2945" s="17"/>
      <c r="R2945" s="17"/>
      <c r="S2945" s="17"/>
      <c r="T2945" s="17"/>
      <c r="U2945" s="17"/>
      <c r="V2945" s="18">
        <v>0</v>
      </c>
      <c r="W2945" s="17">
        <f t="shared" si="92"/>
        <v>0</v>
      </c>
      <c r="X2945" s="5">
        <f t="shared" si="93"/>
        <v>0</v>
      </c>
    </row>
    <row r="2946" spans="1:24" x14ac:dyDescent="0.25">
      <c r="A2946" s="17"/>
      <c r="B2946" s="17"/>
      <c r="C2946" s="17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  <c r="N2946" s="17"/>
      <c r="O2946" s="17"/>
      <c r="P2946" s="17"/>
      <c r="Q2946" s="17"/>
      <c r="R2946" s="17"/>
      <c r="S2946" s="17"/>
      <c r="T2946" s="17"/>
      <c r="U2946" s="17"/>
      <c r="V2946" s="18">
        <v>0</v>
      </c>
      <c r="W2946" s="17">
        <f t="shared" si="92"/>
        <v>0</v>
      </c>
      <c r="X2946" s="5">
        <f t="shared" si="93"/>
        <v>0</v>
      </c>
    </row>
    <row r="2947" spans="1:24" x14ac:dyDescent="0.25">
      <c r="A2947" s="17"/>
      <c r="B2947" s="17"/>
      <c r="C2947" s="17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  <c r="N2947" s="17"/>
      <c r="O2947" s="17"/>
      <c r="P2947" s="17"/>
      <c r="Q2947" s="17"/>
      <c r="R2947" s="17"/>
      <c r="S2947" s="17"/>
      <c r="T2947" s="17"/>
      <c r="U2947" s="17"/>
      <c r="V2947" s="18">
        <v>0</v>
      </c>
      <c r="W2947" s="17">
        <f t="shared" ref="W2947:W3010" si="94">HOUR(E2947)</f>
        <v>0</v>
      </c>
      <c r="X2947" s="5">
        <f t="shared" ref="X2947:X3010" si="95">IF(D2947=D2946,0,1)</f>
        <v>0</v>
      </c>
    </row>
    <row r="2948" spans="1:24" x14ac:dyDescent="0.25">
      <c r="A2948" s="17"/>
      <c r="B2948" s="17"/>
      <c r="C2948" s="17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  <c r="N2948" s="17"/>
      <c r="O2948" s="17"/>
      <c r="P2948" s="17"/>
      <c r="Q2948" s="17"/>
      <c r="R2948" s="17"/>
      <c r="S2948" s="17"/>
      <c r="T2948" s="17"/>
      <c r="U2948" s="17"/>
      <c r="V2948" s="18">
        <v>0</v>
      </c>
      <c r="W2948" s="17">
        <f t="shared" si="94"/>
        <v>0</v>
      </c>
      <c r="X2948" s="5">
        <f t="shared" si="95"/>
        <v>0</v>
      </c>
    </row>
    <row r="2949" spans="1:24" x14ac:dyDescent="0.25">
      <c r="A2949" s="17"/>
      <c r="B2949" s="17"/>
      <c r="C2949" s="17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  <c r="N2949" s="17"/>
      <c r="O2949" s="17"/>
      <c r="P2949" s="17"/>
      <c r="Q2949" s="17"/>
      <c r="R2949" s="17"/>
      <c r="S2949" s="17"/>
      <c r="T2949" s="17"/>
      <c r="U2949" s="17"/>
      <c r="V2949" s="18">
        <v>0</v>
      </c>
      <c r="W2949" s="17">
        <f t="shared" si="94"/>
        <v>0</v>
      </c>
      <c r="X2949" s="5">
        <f t="shared" si="95"/>
        <v>0</v>
      </c>
    </row>
    <row r="2950" spans="1:24" x14ac:dyDescent="0.25">
      <c r="A2950" s="17"/>
      <c r="B2950" s="17"/>
      <c r="C2950" s="17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/>
      <c r="V2950" s="18">
        <v>0</v>
      </c>
      <c r="W2950" s="17">
        <f t="shared" si="94"/>
        <v>0</v>
      </c>
      <c r="X2950" s="5">
        <f t="shared" si="95"/>
        <v>0</v>
      </c>
    </row>
    <row r="2951" spans="1:24" x14ac:dyDescent="0.25">
      <c r="A2951" s="17"/>
      <c r="B2951" s="17"/>
      <c r="C2951" s="17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8">
        <v>0</v>
      </c>
      <c r="W2951" s="17">
        <f t="shared" si="94"/>
        <v>0</v>
      </c>
      <c r="X2951" s="5">
        <f t="shared" si="95"/>
        <v>0</v>
      </c>
    </row>
    <row r="2952" spans="1:24" x14ac:dyDescent="0.25">
      <c r="A2952" s="17"/>
      <c r="B2952" s="17"/>
      <c r="C2952" s="17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/>
      <c r="U2952" s="17"/>
      <c r="V2952" s="18">
        <v>0</v>
      </c>
      <c r="W2952" s="17">
        <f t="shared" si="94"/>
        <v>0</v>
      </c>
      <c r="X2952" s="5">
        <f t="shared" si="95"/>
        <v>0</v>
      </c>
    </row>
    <row r="2953" spans="1:24" x14ac:dyDescent="0.25">
      <c r="A2953" s="17"/>
      <c r="B2953" s="17"/>
      <c r="C2953" s="17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8">
        <v>0</v>
      </c>
      <c r="W2953" s="17">
        <f t="shared" si="94"/>
        <v>0</v>
      </c>
      <c r="X2953" s="5">
        <f t="shared" si="95"/>
        <v>0</v>
      </c>
    </row>
    <row r="2954" spans="1:24" x14ac:dyDescent="0.25">
      <c r="A2954" s="17"/>
      <c r="B2954" s="17"/>
      <c r="C2954" s="17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/>
      <c r="V2954" s="18">
        <v>0</v>
      </c>
      <c r="W2954" s="17">
        <f t="shared" si="94"/>
        <v>0</v>
      </c>
      <c r="X2954" s="5">
        <f t="shared" si="95"/>
        <v>0</v>
      </c>
    </row>
    <row r="2955" spans="1:24" x14ac:dyDescent="0.25">
      <c r="A2955" s="17"/>
      <c r="B2955" s="17"/>
      <c r="C2955" s="17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8">
        <v>0</v>
      </c>
      <c r="W2955" s="17">
        <f t="shared" si="94"/>
        <v>0</v>
      </c>
      <c r="X2955" s="5">
        <f t="shared" si="95"/>
        <v>0</v>
      </c>
    </row>
    <row r="2956" spans="1:24" x14ac:dyDescent="0.25">
      <c r="A2956" s="17"/>
      <c r="B2956" s="17"/>
      <c r="C2956" s="17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8">
        <v>0</v>
      </c>
      <c r="W2956" s="17">
        <f t="shared" si="94"/>
        <v>0</v>
      </c>
      <c r="X2956" s="5">
        <f t="shared" si="95"/>
        <v>0</v>
      </c>
    </row>
    <row r="2957" spans="1:24" x14ac:dyDescent="0.25">
      <c r="A2957" s="17"/>
      <c r="B2957" s="17"/>
      <c r="C2957" s="17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8">
        <v>0</v>
      </c>
      <c r="W2957" s="17">
        <f t="shared" si="94"/>
        <v>0</v>
      </c>
      <c r="X2957" s="5">
        <f t="shared" si="95"/>
        <v>0</v>
      </c>
    </row>
    <row r="2958" spans="1:24" x14ac:dyDescent="0.25">
      <c r="A2958" s="17"/>
      <c r="B2958" s="17"/>
      <c r="C2958" s="17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/>
      <c r="V2958" s="18">
        <v>0</v>
      </c>
      <c r="W2958" s="17">
        <f t="shared" si="94"/>
        <v>0</v>
      </c>
      <c r="X2958" s="5">
        <f t="shared" si="95"/>
        <v>0</v>
      </c>
    </row>
    <row r="2959" spans="1:24" x14ac:dyDescent="0.25">
      <c r="A2959" s="17"/>
      <c r="B2959" s="17"/>
      <c r="C2959" s="17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8">
        <v>0</v>
      </c>
      <c r="W2959" s="17">
        <f t="shared" si="94"/>
        <v>0</v>
      </c>
      <c r="X2959" s="5">
        <f t="shared" si="95"/>
        <v>0</v>
      </c>
    </row>
    <row r="2960" spans="1:24" x14ac:dyDescent="0.25">
      <c r="A2960" s="17"/>
      <c r="B2960" s="17"/>
      <c r="C2960" s="17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/>
      <c r="V2960" s="18">
        <v>0</v>
      </c>
      <c r="W2960" s="17">
        <f t="shared" si="94"/>
        <v>0</v>
      </c>
      <c r="X2960" s="5">
        <f t="shared" si="95"/>
        <v>0</v>
      </c>
    </row>
    <row r="2961" spans="1:24" x14ac:dyDescent="0.25">
      <c r="A2961" s="17"/>
      <c r="B2961" s="17"/>
      <c r="C2961" s="17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8">
        <v>0</v>
      </c>
      <c r="W2961" s="17">
        <f t="shared" si="94"/>
        <v>0</v>
      </c>
      <c r="X2961" s="5">
        <f t="shared" si="95"/>
        <v>0</v>
      </c>
    </row>
    <row r="2962" spans="1:24" x14ac:dyDescent="0.25">
      <c r="A2962" s="17"/>
      <c r="B2962" s="17"/>
      <c r="C2962" s="17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/>
      <c r="V2962" s="18">
        <v>0</v>
      </c>
      <c r="W2962" s="17">
        <f t="shared" si="94"/>
        <v>0</v>
      </c>
      <c r="X2962" s="5">
        <f t="shared" si="95"/>
        <v>0</v>
      </c>
    </row>
    <row r="2963" spans="1:24" x14ac:dyDescent="0.25">
      <c r="A2963" s="17"/>
      <c r="B2963" s="17"/>
      <c r="C2963" s="17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8">
        <v>0</v>
      </c>
      <c r="W2963" s="17">
        <f t="shared" si="94"/>
        <v>0</v>
      </c>
      <c r="X2963" s="5">
        <f t="shared" si="95"/>
        <v>0</v>
      </c>
    </row>
    <row r="2964" spans="1:24" x14ac:dyDescent="0.25">
      <c r="A2964" s="17"/>
      <c r="B2964" s="17"/>
      <c r="C2964" s="17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  <c r="N2964" s="17"/>
      <c r="O2964" s="17"/>
      <c r="P2964" s="17"/>
      <c r="Q2964" s="17"/>
      <c r="R2964" s="17"/>
      <c r="S2964" s="17"/>
      <c r="T2964" s="17"/>
      <c r="U2964" s="17"/>
      <c r="V2964" s="18">
        <v>0</v>
      </c>
      <c r="W2964" s="17">
        <f t="shared" si="94"/>
        <v>0</v>
      </c>
      <c r="X2964" s="5">
        <f t="shared" si="95"/>
        <v>0</v>
      </c>
    </row>
    <row r="2965" spans="1:24" x14ac:dyDescent="0.25">
      <c r="A2965" s="17"/>
      <c r="B2965" s="17"/>
      <c r="C2965" s="17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  <c r="N2965" s="17"/>
      <c r="O2965" s="17"/>
      <c r="P2965" s="17"/>
      <c r="Q2965" s="17"/>
      <c r="R2965" s="17"/>
      <c r="S2965" s="17"/>
      <c r="T2965" s="17"/>
      <c r="U2965" s="17"/>
      <c r="V2965" s="18">
        <v>0</v>
      </c>
      <c r="W2965" s="17">
        <f t="shared" si="94"/>
        <v>0</v>
      </c>
      <c r="X2965" s="5">
        <f t="shared" si="95"/>
        <v>0</v>
      </c>
    </row>
    <row r="2966" spans="1:24" x14ac:dyDescent="0.25">
      <c r="A2966" s="17"/>
      <c r="B2966" s="17"/>
      <c r="C2966" s="17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  <c r="N2966" s="17"/>
      <c r="O2966" s="17"/>
      <c r="P2966" s="17"/>
      <c r="Q2966" s="17"/>
      <c r="R2966" s="17"/>
      <c r="S2966" s="17"/>
      <c r="T2966" s="17"/>
      <c r="U2966" s="17"/>
      <c r="V2966" s="18">
        <v>0</v>
      </c>
      <c r="W2966" s="17">
        <f t="shared" si="94"/>
        <v>0</v>
      </c>
      <c r="X2966" s="5">
        <f t="shared" si="95"/>
        <v>0</v>
      </c>
    </row>
    <row r="2967" spans="1:24" x14ac:dyDescent="0.25">
      <c r="A2967" s="17"/>
      <c r="B2967" s="17"/>
      <c r="C2967" s="17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  <c r="N2967" s="17"/>
      <c r="O2967" s="17"/>
      <c r="P2967" s="17"/>
      <c r="Q2967" s="17"/>
      <c r="R2967" s="17"/>
      <c r="S2967" s="17"/>
      <c r="T2967" s="17"/>
      <c r="U2967" s="17"/>
      <c r="V2967" s="18">
        <v>0</v>
      </c>
      <c r="W2967" s="17">
        <f t="shared" si="94"/>
        <v>0</v>
      </c>
      <c r="X2967" s="5">
        <f t="shared" si="95"/>
        <v>0</v>
      </c>
    </row>
    <row r="2968" spans="1:24" x14ac:dyDescent="0.25">
      <c r="A2968" s="17"/>
      <c r="B2968" s="17"/>
      <c r="C2968" s="17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  <c r="N2968" s="17"/>
      <c r="O2968" s="17"/>
      <c r="P2968" s="17"/>
      <c r="Q2968" s="17"/>
      <c r="R2968" s="17"/>
      <c r="S2968" s="17"/>
      <c r="T2968" s="17"/>
      <c r="U2968" s="17"/>
      <c r="V2968" s="18">
        <v>0</v>
      </c>
      <c r="W2968" s="17">
        <f t="shared" si="94"/>
        <v>0</v>
      </c>
      <c r="X2968" s="5">
        <f t="shared" si="95"/>
        <v>0</v>
      </c>
    </row>
    <row r="2969" spans="1:24" x14ac:dyDescent="0.25">
      <c r="A2969" s="17"/>
      <c r="B2969" s="17"/>
      <c r="C2969" s="17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  <c r="N2969" s="17"/>
      <c r="O2969" s="17"/>
      <c r="P2969" s="17"/>
      <c r="Q2969" s="17"/>
      <c r="R2969" s="17"/>
      <c r="S2969" s="17"/>
      <c r="T2969" s="17"/>
      <c r="U2969" s="17"/>
      <c r="V2969" s="18">
        <v>0</v>
      </c>
      <c r="W2969" s="17">
        <f t="shared" si="94"/>
        <v>0</v>
      </c>
      <c r="X2969" s="5">
        <f t="shared" si="95"/>
        <v>0</v>
      </c>
    </row>
    <row r="2970" spans="1:24" x14ac:dyDescent="0.25">
      <c r="A2970" s="17"/>
      <c r="B2970" s="17"/>
      <c r="C2970" s="17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  <c r="N2970" s="17"/>
      <c r="O2970" s="17"/>
      <c r="P2970" s="17"/>
      <c r="Q2970" s="17"/>
      <c r="R2970" s="17"/>
      <c r="S2970" s="17"/>
      <c r="T2970" s="17"/>
      <c r="U2970" s="17"/>
      <c r="V2970" s="18">
        <v>0</v>
      </c>
      <c r="W2970" s="17">
        <f t="shared" si="94"/>
        <v>0</v>
      </c>
      <c r="X2970" s="5">
        <f t="shared" si="95"/>
        <v>0</v>
      </c>
    </row>
    <row r="2971" spans="1:24" x14ac:dyDescent="0.25">
      <c r="A2971" s="17"/>
      <c r="B2971" s="17"/>
      <c r="C2971" s="17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  <c r="N2971" s="17"/>
      <c r="O2971" s="17"/>
      <c r="P2971" s="17"/>
      <c r="Q2971" s="17"/>
      <c r="R2971" s="17"/>
      <c r="S2971" s="17"/>
      <c r="T2971" s="17"/>
      <c r="U2971" s="17"/>
      <c r="V2971" s="18">
        <v>0</v>
      </c>
      <c r="W2971" s="17">
        <f t="shared" si="94"/>
        <v>0</v>
      </c>
      <c r="X2971" s="5">
        <f t="shared" si="95"/>
        <v>0</v>
      </c>
    </row>
    <row r="2972" spans="1:24" x14ac:dyDescent="0.25">
      <c r="A2972" s="17"/>
      <c r="B2972" s="17"/>
      <c r="C2972" s="17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  <c r="N2972" s="17"/>
      <c r="O2972" s="17"/>
      <c r="P2972" s="17"/>
      <c r="Q2972" s="17"/>
      <c r="R2972" s="17"/>
      <c r="S2972" s="17"/>
      <c r="T2972" s="17"/>
      <c r="U2972" s="17"/>
      <c r="V2972" s="18">
        <v>0</v>
      </c>
      <c r="W2972" s="17">
        <f t="shared" si="94"/>
        <v>0</v>
      </c>
      <c r="X2972" s="5">
        <f t="shared" si="95"/>
        <v>0</v>
      </c>
    </row>
    <row r="2973" spans="1:24" x14ac:dyDescent="0.25">
      <c r="A2973" s="17"/>
      <c r="B2973" s="17"/>
      <c r="C2973" s="17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  <c r="N2973" s="17"/>
      <c r="O2973" s="17"/>
      <c r="P2973" s="17"/>
      <c r="Q2973" s="17"/>
      <c r="R2973" s="17"/>
      <c r="S2973" s="17"/>
      <c r="T2973" s="17"/>
      <c r="U2973" s="17"/>
      <c r="V2973" s="18">
        <v>0</v>
      </c>
      <c r="W2973" s="17">
        <f t="shared" si="94"/>
        <v>0</v>
      </c>
      <c r="X2973" s="5">
        <f t="shared" si="95"/>
        <v>0</v>
      </c>
    </row>
    <row r="2974" spans="1:24" x14ac:dyDescent="0.25">
      <c r="A2974" s="17"/>
      <c r="B2974" s="17"/>
      <c r="C2974" s="17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  <c r="N2974" s="17"/>
      <c r="O2974" s="17"/>
      <c r="P2974" s="17"/>
      <c r="Q2974" s="17"/>
      <c r="R2974" s="17"/>
      <c r="S2974" s="17"/>
      <c r="T2974" s="17"/>
      <c r="U2974" s="17"/>
      <c r="V2974" s="18">
        <v>0</v>
      </c>
      <c r="W2974" s="17">
        <f t="shared" si="94"/>
        <v>0</v>
      </c>
      <c r="X2974" s="5">
        <f t="shared" si="95"/>
        <v>0</v>
      </c>
    </row>
    <row r="2975" spans="1:24" x14ac:dyDescent="0.25">
      <c r="A2975" s="17"/>
      <c r="B2975" s="17"/>
      <c r="C2975" s="17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  <c r="N2975" s="17"/>
      <c r="O2975" s="17"/>
      <c r="P2975" s="17"/>
      <c r="Q2975" s="17"/>
      <c r="R2975" s="17"/>
      <c r="S2975" s="17"/>
      <c r="T2975" s="17"/>
      <c r="U2975" s="17"/>
      <c r="V2975" s="18">
        <v>0</v>
      </c>
      <c r="W2975" s="17">
        <f t="shared" si="94"/>
        <v>0</v>
      </c>
      <c r="X2975" s="5">
        <f t="shared" si="95"/>
        <v>0</v>
      </c>
    </row>
    <row r="2976" spans="1:24" x14ac:dyDescent="0.25">
      <c r="A2976" s="17"/>
      <c r="B2976" s="17"/>
      <c r="C2976" s="17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/>
      <c r="U2976" s="17"/>
      <c r="V2976" s="18">
        <v>0</v>
      </c>
      <c r="W2976" s="17">
        <f t="shared" si="94"/>
        <v>0</v>
      </c>
      <c r="X2976" s="5">
        <f t="shared" si="95"/>
        <v>0</v>
      </c>
    </row>
    <row r="2977" spans="1:24" x14ac:dyDescent="0.25">
      <c r="A2977" s="17"/>
      <c r="B2977" s="17"/>
      <c r="C2977" s="17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  <c r="N2977" s="17"/>
      <c r="O2977" s="17"/>
      <c r="P2977" s="17"/>
      <c r="Q2977" s="17"/>
      <c r="R2977" s="17"/>
      <c r="S2977" s="17"/>
      <c r="T2977" s="17"/>
      <c r="U2977" s="17"/>
      <c r="V2977" s="18">
        <v>0</v>
      </c>
      <c r="W2977" s="17">
        <f t="shared" si="94"/>
        <v>0</v>
      </c>
      <c r="X2977" s="5">
        <f t="shared" si="95"/>
        <v>0</v>
      </c>
    </row>
    <row r="2978" spans="1:24" x14ac:dyDescent="0.25">
      <c r="A2978" s="17"/>
      <c r="B2978" s="17"/>
      <c r="C2978" s="17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  <c r="N2978" s="17"/>
      <c r="O2978" s="17"/>
      <c r="P2978" s="17"/>
      <c r="Q2978" s="17"/>
      <c r="R2978" s="17"/>
      <c r="S2978" s="17"/>
      <c r="T2978" s="17"/>
      <c r="U2978" s="17"/>
      <c r="V2978" s="18">
        <v>0</v>
      </c>
      <c r="W2978" s="17">
        <f t="shared" si="94"/>
        <v>0</v>
      </c>
      <c r="X2978" s="5">
        <f t="shared" si="95"/>
        <v>0</v>
      </c>
    </row>
    <row r="2979" spans="1:24" x14ac:dyDescent="0.25">
      <c r="A2979" s="17"/>
      <c r="B2979" s="17"/>
      <c r="C2979" s="17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  <c r="N2979" s="17"/>
      <c r="O2979" s="17"/>
      <c r="P2979" s="17"/>
      <c r="Q2979" s="17"/>
      <c r="R2979" s="17"/>
      <c r="S2979" s="17"/>
      <c r="T2979" s="17"/>
      <c r="U2979" s="17"/>
      <c r="V2979" s="18">
        <v>0</v>
      </c>
      <c r="W2979" s="17">
        <f t="shared" si="94"/>
        <v>0</v>
      </c>
      <c r="X2979" s="5">
        <f t="shared" si="95"/>
        <v>0</v>
      </c>
    </row>
    <row r="2980" spans="1:24" x14ac:dyDescent="0.25">
      <c r="A2980" s="17"/>
      <c r="B2980" s="17"/>
      <c r="C2980" s="17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8">
        <v>0</v>
      </c>
      <c r="W2980" s="17">
        <f t="shared" si="94"/>
        <v>0</v>
      </c>
      <c r="X2980" s="5">
        <f t="shared" si="95"/>
        <v>0</v>
      </c>
    </row>
    <row r="2981" spans="1:24" x14ac:dyDescent="0.25">
      <c r="A2981" s="17"/>
      <c r="B2981" s="17"/>
      <c r="C2981" s="17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8">
        <v>0</v>
      </c>
      <c r="W2981" s="17">
        <f t="shared" si="94"/>
        <v>0</v>
      </c>
      <c r="X2981" s="5">
        <f t="shared" si="95"/>
        <v>0</v>
      </c>
    </row>
    <row r="2982" spans="1:24" x14ac:dyDescent="0.25">
      <c r="A2982" s="17"/>
      <c r="B2982" s="17"/>
      <c r="C2982" s="17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8">
        <v>0</v>
      </c>
      <c r="W2982" s="17">
        <f t="shared" si="94"/>
        <v>0</v>
      </c>
      <c r="X2982" s="5">
        <f t="shared" si="95"/>
        <v>0</v>
      </c>
    </row>
    <row r="2983" spans="1:24" x14ac:dyDescent="0.25">
      <c r="A2983" s="17"/>
      <c r="B2983" s="17"/>
      <c r="C2983" s="17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8">
        <v>0</v>
      </c>
      <c r="W2983" s="17">
        <f t="shared" si="94"/>
        <v>0</v>
      </c>
      <c r="X2983" s="5">
        <f t="shared" si="95"/>
        <v>0</v>
      </c>
    </row>
    <row r="2984" spans="1:24" x14ac:dyDescent="0.25">
      <c r="A2984" s="17"/>
      <c r="B2984" s="17"/>
      <c r="C2984" s="17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8">
        <v>0</v>
      </c>
      <c r="W2984" s="17">
        <f t="shared" si="94"/>
        <v>0</v>
      </c>
      <c r="X2984" s="5">
        <f t="shared" si="95"/>
        <v>0</v>
      </c>
    </row>
    <row r="2985" spans="1:24" x14ac:dyDescent="0.25">
      <c r="A2985" s="17"/>
      <c r="B2985" s="17"/>
      <c r="C2985" s="17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/>
      <c r="V2985" s="18">
        <v>0</v>
      </c>
      <c r="W2985" s="17">
        <f t="shared" si="94"/>
        <v>0</v>
      </c>
      <c r="X2985" s="5">
        <f t="shared" si="95"/>
        <v>0</v>
      </c>
    </row>
    <row r="2986" spans="1:24" x14ac:dyDescent="0.25">
      <c r="A2986" s="17"/>
      <c r="B2986" s="17"/>
      <c r="C2986" s="17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  <c r="N2986" s="17"/>
      <c r="O2986" s="17"/>
      <c r="P2986" s="17"/>
      <c r="Q2986" s="17"/>
      <c r="R2986" s="17"/>
      <c r="S2986" s="17"/>
      <c r="T2986" s="17"/>
      <c r="U2986" s="17"/>
      <c r="V2986" s="18">
        <v>0</v>
      </c>
      <c r="W2986" s="17">
        <f t="shared" si="94"/>
        <v>0</v>
      </c>
      <c r="X2986" s="5">
        <f t="shared" si="95"/>
        <v>0</v>
      </c>
    </row>
    <row r="2987" spans="1:24" x14ac:dyDescent="0.25">
      <c r="A2987" s="17"/>
      <c r="B2987" s="17"/>
      <c r="C2987" s="17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  <c r="N2987" s="17"/>
      <c r="O2987" s="17"/>
      <c r="P2987" s="17"/>
      <c r="Q2987" s="17"/>
      <c r="R2987" s="17"/>
      <c r="S2987" s="17"/>
      <c r="T2987" s="17"/>
      <c r="U2987" s="17"/>
      <c r="V2987" s="18">
        <v>0</v>
      </c>
      <c r="W2987" s="17">
        <f t="shared" si="94"/>
        <v>0</v>
      </c>
      <c r="X2987" s="5">
        <f t="shared" si="95"/>
        <v>0</v>
      </c>
    </row>
    <row r="2988" spans="1:24" x14ac:dyDescent="0.25">
      <c r="A2988" s="17"/>
      <c r="B2988" s="17"/>
      <c r="C2988" s="17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  <c r="N2988" s="17"/>
      <c r="O2988" s="17"/>
      <c r="P2988" s="17"/>
      <c r="Q2988" s="17"/>
      <c r="R2988" s="17"/>
      <c r="S2988" s="17"/>
      <c r="T2988" s="17"/>
      <c r="U2988" s="17"/>
      <c r="V2988" s="18">
        <v>0</v>
      </c>
      <c r="W2988" s="17">
        <f t="shared" si="94"/>
        <v>0</v>
      </c>
      <c r="X2988" s="5">
        <f t="shared" si="95"/>
        <v>0</v>
      </c>
    </row>
    <row r="2989" spans="1:24" x14ac:dyDescent="0.25">
      <c r="A2989" s="17"/>
      <c r="B2989" s="17"/>
      <c r="C2989" s="17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8">
        <v>0</v>
      </c>
      <c r="W2989" s="17">
        <f t="shared" si="94"/>
        <v>0</v>
      </c>
      <c r="X2989" s="5">
        <f t="shared" si="95"/>
        <v>0</v>
      </c>
    </row>
    <row r="2990" spans="1:24" x14ac:dyDescent="0.25">
      <c r="A2990" s="17"/>
      <c r="B2990" s="17"/>
      <c r="C2990" s="17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/>
      <c r="V2990" s="18">
        <v>0</v>
      </c>
      <c r="W2990" s="17">
        <f t="shared" si="94"/>
        <v>0</v>
      </c>
      <c r="X2990" s="5">
        <f t="shared" si="95"/>
        <v>0</v>
      </c>
    </row>
    <row r="2991" spans="1:24" x14ac:dyDescent="0.25">
      <c r="A2991" s="17"/>
      <c r="B2991" s="17"/>
      <c r="C2991" s="17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8">
        <v>0</v>
      </c>
      <c r="W2991" s="17">
        <f t="shared" si="94"/>
        <v>0</v>
      </c>
      <c r="X2991" s="5">
        <f t="shared" si="95"/>
        <v>0</v>
      </c>
    </row>
    <row r="2992" spans="1:24" x14ac:dyDescent="0.25">
      <c r="A2992" s="17"/>
      <c r="B2992" s="17"/>
      <c r="C2992" s="17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8">
        <v>0</v>
      </c>
      <c r="W2992" s="17">
        <f t="shared" si="94"/>
        <v>0</v>
      </c>
      <c r="X2992" s="5">
        <f t="shared" si="95"/>
        <v>0</v>
      </c>
    </row>
    <row r="2993" spans="1:24" x14ac:dyDescent="0.25">
      <c r="A2993" s="17"/>
      <c r="B2993" s="17"/>
      <c r="C2993" s="17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8">
        <v>0</v>
      </c>
      <c r="W2993" s="17">
        <f t="shared" si="94"/>
        <v>0</v>
      </c>
      <c r="X2993" s="5">
        <f t="shared" si="95"/>
        <v>0</v>
      </c>
    </row>
    <row r="2994" spans="1:24" x14ac:dyDescent="0.25">
      <c r="A2994" s="17"/>
      <c r="B2994" s="17"/>
      <c r="C2994" s="17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  <c r="N2994" s="17"/>
      <c r="O2994" s="17"/>
      <c r="P2994" s="17"/>
      <c r="Q2994" s="17"/>
      <c r="R2994" s="17"/>
      <c r="S2994" s="17"/>
      <c r="T2994" s="17"/>
      <c r="U2994" s="17"/>
      <c r="V2994" s="18">
        <v>0</v>
      </c>
      <c r="W2994" s="17">
        <f t="shared" si="94"/>
        <v>0</v>
      </c>
      <c r="X2994" s="5">
        <f t="shared" si="95"/>
        <v>0</v>
      </c>
    </row>
    <row r="2995" spans="1:24" x14ac:dyDescent="0.25">
      <c r="A2995" s="17"/>
      <c r="B2995" s="17"/>
      <c r="C2995" s="17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  <c r="N2995" s="17"/>
      <c r="O2995" s="17"/>
      <c r="P2995" s="17"/>
      <c r="Q2995" s="17"/>
      <c r="R2995" s="17"/>
      <c r="S2995" s="17"/>
      <c r="T2995" s="17"/>
      <c r="U2995" s="17"/>
      <c r="V2995" s="18">
        <v>0</v>
      </c>
      <c r="W2995" s="17">
        <f t="shared" si="94"/>
        <v>0</v>
      </c>
      <c r="X2995" s="5">
        <f t="shared" si="95"/>
        <v>0</v>
      </c>
    </row>
    <row r="2996" spans="1:24" x14ac:dyDescent="0.25">
      <c r="A2996" s="17"/>
      <c r="B2996" s="17"/>
      <c r="C2996" s="17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  <c r="N2996" s="17"/>
      <c r="O2996" s="17"/>
      <c r="P2996" s="17"/>
      <c r="Q2996" s="17"/>
      <c r="R2996" s="17"/>
      <c r="S2996" s="17"/>
      <c r="T2996" s="17"/>
      <c r="U2996" s="17"/>
      <c r="V2996" s="18">
        <v>0</v>
      </c>
      <c r="W2996" s="17">
        <f t="shared" si="94"/>
        <v>0</v>
      </c>
      <c r="X2996" s="5">
        <f t="shared" si="95"/>
        <v>0</v>
      </c>
    </row>
    <row r="2997" spans="1:24" x14ac:dyDescent="0.25">
      <c r="A2997" s="17"/>
      <c r="B2997" s="17"/>
      <c r="C2997" s="17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  <c r="N2997" s="17"/>
      <c r="O2997" s="17"/>
      <c r="P2997" s="17"/>
      <c r="Q2997" s="17"/>
      <c r="R2997" s="17"/>
      <c r="S2997" s="17"/>
      <c r="T2997" s="17"/>
      <c r="U2997" s="17"/>
      <c r="V2997" s="18">
        <v>0</v>
      </c>
      <c r="W2997" s="17">
        <f t="shared" si="94"/>
        <v>0</v>
      </c>
      <c r="X2997" s="5">
        <f t="shared" si="95"/>
        <v>0</v>
      </c>
    </row>
    <row r="2998" spans="1:24" x14ac:dyDescent="0.25">
      <c r="A2998" s="17"/>
      <c r="B2998" s="17"/>
      <c r="C2998" s="17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  <c r="N2998" s="17"/>
      <c r="O2998" s="17"/>
      <c r="P2998" s="17"/>
      <c r="Q2998" s="17"/>
      <c r="R2998" s="17"/>
      <c r="S2998" s="17"/>
      <c r="T2998" s="17"/>
      <c r="U2998" s="17"/>
      <c r="V2998" s="18">
        <v>0</v>
      </c>
      <c r="W2998" s="17">
        <f t="shared" si="94"/>
        <v>0</v>
      </c>
      <c r="X2998" s="5">
        <f t="shared" si="95"/>
        <v>0</v>
      </c>
    </row>
    <row r="2999" spans="1:24" x14ac:dyDescent="0.25">
      <c r="A2999" s="17"/>
      <c r="B2999" s="17"/>
      <c r="C2999" s="17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  <c r="N2999" s="17"/>
      <c r="O2999" s="17"/>
      <c r="P2999" s="17"/>
      <c r="Q2999" s="17"/>
      <c r="R2999" s="17"/>
      <c r="S2999" s="17"/>
      <c r="T2999" s="17"/>
      <c r="U2999" s="17"/>
      <c r="V2999" s="18">
        <v>0</v>
      </c>
      <c r="W2999" s="17">
        <f t="shared" si="94"/>
        <v>0</v>
      </c>
      <c r="X2999" s="5">
        <f t="shared" si="95"/>
        <v>0</v>
      </c>
    </row>
    <row r="3000" spans="1:24" x14ac:dyDescent="0.25">
      <c r="A3000" s="17"/>
      <c r="B3000" s="17"/>
      <c r="C3000" s="17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8">
        <v>0</v>
      </c>
      <c r="W3000" s="17">
        <f t="shared" si="94"/>
        <v>0</v>
      </c>
      <c r="X3000" s="5">
        <f t="shared" si="95"/>
        <v>0</v>
      </c>
    </row>
    <row r="3001" spans="1:24" x14ac:dyDescent="0.25">
      <c r="A3001" s="17"/>
      <c r="B3001" s="17"/>
      <c r="C3001" s="17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8">
        <v>0</v>
      </c>
      <c r="W3001" s="17">
        <f t="shared" si="94"/>
        <v>0</v>
      </c>
      <c r="X3001" s="5">
        <f t="shared" si="95"/>
        <v>0</v>
      </c>
    </row>
    <row r="3002" spans="1:24" x14ac:dyDescent="0.25">
      <c r="A3002" s="17"/>
      <c r="B3002" s="17"/>
      <c r="C3002" s="17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8">
        <v>0</v>
      </c>
      <c r="W3002" s="17">
        <f t="shared" si="94"/>
        <v>0</v>
      </c>
      <c r="X3002" s="5">
        <f t="shared" si="95"/>
        <v>0</v>
      </c>
    </row>
    <row r="3003" spans="1:24" x14ac:dyDescent="0.25">
      <c r="A3003" s="17"/>
      <c r="B3003" s="17"/>
      <c r="C3003" s="17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8">
        <v>0</v>
      </c>
      <c r="W3003" s="17">
        <f t="shared" si="94"/>
        <v>0</v>
      </c>
      <c r="X3003" s="5">
        <f t="shared" si="95"/>
        <v>0</v>
      </c>
    </row>
    <row r="3004" spans="1:24" x14ac:dyDescent="0.25">
      <c r="A3004" s="17"/>
      <c r="B3004" s="17"/>
      <c r="C3004" s="17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8">
        <v>0</v>
      </c>
      <c r="W3004" s="17">
        <f t="shared" si="94"/>
        <v>0</v>
      </c>
      <c r="X3004" s="5">
        <f t="shared" si="95"/>
        <v>0</v>
      </c>
    </row>
    <row r="3005" spans="1:24" x14ac:dyDescent="0.25">
      <c r="A3005" s="17"/>
      <c r="B3005" s="17"/>
      <c r="C3005" s="17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8">
        <v>0</v>
      </c>
      <c r="W3005" s="17">
        <f t="shared" si="94"/>
        <v>0</v>
      </c>
      <c r="X3005" s="5">
        <f t="shared" si="95"/>
        <v>0</v>
      </c>
    </row>
    <row r="3006" spans="1:24" x14ac:dyDescent="0.25">
      <c r="A3006" s="17"/>
      <c r="B3006" s="17"/>
      <c r="C3006" s="17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8">
        <v>0</v>
      </c>
      <c r="W3006" s="17">
        <f t="shared" si="94"/>
        <v>0</v>
      </c>
      <c r="X3006" s="5">
        <f t="shared" si="95"/>
        <v>0</v>
      </c>
    </row>
    <row r="3007" spans="1:24" x14ac:dyDescent="0.25">
      <c r="A3007" s="17"/>
      <c r="B3007" s="17"/>
      <c r="C3007" s="17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8">
        <v>0</v>
      </c>
      <c r="W3007" s="17">
        <f t="shared" si="94"/>
        <v>0</v>
      </c>
      <c r="X3007" s="5">
        <f t="shared" si="95"/>
        <v>0</v>
      </c>
    </row>
    <row r="3008" spans="1:24" x14ac:dyDescent="0.25">
      <c r="A3008" s="17"/>
      <c r="B3008" s="17"/>
      <c r="C3008" s="17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8">
        <v>0</v>
      </c>
      <c r="W3008" s="17">
        <f t="shared" si="94"/>
        <v>0</v>
      </c>
      <c r="X3008" s="5">
        <f t="shared" si="95"/>
        <v>0</v>
      </c>
    </row>
    <row r="3009" spans="1:24" x14ac:dyDescent="0.25">
      <c r="A3009" s="17"/>
      <c r="B3009" s="17"/>
      <c r="C3009" s="17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8">
        <v>0</v>
      </c>
      <c r="W3009" s="17">
        <f t="shared" si="94"/>
        <v>0</v>
      </c>
      <c r="X3009" s="5">
        <f t="shared" si="95"/>
        <v>0</v>
      </c>
    </row>
    <row r="3010" spans="1:24" x14ac:dyDescent="0.25">
      <c r="A3010" s="17"/>
      <c r="B3010" s="17"/>
      <c r="C3010" s="17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  <c r="N3010" s="17"/>
      <c r="O3010" s="17"/>
      <c r="P3010" s="17"/>
      <c r="Q3010" s="17"/>
      <c r="R3010" s="17"/>
      <c r="S3010" s="17"/>
      <c r="T3010" s="17"/>
      <c r="U3010" s="17"/>
      <c r="V3010" s="18">
        <v>0</v>
      </c>
      <c r="W3010" s="17">
        <f t="shared" si="94"/>
        <v>0</v>
      </c>
      <c r="X3010" s="5">
        <f t="shared" si="95"/>
        <v>0</v>
      </c>
    </row>
    <row r="3011" spans="1:24" x14ac:dyDescent="0.25">
      <c r="A3011" s="17"/>
      <c r="B3011" s="17"/>
      <c r="C3011" s="17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  <c r="N3011" s="17"/>
      <c r="O3011" s="17"/>
      <c r="P3011" s="17"/>
      <c r="Q3011" s="17"/>
      <c r="R3011" s="17"/>
      <c r="S3011" s="17"/>
      <c r="T3011" s="17"/>
      <c r="U3011" s="17"/>
      <c r="V3011" s="18">
        <v>0</v>
      </c>
      <c r="W3011" s="17">
        <f t="shared" ref="W3011:W3074" si="96">HOUR(E3011)</f>
        <v>0</v>
      </c>
      <c r="X3011" s="5">
        <f t="shared" ref="X3011:X3074" si="97">IF(D3011=D3010,0,1)</f>
        <v>0</v>
      </c>
    </row>
    <row r="3012" spans="1:24" x14ac:dyDescent="0.25">
      <c r="A3012" s="17"/>
      <c r="B3012" s="17"/>
      <c r="C3012" s="17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  <c r="N3012" s="17"/>
      <c r="O3012" s="17"/>
      <c r="P3012" s="17"/>
      <c r="Q3012" s="17"/>
      <c r="R3012" s="17"/>
      <c r="S3012" s="17"/>
      <c r="T3012" s="17"/>
      <c r="U3012" s="17"/>
      <c r="V3012" s="18">
        <v>0</v>
      </c>
      <c r="W3012" s="17">
        <f t="shared" si="96"/>
        <v>0</v>
      </c>
      <c r="X3012" s="5">
        <f t="shared" si="97"/>
        <v>0</v>
      </c>
    </row>
    <row r="3013" spans="1:24" x14ac:dyDescent="0.25">
      <c r="A3013" s="17"/>
      <c r="B3013" s="17"/>
      <c r="C3013" s="17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  <c r="N3013" s="17"/>
      <c r="O3013" s="17"/>
      <c r="P3013" s="17"/>
      <c r="Q3013" s="17"/>
      <c r="R3013" s="17"/>
      <c r="S3013" s="17"/>
      <c r="T3013" s="17"/>
      <c r="U3013" s="17"/>
      <c r="V3013" s="18">
        <v>0</v>
      </c>
      <c r="W3013" s="17">
        <f t="shared" si="96"/>
        <v>0</v>
      </c>
      <c r="X3013" s="5">
        <f t="shared" si="97"/>
        <v>0</v>
      </c>
    </row>
    <row r="3014" spans="1:24" x14ac:dyDescent="0.25">
      <c r="A3014" s="17"/>
      <c r="B3014" s="17"/>
      <c r="C3014" s="17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  <c r="N3014" s="17"/>
      <c r="O3014" s="17"/>
      <c r="P3014" s="17"/>
      <c r="Q3014" s="17"/>
      <c r="R3014" s="17"/>
      <c r="S3014" s="17"/>
      <c r="T3014" s="17"/>
      <c r="U3014" s="17"/>
      <c r="V3014" s="18">
        <v>0</v>
      </c>
      <c r="W3014" s="17">
        <f t="shared" si="96"/>
        <v>0</v>
      </c>
      <c r="X3014" s="5">
        <f t="shared" si="97"/>
        <v>0</v>
      </c>
    </row>
    <row r="3015" spans="1:24" x14ac:dyDescent="0.25">
      <c r="A3015" s="17"/>
      <c r="B3015" s="17"/>
      <c r="C3015" s="17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  <c r="N3015" s="17"/>
      <c r="O3015" s="17"/>
      <c r="P3015" s="17"/>
      <c r="Q3015" s="17"/>
      <c r="R3015" s="17"/>
      <c r="S3015" s="17"/>
      <c r="T3015" s="17"/>
      <c r="U3015" s="17"/>
      <c r="V3015" s="18">
        <v>0</v>
      </c>
      <c r="W3015" s="17">
        <f t="shared" si="96"/>
        <v>0</v>
      </c>
      <c r="X3015" s="5">
        <f t="shared" si="97"/>
        <v>0</v>
      </c>
    </row>
    <row r="3016" spans="1:24" x14ac:dyDescent="0.25">
      <c r="A3016" s="17"/>
      <c r="B3016" s="17"/>
      <c r="C3016" s="17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8">
        <v>0</v>
      </c>
      <c r="W3016" s="17">
        <f t="shared" si="96"/>
        <v>0</v>
      </c>
      <c r="X3016" s="5">
        <f t="shared" si="97"/>
        <v>0</v>
      </c>
    </row>
    <row r="3017" spans="1:24" x14ac:dyDescent="0.25">
      <c r="A3017" s="17"/>
      <c r="B3017" s="17"/>
      <c r="C3017" s="17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  <c r="N3017" s="17"/>
      <c r="O3017" s="17"/>
      <c r="P3017" s="17"/>
      <c r="Q3017" s="17"/>
      <c r="R3017" s="17"/>
      <c r="S3017" s="17"/>
      <c r="T3017" s="17"/>
      <c r="U3017" s="17"/>
      <c r="V3017" s="18">
        <v>0</v>
      </c>
      <c r="W3017" s="17">
        <f t="shared" si="96"/>
        <v>0</v>
      </c>
      <c r="X3017" s="5">
        <f t="shared" si="97"/>
        <v>0</v>
      </c>
    </row>
    <row r="3018" spans="1:24" x14ac:dyDescent="0.25">
      <c r="A3018" s="17"/>
      <c r="B3018" s="17"/>
      <c r="C3018" s="17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  <c r="N3018" s="17"/>
      <c r="O3018" s="17"/>
      <c r="P3018" s="17"/>
      <c r="Q3018" s="17"/>
      <c r="R3018" s="17"/>
      <c r="S3018" s="17"/>
      <c r="T3018" s="17"/>
      <c r="U3018" s="17"/>
      <c r="V3018" s="18">
        <v>0</v>
      </c>
      <c r="W3018" s="17">
        <f t="shared" si="96"/>
        <v>0</v>
      </c>
      <c r="X3018" s="5">
        <f t="shared" si="97"/>
        <v>0</v>
      </c>
    </row>
    <row r="3019" spans="1:24" x14ac:dyDescent="0.25">
      <c r="A3019" s="17"/>
      <c r="B3019" s="17"/>
      <c r="C3019" s="17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  <c r="N3019" s="17"/>
      <c r="O3019" s="17"/>
      <c r="P3019" s="17"/>
      <c r="Q3019" s="17"/>
      <c r="R3019" s="17"/>
      <c r="S3019" s="17"/>
      <c r="T3019" s="17"/>
      <c r="U3019" s="17"/>
      <c r="V3019" s="18">
        <v>0</v>
      </c>
      <c r="W3019" s="17">
        <f t="shared" si="96"/>
        <v>0</v>
      </c>
      <c r="X3019" s="5">
        <f t="shared" si="97"/>
        <v>0</v>
      </c>
    </row>
    <row r="3020" spans="1:24" x14ac:dyDescent="0.25">
      <c r="A3020" s="17"/>
      <c r="B3020" s="17"/>
      <c r="C3020" s="17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  <c r="N3020" s="17"/>
      <c r="O3020" s="17"/>
      <c r="P3020" s="17"/>
      <c r="Q3020" s="17"/>
      <c r="R3020" s="17"/>
      <c r="S3020" s="17"/>
      <c r="T3020" s="17"/>
      <c r="U3020" s="17"/>
      <c r="V3020" s="18">
        <v>0</v>
      </c>
      <c r="W3020" s="17">
        <f t="shared" si="96"/>
        <v>0</v>
      </c>
      <c r="X3020" s="5">
        <f t="shared" si="97"/>
        <v>0</v>
      </c>
    </row>
    <row r="3021" spans="1:24" x14ac:dyDescent="0.25">
      <c r="A3021" s="17"/>
      <c r="B3021" s="17"/>
      <c r="C3021" s="17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  <c r="N3021" s="17"/>
      <c r="O3021" s="17"/>
      <c r="P3021" s="17"/>
      <c r="Q3021" s="17"/>
      <c r="R3021" s="17"/>
      <c r="S3021" s="17"/>
      <c r="T3021" s="17"/>
      <c r="U3021" s="17"/>
      <c r="V3021" s="18">
        <v>0</v>
      </c>
      <c r="W3021" s="17">
        <f t="shared" si="96"/>
        <v>0</v>
      </c>
      <c r="X3021" s="5">
        <f t="shared" si="97"/>
        <v>0</v>
      </c>
    </row>
    <row r="3022" spans="1:24" x14ac:dyDescent="0.25">
      <c r="A3022" s="17"/>
      <c r="B3022" s="17"/>
      <c r="C3022" s="17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  <c r="N3022" s="17"/>
      <c r="O3022" s="17"/>
      <c r="P3022" s="17"/>
      <c r="Q3022" s="17"/>
      <c r="R3022" s="17"/>
      <c r="S3022" s="17"/>
      <c r="T3022" s="17"/>
      <c r="U3022" s="17"/>
      <c r="V3022" s="18">
        <v>0</v>
      </c>
      <c r="W3022" s="17">
        <f t="shared" si="96"/>
        <v>0</v>
      </c>
      <c r="X3022" s="5">
        <f t="shared" si="97"/>
        <v>0</v>
      </c>
    </row>
    <row r="3023" spans="1:24" x14ac:dyDescent="0.25">
      <c r="A3023" s="17"/>
      <c r="B3023" s="17"/>
      <c r="C3023" s="17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  <c r="N3023" s="17"/>
      <c r="O3023" s="17"/>
      <c r="P3023" s="17"/>
      <c r="Q3023" s="17"/>
      <c r="R3023" s="17"/>
      <c r="S3023" s="17"/>
      <c r="T3023" s="17"/>
      <c r="U3023" s="17"/>
      <c r="V3023" s="18">
        <v>0</v>
      </c>
      <c r="W3023" s="17">
        <f t="shared" si="96"/>
        <v>0</v>
      </c>
      <c r="X3023" s="5">
        <f t="shared" si="97"/>
        <v>0</v>
      </c>
    </row>
    <row r="3024" spans="1:24" x14ac:dyDescent="0.25">
      <c r="A3024" s="17"/>
      <c r="B3024" s="17"/>
      <c r="C3024" s="17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  <c r="N3024" s="17"/>
      <c r="O3024" s="17"/>
      <c r="P3024" s="17"/>
      <c r="Q3024" s="17"/>
      <c r="R3024" s="17"/>
      <c r="S3024" s="17"/>
      <c r="T3024" s="17"/>
      <c r="U3024" s="17"/>
      <c r="V3024" s="18">
        <v>0</v>
      </c>
      <c r="W3024" s="17">
        <f t="shared" si="96"/>
        <v>0</v>
      </c>
      <c r="X3024" s="5">
        <f t="shared" si="97"/>
        <v>0</v>
      </c>
    </row>
    <row r="3025" spans="1:24" x14ac:dyDescent="0.25">
      <c r="A3025" s="17"/>
      <c r="B3025" s="17"/>
      <c r="C3025" s="17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  <c r="N3025" s="17"/>
      <c r="O3025" s="17"/>
      <c r="P3025" s="17"/>
      <c r="Q3025" s="17"/>
      <c r="R3025" s="17"/>
      <c r="S3025" s="17"/>
      <c r="T3025" s="17"/>
      <c r="U3025" s="17"/>
      <c r="V3025" s="18">
        <v>0</v>
      </c>
      <c r="W3025" s="17">
        <f t="shared" si="96"/>
        <v>0</v>
      </c>
      <c r="X3025" s="5">
        <f t="shared" si="97"/>
        <v>0</v>
      </c>
    </row>
    <row r="3026" spans="1:24" x14ac:dyDescent="0.25">
      <c r="A3026" s="17"/>
      <c r="B3026" s="17"/>
      <c r="C3026" s="17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/>
      <c r="V3026" s="18">
        <v>0</v>
      </c>
      <c r="W3026" s="17">
        <f t="shared" si="96"/>
        <v>0</v>
      </c>
      <c r="X3026" s="5">
        <f t="shared" si="97"/>
        <v>0</v>
      </c>
    </row>
    <row r="3027" spans="1:24" x14ac:dyDescent="0.25">
      <c r="A3027" s="17"/>
      <c r="B3027" s="17"/>
      <c r="C3027" s="17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  <c r="N3027" s="17"/>
      <c r="O3027" s="17"/>
      <c r="P3027" s="17"/>
      <c r="Q3027" s="17"/>
      <c r="R3027" s="17"/>
      <c r="S3027" s="17"/>
      <c r="T3027" s="17"/>
      <c r="U3027" s="17"/>
      <c r="V3027" s="18">
        <v>0</v>
      </c>
      <c r="W3027" s="17">
        <f t="shared" si="96"/>
        <v>0</v>
      </c>
      <c r="X3027" s="5">
        <f t="shared" si="97"/>
        <v>0</v>
      </c>
    </row>
    <row r="3028" spans="1:24" x14ac:dyDescent="0.25">
      <c r="A3028" s="17"/>
      <c r="B3028" s="17"/>
      <c r="C3028" s="17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  <c r="N3028" s="17"/>
      <c r="O3028" s="17"/>
      <c r="P3028" s="17"/>
      <c r="Q3028" s="17"/>
      <c r="R3028" s="17"/>
      <c r="S3028" s="17"/>
      <c r="T3028" s="17"/>
      <c r="U3028" s="17"/>
      <c r="V3028" s="18">
        <v>0</v>
      </c>
      <c r="W3028" s="17">
        <f t="shared" si="96"/>
        <v>0</v>
      </c>
      <c r="X3028" s="5">
        <f t="shared" si="97"/>
        <v>0</v>
      </c>
    </row>
    <row r="3029" spans="1:24" x14ac:dyDescent="0.25">
      <c r="A3029" s="17"/>
      <c r="B3029" s="17"/>
      <c r="C3029" s="17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  <c r="N3029" s="17"/>
      <c r="O3029" s="17"/>
      <c r="P3029" s="17"/>
      <c r="Q3029" s="17"/>
      <c r="R3029" s="17"/>
      <c r="S3029" s="17"/>
      <c r="T3029" s="17"/>
      <c r="U3029" s="17"/>
      <c r="V3029" s="18">
        <v>0</v>
      </c>
      <c r="W3029" s="17">
        <f t="shared" si="96"/>
        <v>0</v>
      </c>
      <c r="X3029" s="5">
        <f t="shared" si="97"/>
        <v>0</v>
      </c>
    </row>
    <row r="3030" spans="1:24" x14ac:dyDescent="0.25">
      <c r="A3030" s="17"/>
      <c r="B3030" s="17"/>
      <c r="C3030" s="17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  <c r="N3030" s="17"/>
      <c r="O3030" s="17"/>
      <c r="P3030" s="17"/>
      <c r="Q3030" s="17"/>
      <c r="R3030" s="17"/>
      <c r="S3030" s="17"/>
      <c r="T3030" s="17"/>
      <c r="U3030" s="17"/>
      <c r="V3030" s="18">
        <v>0</v>
      </c>
      <c r="W3030" s="17">
        <f t="shared" si="96"/>
        <v>0</v>
      </c>
      <c r="X3030" s="5">
        <f t="shared" si="97"/>
        <v>0</v>
      </c>
    </row>
    <row r="3031" spans="1:24" x14ac:dyDescent="0.25">
      <c r="A3031" s="17"/>
      <c r="B3031" s="17"/>
      <c r="C3031" s="17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  <c r="N3031" s="17"/>
      <c r="O3031" s="17"/>
      <c r="P3031" s="17"/>
      <c r="Q3031" s="17"/>
      <c r="R3031" s="17"/>
      <c r="S3031" s="17"/>
      <c r="T3031" s="17"/>
      <c r="U3031" s="17"/>
      <c r="V3031" s="18">
        <v>0</v>
      </c>
      <c r="W3031" s="17">
        <f t="shared" si="96"/>
        <v>0</v>
      </c>
      <c r="X3031" s="5">
        <f t="shared" si="97"/>
        <v>0</v>
      </c>
    </row>
    <row r="3032" spans="1:24" x14ac:dyDescent="0.25">
      <c r="A3032" s="17"/>
      <c r="B3032" s="17"/>
      <c r="C3032" s="17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  <c r="N3032" s="17"/>
      <c r="O3032" s="17"/>
      <c r="P3032" s="17"/>
      <c r="Q3032" s="17"/>
      <c r="R3032" s="17"/>
      <c r="S3032" s="17"/>
      <c r="T3032" s="17"/>
      <c r="U3032" s="17"/>
      <c r="V3032" s="18">
        <v>0</v>
      </c>
      <c r="W3032" s="17">
        <f t="shared" si="96"/>
        <v>0</v>
      </c>
      <c r="X3032" s="5">
        <f t="shared" si="97"/>
        <v>0</v>
      </c>
    </row>
    <row r="3033" spans="1:24" x14ac:dyDescent="0.25">
      <c r="A3033" s="17"/>
      <c r="B3033" s="17"/>
      <c r="C3033" s="17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8">
        <v>0</v>
      </c>
      <c r="W3033" s="17">
        <f t="shared" si="96"/>
        <v>0</v>
      </c>
      <c r="X3033" s="5">
        <f t="shared" si="97"/>
        <v>0</v>
      </c>
    </row>
    <row r="3034" spans="1:24" x14ac:dyDescent="0.25">
      <c r="A3034" s="17"/>
      <c r="B3034" s="17"/>
      <c r="C3034" s="17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/>
      <c r="V3034" s="18">
        <v>0</v>
      </c>
      <c r="W3034" s="17">
        <f t="shared" si="96"/>
        <v>0</v>
      </c>
      <c r="X3034" s="5">
        <f t="shared" si="97"/>
        <v>0</v>
      </c>
    </row>
    <row r="3035" spans="1:24" x14ac:dyDescent="0.25">
      <c r="A3035" s="17"/>
      <c r="B3035" s="17"/>
      <c r="C3035" s="17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8">
        <v>0</v>
      </c>
      <c r="W3035" s="17">
        <f t="shared" si="96"/>
        <v>0</v>
      </c>
      <c r="X3035" s="5">
        <f t="shared" si="97"/>
        <v>0</v>
      </c>
    </row>
    <row r="3036" spans="1:24" x14ac:dyDescent="0.25">
      <c r="A3036" s="17"/>
      <c r="B3036" s="17"/>
      <c r="C3036" s="17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/>
      <c r="V3036" s="18">
        <v>0</v>
      </c>
      <c r="W3036" s="17">
        <f t="shared" si="96"/>
        <v>0</v>
      </c>
      <c r="X3036" s="5">
        <f t="shared" si="97"/>
        <v>0</v>
      </c>
    </row>
    <row r="3037" spans="1:24" x14ac:dyDescent="0.25">
      <c r="A3037" s="17"/>
      <c r="B3037" s="17"/>
      <c r="C3037" s="17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8">
        <v>0</v>
      </c>
      <c r="W3037" s="17">
        <f t="shared" si="96"/>
        <v>0</v>
      </c>
      <c r="X3037" s="5">
        <f t="shared" si="97"/>
        <v>0</v>
      </c>
    </row>
    <row r="3038" spans="1:24" x14ac:dyDescent="0.25">
      <c r="A3038" s="17"/>
      <c r="B3038" s="17"/>
      <c r="C3038" s="17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/>
      <c r="V3038" s="18">
        <v>0</v>
      </c>
      <c r="W3038" s="17">
        <f t="shared" si="96"/>
        <v>0</v>
      </c>
      <c r="X3038" s="5">
        <f t="shared" si="97"/>
        <v>0</v>
      </c>
    </row>
    <row r="3039" spans="1:24" x14ac:dyDescent="0.25">
      <c r="A3039" s="17"/>
      <c r="B3039" s="17"/>
      <c r="C3039" s="17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8">
        <v>0</v>
      </c>
      <c r="W3039" s="17">
        <f t="shared" si="96"/>
        <v>0</v>
      </c>
      <c r="X3039" s="5">
        <f t="shared" si="97"/>
        <v>0</v>
      </c>
    </row>
    <row r="3040" spans="1:24" x14ac:dyDescent="0.25">
      <c r="A3040" s="17"/>
      <c r="B3040" s="17"/>
      <c r="C3040" s="17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/>
      <c r="V3040" s="18">
        <v>0</v>
      </c>
      <c r="W3040" s="17">
        <f t="shared" si="96"/>
        <v>0</v>
      </c>
      <c r="X3040" s="5">
        <f t="shared" si="97"/>
        <v>0</v>
      </c>
    </row>
    <row r="3041" spans="1:24" x14ac:dyDescent="0.25">
      <c r="A3041" s="17"/>
      <c r="B3041" s="17"/>
      <c r="C3041" s="17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/>
      <c r="V3041" s="18">
        <v>0</v>
      </c>
      <c r="W3041" s="17">
        <f t="shared" si="96"/>
        <v>0</v>
      </c>
      <c r="X3041" s="5">
        <f t="shared" si="97"/>
        <v>0</v>
      </c>
    </row>
    <row r="3042" spans="1:24" x14ac:dyDescent="0.25">
      <c r="A3042" s="17"/>
      <c r="B3042" s="17"/>
      <c r="C3042" s="17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  <c r="N3042" s="17"/>
      <c r="O3042" s="17"/>
      <c r="P3042" s="17"/>
      <c r="Q3042" s="17"/>
      <c r="R3042" s="17"/>
      <c r="S3042" s="17"/>
      <c r="T3042" s="17"/>
      <c r="U3042" s="17"/>
      <c r="V3042" s="18">
        <v>0</v>
      </c>
      <c r="W3042" s="17">
        <f t="shared" si="96"/>
        <v>0</v>
      </c>
      <c r="X3042" s="5">
        <f t="shared" si="97"/>
        <v>0</v>
      </c>
    </row>
    <row r="3043" spans="1:24" x14ac:dyDescent="0.25">
      <c r="A3043" s="17"/>
      <c r="B3043" s="17"/>
      <c r="C3043" s="17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  <c r="N3043" s="17"/>
      <c r="O3043" s="17"/>
      <c r="P3043" s="17"/>
      <c r="Q3043" s="17"/>
      <c r="R3043" s="17"/>
      <c r="S3043" s="17"/>
      <c r="T3043" s="17"/>
      <c r="U3043" s="17"/>
      <c r="V3043" s="18">
        <v>0</v>
      </c>
      <c r="W3043" s="17">
        <f t="shared" si="96"/>
        <v>0</v>
      </c>
      <c r="X3043" s="5">
        <f t="shared" si="97"/>
        <v>0</v>
      </c>
    </row>
    <row r="3044" spans="1:24" x14ac:dyDescent="0.25">
      <c r="A3044" s="17"/>
      <c r="B3044" s="17"/>
      <c r="C3044" s="17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  <c r="N3044" s="17"/>
      <c r="O3044" s="17"/>
      <c r="P3044" s="17"/>
      <c r="Q3044" s="17"/>
      <c r="R3044" s="17"/>
      <c r="S3044" s="17"/>
      <c r="T3044" s="17"/>
      <c r="U3044" s="17"/>
      <c r="V3044" s="18">
        <v>0</v>
      </c>
      <c r="W3044" s="17">
        <f t="shared" si="96"/>
        <v>0</v>
      </c>
      <c r="X3044" s="5">
        <f t="shared" si="97"/>
        <v>0</v>
      </c>
    </row>
    <row r="3045" spans="1:24" x14ac:dyDescent="0.25">
      <c r="A3045" s="17"/>
      <c r="B3045" s="17"/>
      <c r="C3045" s="17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/>
      <c r="V3045" s="18">
        <v>0</v>
      </c>
      <c r="W3045" s="17">
        <f t="shared" si="96"/>
        <v>0</v>
      </c>
      <c r="X3045" s="5">
        <f t="shared" si="97"/>
        <v>0</v>
      </c>
    </row>
    <row r="3046" spans="1:24" x14ac:dyDescent="0.25">
      <c r="A3046" s="17"/>
      <c r="B3046" s="17"/>
      <c r="C3046" s="17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8">
        <v>0</v>
      </c>
      <c r="W3046" s="17">
        <f t="shared" si="96"/>
        <v>0</v>
      </c>
      <c r="X3046" s="5">
        <f t="shared" si="97"/>
        <v>0</v>
      </c>
    </row>
    <row r="3047" spans="1:24" x14ac:dyDescent="0.25">
      <c r="A3047" s="17"/>
      <c r="B3047" s="17"/>
      <c r="C3047" s="17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8">
        <v>0</v>
      </c>
      <c r="W3047" s="17">
        <f t="shared" si="96"/>
        <v>0</v>
      </c>
      <c r="X3047" s="5">
        <f t="shared" si="97"/>
        <v>0</v>
      </c>
    </row>
    <row r="3048" spans="1:24" x14ac:dyDescent="0.25">
      <c r="A3048" s="17"/>
      <c r="B3048" s="17"/>
      <c r="C3048" s="17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8">
        <v>0</v>
      </c>
      <c r="W3048" s="17">
        <f t="shared" si="96"/>
        <v>0</v>
      </c>
      <c r="X3048" s="5">
        <f t="shared" si="97"/>
        <v>0</v>
      </c>
    </row>
    <row r="3049" spans="1:24" x14ac:dyDescent="0.25">
      <c r="A3049" s="17"/>
      <c r="B3049" s="17"/>
      <c r="C3049" s="17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8">
        <v>0</v>
      </c>
      <c r="W3049" s="17">
        <f t="shared" si="96"/>
        <v>0</v>
      </c>
      <c r="X3049" s="5">
        <f t="shared" si="97"/>
        <v>0</v>
      </c>
    </row>
    <row r="3050" spans="1:24" x14ac:dyDescent="0.25">
      <c r="A3050" s="17"/>
      <c r="B3050" s="17"/>
      <c r="C3050" s="17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/>
      <c r="V3050" s="18">
        <v>0</v>
      </c>
      <c r="W3050" s="17">
        <f t="shared" si="96"/>
        <v>0</v>
      </c>
      <c r="X3050" s="5">
        <f t="shared" si="97"/>
        <v>0</v>
      </c>
    </row>
    <row r="3051" spans="1:24" x14ac:dyDescent="0.25">
      <c r="A3051" s="17"/>
      <c r="B3051" s="17"/>
      <c r="C3051" s="17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8">
        <v>0</v>
      </c>
      <c r="W3051" s="17">
        <f t="shared" si="96"/>
        <v>0</v>
      </c>
      <c r="X3051" s="5">
        <f t="shared" si="97"/>
        <v>0</v>
      </c>
    </row>
    <row r="3052" spans="1:24" x14ac:dyDescent="0.25">
      <c r="A3052" s="17"/>
      <c r="B3052" s="17"/>
      <c r="C3052" s="17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8">
        <v>0</v>
      </c>
      <c r="W3052" s="17">
        <f t="shared" si="96"/>
        <v>0</v>
      </c>
      <c r="X3052" s="5">
        <f t="shared" si="97"/>
        <v>0</v>
      </c>
    </row>
    <row r="3053" spans="1:24" x14ac:dyDescent="0.25">
      <c r="A3053" s="17"/>
      <c r="B3053" s="17"/>
      <c r="C3053" s="17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8">
        <v>0</v>
      </c>
      <c r="W3053" s="17">
        <f t="shared" si="96"/>
        <v>0</v>
      </c>
      <c r="X3053" s="5">
        <f t="shared" si="97"/>
        <v>0</v>
      </c>
    </row>
    <row r="3054" spans="1:24" x14ac:dyDescent="0.25">
      <c r="A3054" s="17"/>
      <c r="B3054" s="17"/>
      <c r="C3054" s="17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8">
        <v>0</v>
      </c>
      <c r="W3054" s="17">
        <f t="shared" si="96"/>
        <v>0</v>
      </c>
      <c r="X3054" s="5">
        <f t="shared" si="97"/>
        <v>0</v>
      </c>
    </row>
    <row r="3055" spans="1:24" x14ac:dyDescent="0.25">
      <c r="A3055" s="17"/>
      <c r="B3055" s="17"/>
      <c r="C3055" s="17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8">
        <v>0</v>
      </c>
      <c r="W3055" s="17">
        <f t="shared" si="96"/>
        <v>0</v>
      </c>
      <c r="X3055" s="5">
        <f t="shared" si="97"/>
        <v>0</v>
      </c>
    </row>
    <row r="3056" spans="1:24" x14ac:dyDescent="0.25">
      <c r="A3056" s="17"/>
      <c r="B3056" s="17"/>
      <c r="C3056" s="17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8">
        <v>0</v>
      </c>
      <c r="W3056" s="17">
        <f t="shared" si="96"/>
        <v>0</v>
      </c>
      <c r="X3056" s="5">
        <f t="shared" si="97"/>
        <v>0</v>
      </c>
    </row>
    <row r="3057" spans="1:24" x14ac:dyDescent="0.25">
      <c r="A3057" s="17"/>
      <c r="B3057" s="17"/>
      <c r="C3057" s="17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8">
        <v>0</v>
      </c>
      <c r="W3057" s="17">
        <f t="shared" si="96"/>
        <v>0</v>
      </c>
      <c r="X3057" s="5">
        <f t="shared" si="97"/>
        <v>0</v>
      </c>
    </row>
    <row r="3058" spans="1:24" x14ac:dyDescent="0.25">
      <c r="A3058" s="17"/>
      <c r="B3058" s="17"/>
      <c r="C3058" s="17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  <c r="N3058" s="17"/>
      <c r="O3058" s="17"/>
      <c r="P3058" s="17"/>
      <c r="Q3058" s="17"/>
      <c r="R3058" s="17"/>
      <c r="S3058" s="17"/>
      <c r="T3058" s="17"/>
      <c r="U3058" s="17"/>
      <c r="V3058" s="18">
        <v>0</v>
      </c>
      <c r="W3058" s="17">
        <f t="shared" si="96"/>
        <v>0</v>
      </c>
      <c r="X3058" s="5">
        <f t="shared" si="97"/>
        <v>0</v>
      </c>
    </row>
    <row r="3059" spans="1:24" x14ac:dyDescent="0.25">
      <c r="A3059" s="17"/>
      <c r="B3059" s="17"/>
      <c r="C3059" s="17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  <c r="N3059" s="17"/>
      <c r="O3059" s="17"/>
      <c r="P3059" s="17"/>
      <c r="Q3059" s="17"/>
      <c r="R3059" s="17"/>
      <c r="S3059" s="17"/>
      <c r="T3059" s="17"/>
      <c r="U3059" s="17"/>
      <c r="V3059" s="18">
        <v>0</v>
      </c>
      <c r="W3059" s="17">
        <f t="shared" si="96"/>
        <v>0</v>
      </c>
      <c r="X3059" s="5">
        <f t="shared" si="97"/>
        <v>0</v>
      </c>
    </row>
    <row r="3060" spans="1:24" x14ac:dyDescent="0.25">
      <c r="A3060" s="17"/>
      <c r="B3060" s="17"/>
      <c r="C3060" s="17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  <c r="N3060" s="17"/>
      <c r="O3060" s="17"/>
      <c r="P3060" s="17"/>
      <c r="Q3060" s="17"/>
      <c r="R3060" s="17"/>
      <c r="S3060" s="17"/>
      <c r="T3060" s="17"/>
      <c r="U3060" s="17"/>
      <c r="V3060" s="18">
        <v>0</v>
      </c>
      <c r="W3060" s="17">
        <f t="shared" si="96"/>
        <v>0</v>
      </c>
      <c r="X3060" s="5">
        <f t="shared" si="97"/>
        <v>0</v>
      </c>
    </row>
    <row r="3061" spans="1:24" x14ac:dyDescent="0.25">
      <c r="A3061" s="17"/>
      <c r="B3061" s="17"/>
      <c r="C3061" s="17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8">
        <v>0</v>
      </c>
      <c r="W3061" s="17">
        <f t="shared" si="96"/>
        <v>0</v>
      </c>
      <c r="X3061" s="5">
        <f t="shared" si="97"/>
        <v>0</v>
      </c>
    </row>
    <row r="3062" spans="1:24" x14ac:dyDescent="0.25">
      <c r="A3062" s="17"/>
      <c r="B3062" s="17"/>
      <c r="C3062" s="17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8">
        <v>0</v>
      </c>
      <c r="W3062" s="17">
        <f t="shared" si="96"/>
        <v>0</v>
      </c>
      <c r="X3062" s="5">
        <f t="shared" si="97"/>
        <v>0</v>
      </c>
    </row>
    <row r="3063" spans="1:24" x14ac:dyDescent="0.25">
      <c r="A3063" s="17"/>
      <c r="B3063" s="17"/>
      <c r="C3063" s="17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8">
        <v>0</v>
      </c>
      <c r="W3063" s="17">
        <f t="shared" si="96"/>
        <v>0</v>
      </c>
      <c r="X3063" s="5">
        <f t="shared" si="97"/>
        <v>0</v>
      </c>
    </row>
    <row r="3064" spans="1:24" x14ac:dyDescent="0.25">
      <c r="A3064" s="17"/>
      <c r="B3064" s="17"/>
      <c r="C3064" s="17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8">
        <v>0</v>
      </c>
      <c r="W3064" s="17">
        <f t="shared" si="96"/>
        <v>0</v>
      </c>
      <c r="X3064" s="5">
        <f t="shared" si="97"/>
        <v>0</v>
      </c>
    </row>
    <row r="3065" spans="1:24" x14ac:dyDescent="0.25">
      <c r="A3065" s="17"/>
      <c r="B3065" s="17"/>
      <c r="C3065" s="17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8">
        <v>0</v>
      </c>
      <c r="W3065" s="17">
        <f t="shared" si="96"/>
        <v>0</v>
      </c>
      <c r="X3065" s="5">
        <f t="shared" si="97"/>
        <v>0</v>
      </c>
    </row>
    <row r="3066" spans="1:24" x14ac:dyDescent="0.25">
      <c r="A3066" s="17"/>
      <c r="B3066" s="17"/>
      <c r="C3066" s="17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/>
      <c r="V3066" s="18">
        <v>0</v>
      </c>
      <c r="W3066" s="17">
        <f t="shared" si="96"/>
        <v>0</v>
      </c>
      <c r="X3066" s="5">
        <f t="shared" si="97"/>
        <v>0</v>
      </c>
    </row>
    <row r="3067" spans="1:24" x14ac:dyDescent="0.25">
      <c r="A3067" s="17"/>
      <c r="B3067" s="17"/>
      <c r="C3067" s="17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8">
        <v>0</v>
      </c>
      <c r="W3067" s="17">
        <f t="shared" si="96"/>
        <v>0</v>
      </c>
      <c r="X3067" s="5">
        <f t="shared" si="97"/>
        <v>0</v>
      </c>
    </row>
    <row r="3068" spans="1:24" x14ac:dyDescent="0.25">
      <c r="A3068" s="17"/>
      <c r="B3068" s="17"/>
      <c r="C3068" s="17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/>
      <c r="V3068" s="18">
        <v>0</v>
      </c>
      <c r="W3068" s="17">
        <f t="shared" si="96"/>
        <v>0</v>
      </c>
      <c r="X3068" s="5">
        <f t="shared" si="97"/>
        <v>0</v>
      </c>
    </row>
    <row r="3069" spans="1:24" x14ac:dyDescent="0.25">
      <c r="A3069" s="17"/>
      <c r="B3069" s="17"/>
      <c r="C3069" s="17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  <c r="N3069" s="17"/>
      <c r="O3069" s="17"/>
      <c r="P3069" s="17"/>
      <c r="Q3069" s="17"/>
      <c r="R3069" s="17"/>
      <c r="S3069" s="17"/>
      <c r="T3069" s="17"/>
      <c r="U3069" s="17"/>
      <c r="V3069" s="18">
        <v>0</v>
      </c>
      <c r="W3069" s="17">
        <f t="shared" si="96"/>
        <v>0</v>
      </c>
      <c r="X3069" s="5">
        <f t="shared" si="97"/>
        <v>0</v>
      </c>
    </row>
    <row r="3070" spans="1:24" x14ac:dyDescent="0.25">
      <c r="A3070" s="17"/>
      <c r="B3070" s="17"/>
      <c r="C3070" s="17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/>
      <c r="U3070" s="17"/>
      <c r="V3070" s="18">
        <v>0</v>
      </c>
      <c r="W3070" s="17">
        <f t="shared" si="96"/>
        <v>0</v>
      </c>
      <c r="X3070" s="5">
        <f t="shared" si="97"/>
        <v>0</v>
      </c>
    </row>
    <row r="3071" spans="1:24" x14ac:dyDescent="0.25">
      <c r="A3071" s="17"/>
      <c r="B3071" s="17"/>
      <c r="C3071" s="17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8">
        <v>0</v>
      </c>
      <c r="W3071" s="17">
        <f t="shared" si="96"/>
        <v>0</v>
      </c>
      <c r="X3071" s="5">
        <f t="shared" si="97"/>
        <v>0</v>
      </c>
    </row>
    <row r="3072" spans="1:24" x14ac:dyDescent="0.25">
      <c r="A3072" s="17"/>
      <c r="B3072" s="17"/>
      <c r="C3072" s="17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8">
        <v>0</v>
      </c>
      <c r="W3072" s="17">
        <f t="shared" si="96"/>
        <v>0</v>
      </c>
      <c r="X3072" s="5">
        <f t="shared" si="97"/>
        <v>0</v>
      </c>
    </row>
    <row r="3073" spans="1:24" x14ac:dyDescent="0.25">
      <c r="A3073" s="17"/>
      <c r="B3073" s="17"/>
      <c r="C3073" s="17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8">
        <v>0</v>
      </c>
      <c r="W3073" s="17">
        <f t="shared" si="96"/>
        <v>0</v>
      </c>
      <c r="X3073" s="5">
        <f t="shared" si="97"/>
        <v>0</v>
      </c>
    </row>
    <row r="3074" spans="1:24" x14ac:dyDescent="0.25">
      <c r="A3074" s="17"/>
      <c r="B3074" s="17"/>
      <c r="C3074" s="17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/>
      <c r="V3074" s="18">
        <v>0</v>
      </c>
      <c r="W3074" s="17">
        <f t="shared" si="96"/>
        <v>0</v>
      </c>
      <c r="X3074" s="5">
        <f t="shared" si="97"/>
        <v>0</v>
      </c>
    </row>
    <row r="3075" spans="1:24" x14ac:dyDescent="0.25">
      <c r="A3075" s="17"/>
      <c r="B3075" s="17"/>
      <c r="C3075" s="17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8">
        <v>0</v>
      </c>
      <c r="W3075" s="17">
        <f t="shared" ref="W3075:W3138" si="98">HOUR(E3075)</f>
        <v>0</v>
      </c>
      <c r="X3075" s="5">
        <f t="shared" ref="X3075:X3138" si="99">IF(D3075=D3074,0,1)</f>
        <v>0</v>
      </c>
    </row>
    <row r="3076" spans="1:24" x14ac:dyDescent="0.25">
      <c r="A3076" s="17"/>
      <c r="B3076" s="17"/>
      <c r="C3076" s="17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  <c r="N3076" s="17"/>
      <c r="O3076" s="17"/>
      <c r="P3076" s="17"/>
      <c r="Q3076" s="17"/>
      <c r="R3076" s="17"/>
      <c r="S3076" s="17"/>
      <c r="T3076" s="17"/>
      <c r="U3076" s="17"/>
      <c r="V3076" s="18">
        <v>0</v>
      </c>
      <c r="W3076" s="17">
        <f t="shared" si="98"/>
        <v>0</v>
      </c>
      <c r="X3076" s="5">
        <f t="shared" si="99"/>
        <v>0</v>
      </c>
    </row>
    <row r="3077" spans="1:24" x14ac:dyDescent="0.25">
      <c r="A3077" s="17"/>
      <c r="B3077" s="17"/>
      <c r="C3077" s="17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  <c r="N3077" s="17"/>
      <c r="O3077" s="17"/>
      <c r="P3077" s="17"/>
      <c r="Q3077" s="17"/>
      <c r="R3077" s="17"/>
      <c r="S3077" s="17"/>
      <c r="T3077" s="17"/>
      <c r="U3077" s="17"/>
      <c r="V3077" s="18">
        <v>0</v>
      </c>
      <c r="W3077" s="17">
        <f t="shared" si="98"/>
        <v>0</v>
      </c>
      <c r="X3077" s="5">
        <f t="shared" si="99"/>
        <v>0</v>
      </c>
    </row>
    <row r="3078" spans="1:24" x14ac:dyDescent="0.25">
      <c r="A3078" s="17"/>
      <c r="B3078" s="17"/>
      <c r="C3078" s="17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  <c r="N3078" s="17"/>
      <c r="O3078" s="17"/>
      <c r="P3078" s="17"/>
      <c r="Q3078" s="17"/>
      <c r="R3078" s="17"/>
      <c r="S3078" s="17"/>
      <c r="T3078" s="17"/>
      <c r="U3078" s="17"/>
      <c r="V3078" s="18">
        <v>0</v>
      </c>
      <c r="W3078" s="17">
        <f t="shared" si="98"/>
        <v>0</v>
      </c>
      <c r="X3078" s="5">
        <f t="shared" si="99"/>
        <v>0</v>
      </c>
    </row>
    <row r="3079" spans="1:24" x14ac:dyDescent="0.25">
      <c r="A3079" s="17"/>
      <c r="B3079" s="17"/>
      <c r="C3079" s="17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8">
        <v>0</v>
      </c>
      <c r="W3079" s="17">
        <f t="shared" si="98"/>
        <v>0</v>
      </c>
      <c r="X3079" s="5">
        <f t="shared" si="99"/>
        <v>0</v>
      </c>
    </row>
    <row r="3080" spans="1:24" x14ac:dyDescent="0.25">
      <c r="A3080" s="17"/>
      <c r="B3080" s="17"/>
      <c r="C3080" s="17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/>
      <c r="V3080" s="18">
        <v>0</v>
      </c>
      <c r="W3080" s="17">
        <f t="shared" si="98"/>
        <v>0</v>
      </c>
      <c r="X3080" s="5">
        <f t="shared" si="99"/>
        <v>0</v>
      </c>
    </row>
    <row r="3081" spans="1:24" x14ac:dyDescent="0.25">
      <c r="A3081" s="17"/>
      <c r="B3081" s="17"/>
      <c r="C3081" s="17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8">
        <v>0</v>
      </c>
      <c r="W3081" s="17">
        <f t="shared" si="98"/>
        <v>0</v>
      </c>
      <c r="X3081" s="5">
        <f t="shared" si="99"/>
        <v>0</v>
      </c>
    </row>
    <row r="3082" spans="1:24" x14ac:dyDescent="0.25">
      <c r="A3082" s="17"/>
      <c r="B3082" s="17"/>
      <c r="C3082" s="17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8">
        <v>0</v>
      </c>
      <c r="W3082" s="17">
        <f t="shared" si="98"/>
        <v>0</v>
      </c>
      <c r="X3082" s="5">
        <f t="shared" si="99"/>
        <v>0</v>
      </c>
    </row>
    <row r="3083" spans="1:24" x14ac:dyDescent="0.25">
      <c r="A3083" s="17"/>
      <c r="B3083" s="17"/>
      <c r="C3083" s="17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  <c r="N3083" s="17"/>
      <c r="O3083" s="17"/>
      <c r="P3083" s="17"/>
      <c r="Q3083" s="17"/>
      <c r="R3083" s="17"/>
      <c r="S3083" s="17"/>
      <c r="T3083" s="17"/>
      <c r="U3083" s="17"/>
      <c r="V3083" s="18">
        <v>0</v>
      </c>
      <c r="W3083" s="17">
        <f t="shared" si="98"/>
        <v>0</v>
      </c>
      <c r="X3083" s="5">
        <f t="shared" si="99"/>
        <v>0</v>
      </c>
    </row>
    <row r="3084" spans="1:24" x14ac:dyDescent="0.25">
      <c r="A3084" s="17"/>
      <c r="B3084" s="17"/>
      <c r="C3084" s="17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  <c r="N3084" s="17"/>
      <c r="O3084" s="17"/>
      <c r="P3084" s="17"/>
      <c r="Q3084" s="17"/>
      <c r="R3084" s="17"/>
      <c r="S3084" s="17"/>
      <c r="T3084" s="17"/>
      <c r="U3084" s="17"/>
      <c r="V3084" s="18">
        <v>0</v>
      </c>
      <c r="W3084" s="17">
        <f t="shared" si="98"/>
        <v>0</v>
      </c>
      <c r="X3084" s="5">
        <f t="shared" si="99"/>
        <v>0</v>
      </c>
    </row>
    <row r="3085" spans="1:24" x14ac:dyDescent="0.25">
      <c r="A3085" s="17"/>
      <c r="B3085" s="17"/>
      <c r="C3085" s="17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  <c r="N3085" s="17"/>
      <c r="O3085" s="17"/>
      <c r="P3085" s="17"/>
      <c r="Q3085" s="17"/>
      <c r="R3085" s="17"/>
      <c r="S3085" s="17"/>
      <c r="T3085" s="17"/>
      <c r="U3085" s="17"/>
      <c r="V3085" s="18">
        <v>0</v>
      </c>
      <c r="W3085" s="17">
        <f t="shared" si="98"/>
        <v>0</v>
      </c>
      <c r="X3085" s="5">
        <f t="shared" si="99"/>
        <v>0</v>
      </c>
    </row>
    <row r="3086" spans="1:24" x14ac:dyDescent="0.25">
      <c r="A3086" s="17"/>
      <c r="B3086" s="17"/>
      <c r="C3086" s="17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8">
        <v>0</v>
      </c>
      <c r="W3086" s="17">
        <f t="shared" si="98"/>
        <v>0</v>
      </c>
      <c r="X3086" s="5">
        <f t="shared" si="99"/>
        <v>0</v>
      </c>
    </row>
    <row r="3087" spans="1:24" x14ac:dyDescent="0.25">
      <c r="A3087" s="17"/>
      <c r="B3087" s="17"/>
      <c r="C3087" s="17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  <c r="N3087" s="17"/>
      <c r="O3087" s="17"/>
      <c r="P3087" s="17"/>
      <c r="Q3087" s="17"/>
      <c r="R3087" s="17"/>
      <c r="S3087" s="17"/>
      <c r="T3087" s="17"/>
      <c r="U3087" s="17"/>
      <c r="V3087" s="18">
        <v>0</v>
      </c>
      <c r="W3087" s="17">
        <f t="shared" si="98"/>
        <v>0</v>
      </c>
      <c r="X3087" s="5">
        <f t="shared" si="99"/>
        <v>0</v>
      </c>
    </row>
    <row r="3088" spans="1:24" x14ac:dyDescent="0.25">
      <c r="A3088" s="17"/>
      <c r="B3088" s="17"/>
      <c r="C3088" s="17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  <c r="N3088" s="17"/>
      <c r="O3088" s="17"/>
      <c r="P3088" s="17"/>
      <c r="Q3088" s="17"/>
      <c r="R3088" s="17"/>
      <c r="S3088" s="17"/>
      <c r="T3088" s="17"/>
      <c r="U3088" s="17"/>
      <c r="V3088" s="18">
        <v>0</v>
      </c>
      <c r="W3088" s="17">
        <f t="shared" si="98"/>
        <v>0</v>
      </c>
      <c r="X3088" s="5">
        <f t="shared" si="99"/>
        <v>0</v>
      </c>
    </row>
    <row r="3089" spans="1:24" x14ac:dyDescent="0.25">
      <c r="A3089" s="17"/>
      <c r="B3089" s="17"/>
      <c r="C3089" s="17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  <c r="N3089" s="17"/>
      <c r="O3089" s="17"/>
      <c r="P3089" s="17"/>
      <c r="Q3089" s="17"/>
      <c r="R3089" s="17"/>
      <c r="S3089" s="17"/>
      <c r="T3089" s="17"/>
      <c r="U3089" s="17"/>
      <c r="V3089" s="18">
        <v>0</v>
      </c>
      <c r="W3089" s="17">
        <f t="shared" si="98"/>
        <v>0</v>
      </c>
      <c r="X3089" s="5">
        <f t="shared" si="99"/>
        <v>0</v>
      </c>
    </row>
    <row r="3090" spans="1:24" x14ac:dyDescent="0.25">
      <c r="A3090" s="17"/>
      <c r="B3090" s="17"/>
      <c r="C3090" s="17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/>
      <c r="U3090" s="17"/>
      <c r="V3090" s="18">
        <v>0</v>
      </c>
      <c r="W3090" s="17">
        <f t="shared" si="98"/>
        <v>0</v>
      </c>
      <c r="X3090" s="5">
        <f t="shared" si="99"/>
        <v>0</v>
      </c>
    </row>
    <row r="3091" spans="1:24" x14ac:dyDescent="0.25">
      <c r="A3091" s="17"/>
      <c r="B3091" s="17"/>
      <c r="C3091" s="17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8">
        <v>0</v>
      </c>
      <c r="W3091" s="17">
        <f t="shared" si="98"/>
        <v>0</v>
      </c>
      <c r="X3091" s="5">
        <f t="shared" si="99"/>
        <v>0</v>
      </c>
    </row>
    <row r="3092" spans="1:24" x14ac:dyDescent="0.25">
      <c r="A3092" s="17"/>
      <c r="B3092" s="17"/>
      <c r="C3092" s="17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/>
      <c r="V3092" s="18">
        <v>0</v>
      </c>
      <c r="W3092" s="17">
        <f t="shared" si="98"/>
        <v>0</v>
      </c>
      <c r="X3092" s="5">
        <f t="shared" si="99"/>
        <v>0</v>
      </c>
    </row>
    <row r="3093" spans="1:24" x14ac:dyDescent="0.25">
      <c r="A3093" s="17"/>
      <c r="B3093" s="17"/>
      <c r="C3093" s="17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8">
        <v>0</v>
      </c>
      <c r="W3093" s="17">
        <f t="shared" si="98"/>
        <v>0</v>
      </c>
      <c r="X3093" s="5">
        <f t="shared" si="99"/>
        <v>0</v>
      </c>
    </row>
    <row r="3094" spans="1:24" x14ac:dyDescent="0.25">
      <c r="A3094" s="17"/>
      <c r="B3094" s="17"/>
      <c r="C3094" s="17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/>
      <c r="V3094" s="18">
        <v>0</v>
      </c>
      <c r="W3094" s="17">
        <f t="shared" si="98"/>
        <v>0</v>
      </c>
      <c r="X3094" s="5">
        <f t="shared" si="99"/>
        <v>0</v>
      </c>
    </row>
    <row r="3095" spans="1:24" x14ac:dyDescent="0.25">
      <c r="A3095" s="17"/>
      <c r="B3095" s="17"/>
      <c r="C3095" s="17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8">
        <v>0</v>
      </c>
      <c r="W3095" s="17">
        <f t="shared" si="98"/>
        <v>0</v>
      </c>
      <c r="X3095" s="5">
        <f t="shared" si="99"/>
        <v>0</v>
      </c>
    </row>
    <row r="3096" spans="1:24" x14ac:dyDescent="0.25">
      <c r="A3096" s="17"/>
      <c r="B3096" s="17"/>
      <c r="C3096" s="17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  <c r="N3096" s="17"/>
      <c r="O3096" s="17"/>
      <c r="P3096" s="17"/>
      <c r="Q3096" s="17"/>
      <c r="R3096" s="17"/>
      <c r="S3096" s="17"/>
      <c r="T3096" s="17"/>
      <c r="U3096" s="17"/>
      <c r="V3096" s="18">
        <v>0</v>
      </c>
      <c r="W3096" s="17">
        <f t="shared" si="98"/>
        <v>0</v>
      </c>
      <c r="X3096" s="5">
        <f t="shared" si="99"/>
        <v>0</v>
      </c>
    </row>
    <row r="3097" spans="1:24" x14ac:dyDescent="0.25">
      <c r="A3097" s="17"/>
      <c r="B3097" s="17"/>
      <c r="C3097" s="17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  <c r="N3097" s="17"/>
      <c r="O3097" s="17"/>
      <c r="P3097" s="17"/>
      <c r="Q3097" s="17"/>
      <c r="R3097" s="17"/>
      <c r="S3097" s="17"/>
      <c r="T3097" s="17"/>
      <c r="U3097" s="17"/>
      <c r="V3097" s="18">
        <v>0</v>
      </c>
      <c r="W3097" s="17">
        <f t="shared" si="98"/>
        <v>0</v>
      </c>
      <c r="X3097" s="5">
        <f t="shared" si="99"/>
        <v>0</v>
      </c>
    </row>
    <row r="3098" spans="1:24" x14ac:dyDescent="0.25">
      <c r="A3098" s="17"/>
      <c r="B3098" s="17"/>
      <c r="C3098" s="17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  <c r="N3098" s="17"/>
      <c r="O3098" s="17"/>
      <c r="P3098" s="17"/>
      <c r="Q3098" s="17"/>
      <c r="R3098" s="17"/>
      <c r="S3098" s="17"/>
      <c r="T3098" s="17"/>
      <c r="U3098" s="17"/>
      <c r="V3098" s="18">
        <v>0</v>
      </c>
      <c r="W3098" s="17">
        <f t="shared" si="98"/>
        <v>0</v>
      </c>
      <c r="X3098" s="5">
        <f t="shared" si="99"/>
        <v>0</v>
      </c>
    </row>
    <row r="3099" spans="1:24" x14ac:dyDescent="0.25">
      <c r="A3099" s="17"/>
      <c r="B3099" s="17"/>
      <c r="C3099" s="17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8">
        <v>0</v>
      </c>
      <c r="W3099" s="17">
        <f t="shared" si="98"/>
        <v>0</v>
      </c>
      <c r="X3099" s="5">
        <f t="shared" si="99"/>
        <v>0</v>
      </c>
    </row>
    <row r="3100" spans="1:24" x14ac:dyDescent="0.25">
      <c r="A3100" s="17"/>
      <c r="B3100" s="17"/>
      <c r="C3100" s="17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/>
      <c r="V3100" s="18">
        <v>0</v>
      </c>
      <c r="W3100" s="17">
        <f t="shared" si="98"/>
        <v>0</v>
      </c>
      <c r="X3100" s="5">
        <f t="shared" si="99"/>
        <v>0</v>
      </c>
    </row>
    <row r="3101" spans="1:24" x14ac:dyDescent="0.25">
      <c r="A3101" s="17"/>
      <c r="B3101" s="17"/>
      <c r="C3101" s="17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/>
      <c r="V3101" s="18">
        <v>0</v>
      </c>
      <c r="W3101" s="17">
        <f t="shared" si="98"/>
        <v>0</v>
      </c>
      <c r="X3101" s="5">
        <f t="shared" si="99"/>
        <v>0</v>
      </c>
    </row>
    <row r="3102" spans="1:24" x14ac:dyDescent="0.25">
      <c r="A3102" s="17"/>
      <c r="B3102" s="17"/>
      <c r="C3102" s="17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/>
      <c r="U3102" s="17"/>
      <c r="V3102" s="18">
        <v>0</v>
      </c>
      <c r="W3102" s="17">
        <f t="shared" si="98"/>
        <v>0</v>
      </c>
      <c r="X3102" s="5">
        <f t="shared" si="99"/>
        <v>0</v>
      </c>
    </row>
    <row r="3103" spans="1:24" x14ac:dyDescent="0.25">
      <c r="A3103" s="17"/>
      <c r="B3103" s="17"/>
      <c r="C3103" s="17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8">
        <v>0</v>
      </c>
      <c r="W3103" s="17">
        <f t="shared" si="98"/>
        <v>0</v>
      </c>
      <c r="X3103" s="5">
        <f t="shared" si="99"/>
        <v>0</v>
      </c>
    </row>
    <row r="3104" spans="1:24" x14ac:dyDescent="0.25">
      <c r="A3104" s="17"/>
      <c r="B3104" s="17"/>
      <c r="C3104" s="17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8">
        <v>0</v>
      </c>
      <c r="W3104" s="17">
        <f t="shared" si="98"/>
        <v>0</v>
      </c>
      <c r="X3104" s="5">
        <f t="shared" si="99"/>
        <v>0</v>
      </c>
    </row>
    <row r="3105" spans="1:24" x14ac:dyDescent="0.25">
      <c r="A3105" s="17"/>
      <c r="B3105" s="17"/>
      <c r="C3105" s="17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8">
        <v>0</v>
      </c>
      <c r="W3105" s="17">
        <f t="shared" si="98"/>
        <v>0</v>
      </c>
      <c r="X3105" s="5">
        <f t="shared" si="99"/>
        <v>0</v>
      </c>
    </row>
    <row r="3106" spans="1:24" x14ac:dyDescent="0.25">
      <c r="A3106" s="17"/>
      <c r="B3106" s="17"/>
      <c r="C3106" s="17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  <c r="N3106" s="17"/>
      <c r="O3106" s="17"/>
      <c r="P3106" s="17"/>
      <c r="Q3106" s="17"/>
      <c r="R3106" s="17"/>
      <c r="S3106" s="17"/>
      <c r="T3106" s="17"/>
      <c r="U3106" s="17"/>
      <c r="V3106" s="18">
        <v>0</v>
      </c>
      <c r="W3106" s="17">
        <f t="shared" si="98"/>
        <v>0</v>
      </c>
      <c r="X3106" s="5">
        <f t="shared" si="99"/>
        <v>0</v>
      </c>
    </row>
    <row r="3107" spans="1:24" x14ac:dyDescent="0.25">
      <c r="A3107" s="17"/>
      <c r="B3107" s="17"/>
      <c r="C3107" s="17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  <c r="N3107" s="17"/>
      <c r="O3107" s="17"/>
      <c r="P3107" s="17"/>
      <c r="Q3107" s="17"/>
      <c r="R3107" s="17"/>
      <c r="S3107" s="17"/>
      <c r="T3107" s="17"/>
      <c r="U3107" s="17"/>
      <c r="V3107" s="18">
        <v>0</v>
      </c>
      <c r="W3107" s="17">
        <f t="shared" si="98"/>
        <v>0</v>
      </c>
      <c r="X3107" s="5">
        <f t="shared" si="99"/>
        <v>0</v>
      </c>
    </row>
    <row r="3108" spans="1:24" x14ac:dyDescent="0.25">
      <c r="A3108" s="17"/>
      <c r="B3108" s="17"/>
      <c r="C3108" s="17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  <c r="N3108" s="17"/>
      <c r="O3108" s="17"/>
      <c r="P3108" s="17"/>
      <c r="Q3108" s="17"/>
      <c r="R3108" s="17"/>
      <c r="S3108" s="17"/>
      <c r="T3108" s="17"/>
      <c r="U3108" s="17"/>
      <c r="V3108" s="18">
        <v>0</v>
      </c>
      <c r="W3108" s="17">
        <f t="shared" si="98"/>
        <v>0</v>
      </c>
      <c r="X3108" s="5">
        <f t="shared" si="99"/>
        <v>0</v>
      </c>
    </row>
    <row r="3109" spans="1:24" x14ac:dyDescent="0.25">
      <c r="A3109" s="17"/>
      <c r="B3109" s="17"/>
      <c r="C3109" s="17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/>
      <c r="V3109" s="18">
        <v>0</v>
      </c>
      <c r="W3109" s="17">
        <f t="shared" si="98"/>
        <v>0</v>
      </c>
      <c r="X3109" s="5">
        <f t="shared" si="99"/>
        <v>0</v>
      </c>
    </row>
    <row r="3110" spans="1:24" x14ac:dyDescent="0.25">
      <c r="A3110" s="17"/>
      <c r="B3110" s="17"/>
      <c r="C3110" s="17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/>
      <c r="V3110" s="18">
        <v>0</v>
      </c>
      <c r="W3110" s="17">
        <f t="shared" si="98"/>
        <v>0</v>
      </c>
      <c r="X3110" s="5">
        <f t="shared" si="99"/>
        <v>0</v>
      </c>
    </row>
    <row r="3111" spans="1:24" x14ac:dyDescent="0.25">
      <c r="A3111" s="17"/>
      <c r="B3111" s="17"/>
      <c r="C3111" s="17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8">
        <v>0</v>
      </c>
      <c r="W3111" s="17">
        <f t="shared" si="98"/>
        <v>0</v>
      </c>
      <c r="X3111" s="5">
        <f t="shared" si="99"/>
        <v>0</v>
      </c>
    </row>
    <row r="3112" spans="1:24" x14ac:dyDescent="0.25">
      <c r="A3112" s="17"/>
      <c r="B3112" s="17"/>
      <c r="C3112" s="17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/>
      <c r="V3112" s="18">
        <v>0</v>
      </c>
      <c r="W3112" s="17">
        <f t="shared" si="98"/>
        <v>0</v>
      </c>
      <c r="X3112" s="5">
        <f t="shared" si="99"/>
        <v>0</v>
      </c>
    </row>
    <row r="3113" spans="1:24" x14ac:dyDescent="0.25">
      <c r="A3113" s="17"/>
      <c r="B3113" s="17"/>
      <c r="C3113" s="17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8">
        <v>0</v>
      </c>
      <c r="W3113" s="17">
        <f t="shared" si="98"/>
        <v>0</v>
      </c>
      <c r="X3113" s="5">
        <f t="shared" si="99"/>
        <v>0</v>
      </c>
    </row>
    <row r="3114" spans="1:24" x14ac:dyDescent="0.25">
      <c r="A3114" s="17"/>
      <c r="B3114" s="17"/>
      <c r="C3114" s="17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/>
      <c r="V3114" s="18">
        <v>0</v>
      </c>
      <c r="W3114" s="17">
        <f t="shared" si="98"/>
        <v>0</v>
      </c>
      <c r="X3114" s="5">
        <f t="shared" si="99"/>
        <v>0</v>
      </c>
    </row>
    <row r="3115" spans="1:24" x14ac:dyDescent="0.25">
      <c r="A3115" s="17"/>
      <c r="B3115" s="17"/>
      <c r="C3115" s="17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8">
        <v>0</v>
      </c>
      <c r="W3115" s="17">
        <f t="shared" si="98"/>
        <v>0</v>
      </c>
      <c r="X3115" s="5">
        <f t="shared" si="99"/>
        <v>0</v>
      </c>
    </row>
    <row r="3116" spans="1:24" x14ac:dyDescent="0.25">
      <c r="A3116" s="17"/>
      <c r="B3116" s="17"/>
      <c r="C3116" s="17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/>
      <c r="V3116" s="18">
        <v>0</v>
      </c>
      <c r="W3116" s="17">
        <f t="shared" si="98"/>
        <v>0</v>
      </c>
      <c r="X3116" s="5">
        <f t="shared" si="99"/>
        <v>0</v>
      </c>
    </row>
    <row r="3117" spans="1:24" x14ac:dyDescent="0.25">
      <c r="A3117" s="17"/>
      <c r="B3117" s="17"/>
      <c r="C3117" s="17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8">
        <v>0</v>
      </c>
      <c r="W3117" s="17">
        <f t="shared" si="98"/>
        <v>0</v>
      </c>
      <c r="X3117" s="5">
        <f t="shared" si="99"/>
        <v>0</v>
      </c>
    </row>
    <row r="3118" spans="1:24" x14ac:dyDescent="0.25">
      <c r="A3118" s="17"/>
      <c r="B3118" s="17"/>
      <c r="C3118" s="17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/>
      <c r="V3118" s="18">
        <v>0</v>
      </c>
      <c r="W3118" s="17">
        <f t="shared" si="98"/>
        <v>0</v>
      </c>
      <c r="X3118" s="5">
        <f t="shared" si="99"/>
        <v>0</v>
      </c>
    </row>
    <row r="3119" spans="1:24" x14ac:dyDescent="0.25">
      <c r="A3119" s="17"/>
      <c r="B3119" s="17"/>
      <c r="C3119" s="17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8">
        <v>0</v>
      </c>
      <c r="W3119" s="17">
        <f t="shared" si="98"/>
        <v>0</v>
      </c>
      <c r="X3119" s="5">
        <f t="shared" si="99"/>
        <v>0</v>
      </c>
    </row>
    <row r="3120" spans="1:24" x14ac:dyDescent="0.25">
      <c r="A3120" s="17"/>
      <c r="B3120" s="17"/>
      <c r="C3120" s="17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/>
      <c r="V3120" s="18">
        <v>0</v>
      </c>
      <c r="W3120" s="17">
        <f t="shared" si="98"/>
        <v>0</v>
      </c>
      <c r="X3120" s="5">
        <f t="shared" si="99"/>
        <v>0</v>
      </c>
    </row>
    <row r="3121" spans="1:24" x14ac:dyDescent="0.25">
      <c r="A3121" s="17"/>
      <c r="B3121" s="17"/>
      <c r="C3121" s="17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8">
        <v>0</v>
      </c>
      <c r="W3121" s="17">
        <f t="shared" si="98"/>
        <v>0</v>
      </c>
      <c r="X3121" s="5">
        <f t="shared" si="99"/>
        <v>0</v>
      </c>
    </row>
    <row r="3122" spans="1:24" x14ac:dyDescent="0.25">
      <c r="A3122" s="17"/>
      <c r="B3122" s="17"/>
      <c r="C3122" s="17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8">
        <v>0</v>
      </c>
      <c r="W3122" s="17">
        <f t="shared" si="98"/>
        <v>0</v>
      </c>
      <c r="X3122" s="5">
        <f t="shared" si="99"/>
        <v>0</v>
      </c>
    </row>
    <row r="3123" spans="1:24" x14ac:dyDescent="0.25">
      <c r="A3123" s="17"/>
      <c r="B3123" s="17"/>
      <c r="C3123" s="17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  <c r="N3123" s="17"/>
      <c r="O3123" s="17"/>
      <c r="P3123" s="17"/>
      <c r="Q3123" s="17"/>
      <c r="R3123" s="17"/>
      <c r="S3123" s="17"/>
      <c r="T3123" s="17"/>
      <c r="U3123" s="17"/>
      <c r="V3123" s="18">
        <v>0</v>
      </c>
      <c r="W3123" s="17">
        <f t="shared" si="98"/>
        <v>0</v>
      </c>
      <c r="X3123" s="5">
        <f t="shared" si="99"/>
        <v>0</v>
      </c>
    </row>
    <row r="3124" spans="1:24" x14ac:dyDescent="0.25">
      <c r="A3124" s="17"/>
      <c r="B3124" s="17"/>
      <c r="C3124" s="17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  <c r="N3124" s="17"/>
      <c r="O3124" s="17"/>
      <c r="P3124" s="17"/>
      <c r="Q3124" s="17"/>
      <c r="R3124" s="17"/>
      <c r="S3124" s="17"/>
      <c r="T3124" s="17"/>
      <c r="U3124" s="17"/>
      <c r="V3124" s="18">
        <v>0</v>
      </c>
      <c r="W3124" s="17">
        <f t="shared" si="98"/>
        <v>0</v>
      </c>
      <c r="X3124" s="5">
        <f t="shared" si="99"/>
        <v>0</v>
      </c>
    </row>
    <row r="3125" spans="1:24" x14ac:dyDescent="0.25">
      <c r="A3125" s="17"/>
      <c r="B3125" s="17"/>
      <c r="C3125" s="17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  <c r="N3125" s="17"/>
      <c r="O3125" s="17"/>
      <c r="P3125" s="17"/>
      <c r="Q3125" s="17"/>
      <c r="R3125" s="17"/>
      <c r="S3125" s="17"/>
      <c r="T3125" s="17"/>
      <c r="U3125" s="17"/>
      <c r="V3125" s="18">
        <v>0</v>
      </c>
      <c r="W3125" s="17">
        <f t="shared" si="98"/>
        <v>0</v>
      </c>
      <c r="X3125" s="5">
        <f t="shared" si="99"/>
        <v>0</v>
      </c>
    </row>
    <row r="3126" spans="1:24" x14ac:dyDescent="0.25">
      <c r="A3126" s="17"/>
      <c r="B3126" s="17"/>
      <c r="C3126" s="17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/>
      <c r="V3126" s="18">
        <v>0</v>
      </c>
      <c r="W3126" s="17">
        <f t="shared" si="98"/>
        <v>0</v>
      </c>
      <c r="X3126" s="5">
        <f t="shared" si="99"/>
        <v>0</v>
      </c>
    </row>
    <row r="3127" spans="1:24" x14ac:dyDescent="0.25">
      <c r="A3127" s="17"/>
      <c r="B3127" s="17"/>
      <c r="C3127" s="17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/>
      <c r="V3127" s="18">
        <v>0</v>
      </c>
      <c r="W3127" s="17">
        <f t="shared" si="98"/>
        <v>0</v>
      </c>
      <c r="X3127" s="5">
        <f t="shared" si="99"/>
        <v>0</v>
      </c>
    </row>
    <row r="3128" spans="1:24" x14ac:dyDescent="0.25">
      <c r="A3128" s="17"/>
      <c r="B3128" s="17"/>
      <c r="C3128" s="17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/>
      <c r="V3128" s="18">
        <v>0</v>
      </c>
      <c r="W3128" s="17">
        <f t="shared" si="98"/>
        <v>0</v>
      </c>
      <c r="X3128" s="5">
        <f t="shared" si="99"/>
        <v>0</v>
      </c>
    </row>
    <row r="3129" spans="1:24" x14ac:dyDescent="0.25">
      <c r="A3129" s="17"/>
      <c r="B3129" s="17"/>
      <c r="C3129" s="17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8">
        <v>0</v>
      </c>
      <c r="W3129" s="17">
        <f t="shared" si="98"/>
        <v>0</v>
      </c>
      <c r="X3129" s="5">
        <f t="shared" si="99"/>
        <v>0</v>
      </c>
    </row>
    <row r="3130" spans="1:24" x14ac:dyDescent="0.25">
      <c r="A3130" s="17"/>
      <c r="B3130" s="17"/>
      <c r="C3130" s="17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/>
      <c r="V3130" s="18">
        <v>0</v>
      </c>
      <c r="W3130" s="17">
        <f t="shared" si="98"/>
        <v>0</v>
      </c>
      <c r="X3130" s="5">
        <f t="shared" si="99"/>
        <v>0</v>
      </c>
    </row>
    <row r="3131" spans="1:24" x14ac:dyDescent="0.25">
      <c r="A3131" s="17"/>
      <c r="B3131" s="17"/>
      <c r="C3131" s="17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  <c r="N3131" s="17"/>
      <c r="O3131" s="17"/>
      <c r="P3131" s="17"/>
      <c r="Q3131" s="17"/>
      <c r="R3131" s="17"/>
      <c r="S3131" s="17"/>
      <c r="T3131" s="17"/>
      <c r="U3131" s="17"/>
      <c r="V3131" s="18">
        <v>0</v>
      </c>
      <c r="W3131" s="17">
        <f t="shared" si="98"/>
        <v>0</v>
      </c>
      <c r="X3131" s="5">
        <f t="shared" si="99"/>
        <v>0</v>
      </c>
    </row>
    <row r="3132" spans="1:24" x14ac:dyDescent="0.25">
      <c r="A3132" s="17"/>
      <c r="B3132" s="17"/>
      <c r="C3132" s="17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  <c r="N3132" s="17"/>
      <c r="O3132" s="17"/>
      <c r="P3132" s="17"/>
      <c r="Q3132" s="17"/>
      <c r="R3132" s="17"/>
      <c r="S3132" s="17"/>
      <c r="T3132" s="17"/>
      <c r="U3132" s="17"/>
      <c r="V3132" s="18">
        <v>0</v>
      </c>
      <c r="W3132" s="17">
        <f t="shared" si="98"/>
        <v>0</v>
      </c>
      <c r="X3132" s="5">
        <f t="shared" si="99"/>
        <v>0</v>
      </c>
    </row>
    <row r="3133" spans="1:24" x14ac:dyDescent="0.25">
      <c r="A3133" s="17"/>
      <c r="B3133" s="17"/>
      <c r="C3133" s="17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  <c r="N3133" s="17"/>
      <c r="O3133" s="17"/>
      <c r="P3133" s="17"/>
      <c r="Q3133" s="17"/>
      <c r="R3133" s="17"/>
      <c r="S3133" s="17"/>
      <c r="T3133" s="17"/>
      <c r="U3133" s="17"/>
      <c r="V3133" s="18">
        <v>0</v>
      </c>
      <c r="W3133" s="17">
        <f t="shared" si="98"/>
        <v>0</v>
      </c>
      <c r="X3133" s="5">
        <f t="shared" si="99"/>
        <v>0</v>
      </c>
    </row>
    <row r="3134" spans="1:24" x14ac:dyDescent="0.25">
      <c r="A3134" s="17"/>
      <c r="B3134" s="17"/>
      <c r="C3134" s="17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8">
        <v>0</v>
      </c>
      <c r="W3134" s="17">
        <f t="shared" si="98"/>
        <v>0</v>
      </c>
      <c r="X3134" s="5">
        <f t="shared" si="99"/>
        <v>0</v>
      </c>
    </row>
    <row r="3135" spans="1:24" x14ac:dyDescent="0.25">
      <c r="A3135" s="17"/>
      <c r="B3135" s="17"/>
      <c r="C3135" s="17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  <c r="N3135" s="17"/>
      <c r="O3135" s="17"/>
      <c r="P3135" s="17"/>
      <c r="Q3135" s="17"/>
      <c r="R3135" s="17"/>
      <c r="S3135" s="17"/>
      <c r="T3135" s="17"/>
      <c r="U3135" s="17"/>
      <c r="V3135" s="18">
        <v>0</v>
      </c>
      <c r="W3135" s="17">
        <f t="shared" si="98"/>
        <v>0</v>
      </c>
      <c r="X3135" s="5">
        <f t="shared" si="99"/>
        <v>0</v>
      </c>
    </row>
    <row r="3136" spans="1:24" x14ac:dyDescent="0.25">
      <c r="A3136" s="17"/>
      <c r="B3136" s="17"/>
      <c r="C3136" s="17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  <c r="N3136" s="17"/>
      <c r="O3136" s="17"/>
      <c r="P3136" s="17"/>
      <c r="Q3136" s="17"/>
      <c r="R3136" s="17"/>
      <c r="S3136" s="17"/>
      <c r="T3136" s="17"/>
      <c r="U3136" s="17"/>
      <c r="V3136" s="18">
        <v>0</v>
      </c>
      <c r="W3136" s="17">
        <f t="shared" si="98"/>
        <v>0</v>
      </c>
      <c r="X3136" s="5">
        <f t="shared" si="99"/>
        <v>0</v>
      </c>
    </row>
    <row r="3137" spans="1:24" x14ac:dyDescent="0.25">
      <c r="A3137" s="17"/>
      <c r="B3137" s="17"/>
      <c r="C3137" s="17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  <c r="N3137" s="17"/>
      <c r="O3137" s="17"/>
      <c r="P3137" s="17"/>
      <c r="Q3137" s="17"/>
      <c r="R3137" s="17"/>
      <c r="S3137" s="17"/>
      <c r="T3137" s="17"/>
      <c r="U3137" s="17"/>
      <c r="V3137" s="18">
        <v>0</v>
      </c>
      <c r="W3137" s="17">
        <f t="shared" si="98"/>
        <v>0</v>
      </c>
      <c r="X3137" s="5">
        <f t="shared" si="99"/>
        <v>0</v>
      </c>
    </row>
    <row r="3138" spans="1:24" x14ac:dyDescent="0.25">
      <c r="A3138" s="17"/>
      <c r="B3138" s="17"/>
      <c r="C3138" s="17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  <c r="N3138" s="17"/>
      <c r="O3138" s="17"/>
      <c r="P3138" s="17"/>
      <c r="Q3138" s="17"/>
      <c r="R3138" s="17"/>
      <c r="S3138" s="17"/>
      <c r="T3138" s="17"/>
      <c r="U3138" s="17"/>
      <c r="V3138" s="18">
        <v>0</v>
      </c>
      <c r="W3138" s="17">
        <f t="shared" si="98"/>
        <v>0</v>
      </c>
      <c r="X3138" s="5">
        <f t="shared" si="99"/>
        <v>0</v>
      </c>
    </row>
    <row r="3139" spans="1:24" x14ac:dyDescent="0.25">
      <c r="A3139" s="17"/>
      <c r="B3139" s="17"/>
      <c r="C3139" s="17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  <c r="N3139" s="17"/>
      <c r="O3139" s="17"/>
      <c r="P3139" s="17"/>
      <c r="Q3139" s="17"/>
      <c r="R3139" s="17"/>
      <c r="S3139" s="17"/>
      <c r="T3139" s="17"/>
      <c r="U3139" s="17"/>
      <c r="V3139" s="18">
        <v>0</v>
      </c>
      <c r="W3139" s="17">
        <f t="shared" ref="W3139:W3202" si="100">HOUR(E3139)</f>
        <v>0</v>
      </c>
      <c r="X3139" s="5">
        <f t="shared" ref="X3139:X3202" si="101">IF(D3139=D3138,0,1)</f>
        <v>0</v>
      </c>
    </row>
    <row r="3140" spans="1:24" x14ac:dyDescent="0.25">
      <c r="A3140" s="17"/>
      <c r="B3140" s="17"/>
      <c r="C3140" s="17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  <c r="N3140" s="17"/>
      <c r="O3140" s="17"/>
      <c r="P3140" s="17"/>
      <c r="Q3140" s="17"/>
      <c r="R3140" s="17"/>
      <c r="S3140" s="17"/>
      <c r="T3140" s="17"/>
      <c r="U3140" s="17"/>
      <c r="V3140" s="18">
        <v>0</v>
      </c>
      <c r="W3140" s="17">
        <f t="shared" si="100"/>
        <v>0</v>
      </c>
      <c r="X3140" s="5">
        <f t="shared" si="101"/>
        <v>0</v>
      </c>
    </row>
    <row r="3141" spans="1:24" x14ac:dyDescent="0.25">
      <c r="A3141" s="17"/>
      <c r="B3141" s="17"/>
      <c r="C3141" s="17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  <c r="N3141" s="17"/>
      <c r="O3141" s="17"/>
      <c r="P3141" s="17"/>
      <c r="Q3141" s="17"/>
      <c r="R3141" s="17"/>
      <c r="S3141" s="17"/>
      <c r="T3141" s="17"/>
      <c r="U3141" s="17"/>
      <c r="V3141" s="18">
        <v>0</v>
      </c>
      <c r="W3141" s="17">
        <f t="shared" si="100"/>
        <v>0</v>
      </c>
      <c r="X3141" s="5">
        <f t="shared" si="101"/>
        <v>0</v>
      </c>
    </row>
    <row r="3142" spans="1:24" x14ac:dyDescent="0.25">
      <c r="A3142" s="17"/>
      <c r="B3142" s="17"/>
      <c r="C3142" s="17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  <c r="N3142" s="17"/>
      <c r="O3142" s="17"/>
      <c r="P3142" s="17"/>
      <c r="Q3142" s="17"/>
      <c r="R3142" s="17"/>
      <c r="S3142" s="17"/>
      <c r="T3142" s="17"/>
      <c r="U3142" s="17"/>
      <c r="V3142" s="18">
        <v>0</v>
      </c>
      <c r="W3142" s="17">
        <f t="shared" si="100"/>
        <v>0</v>
      </c>
      <c r="X3142" s="5">
        <f t="shared" si="101"/>
        <v>0</v>
      </c>
    </row>
    <row r="3143" spans="1:24" x14ac:dyDescent="0.25">
      <c r="A3143" s="17"/>
      <c r="B3143" s="17"/>
      <c r="C3143" s="17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  <c r="N3143" s="17"/>
      <c r="O3143" s="17"/>
      <c r="P3143" s="17"/>
      <c r="Q3143" s="17"/>
      <c r="R3143" s="17"/>
      <c r="S3143" s="17"/>
      <c r="T3143" s="17"/>
      <c r="U3143" s="17"/>
      <c r="V3143" s="18">
        <v>0</v>
      </c>
      <c r="W3143" s="17">
        <f t="shared" si="100"/>
        <v>0</v>
      </c>
      <c r="X3143" s="5">
        <f t="shared" si="101"/>
        <v>0</v>
      </c>
    </row>
    <row r="3144" spans="1:24" x14ac:dyDescent="0.25">
      <c r="A3144" s="17"/>
      <c r="B3144" s="17"/>
      <c r="C3144" s="17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8">
        <v>0</v>
      </c>
      <c r="W3144" s="17">
        <f t="shared" si="100"/>
        <v>0</v>
      </c>
      <c r="X3144" s="5">
        <f t="shared" si="101"/>
        <v>0</v>
      </c>
    </row>
    <row r="3145" spans="1:24" x14ac:dyDescent="0.25">
      <c r="A3145" s="17"/>
      <c r="B3145" s="17"/>
      <c r="C3145" s="17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8">
        <v>0</v>
      </c>
      <c r="W3145" s="17">
        <f t="shared" si="100"/>
        <v>0</v>
      </c>
      <c r="X3145" s="5">
        <f t="shared" si="101"/>
        <v>0</v>
      </c>
    </row>
    <row r="3146" spans="1:24" x14ac:dyDescent="0.25">
      <c r="A3146" s="17"/>
      <c r="B3146" s="17"/>
      <c r="C3146" s="17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8">
        <v>0</v>
      </c>
      <c r="W3146" s="17">
        <f t="shared" si="100"/>
        <v>0</v>
      </c>
      <c r="X3146" s="5">
        <f t="shared" si="101"/>
        <v>0</v>
      </c>
    </row>
    <row r="3147" spans="1:24" x14ac:dyDescent="0.25">
      <c r="A3147" s="17"/>
      <c r="B3147" s="17"/>
      <c r="C3147" s="17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8">
        <v>0</v>
      </c>
      <c r="W3147" s="17">
        <f t="shared" si="100"/>
        <v>0</v>
      </c>
      <c r="X3147" s="5">
        <f t="shared" si="101"/>
        <v>0</v>
      </c>
    </row>
    <row r="3148" spans="1:24" x14ac:dyDescent="0.25">
      <c r="A3148" s="17"/>
      <c r="B3148" s="17"/>
      <c r="C3148" s="17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  <c r="N3148" s="17"/>
      <c r="O3148" s="17"/>
      <c r="P3148" s="17"/>
      <c r="Q3148" s="17"/>
      <c r="R3148" s="17"/>
      <c r="S3148" s="17"/>
      <c r="T3148" s="17"/>
      <c r="U3148" s="17"/>
      <c r="V3148" s="18">
        <v>0</v>
      </c>
      <c r="W3148" s="17">
        <f t="shared" si="100"/>
        <v>0</v>
      </c>
      <c r="X3148" s="5">
        <f t="shared" si="101"/>
        <v>0</v>
      </c>
    </row>
    <row r="3149" spans="1:24" x14ac:dyDescent="0.25">
      <c r="A3149" s="17"/>
      <c r="B3149" s="17"/>
      <c r="C3149" s="17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/>
      <c r="U3149" s="17"/>
      <c r="V3149" s="18">
        <v>0</v>
      </c>
      <c r="W3149" s="17">
        <f t="shared" si="100"/>
        <v>0</v>
      </c>
      <c r="X3149" s="5">
        <f t="shared" si="101"/>
        <v>0</v>
      </c>
    </row>
    <row r="3150" spans="1:24" x14ac:dyDescent="0.25">
      <c r="A3150" s="17"/>
      <c r="B3150" s="17"/>
      <c r="C3150" s="17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  <c r="N3150" s="17"/>
      <c r="O3150" s="17"/>
      <c r="P3150" s="17"/>
      <c r="Q3150" s="17"/>
      <c r="R3150" s="17"/>
      <c r="S3150" s="17"/>
      <c r="T3150" s="17"/>
      <c r="U3150" s="17"/>
      <c r="V3150" s="18">
        <v>0</v>
      </c>
      <c r="W3150" s="17">
        <f t="shared" si="100"/>
        <v>0</v>
      </c>
      <c r="X3150" s="5">
        <f t="shared" si="101"/>
        <v>0</v>
      </c>
    </row>
    <row r="3151" spans="1:24" x14ac:dyDescent="0.25">
      <c r="A3151" s="17"/>
      <c r="B3151" s="17"/>
      <c r="C3151" s="17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  <c r="N3151" s="17"/>
      <c r="O3151" s="17"/>
      <c r="P3151" s="17"/>
      <c r="Q3151" s="17"/>
      <c r="R3151" s="17"/>
      <c r="S3151" s="17"/>
      <c r="T3151" s="17"/>
      <c r="U3151" s="17"/>
      <c r="V3151" s="18">
        <v>0</v>
      </c>
      <c r="W3151" s="17">
        <f t="shared" si="100"/>
        <v>0</v>
      </c>
      <c r="X3151" s="5">
        <f t="shared" si="101"/>
        <v>0</v>
      </c>
    </row>
    <row r="3152" spans="1:24" x14ac:dyDescent="0.25">
      <c r="A3152" s="17"/>
      <c r="B3152" s="17"/>
      <c r="C3152" s="17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  <c r="N3152" s="17"/>
      <c r="O3152" s="17"/>
      <c r="P3152" s="17"/>
      <c r="Q3152" s="17"/>
      <c r="R3152" s="17"/>
      <c r="S3152" s="17"/>
      <c r="T3152" s="17"/>
      <c r="U3152" s="17"/>
      <c r="V3152" s="18">
        <v>0</v>
      </c>
      <c r="W3152" s="17">
        <f t="shared" si="100"/>
        <v>0</v>
      </c>
      <c r="X3152" s="5">
        <f t="shared" si="101"/>
        <v>0</v>
      </c>
    </row>
    <row r="3153" spans="1:24" x14ac:dyDescent="0.25">
      <c r="A3153" s="17"/>
      <c r="B3153" s="17"/>
      <c r="C3153" s="17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/>
      <c r="U3153" s="17"/>
      <c r="V3153" s="18">
        <v>0</v>
      </c>
      <c r="W3153" s="17">
        <f t="shared" si="100"/>
        <v>0</v>
      </c>
      <c r="X3153" s="5">
        <f t="shared" si="101"/>
        <v>0</v>
      </c>
    </row>
    <row r="3154" spans="1:24" x14ac:dyDescent="0.25">
      <c r="A3154" s="17"/>
      <c r="B3154" s="17"/>
      <c r="C3154" s="17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/>
      <c r="V3154" s="18">
        <v>0</v>
      </c>
      <c r="W3154" s="17">
        <f t="shared" si="100"/>
        <v>0</v>
      </c>
      <c r="X3154" s="5">
        <f t="shared" si="101"/>
        <v>0</v>
      </c>
    </row>
    <row r="3155" spans="1:24" x14ac:dyDescent="0.25">
      <c r="A3155" s="17"/>
      <c r="B3155" s="17"/>
      <c r="C3155" s="17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8">
        <v>0</v>
      </c>
      <c r="W3155" s="17">
        <f t="shared" si="100"/>
        <v>0</v>
      </c>
      <c r="X3155" s="5">
        <f t="shared" si="101"/>
        <v>0</v>
      </c>
    </row>
    <row r="3156" spans="1:24" x14ac:dyDescent="0.25">
      <c r="A3156" s="17"/>
      <c r="B3156" s="17"/>
      <c r="C3156" s="17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/>
      <c r="U3156" s="17"/>
      <c r="V3156" s="18">
        <v>0</v>
      </c>
      <c r="W3156" s="17">
        <f t="shared" si="100"/>
        <v>0</v>
      </c>
      <c r="X3156" s="5">
        <f t="shared" si="101"/>
        <v>0</v>
      </c>
    </row>
    <row r="3157" spans="1:24" x14ac:dyDescent="0.25">
      <c r="A3157" s="17"/>
      <c r="B3157" s="17"/>
      <c r="C3157" s="17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  <c r="N3157" s="17"/>
      <c r="O3157" s="17"/>
      <c r="P3157" s="17"/>
      <c r="Q3157" s="17"/>
      <c r="R3157" s="17"/>
      <c r="S3157" s="17"/>
      <c r="T3157" s="17"/>
      <c r="U3157" s="17"/>
      <c r="V3157" s="18">
        <v>0</v>
      </c>
      <c r="W3157" s="17">
        <f t="shared" si="100"/>
        <v>0</v>
      </c>
      <c r="X3157" s="5">
        <f t="shared" si="101"/>
        <v>0</v>
      </c>
    </row>
    <row r="3158" spans="1:24" x14ac:dyDescent="0.25">
      <c r="A3158" s="17"/>
      <c r="B3158" s="17"/>
      <c r="C3158" s="17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  <c r="N3158" s="17"/>
      <c r="O3158" s="17"/>
      <c r="P3158" s="17"/>
      <c r="Q3158" s="17"/>
      <c r="R3158" s="17"/>
      <c r="S3158" s="17"/>
      <c r="T3158" s="17"/>
      <c r="U3158" s="17"/>
      <c r="V3158" s="18">
        <v>0</v>
      </c>
      <c r="W3158" s="17">
        <f t="shared" si="100"/>
        <v>0</v>
      </c>
      <c r="X3158" s="5">
        <f t="shared" si="101"/>
        <v>0</v>
      </c>
    </row>
    <row r="3159" spans="1:24" x14ac:dyDescent="0.25">
      <c r="A3159" s="17"/>
      <c r="B3159" s="17"/>
      <c r="C3159" s="17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  <c r="N3159" s="17"/>
      <c r="O3159" s="17"/>
      <c r="P3159" s="17"/>
      <c r="Q3159" s="17"/>
      <c r="R3159" s="17"/>
      <c r="S3159" s="17"/>
      <c r="T3159" s="17"/>
      <c r="U3159" s="17"/>
      <c r="V3159" s="18">
        <v>0</v>
      </c>
      <c r="W3159" s="17">
        <f t="shared" si="100"/>
        <v>0</v>
      </c>
      <c r="X3159" s="5">
        <f t="shared" si="101"/>
        <v>0</v>
      </c>
    </row>
    <row r="3160" spans="1:24" x14ac:dyDescent="0.25">
      <c r="A3160" s="17"/>
      <c r="B3160" s="17"/>
      <c r="C3160" s="17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8">
        <v>0</v>
      </c>
      <c r="W3160" s="17">
        <f t="shared" si="100"/>
        <v>0</v>
      </c>
      <c r="X3160" s="5">
        <f t="shared" si="101"/>
        <v>0</v>
      </c>
    </row>
    <row r="3161" spans="1:24" x14ac:dyDescent="0.25">
      <c r="A3161" s="17"/>
      <c r="B3161" s="17"/>
      <c r="C3161" s="17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8">
        <v>0</v>
      </c>
      <c r="W3161" s="17">
        <f t="shared" si="100"/>
        <v>0</v>
      </c>
      <c r="X3161" s="5">
        <f t="shared" si="101"/>
        <v>0</v>
      </c>
    </row>
    <row r="3162" spans="1:24" x14ac:dyDescent="0.25">
      <c r="A3162" s="17"/>
      <c r="B3162" s="17"/>
      <c r="C3162" s="17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8">
        <v>0</v>
      </c>
      <c r="W3162" s="17">
        <f t="shared" si="100"/>
        <v>0</v>
      </c>
      <c r="X3162" s="5">
        <f t="shared" si="101"/>
        <v>0</v>
      </c>
    </row>
    <row r="3163" spans="1:24" x14ac:dyDescent="0.25">
      <c r="A3163" s="17"/>
      <c r="B3163" s="17"/>
      <c r="C3163" s="17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8">
        <v>0</v>
      </c>
      <c r="W3163" s="17">
        <f t="shared" si="100"/>
        <v>0</v>
      </c>
      <c r="X3163" s="5">
        <f t="shared" si="101"/>
        <v>0</v>
      </c>
    </row>
    <row r="3164" spans="1:24" x14ac:dyDescent="0.25">
      <c r="A3164" s="17"/>
      <c r="B3164" s="17"/>
      <c r="C3164" s="17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8">
        <v>0</v>
      </c>
      <c r="W3164" s="17">
        <f t="shared" si="100"/>
        <v>0</v>
      </c>
      <c r="X3164" s="5">
        <f t="shared" si="101"/>
        <v>0</v>
      </c>
    </row>
    <row r="3165" spans="1:24" x14ac:dyDescent="0.25">
      <c r="A3165" s="17"/>
      <c r="B3165" s="17"/>
      <c r="C3165" s="17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8">
        <v>0</v>
      </c>
      <c r="W3165" s="17">
        <f t="shared" si="100"/>
        <v>0</v>
      </c>
      <c r="X3165" s="5">
        <f t="shared" si="101"/>
        <v>0</v>
      </c>
    </row>
    <row r="3166" spans="1:24" x14ac:dyDescent="0.25">
      <c r="A3166" s="17"/>
      <c r="B3166" s="17"/>
      <c r="C3166" s="17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  <c r="N3166" s="17"/>
      <c r="O3166" s="17"/>
      <c r="P3166" s="17"/>
      <c r="Q3166" s="17"/>
      <c r="R3166" s="17"/>
      <c r="S3166" s="17"/>
      <c r="T3166" s="17"/>
      <c r="U3166" s="17"/>
      <c r="V3166" s="18">
        <v>0</v>
      </c>
      <c r="W3166" s="17">
        <f t="shared" si="100"/>
        <v>0</v>
      </c>
      <c r="X3166" s="5">
        <f t="shared" si="101"/>
        <v>0</v>
      </c>
    </row>
    <row r="3167" spans="1:24" x14ac:dyDescent="0.25">
      <c r="A3167" s="17"/>
      <c r="B3167" s="17"/>
      <c r="C3167" s="17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  <c r="N3167" s="17"/>
      <c r="O3167" s="17"/>
      <c r="P3167" s="17"/>
      <c r="Q3167" s="17"/>
      <c r="R3167" s="17"/>
      <c r="S3167" s="17"/>
      <c r="T3167" s="17"/>
      <c r="U3167" s="17"/>
      <c r="V3167" s="18">
        <v>0</v>
      </c>
      <c r="W3167" s="17">
        <f t="shared" si="100"/>
        <v>0</v>
      </c>
      <c r="X3167" s="5">
        <f t="shared" si="101"/>
        <v>0</v>
      </c>
    </row>
    <row r="3168" spans="1:24" x14ac:dyDescent="0.25">
      <c r="A3168" s="17"/>
      <c r="B3168" s="17"/>
      <c r="C3168" s="17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  <c r="N3168" s="17"/>
      <c r="O3168" s="17"/>
      <c r="P3168" s="17"/>
      <c r="Q3168" s="17"/>
      <c r="R3168" s="17"/>
      <c r="S3168" s="17"/>
      <c r="T3168" s="17"/>
      <c r="U3168" s="17"/>
      <c r="V3168" s="18">
        <v>0</v>
      </c>
      <c r="W3168" s="17">
        <f t="shared" si="100"/>
        <v>0</v>
      </c>
      <c r="X3168" s="5">
        <f t="shared" si="101"/>
        <v>0</v>
      </c>
    </row>
    <row r="3169" spans="1:24" x14ac:dyDescent="0.25">
      <c r="A3169" s="17"/>
      <c r="B3169" s="17"/>
      <c r="C3169" s="17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8">
        <v>0</v>
      </c>
      <c r="W3169" s="17">
        <f t="shared" si="100"/>
        <v>0</v>
      </c>
      <c r="X3169" s="5">
        <f t="shared" si="101"/>
        <v>0</v>
      </c>
    </row>
    <row r="3170" spans="1:24" x14ac:dyDescent="0.25">
      <c r="A3170" s="17"/>
      <c r="B3170" s="17"/>
      <c r="C3170" s="17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8">
        <v>0</v>
      </c>
      <c r="W3170" s="17">
        <f t="shared" si="100"/>
        <v>0</v>
      </c>
      <c r="X3170" s="5">
        <f t="shared" si="101"/>
        <v>0</v>
      </c>
    </row>
    <row r="3171" spans="1:24" x14ac:dyDescent="0.25">
      <c r="A3171" s="17"/>
      <c r="B3171" s="17"/>
      <c r="C3171" s="17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  <c r="N3171" s="17"/>
      <c r="O3171" s="17"/>
      <c r="P3171" s="17"/>
      <c r="Q3171" s="17"/>
      <c r="R3171" s="17"/>
      <c r="S3171" s="17"/>
      <c r="T3171" s="17"/>
      <c r="U3171" s="17"/>
      <c r="V3171" s="18">
        <v>0</v>
      </c>
      <c r="W3171" s="17">
        <f t="shared" si="100"/>
        <v>0</v>
      </c>
      <c r="X3171" s="5">
        <f t="shared" si="101"/>
        <v>0</v>
      </c>
    </row>
    <row r="3172" spans="1:24" x14ac:dyDescent="0.25">
      <c r="A3172" s="17"/>
      <c r="B3172" s="17"/>
      <c r="C3172" s="17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  <c r="N3172" s="17"/>
      <c r="O3172" s="17"/>
      <c r="P3172" s="17"/>
      <c r="Q3172" s="17"/>
      <c r="R3172" s="17"/>
      <c r="S3172" s="17"/>
      <c r="T3172" s="17"/>
      <c r="U3172" s="17"/>
      <c r="V3172" s="18">
        <v>0</v>
      </c>
      <c r="W3172" s="17">
        <f t="shared" si="100"/>
        <v>0</v>
      </c>
      <c r="X3172" s="5">
        <f t="shared" si="101"/>
        <v>0</v>
      </c>
    </row>
    <row r="3173" spans="1:24" x14ac:dyDescent="0.25">
      <c r="A3173" s="17"/>
      <c r="B3173" s="17"/>
      <c r="C3173" s="17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  <c r="N3173" s="17"/>
      <c r="O3173" s="17"/>
      <c r="P3173" s="17"/>
      <c r="Q3173" s="17"/>
      <c r="R3173" s="17"/>
      <c r="S3173" s="17"/>
      <c r="T3173" s="17"/>
      <c r="U3173" s="17"/>
      <c r="V3173" s="18">
        <v>0</v>
      </c>
      <c r="W3173" s="17">
        <f t="shared" si="100"/>
        <v>0</v>
      </c>
      <c r="X3173" s="5">
        <f t="shared" si="101"/>
        <v>0</v>
      </c>
    </row>
    <row r="3174" spans="1:24" x14ac:dyDescent="0.25">
      <c r="A3174" s="17"/>
      <c r="B3174" s="17"/>
      <c r="C3174" s="17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  <c r="N3174" s="17"/>
      <c r="O3174" s="17"/>
      <c r="P3174" s="17"/>
      <c r="Q3174" s="17"/>
      <c r="R3174" s="17"/>
      <c r="S3174" s="17"/>
      <c r="T3174" s="17"/>
      <c r="U3174" s="17"/>
      <c r="V3174" s="18">
        <v>0</v>
      </c>
      <c r="W3174" s="17">
        <f t="shared" si="100"/>
        <v>0</v>
      </c>
      <c r="X3174" s="5">
        <f t="shared" si="101"/>
        <v>0</v>
      </c>
    </row>
    <row r="3175" spans="1:24" x14ac:dyDescent="0.25">
      <c r="A3175" s="17"/>
      <c r="B3175" s="17"/>
      <c r="C3175" s="17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  <c r="N3175" s="17"/>
      <c r="O3175" s="17"/>
      <c r="P3175" s="17"/>
      <c r="Q3175" s="17"/>
      <c r="R3175" s="17"/>
      <c r="S3175" s="17"/>
      <c r="T3175" s="17"/>
      <c r="U3175" s="17"/>
      <c r="V3175" s="18">
        <v>0</v>
      </c>
      <c r="W3175" s="17">
        <f t="shared" si="100"/>
        <v>0</v>
      </c>
      <c r="X3175" s="5">
        <f t="shared" si="101"/>
        <v>0</v>
      </c>
    </row>
    <row r="3176" spans="1:24" x14ac:dyDescent="0.25">
      <c r="A3176" s="17"/>
      <c r="B3176" s="17"/>
      <c r="C3176" s="17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  <c r="N3176" s="17"/>
      <c r="O3176" s="17"/>
      <c r="P3176" s="17"/>
      <c r="Q3176" s="17"/>
      <c r="R3176" s="17"/>
      <c r="S3176" s="17"/>
      <c r="T3176" s="17"/>
      <c r="U3176" s="17"/>
      <c r="V3176" s="18">
        <v>0</v>
      </c>
      <c r="W3176" s="17">
        <f t="shared" si="100"/>
        <v>0</v>
      </c>
      <c r="X3176" s="5">
        <f t="shared" si="101"/>
        <v>0</v>
      </c>
    </row>
    <row r="3177" spans="1:24" x14ac:dyDescent="0.25">
      <c r="A3177" s="17"/>
      <c r="B3177" s="17"/>
      <c r="C3177" s="17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8">
        <v>0</v>
      </c>
      <c r="W3177" s="17">
        <f t="shared" si="100"/>
        <v>0</v>
      </c>
      <c r="X3177" s="5">
        <f t="shared" si="101"/>
        <v>0</v>
      </c>
    </row>
    <row r="3178" spans="1:24" x14ac:dyDescent="0.25">
      <c r="A3178" s="17"/>
      <c r="B3178" s="17"/>
      <c r="C3178" s="17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8">
        <v>0</v>
      </c>
      <c r="W3178" s="17">
        <f t="shared" si="100"/>
        <v>0</v>
      </c>
      <c r="X3178" s="5">
        <f t="shared" si="101"/>
        <v>0</v>
      </c>
    </row>
    <row r="3179" spans="1:24" x14ac:dyDescent="0.25">
      <c r="A3179" s="17"/>
      <c r="B3179" s="17"/>
      <c r="C3179" s="17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8">
        <v>0</v>
      </c>
      <c r="W3179" s="17">
        <f t="shared" si="100"/>
        <v>0</v>
      </c>
      <c r="X3179" s="5">
        <f t="shared" si="101"/>
        <v>0</v>
      </c>
    </row>
    <row r="3180" spans="1:24" x14ac:dyDescent="0.25">
      <c r="A3180" s="17"/>
      <c r="B3180" s="17"/>
      <c r="C3180" s="17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8">
        <v>0</v>
      </c>
      <c r="W3180" s="17">
        <f t="shared" si="100"/>
        <v>0</v>
      </c>
      <c r="X3180" s="5">
        <f t="shared" si="101"/>
        <v>0</v>
      </c>
    </row>
    <row r="3181" spans="1:24" x14ac:dyDescent="0.25">
      <c r="A3181" s="17"/>
      <c r="B3181" s="17"/>
      <c r="C3181" s="17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8">
        <v>0</v>
      </c>
      <c r="W3181" s="17">
        <f t="shared" si="100"/>
        <v>0</v>
      </c>
      <c r="X3181" s="5">
        <f t="shared" si="101"/>
        <v>0</v>
      </c>
    </row>
    <row r="3182" spans="1:24" x14ac:dyDescent="0.25">
      <c r="A3182" s="17"/>
      <c r="B3182" s="17"/>
      <c r="C3182" s="17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8">
        <v>0</v>
      </c>
      <c r="W3182" s="17">
        <f t="shared" si="100"/>
        <v>0</v>
      </c>
      <c r="X3182" s="5">
        <f t="shared" si="101"/>
        <v>0</v>
      </c>
    </row>
    <row r="3183" spans="1:24" x14ac:dyDescent="0.25">
      <c r="A3183" s="17"/>
      <c r="B3183" s="17"/>
      <c r="C3183" s="17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8">
        <v>0</v>
      </c>
      <c r="W3183" s="17">
        <f t="shared" si="100"/>
        <v>0</v>
      </c>
      <c r="X3183" s="5">
        <f t="shared" si="101"/>
        <v>0</v>
      </c>
    </row>
    <row r="3184" spans="1:24" x14ac:dyDescent="0.25">
      <c r="A3184" s="17"/>
      <c r="B3184" s="17"/>
      <c r="C3184" s="17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8">
        <v>0</v>
      </c>
      <c r="W3184" s="17">
        <f t="shared" si="100"/>
        <v>0</v>
      </c>
      <c r="X3184" s="5">
        <f t="shared" si="101"/>
        <v>0</v>
      </c>
    </row>
    <row r="3185" spans="1:24" x14ac:dyDescent="0.25">
      <c r="A3185" s="17"/>
      <c r="B3185" s="17"/>
      <c r="C3185" s="17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8">
        <v>0</v>
      </c>
      <c r="W3185" s="17">
        <f t="shared" si="100"/>
        <v>0</v>
      </c>
      <c r="X3185" s="5">
        <f t="shared" si="101"/>
        <v>0</v>
      </c>
    </row>
    <row r="3186" spans="1:24" x14ac:dyDescent="0.25">
      <c r="A3186" s="17"/>
      <c r="B3186" s="17"/>
      <c r="C3186" s="17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8">
        <v>0</v>
      </c>
      <c r="W3186" s="17">
        <f t="shared" si="100"/>
        <v>0</v>
      </c>
      <c r="X3186" s="5">
        <f t="shared" si="101"/>
        <v>0</v>
      </c>
    </row>
    <row r="3187" spans="1:24" x14ac:dyDescent="0.25">
      <c r="A3187" s="17"/>
      <c r="B3187" s="17"/>
      <c r="C3187" s="17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8">
        <v>0</v>
      </c>
      <c r="W3187" s="17">
        <f t="shared" si="100"/>
        <v>0</v>
      </c>
      <c r="X3187" s="5">
        <f t="shared" si="101"/>
        <v>0</v>
      </c>
    </row>
    <row r="3188" spans="1:24" x14ac:dyDescent="0.25">
      <c r="A3188" s="17"/>
      <c r="B3188" s="17"/>
      <c r="C3188" s="17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8">
        <v>0</v>
      </c>
      <c r="W3188" s="17">
        <f t="shared" si="100"/>
        <v>0</v>
      </c>
      <c r="X3188" s="5">
        <f t="shared" si="101"/>
        <v>0</v>
      </c>
    </row>
    <row r="3189" spans="1:24" x14ac:dyDescent="0.25">
      <c r="A3189" s="17"/>
      <c r="B3189" s="17"/>
      <c r="C3189" s="17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8">
        <v>0</v>
      </c>
      <c r="W3189" s="17">
        <f t="shared" si="100"/>
        <v>0</v>
      </c>
      <c r="X3189" s="5">
        <f t="shared" si="101"/>
        <v>0</v>
      </c>
    </row>
    <row r="3190" spans="1:24" x14ac:dyDescent="0.25">
      <c r="A3190" s="17"/>
      <c r="B3190" s="17"/>
      <c r="C3190" s="17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8">
        <v>0</v>
      </c>
      <c r="W3190" s="17">
        <f t="shared" si="100"/>
        <v>0</v>
      </c>
      <c r="X3190" s="5">
        <f t="shared" si="101"/>
        <v>0</v>
      </c>
    </row>
    <row r="3191" spans="1:24" x14ac:dyDescent="0.25">
      <c r="A3191" s="17"/>
      <c r="B3191" s="17"/>
      <c r="C3191" s="17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8">
        <v>0</v>
      </c>
      <c r="W3191" s="17">
        <f t="shared" si="100"/>
        <v>0</v>
      </c>
      <c r="X3191" s="5">
        <f t="shared" si="101"/>
        <v>0</v>
      </c>
    </row>
    <row r="3192" spans="1:24" x14ac:dyDescent="0.25">
      <c r="A3192" s="17"/>
      <c r="B3192" s="17"/>
      <c r="C3192" s="17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/>
      <c r="V3192" s="18">
        <v>0</v>
      </c>
      <c r="W3192" s="17">
        <f t="shared" si="100"/>
        <v>0</v>
      </c>
      <c r="X3192" s="5">
        <f t="shared" si="101"/>
        <v>0</v>
      </c>
    </row>
    <row r="3193" spans="1:24" x14ac:dyDescent="0.25">
      <c r="A3193" s="17"/>
      <c r="B3193" s="17"/>
      <c r="C3193" s="17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/>
      <c r="V3193" s="18">
        <v>0</v>
      </c>
      <c r="W3193" s="17">
        <f t="shared" si="100"/>
        <v>0</v>
      </c>
      <c r="X3193" s="5">
        <f t="shared" si="101"/>
        <v>0</v>
      </c>
    </row>
    <row r="3194" spans="1:24" x14ac:dyDescent="0.25">
      <c r="A3194" s="17"/>
      <c r="B3194" s="17"/>
      <c r="C3194" s="17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8">
        <v>0</v>
      </c>
      <c r="W3194" s="17">
        <f t="shared" si="100"/>
        <v>0</v>
      </c>
      <c r="X3194" s="5">
        <f t="shared" si="101"/>
        <v>0</v>
      </c>
    </row>
    <row r="3195" spans="1:24" x14ac:dyDescent="0.25">
      <c r="A3195" s="17"/>
      <c r="B3195" s="17"/>
      <c r="C3195" s="17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8">
        <v>0</v>
      </c>
      <c r="W3195" s="17">
        <f t="shared" si="100"/>
        <v>0</v>
      </c>
      <c r="X3195" s="5">
        <f t="shared" si="101"/>
        <v>0</v>
      </c>
    </row>
    <row r="3196" spans="1:24" x14ac:dyDescent="0.25">
      <c r="A3196" s="17"/>
      <c r="B3196" s="17"/>
      <c r="C3196" s="17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8">
        <v>0</v>
      </c>
      <c r="W3196" s="17">
        <f t="shared" si="100"/>
        <v>0</v>
      </c>
      <c r="X3196" s="5">
        <f t="shared" si="101"/>
        <v>0</v>
      </c>
    </row>
    <row r="3197" spans="1:24" x14ac:dyDescent="0.25">
      <c r="A3197" s="17"/>
      <c r="B3197" s="17"/>
      <c r="C3197" s="17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/>
      <c r="V3197" s="18">
        <v>0</v>
      </c>
      <c r="W3197" s="17">
        <f t="shared" si="100"/>
        <v>0</v>
      </c>
      <c r="X3197" s="5">
        <f t="shared" si="101"/>
        <v>0</v>
      </c>
    </row>
    <row r="3198" spans="1:24" x14ac:dyDescent="0.25">
      <c r="A3198" s="17"/>
      <c r="B3198" s="17"/>
      <c r="C3198" s="17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8">
        <v>0</v>
      </c>
      <c r="W3198" s="17">
        <f t="shared" si="100"/>
        <v>0</v>
      </c>
      <c r="X3198" s="5">
        <f t="shared" si="101"/>
        <v>0</v>
      </c>
    </row>
    <row r="3199" spans="1:24" x14ac:dyDescent="0.25">
      <c r="A3199" s="17"/>
      <c r="B3199" s="17"/>
      <c r="C3199" s="17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  <c r="N3199" s="17"/>
      <c r="O3199" s="17"/>
      <c r="P3199" s="17"/>
      <c r="Q3199" s="17"/>
      <c r="R3199" s="17"/>
      <c r="S3199" s="17"/>
      <c r="T3199" s="17"/>
      <c r="U3199" s="17"/>
      <c r="V3199" s="18">
        <v>0</v>
      </c>
      <c r="W3199" s="17">
        <f t="shared" si="100"/>
        <v>0</v>
      </c>
      <c r="X3199" s="5">
        <f t="shared" si="101"/>
        <v>0</v>
      </c>
    </row>
    <row r="3200" spans="1:24" x14ac:dyDescent="0.25">
      <c r="A3200" s="17"/>
      <c r="B3200" s="17"/>
      <c r="C3200" s="17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  <c r="N3200" s="17"/>
      <c r="O3200" s="17"/>
      <c r="P3200" s="17"/>
      <c r="Q3200" s="17"/>
      <c r="R3200" s="17"/>
      <c r="S3200" s="17"/>
      <c r="T3200" s="17"/>
      <c r="U3200" s="17"/>
      <c r="V3200" s="18">
        <v>0</v>
      </c>
      <c r="W3200" s="17">
        <f t="shared" si="100"/>
        <v>0</v>
      </c>
      <c r="X3200" s="5">
        <f t="shared" si="101"/>
        <v>0</v>
      </c>
    </row>
    <row r="3201" spans="1:24" x14ac:dyDescent="0.25">
      <c r="A3201" s="17"/>
      <c r="B3201" s="17"/>
      <c r="C3201" s="17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  <c r="N3201" s="17"/>
      <c r="O3201" s="17"/>
      <c r="P3201" s="17"/>
      <c r="Q3201" s="17"/>
      <c r="R3201" s="17"/>
      <c r="S3201" s="17"/>
      <c r="T3201" s="17"/>
      <c r="U3201" s="17"/>
      <c r="V3201" s="18">
        <v>0</v>
      </c>
      <c r="W3201" s="17">
        <f t="shared" si="100"/>
        <v>0</v>
      </c>
      <c r="X3201" s="5">
        <f t="shared" si="101"/>
        <v>0</v>
      </c>
    </row>
    <row r="3202" spans="1:24" x14ac:dyDescent="0.25">
      <c r="A3202" s="17"/>
      <c r="B3202" s="17"/>
      <c r="C3202" s="17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8">
        <v>0</v>
      </c>
      <c r="W3202" s="17">
        <f t="shared" si="100"/>
        <v>0</v>
      </c>
      <c r="X3202" s="5">
        <f t="shared" si="101"/>
        <v>0</v>
      </c>
    </row>
    <row r="3203" spans="1:24" x14ac:dyDescent="0.25">
      <c r="A3203" s="17"/>
      <c r="B3203" s="17"/>
      <c r="C3203" s="17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8">
        <v>0</v>
      </c>
      <c r="W3203" s="17">
        <f t="shared" ref="W3203:W3266" si="102">HOUR(E3203)</f>
        <v>0</v>
      </c>
      <c r="X3203" s="5">
        <f t="shared" ref="X3203:X3266" si="103">IF(D3203=D3202,0,1)</f>
        <v>0</v>
      </c>
    </row>
    <row r="3204" spans="1:24" x14ac:dyDescent="0.25">
      <c r="A3204" s="17"/>
      <c r="B3204" s="17"/>
      <c r="C3204" s="17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/>
      <c r="V3204" s="18">
        <v>0</v>
      </c>
      <c r="W3204" s="17">
        <f t="shared" si="102"/>
        <v>0</v>
      </c>
      <c r="X3204" s="5">
        <f t="shared" si="103"/>
        <v>0</v>
      </c>
    </row>
    <row r="3205" spans="1:24" x14ac:dyDescent="0.25">
      <c r="A3205" s="17"/>
      <c r="B3205" s="17"/>
      <c r="C3205" s="17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8">
        <v>0</v>
      </c>
      <c r="W3205" s="17">
        <f t="shared" si="102"/>
        <v>0</v>
      </c>
      <c r="X3205" s="5">
        <f t="shared" si="103"/>
        <v>0</v>
      </c>
    </row>
    <row r="3206" spans="1:24" x14ac:dyDescent="0.25">
      <c r="A3206" s="17"/>
      <c r="B3206" s="17"/>
      <c r="C3206" s="17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8">
        <v>0</v>
      </c>
      <c r="W3206" s="17">
        <f t="shared" si="102"/>
        <v>0</v>
      </c>
      <c r="X3206" s="5">
        <f t="shared" si="103"/>
        <v>0</v>
      </c>
    </row>
    <row r="3207" spans="1:24" x14ac:dyDescent="0.25">
      <c r="A3207" s="17"/>
      <c r="B3207" s="17"/>
      <c r="C3207" s="17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8">
        <v>0</v>
      </c>
      <c r="W3207" s="17">
        <f t="shared" si="102"/>
        <v>0</v>
      </c>
      <c r="X3207" s="5">
        <f t="shared" si="103"/>
        <v>0</v>
      </c>
    </row>
    <row r="3208" spans="1:24" x14ac:dyDescent="0.25">
      <c r="A3208" s="17"/>
      <c r="B3208" s="17"/>
      <c r="C3208" s="17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8">
        <v>0</v>
      </c>
      <c r="W3208" s="17">
        <f t="shared" si="102"/>
        <v>0</v>
      </c>
      <c r="X3208" s="5">
        <f t="shared" si="103"/>
        <v>0</v>
      </c>
    </row>
    <row r="3209" spans="1:24" x14ac:dyDescent="0.25">
      <c r="A3209" s="17"/>
      <c r="B3209" s="17"/>
      <c r="C3209" s="17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/>
      <c r="V3209" s="18">
        <v>0</v>
      </c>
      <c r="W3209" s="17">
        <f t="shared" si="102"/>
        <v>0</v>
      </c>
      <c r="X3209" s="5">
        <f t="shared" si="103"/>
        <v>0</v>
      </c>
    </row>
    <row r="3210" spans="1:24" x14ac:dyDescent="0.25">
      <c r="A3210" s="17"/>
      <c r="B3210" s="17"/>
      <c r="C3210" s="17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/>
      <c r="V3210" s="18">
        <v>0</v>
      </c>
      <c r="W3210" s="17">
        <f t="shared" si="102"/>
        <v>0</v>
      </c>
      <c r="X3210" s="5">
        <f t="shared" si="103"/>
        <v>0</v>
      </c>
    </row>
    <row r="3211" spans="1:24" x14ac:dyDescent="0.25">
      <c r="A3211" s="17"/>
      <c r="B3211" s="17"/>
      <c r="C3211" s="17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  <c r="N3211" s="17"/>
      <c r="O3211" s="17"/>
      <c r="P3211" s="17"/>
      <c r="Q3211" s="17"/>
      <c r="R3211" s="17"/>
      <c r="S3211" s="17"/>
      <c r="T3211" s="17"/>
      <c r="U3211" s="17"/>
      <c r="V3211" s="18">
        <v>0</v>
      </c>
      <c r="W3211" s="17">
        <f t="shared" si="102"/>
        <v>0</v>
      </c>
      <c r="X3211" s="5">
        <f t="shared" si="103"/>
        <v>0</v>
      </c>
    </row>
    <row r="3212" spans="1:24" x14ac:dyDescent="0.25">
      <c r="A3212" s="17"/>
      <c r="B3212" s="17"/>
      <c r="C3212" s="17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  <c r="N3212" s="17"/>
      <c r="O3212" s="17"/>
      <c r="P3212" s="17"/>
      <c r="Q3212" s="17"/>
      <c r="R3212" s="17"/>
      <c r="S3212" s="17"/>
      <c r="T3212" s="17"/>
      <c r="U3212" s="17"/>
      <c r="V3212" s="18">
        <v>0</v>
      </c>
      <c r="W3212" s="17">
        <f t="shared" si="102"/>
        <v>0</v>
      </c>
      <c r="X3212" s="5">
        <f t="shared" si="103"/>
        <v>0</v>
      </c>
    </row>
    <row r="3213" spans="1:24" x14ac:dyDescent="0.25">
      <c r="A3213" s="17"/>
      <c r="B3213" s="17"/>
      <c r="C3213" s="17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  <c r="N3213" s="17"/>
      <c r="O3213" s="17"/>
      <c r="P3213" s="17"/>
      <c r="Q3213" s="17"/>
      <c r="R3213" s="17"/>
      <c r="S3213" s="17"/>
      <c r="T3213" s="17"/>
      <c r="U3213" s="17"/>
      <c r="V3213" s="18">
        <v>0</v>
      </c>
      <c r="W3213" s="17">
        <f t="shared" si="102"/>
        <v>0</v>
      </c>
      <c r="X3213" s="5">
        <f t="shared" si="103"/>
        <v>0</v>
      </c>
    </row>
    <row r="3214" spans="1:24" x14ac:dyDescent="0.25">
      <c r="A3214" s="17"/>
      <c r="B3214" s="17"/>
      <c r="C3214" s="17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  <c r="N3214" s="17"/>
      <c r="O3214" s="17"/>
      <c r="P3214" s="17"/>
      <c r="Q3214" s="17"/>
      <c r="R3214" s="17"/>
      <c r="S3214" s="17"/>
      <c r="T3214" s="17"/>
      <c r="U3214" s="17"/>
      <c r="V3214" s="18">
        <v>0</v>
      </c>
      <c r="W3214" s="17">
        <f t="shared" si="102"/>
        <v>0</v>
      </c>
      <c r="X3214" s="5">
        <f t="shared" si="103"/>
        <v>0</v>
      </c>
    </row>
    <row r="3215" spans="1:24" x14ac:dyDescent="0.25">
      <c r="A3215" s="17"/>
      <c r="B3215" s="17"/>
      <c r="C3215" s="17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  <c r="N3215" s="17"/>
      <c r="O3215" s="17"/>
      <c r="P3215" s="17"/>
      <c r="Q3215" s="17"/>
      <c r="R3215" s="17"/>
      <c r="S3215" s="17"/>
      <c r="T3215" s="17"/>
      <c r="U3215" s="17"/>
      <c r="V3215" s="18">
        <v>0</v>
      </c>
      <c r="W3215" s="17">
        <f t="shared" si="102"/>
        <v>0</v>
      </c>
      <c r="X3215" s="5">
        <f t="shared" si="103"/>
        <v>0</v>
      </c>
    </row>
    <row r="3216" spans="1:24" x14ac:dyDescent="0.25">
      <c r="A3216" s="17"/>
      <c r="B3216" s="17"/>
      <c r="C3216" s="17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  <c r="N3216" s="17"/>
      <c r="O3216" s="17"/>
      <c r="P3216" s="17"/>
      <c r="Q3216" s="17"/>
      <c r="R3216" s="17"/>
      <c r="S3216" s="17"/>
      <c r="T3216" s="17"/>
      <c r="U3216" s="17"/>
      <c r="V3216" s="18">
        <v>0</v>
      </c>
      <c r="W3216" s="17">
        <f t="shared" si="102"/>
        <v>0</v>
      </c>
      <c r="X3216" s="5">
        <f t="shared" si="103"/>
        <v>0</v>
      </c>
    </row>
    <row r="3217" spans="1:24" x14ac:dyDescent="0.25">
      <c r="A3217" s="17"/>
      <c r="B3217" s="17"/>
      <c r="C3217" s="17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  <c r="N3217" s="17"/>
      <c r="O3217" s="17"/>
      <c r="P3217" s="17"/>
      <c r="Q3217" s="17"/>
      <c r="R3217" s="17"/>
      <c r="S3217" s="17"/>
      <c r="T3217" s="17"/>
      <c r="U3217" s="17"/>
      <c r="V3217" s="18">
        <v>0</v>
      </c>
      <c r="W3217" s="17">
        <f t="shared" si="102"/>
        <v>0</v>
      </c>
      <c r="X3217" s="5">
        <f t="shared" si="103"/>
        <v>0</v>
      </c>
    </row>
    <row r="3218" spans="1:24" x14ac:dyDescent="0.25">
      <c r="A3218" s="17"/>
      <c r="B3218" s="17"/>
      <c r="C3218" s="17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  <c r="N3218" s="17"/>
      <c r="O3218" s="17"/>
      <c r="P3218" s="17"/>
      <c r="Q3218" s="17"/>
      <c r="R3218" s="17"/>
      <c r="S3218" s="17"/>
      <c r="T3218" s="17"/>
      <c r="U3218" s="17"/>
      <c r="V3218" s="18">
        <v>0</v>
      </c>
      <c r="W3218" s="17">
        <f t="shared" si="102"/>
        <v>0</v>
      </c>
      <c r="X3218" s="5">
        <f t="shared" si="103"/>
        <v>0</v>
      </c>
    </row>
    <row r="3219" spans="1:24" x14ac:dyDescent="0.25">
      <c r="A3219" s="17"/>
      <c r="B3219" s="17"/>
      <c r="C3219" s="17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  <c r="N3219" s="17"/>
      <c r="O3219" s="17"/>
      <c r="P3219" s="17"/>
      <c r="Q3219" s="17"/>
      <c r="R3219" s="17"/>
      <c r="S3219" s="17"/>
      <c r="T3219" s="17"/>
      <c r="U3219" s="17"/>
      <c r="V3219" s="18">
        <v>0</v>
      </c>
      <c r="W3219" s="17">
        <f t="shared" si="102"/>
        <v>0</v>
      </c>
      <c r="X3219" s="5">
        <f t="shared" si="103"/>
        <v>0</v>
      </c>
    </row>
    <row r="3220" spans="1:24" x14ac:dyDescent="0.25">
      <c r="A3220" s="17"/>
      <c r="B3220" s="17"/>
      <c r="C3220" s="17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/>
      <c r="U3220" s="17"/>
      <c r="V3220" s="18">
        <v>0</v>
      </c>
      <c r="W3220" s="17">
        <f t="shared" si="102"/>
        <v>0</v>
      </c>
      <c r="X3220" s="5">
        <f t="shared" si="103"/>
        <v>0</v>
      </c>
    </row>
    <row r="3221" spans="1:24" x14ac:dyDescent="0.25">
      <c r="A3221" s="17"/>
      <c r="B3221" s="17"/>
      <c r="C3221" s="17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/>
      <c r="U3221" s="17"/>
      <c r="V3221" s="18">
        <v>0</v>
      </c>
      <c r="W3221" s="17">
        <f t="shared" si="102"/>
        <v>0</v>
      </c>
      <c r="X3221" s="5">
        <f t="shared" si="103"/>
        <v>0</v>
      </c>
    </row>
    <row r="3222" spans="1:24" x14ac:dyDescent="0.25">
      <c r="A3222" s="17"/>
      <c r="B3222" s="17"/>
      <c r="C3222" s="17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V3222" s="18">
        <v>0</v>
      </c>
      <c r="W3222" s="17">
        <f t="shared" si="102"/>
        <v>0</v>
      </c>
      <c r="X3222" s="5">
        <f t="shared" si="103"/>
        <v>0</v>
      </c>
    </row>
    <row r="3223" spans="1:24" x14ac:dyDescent="0.25">
      <c r="A3223" s="17"/>
      <c r="B3223" s="17"/>
      <c r="C3223" s="17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8">
        <v>0</v>
      </c>
      <c r="W3223" s="17">
        <f t="shared" si="102"/>
        <v>0</v>
      </c>
      <c r="X3223" s="5">
        <f t="shared" si="103"/>
        <v>0</v>
      </c>
    </row>
    <row r="3224" spans="1:24" x14ac:dyDescent="0.25">
      <c r="A3224" s="17"/>
      <c r="B3224" s="17"/>
      <c r="C3224" s="17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/>
      <c r="V3224" s="18">
        <v>0</v>
      </c>
      <c r="W3224" s="17">
        <f t="shared" si="102"/>
        <v>0</v>
      </c>
      <c r="X3224" s="5">
        <f t="shared" si="103"/>
        <v>0</v>
      </c>
    </row>
    <row r="3225" spans="1:24" x14ac:dyDescent="0.25">
      <c r="A3225" s="17"/>
      <c r="B3225" s="17"/>
      <c r="C3225" s="17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8">
        <v>0</v>
      </c>
      <c r="W3225" s="17">
        <f t="shared" si="102"/>
        <v>0</v>
      </c>
      <c r="X3225" s="5">
        <f t="shared" si="103"/>
        <v>0</v>
      </c>
    </row>
    <row r="3226" spans="1:24" x14ac:dyDescent="0.25">
      <c r="A3226" s="17"/>
      <c r="B3226" s="17"/>
      <c r="C3226" s="17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/>
      <c r="U3226" s="17"/>
      <c r="V3226" s="18">
        <v>0</v>
      </c>
      <c r="W3226" s="17">
        <f t="shared" si="102"/>
        <v>0</v>
      </c>
      <c r="X3226" s="5">
        <f t="shared" si="103"/>
        <v>0</v>
      </c>
    </row>
    <row r="3227" spans="1:24" x14ac:dyDescent="0.25">
      <c r="A3227" s="17"/>
      <c r="B3227" s="17"/>
      <c r="C3227" s="17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/>
      <c r="U3227" s="17"/>
      <c r="V3227" s="18">
        <v>0</v>
      </c>
      <c r="W3227" s="17">
        <f t="shared" si="102"/>
        <v>0</v>
      </c>
      <c r="X3227" s="5">
        <f t="shared" si="103"/>
        <v>0</v>
      </c>
    </row>
    <row r="3228" spans="1:24" x14ac:dyDescent="0.25">
      <c r="A3228" s="17"/>
      <c r="B3228" s="17"/>
      <c r="C3228" s="17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8">
        <v>0</v>
      </c>
      <c r="W3228" s="17">
        <f t="shared" si="102"/>
        <v>0</v>
      </c>
      <c r="X3228" s="5">
        <f t="shared" si="103"/>
        <v>0</v>
      </c>
    </row>
    <row r="3229" spans="1:24" x14ac:dyDescent="0.25">
      <c r="A3229" s="17"/>
      <c r="B3229" s="17"/>
      <c r="C3229" s="17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8">
        <v>0</v>
      </c>
      <c r="W3229" s="17">
        <f t="shared" si="102"/>
        <v>0</v>
      </c>
      <c r="X3229" s="5">
        <f t="shared" si="103"/>
        <v>0</v>
      </c>
    </row>
    <row r="3230" spans="1:24" x14ac:dyDescent="0.25">
      <c r="A3230" s="17"/>
      <c r="B3230" s="17"/>
      <c r="C3230" s="17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/>
      <c r="U3230" s="17"/>
      <c r="V3230" s="18">
        <v>0</v>
      </c>
      <c r="W3230" s="17">
        <f t="shared" si="102"/>
        <v>0</v>
      </c>
      <c r="X3230" s="5">
        <f t="shared" si="103"/>
        <v>0</v>
      </c>
    </row>
    <row r="3231" spans="1:24" x14ac:dyDescent="0.25">
      <c r="A3231" s="17"/>
      <c r="B3231" s="17"/>
      <c r="C3231" s="17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  <c r="N3231" s="17"/>
      <c r="O3231" s="17"/>
      <c r="P3231" s="17"/>
      <c r="Q3231" s="17"/>
      <c r="R3231" s="17"/>
      <c r="S3231" s="17"/>
      <c r="T3231" s="17"/>
      <c r="U3231" s="17"/>
      <c r="V3231" s="18">
        <v>0</v>
      </c>
      <c r="W3231" s="17">
        <f t="shared" si="102"/>
        <v>0</v>
      </c>
      <c r="X3231" s="5">
        <f t="shared" si="103"/>
        <v>0</v>
      </c>
    </row>
    <row r="3232" spans="1:24" x14ac:dyDescent="0.25">
      <c r="A3232" s="17"/>
      <c r="B3232" s="17"/>
      <c r="C3232" s="17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  <c r="N3232" s="17"/>
      <c r="O3232" s="17"/>
      <c r="P3232" s="17"/>
      <c r="Q3232" s="17"/>
      <c r="R3232" s="17"/>
      <c r="S3232" s="17"/>
      <c r="T3232" s="17"/>
      <c r="U3232" s="17"/>
      <c r="V3232" s="18">
        <v>0</v>
      </c>
      <c r="W3232" s="17">
        <f t="shared" si="102"/>
        <v>0</v>
      </c>
      <c r="X3232" s="5">
        <f t="shared" si="103"/>
        <v>0</v>
      </c>
    </row>
    <row r="3233" spans="1:24" x14ac:dyDescent="0.25">
      <c r="A3233" s="17"/>
      <c r="B3233" s="17"/>
      <c r="C3233" s="17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  <c r="N3233" s="17"/>
      <c r="O3233" s="17"/>
      <c r="P3233" s="17"/>
      <c r="Q3233" s="17"/>
      <c r="R3233" s="17"/>
      <c r="S3233" s="17"/>
      <c r="T3233" s="17"/>
      <c r="U3233" s="17"/>
      <c r="V3233" s="18">
        <v>0</v>
      </c>
      <c r="W3233" s="17">
        <f t="shared" si="102"/>
        <v>0</v>
      </c>
      <c r="X3233" s="5">
        <f t="shared" si="103"/>
        <v>0</v>
      </c>
    </row>
    <row r="3234" spans="1:24" x14ac:dyDescent="0.25">
      <c r="A3234" s="17"/>
      <c r="B3234" s="17"/>
      <c r="C3234" s="17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/>
      <c r="V3234" s="18">
        <v>0</v>
      </c>
      <c r="W3234" s="17">
        <f t="shared" si="102"/>
        <v>0</v>
      </c>
      <c r="X3234" s="5">
        <f t="shared" si="103"/>
        <v>0</v>
      </c>
    </row>
    <row r="3235" spans="1:24" x14ac:dyDescent="0.25">
      <c r="A3235" s="17"/>
      <c r="B3235" s="17"/>
      <c r="C3235" s="17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/>
      <c r="V3235" s="18">
        <v>0</v>
      </c>
      <c r="W3235" s="17">
        <f t="shared" si="102"/>
        <v>0</v>
      </c>
      <c r="X3235" s="5">
        <f t="shared" si="103"/>
        <v>0</v>
      </c>
    </row>
    <row r="3236" spans="1:24" x14ac:dyDescent="0.25">
      <c r="A3236" s="17"/>
      <c r="B3236" s="17"/>
      <c r="C3236" s="17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8">
        <v>0</v>
      </c>
      <c r="W3236" s="17">
        <f t="shared" si="102"/>
        <v>0</v>
      </c>
      <c r="X3236" s="5">
        <f t="shared" si="103"/>
        <v>0</v>
      </c>
    </row>
    <row r="3237" spans="1:24" x14ac:dyDescent="0.25">
      <c r="A3237" s="17"/>
      <c r="B3237" s="17"/>
      <c r="C3237" s="17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  <c r="N3237" s="17"/>
      <c r="O3237" s="17"/>
      <c r="P3237" s="17"/>
      <c r="Q3237" s="17"/>
      <c r="R3237" s="17"/>
      <c r="S3237" s="17"/>
      <c r="T3237" s="17"/>
      <c r="U3237" s="17"/>
      <c r="V3237" s="18">
        <v>0</v>
      </c>
      <c r="W3237" s="17">
        <f t="shared" si="102"/>
        <v>0</v>
      </c>
      <c r="X3237" s="5">
        <f t="shared" si="103"/>
        <v>0</v>
      </c>
    </row>
    <row r="3238" spans="1:24" x14ac:dyDescent="0.25">
      <c r="A3238" s="17"/>
      <c r="B3238" s="17"/>
      <c r="C3238" s="17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  <c r="N3238" s="17"/>
      <c r="O3238" s="17"/>
      <c r="P3238" s="17"/>
      <c r="Q3238" s="17"/>
      <c r="R3238" s="17"/>
      <c r="S3238" s="17"/>
      <c r="T3238" s="17"/>
      <c r="U3238" s="17"/>
      <c r="V3238" s="18">
        <v>0</v>
      </c>
      <c r="W3238" s="17">
        <f t="shared" si="102"/>
        <v>0</v>
      </c>
      <c r="X3238" s="5">
        <f t="shared" si="103"/>
        <v>0</v>
      </c>
    </row>
    <row r="3239" spans="1:24" x14ac:dyDescent="0.25">
      <c r="A3239" s="17"/>
      <c r="B3239" s="17"/>
      <c r="C3239" s="17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  <c r="N3239" s="17"/>
      <c r="O3239" s="17"/>
      <c r="P3239" s="17"/>
      <c r="Q3239" s="17"/>
      <c r="R3239" s="17"/>
      <c r="S3239" s="17"/>
      <c r="T3239" s="17"/>
      <c r="U3239" s="17"/>
      <c r="V3239" s="18">
        <v>0</v>
      </c>
      <c r="W3239" s="17">
        <f t="shared" si="102"/>
        <v>0</v>
      </c>
      <c r="X3239" s="5">
        <f t="shared" si="103"/>
        <v>0</v>
      </c>
    </row>
    <row r="3240" spans="1:24" x14ac:dyDescent="0.25">
      <c r="A3240" s="17"/>
      <c r="B3240" s="17"/>
      <c r="C3240" s="17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  <c r="N3240" s="17"/>
      <c r="O3240" s="17"/>
      <c r="P3240" s="17"/>
      <c r="Q3240" s="17"/>
      <c r="R3240" s="17"/>
      <c r="S3240" s="17"/>
      <c r="T3240" s="17"/>
      <c r="U3240" s="17"/>
      <c r="V3240" s="18">
        <v>0</v>
      </c>
      <c r="W3240" s="17">
        <f t="shared" si="102"/>
        <v>0</v>
      </c>
      <c r="X3240" s="5">
        <f t="shared" si="103"/>
        <v>0</v>
      </c>
    </row>
    <row r="3241" spans="1:24" x14ac:dyDescent="0.25">
      <c r="A3241" s="17"/>
      <c r="B3241" s="17"/>
      <c r="C3241" s="17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8">
        <v>0</v>
      </c>
      <c r="W3241" s="17">
        <f t="shared" si="102"/>
        <v>0</v>
      </c>
      <c r="X3241" s="5">
        <f t="shared" si="103"/>
        <v>0</v>
      </c>
    </row>
    <row r="3242" spans="1:24" x14ac:dyDescent="0.25">
      <c r="A3242" s="17"/>
      <c r="B3242" s="17"/>
      <c r="C3242" s="17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8">
        <v>0</v>
      </c>
      <c r="W3242" s="17">
        <f t="shared" si="102"/>
        <v>0</v>
      </c>
      <c r="X3242" s="5">
        <f t="shared" si="103"/>
        <v>0</v>
      </c>
    </row>
    <row r="3243" spans="1:24" x14ac:dyDescent="0.25">
      <c r="A3243" s="17"/>
      <c r="B3243" s="17"/>
      <c r="C3243" s="17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  <c r="N3243" s="17"/>
      <c r="O3243" s="17"/>
      <c r="P3243" s="17"/>
      <c r="Q3243" s="17"/>
      <c r="R3243" s="17"/>
      <c r="S3243" s="17"/>
      <c r="T3243" s="17"/>
      <c r="U3243" s="17"/>
      <c r="V3243" s="18">
        <v>0</v>
      </c>
      <c r="W3243" s="17">
        <f t="shared" si="102"/>
        <v>0</v>
      </c>
      <c r="X3243" s="5">
        <f t="shared" si="103"/>
        <v>0</v>
      </c>
    </row>
    <row r="3244" spans="1:24" x14ac:dyDescent="0.25">
      <c r="A3244" s="17"/>
      <c r="B3244" s="17"/>
      <c r="C3244" s="17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  <c r="N3244" s="17"/>
      <c r="O3244" s="17"/>
      <c r="P3244" s="17"/>
      <c r="Q3244" s="17"/>
      <c r="R3244" s="17"/>
      <c r="S3244" s="17"/>
      <c r="T3244" s="17"/>
      <c r="U3244" s="17"/>
      <c r="V3244" s="18">
        <v>0</v>
      </c>
      <c r="W3244" s="17">
        <f t="shared" si="102"/>
        <v>0</v>
      </c>
      <c r="X3244" s="5">
        <f t="shared" si="103"/>
        <v>0</v>
      </c>
    </row>
    <row r="3245" spans="1:24" x14ac:dyDescent="0.25">
      <c r="A3245" s="17"/>
      <c r="B3245" s="17"/>
      <c r="C3245" s="17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  <c r="N3245" s="17"/>
      <c r="O3245" s="17"/>
      <c r="P3245" s="17"/>
      <c r="Q3245" s="17"/>
      <c r="R3245" s="17"/>
      <c r="S3245" s="17"/>
      <c r="T3245" s="17"/>
      <c r="U3245" s="17"/>
      <c r="V3245" s="18">
        <v>0</v>
      </c>
      <c r="W3245" s="17">
        <f t="shared" si="102"/>
        <v>0</v>
      </c>
      <c r="X3245" s="5">
        <f t="shared" si="103"/>
        <v>0</v>
      </c>
    </row>
    <row r="3246" spans="1:24" x14ac:dyDescent="0.25">
      <c r="A3246" s="17"/>
      <c r="B3246" s="17"/>
      <c r="C3246" s="17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/>
      <c r="V3246" s="18">
        <v>0</v>
      </c>
      <c r="W3246" s="17">
        <f t="shared" si="102"/>
        <v>0</v>
      </c>
      <c r="X3246" s="5">
        <f t="shared" si="103"/>
        <v>0</v>
      </c>
    </row>
    <row r="3247" spans="1:24" x14ac:dyDescent="0.25">
      <c r="A3247" s="17"/>
      <c r="B3247" s="17"/>
      <c r="C3247" s="17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8">
        <v>0</v>
      </c>
      <c r="W3247" s="17">
        <f t="shared" si="102"/>
        <v>0</v>
      </c>
      <c r="X3247" s="5">
        <f t="shared" si="103"/>
        <v>0</v>
      </c>
    </row>
    <row r="3248" spans="1:24" x14ac:dyDescent="0.25">
      <c r="A3248" s="17"/>
      <c r="B3248" s="17"/>
      <c r="C3248" s="17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/>
      <c r="U3248" s="17"/>
      <c r="V3248" s="18">
        <v>0</v>
      </c>
      <c r="W3248" s="17">
        <f t="shared" si="102"/>
        <v>0</v>
      </c>
      <c r="X3248" s="5">
        <f t="shared" si="103"/>
        <v>0</v>
      </c>
    </row>
    <row r="3249" spans="1:24" x14ac:dyDescent="0.25">
      <c r="A3249" s="17"/>
      <c r="B3249" s="17"/>
      <c r="C3249" s="17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  <c r="N3249" s="17"/>
      <c r="O3249" s="17"/>
      <c r="P3249" s="17"/>
      <c r="Q3249" s="17"/>
      <c r="R3249" s="17"/>
      <c r="S3249" s="17"/>
      <c r="T3249" s="17"/>
      <c r="U3249" s="17"/>
      <c r="V3249" s="18">
        <v>0</v>
      </c>
      <c r="W3249" s="17">
        <f t="shared" si="102"/>
        <v>0</v>
      </c>
      <c r="X3249" s="5">
        <f t="shared" si="103"/>
        <v>0</v>
      </c>
    </row>
    <row r="3250" spans="1:24" x14ac:dyDescent="0.25">
      <c r="A3250" s="17"/>
      <c r="B3250" s="17"/>
      <c r="C3250" s="17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  <c r="N3250" s="17"/>
      <c r="O3250" s="17"/>
      <c r="P3250" s="17"/>
      <c r="Q3250" s="17"/>
      <c r="R3250" s="17"/>
      <c r="S3250" s="17"/>
      <c r="T3250" s="17"/>
      <c r="U3250" s="17"/>
      <c r="V3250" s="18">
        <v>0</v>
      </c>
      <c r="W3250" s="17">
        <f t="shared" si="102"/>
        <v>0</v>
      </c>
      <c r="X3250" s="5">
        <f t="shared" si="103"/>
        <v>0</v>
      </c>
    </row>
    <row r="3251" spans="1:24" x14ac:dyDescent="0.25">
      <c r="A3251" s="17"/>
      <c r="B3251" s="17"/>
      <c r="C3251" s="17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8">
        <v>0</v>
      </c>
      <c r="W3251" s="17">
        <f t="shared" si="102"/>
        <v>0</v>
      </c>
      <c r="X3251" s="5">
        <f t="shared" si="103"/>
        <v>0</v>
      </c>
    </row>
    <row r="3252" spans="1:24" x14ac:dyDescent="0.25">
      <c r="A3252" s="17"/>
      <c r="B3252" s="17"/>
      <c r="C3252" s="17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/>
      <c r="V3252" s="18">
        <v>0</v>
      </c>
      <c r="W3252" s="17">
        <f t="shared" si="102"/>
        <v>0</v>
      </c>
      <c r="X3252" s="5">
        <f t="shared" si="103"/>
        <v>0</v>
      </c>
    </row>
    <row r="3253" spans="1:24" x14ac:dyDescent="0.25">
      <c r="A3253" s="17"/>
      <c r="B3253" s="17"/>
      <c r="C3253" s="17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  <c r="N3253" s="17"/>
      <c r="O3253" s="17"/>
      <c r="P3253" s="17"/>
      <c r="Q3253" s="17"/>
      <c r="R3253" s="17"/>
      <c r="S3253" s="17"/>
      <c r="T3253" s="17"/>
      <c r="U3253" s="17"/>
      <c r="V3253" s="18">
        <v>0</v>
      </c>
      <c r="W3253" s="17">
        <f t="shared" si="102"/>
        <v>0</v>
      </c>
      <c r="X3253" s="5">
        <f t="shared" si="103"/>
        <v>0</v>
      </c>
    </row>
    <row r="3254" spans="1:24" x14ac:dyDescent="0.25">
      <c r="A3254" s="17"/>
      <c r="B3254" s="17"/>
      <c r="C3254" s="17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/>
      <c r="V3254" s="18">
        <v>0</v>
      </c>
      <c r="W3254" s="17">
        <f t="shared" si="102"/>
        <v>0</v>
      </c>
      <c r="X3254" s="5">
        <f t="shared" si="103"/>
        <v>0</v>
      </c>
    </row>
    <row r="3255" spans="1:24" x14ac:dyDescent="0.25">
      <c r="A3255" s="17"/>
      <c r="B3255" s="17"/>
      <c r="C3255" s="17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8">
        <v>0</v>
      </c>
      <c r="W3255" s="17">
        <f t="shared" si="102"/>
        <v>0</v>
      </c>
      <c r="X3255" s="5">
        <f t="shared" si="103"/>
        <v>0</v>
      </c>
    </row>
    <row r="3256" spans="1:24" x14ac:dyDescent="0.25">
      <c r="A3256" s="17"/>
      <c r="B3256" s="17"/>
      <c r="C3256" s="17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  <c r="N3256" s="17"/>
      <c r="O3256" s="17"/>
      <c r="P3256" s="17"/>
      <c r="Q3256" s="17"/>
      <c r="R3256" s="17"/>
      <c r="S3256" s="17"/>
      <c r="T3256" s="17"/>
      <c r="U3256" s="17"/>
      <c r="V3256" s="18">
        <v>0</v>
      </c>
      <c r="W3256" s="17">
        <f t="shared" si="102"/>
        <v>0</v>
      </c>
      <c r="X3256" s="5">
        <f t="shared" si="103"/>
        <v>0</v>
      </c>
    </row>
    <row r="3257" spans="1:24" x14ac:dyDescent="0.25">
      <c r="A3257" s="17"/>
      <c r="B3257" s="17"/>
      <c r="C3257" s="17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  <c r="N3257" s="17"/>
      <c r="O3257" s="17"/>
      <c r="P3257" s="17"/>
      <c r="Q3257" s="17"/>
      <c r="R3257" s="17"/>
      <c r="S3257" s="17"/>
      <c r="T3257" s="17"/>
      <c r="U3257" s="17"/>
      <c r="V3257" s="18">
        <v>0</v>
      </c>
      <c r="W3257" s="17">
        <f t="shared" si="102"/>
        <v>0</v>
      </c>
      <c r="X3257" s="5">
        <f t="shared" si="103"/>
        <v>0</v>
      </c>
    </row>
    <row r="3258" spans="1:24" x14ac:dyDescent="0.25">
      <c r="A3258" s="17"/>
      <c r="B3258" s="17"/>
      <c r="C3258" s="17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  <c r="N3258" s="17"/>
      <c r="O3258" s="17"/>
      <c r="P3258" s="17"/>
      <c r="Q3258" s="17"/>
      <c r="R3258" s="17"/>
      <c r="S3258" s="17"/>
      <c r="T3258" s="17"/>
      <c r="U3258" s="17"/>
      <c r="V3258" s="18">
        <v>0</v>
      </c>
      <c r="W3258" s="17">
        <f t="shared" si="102"/>
        <v>0</v>
      </c>
      <c r="X3258" s="5">
        <f t="shared" si="103"/>
        <v>0</v>
      </c>
    </row>
    <row r="3259" spans="1:24" x14ac:dyDescent="0.25">
      <c r="A3259" s="17"/>
      <c r="B3259" s="17"/>
      <c r="C3259" s="17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  <c r="N3259" s="17"/>
      <c r="O3259" s="17"/>
      <c r="P3259" s="17"/>
      <c r="Q3259" s="17"/>
      <c r="R3259" s="17"/>
      <c r="S3259" s="17"/>
      <c r="T3259" s="17"/>
      <c r="U3259" s="17"/>
      <c r="V3259" s="18">
        <v>0</v>
      </c>
      <c r="W3259" s="17">
        <f t="shared" si="102"/>
        <v>0</v>
      </c>
      <c r="X3259" s="5">
        <f t="shared" si="103"/>
        <v>0</v>
      </c>
    </row>
    <row r="3260" spans="1:24" x14ac:dyDescent="0.25">
      <c r="A3260" s="17"/>
      <c r="B3260" s="17"/>
      <c r="C3260" s="17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  <c r="N3260" s="17"/>
      <c r="O3260" s="17"/>
      <c r="P3260" s="17"/>
      <c r="Q3260" s="17"/>
      <c r="R3260" s="17"/>
      <c r="S3260" s="17"/>
      <c r="T3260" s="17"/>
      <c r="U3260" s="17"/>
      <c r="V3260" s="18">
        <v>0</v>
      </c>
      <c r="W3260" s="17">
        <f t="shared" si="102"/>
        <v>0</v>
      </c>
      <c r="X3260" s="5">
        <f t="shared" si="103"/>
        <v>0</v>
      </c>
    </row>
    <row r="3261" spans="1:24" x14ac:dyDescent="0.25">
      <c r="A3261" s="17"/>
      <c r="B3261" s="17"/>
      <c r="C3261" s="17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8">
        <v>0</v>
      </c>
      <c r="W3261" s="17">
        <f t="shared" si="102"/>
        <v>0</v>
      </c>
      <c r="X3261" s="5">
        <f t="shared" si="103"/>
        <v>0</v>
      </c>
    </row>
    <row r="3262" spans="1:24" x14ac:dyDescent="0.25">
      <c r="A3262" s="17"/>
      <c r="B3262" s="17"/>
      <c r="C3262" s="17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  <c r="N3262" s="17"/>
      <c r="O3262" s="17"/>
      <c r="P3262" s="17"/>
      <c r="Q3262" s="17"/>
      <c r="R3262" s="17"/>
      <c r="S3262" s="17"/>
      <c r="T3262" s="17"/>
      <c r="U3262" s="17"/>
      <c r="V3262" s="18">
        <v>0</v>
      </c>
      <c r="W3262" s="17">
        <f t="shared" si="102"/>
        <v>0</v>
      </c>
      <c r="X3262" s="5">
        <f t="shared" si="103"/>
        <v>0</v>
      </c>
    </row>
    <row r="3263" spans="1:24" x14ac:dyDescent="0.25">
      <c r="A3263" s="17"/>
      <c r="B3263" s="17"/>
      <c r="C3263" s="17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  <c r="N3263" s="17"/>
      <c r="O3263" s="17"/>
      <c r="P3263" s="17"/>
      <c r="Q3263" s="17"/>
      <c r="R3263" s="17"/>
      <c r="S3263" s="17"/>
      <c r="T3263" s="17"/>
      <c r="U3263" s="17"/>
      <c r="V3263" s="18">
        <v>0</v>
      </c>
      <c r="W3263" s="17">
        <f t="shared" si="102"/>
        <v>0</v>
      </c>
      <c r="X3263" s="5">
        <f t="shared" si="103"/>
        <v>0</v>
      </c>
    </row>
    <row r="3264" spans="1:24" x14ac:dyDescent="0.25">
      <c r="A3264" s="17"/>
      <c r="B3264" s="17"/>
      <c r="C3264" s="17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  <c r="N3264" s="17"/>
      <c r="O3264" s="17"/>
      <c r="P3264" s="17"/>
      <c r="Q3264" s="17"/>
      <c r="R3264" s="17"/>
      <c r="S3264" s="17"/>
      <c r="T3264" s="17"/>
      <c r="U3264" s="17"/>
      <c r="V3264" s="18">
        <v>0</v>
      </c>
      <c r="W3264" s="17">
        <f t="shared" si="102"/>
        <v>0</v>
      </c>
      <c r="X3264" s="5">
        <f t="shared" si="103"/>
        <v>0</v>
      </c>
    </row>
    <row r="3265" spans="1:24" x14ac:dyDescent="0.25">
      <c r="A3265" s="17"/>
      <c r="B3265" s="17"/>
      <c r="C3265" s="17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8">
        <v>0</v>
      </c>
      <c r="W3265" s="17">
        <f t="shared" si="102"/>
        <v>0</v>
      </c>
      <c r="X3265" s="5">
        <f t="shared" si="103"/>
        <v>0</v>
      </c>
    </row>
    <row r="3266" spans="1:24" x14ac:dyDescent="0.25">
      <c r="A3266" s="17"/>
      <c r="B3266" s="17"/>
      <c r="C3266" s="17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8">
        <v>0</v>
      </c>
      <c r="W3266" s="17">
        <f t="shared" si="102"/>
        <v>0</v>
      </c>
      <c r="X3266" s="5">
        <f t="shared" si="103"/>
        <v>0</v>
      </c>
    </row>
    <row r="3267" spans="1:24" x14ac:dyDescent="0.25">
      <c r="A3267" s="17"/>
      <c r="B3267" s="17"/>
      <c r="C3267" s="17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  <c r="N3267" s="17"/>
      <c r="O3267" s="17"/>
      <c r="P3267" s="17"/>
      <c r="Q3267" s="17"/>
      <c r="R3267" s="17"/>
      <c r="S3267" s="17"/>
      <c r="T3267" s="17"/>
      <c r="U3267" s="17"/>
      <c r="V3267" s="18">
        <v>0</v>
      </c>
      <c r="W3267" s="17">
        <f t="shared" ref="W3267:W3330" si="104">HOUR(E3267)</f>
        <v>0</v>
      </c>
      <c r="X3267" s="5">
        <f t="shared" ref="X3267:X3330" si="105">IF(D3267=D3266,0,1)</f>
        <v>0</v>
      </c>
    </row>
    <row r="3268" spans="1:24" x14ac:dyDescent="0.25">
      <c r="A3268" s="17"/>
      <c r="B3268" s="17"/>
      <c r="C3268" s="17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  <c r="N3268" s="17"/>
      <c r="O3268" s="17"/>
      <c r="P3268" s="17"/>
      <c r="Q3268" s="17"/>
      <c r="R3268" s="17"/>
      <c r="S3268" s="17"/>
      <c r="T3268" s="17"/>
      <c r="U3268" s="17"/>
      <c r="V3268" s="18">
        <v>0</v>
      </c>
      <c r="W3268" s="17">
        <f t="shared" si="104"/>
        <v>0</v>
      </c>
      <c r="X3268" s="5">
        <f t="shared" si="105"/>
        <v>0</v>
      </c>
    </row>
    <row r="3269" spans="1:24" x14ac:dyDescent="0.25">
      <c r="A3269" s="17"/>
      <c r="B3269" s="17"/>
      <c r="C3269" s="17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  <c r="N3269" s="17"/>
      <c r="O3269" s="17"/>
      <c r="P3269" s="17"/>
      <c r="Q3269" s="17"/>
      <c r="R3269" s="17"/>
      <c r="S3269" s="17"/>
      <c r="T3269" s="17"/>
      <c r="U3269" s="17"/>
      <c r="V3269" s="18">
        <v>0</v>
      </c>
      <c r="W3269" s="17">
        <f t="shared" si="104"/>
        <v>0</v>
      </c>
      <c r="X3269" s="5">
        <f t="shared" si="105"/>
        <v>0</v>
      </c>
    </row>
    <row r="3270" spans="1:24" x14ac:dyDescent="0.25">
      <c r="A3270" s="17"/>
      <c r="B3270" s="17"/>
      <c r="C3270" s="17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/>
      <c r="V3270" s="18">
        <v>0</v>
      </c>
      <c r="W3270" s="17">
        <f t="shared" si="104"/>
        <v>0</v>
      </c>
      <c r="X3270" s="5">
        <f t="shared" si="105"/>
        <v>0</v>
      </c>
    </row>
    <row r="3271" spans="1:24" x14ac:dyDescent="0.25">
      <c r="A3271" s="17"/>
      <c r="B3271" s="17"/>
      <c r="C3271" s="17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8">
        <v>0</v>
      </c>
      <c r="W3271" s="17">
        <f t="shared" si="104"/>
        <v>0</v>
      </c>
      <c r="X3271" s="5">
        <f t="shared" si="105"/>
        <v>0</v>
      </c>
    </row>
    <row r="3272" spans="1:24" x14ac:dyDescent="0.25">
      <c r="A3272" s="17"/>
      <c r="B3272" s="17"/>
      <c r="C3272" s="17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8">
        <v>0</v>
      </c>
      <c r="W3272" s="17">
        <f t="shared" si="104"/>
        <v>0</v>
      </c>
      <c r="X3272" s="5">
        <f t="shared" si="105"/>
        <v>0</v>
      </c>
    </row>
    <row r="3273" spans="1:24" x14ac:dyDescent="0.25">
      <c r="A3273" s="17"/>
      <c r="B3273" s="17"/>
      <c r="C3273" s="17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8">
        <v>0</v>
      </c>
      <c r="W3273" s="17">
        <f t="shared" si="104"/>
        <v>0</v>
      </c>
      <c r="X3273" s="5">
        <f t="shared" si="105"/>
        <v>0</v>
      </c>
    </row>
    <row r="3274" spans="1:24" x14ac:dyDescent="0.25">
      <c r="A3274" s="17"/>
      <c r="B3274" s="17"/>
      <c r="C3274" s="17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8">
        <v>0</v>
      </c>
      <c r="W3274" s="17">
        <f t="shared" si="104"/>
        <v>0</v>
      </c>
      <c r="X3274" s="5">
        <f t="shared" si="105"/>
        <v>0</v>
      </c>
    </row>
    <row r="3275" spans="1:24" x14ac:dyDescent="0.25">
      <c r="A3275" s="17"/>
      <c r="B3275" s="17"/>
      <c r="C3275" s="17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8">
        <v>0</v>
      </c>
      <c r="W3275" s="17">
        <f t="shared" si="104"/>
        <v>0</v>
      </c>
      <c r="X3275" s="5">
        <f t="shared" si="105"/>
        <v>0</v>
      </c>
    </row>
    <row r="3276" spans="1:24" x14ac:dyDescent="0.25">
      <c r="A3276" s="17"/>
      <c r="B3276" s="17"/>
      <c r="C3276" s="17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/>
      <c r="V3276" s="18">
        <v>0</v>
      </c>
      <c r="W3276" s="17">
        <f t="shared" si="104"/>
        <v>0</v>
      </c>
      <c r="X3276" s="5">
        <f t="shared" si="105"/>
        <v>0</v>
      </c>
    </row>
    <row r="3277" spans="1:24" x14ac:dyDescent="0.25">
      <c r="A3277" s="17"/>
      <c r="B3277" s="17"/>
      <c r="C3277" s="17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8">
        <v>0</v>
      </c>
      <c r="W3277" s="17">
        <f t="shared" si="104"/>
        <v>0</v>
      </c>
      <c r="X3277" s="5">
        <f t="shared" si="105"/>
        <v>0</v>
      </c>
    </row>
    <row r="3278" spans="1:24" x14ac:dyDescent="0.25">
      <c r="A3278" s="17"/>
      <c r="B3278" s="17"/>
      <c r="C3278" s="17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  <c r="N3278" s="17"/>
      <c r="O3278" s="17"/>
      <c r="P3278" s="17"/>
      <c r="Q3278" s="17"/>
      <c r="R3278" s="17"/>
      <c r="S3278" s="17"/>
      <c r="T3278" s="17"/>
      <c r="U3278" s="17"/>
      <c r="V3278" s="18">
        <v>0</v>
      </c>
      <c r="W3278" s="17">
        <f t="shared" si="104"/>
        <v>0</v>
      </c>
      <c r="X3278" s="5">
        <f t="shared" si="105"/>
        <v>0</v>
      </c>
    </row>
    <row r="3279" spans="1:24" x14ac:dyDescent="0.25">
      <c r="A3279" s="17"/>
      <c r="B3279" s="17"/>
      <c r="C3279" s="17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  <c r="N3279" s="17"/>
      <c r="O3279" s="17"/>
      <c r="P3279" s="17"/>
      <c r="Q3279" s="17"/>
      <c r="R3279" s="17"/>
      <c r="S3279" s="17"/>
      <c r="T3279" s="17"/>
      <c r="U3279" s="17"/>
      <c r="V3279" s="18">
        <v>0</v>
      </c>
      <c r="W3279" s="17">
        <f t="shared" si="104"/>
        <v>0</v>
      </c>
      <c r="X3279" s="5">
        <f t="shared" si="105"/>
        <v>0</v>
      </c>
    </row>
    <row r="3280" spans="1:24" x14ac:dyDescent="0.25">
      <c r="A3280" s="17"/>
      <c r="B3280" s="17"/>
      <c r="C3280" s="17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  <c r="N3280" s="17"/>
      <c r="O3280" s="17"/>
      <c r="P3280" s="17"/>
      <c r="Q3280" s="17"/>
      <c r="R3280" s="17"/>
      <c r="S3280" s="17"/>
      <c r="T3280" s="17"/>
      <c r="U3280" s="17"/>
      <c r="V3280" s="18">
        <v>0</v>
      </c>
      <c r="W3280" s="17">
        <f t="shared" si="104"/>
        <v>0</v>
      </c>
      <c r="X3280" s="5">
        <f t="shared" si="105"/>
        <v>0</v>
      </c>
    </row>
    <row r="3281" spans="1:24" x14ac:dyDescent="0.25">
      <c r="A3281" s="17"/>
      <c r="B3281" s="17"/>
      <c r="C3281" s="17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8">
        <v>0</v>
      </c>
      <c r="W3281" s="17">
        <f t="shared" si="104"/>
        <v>0</v>
      </c>
      <c r="X3281" s="5">
        <f t="shared" si="105"/>
        <v>0</v>
      </c>
    </row>
    <row r="3282" spans="1:24" x14ac:dyDescent="0.25">
      <c r="A3282" s="17"/>
      <c r="B3282" s="17"/>
      <c r="C3282" s="17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8">
        <v>0</v>
      </c>
      <c r="W3282" s="17">
        <f t="shared" si="104"/>
        <v>0</v>
      </c>
      <c r="X3282" s="5">
        <f t="shared" si="105"/>
        <v>0</v>
      </c>
    </row>
    <row r="3283" spans="1:24" x14ac:dyDescent="0.25">
      <c r="A3283" s="17"/>
      <c r="B3283" s="17"/>
      <c r="C3283" s="17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8">
        <v>0</v>
      </c>
      <c r="W3283" s="17">
        <f t="shared" si="104"/>
        <v>0</v>
      </c>
      <c r="X3283" s="5">
        <f t="shared" si="105"/>
        <v>0</v>
      </c>
    </row>
    <row r="3284" spans="1:24" x14ac:dyDescent="0.25">
      <c r="A3284" s="17"/>
      <c r="B3284" s="17"/>
      <c r="C3284" s="17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  <c r="N3284" s="17"/>
      <c r="O3284" s="17"/>
      <c r="P3284" s="17"/>
      <c r="Q3284" s="17"/>
      <c r="R3284" s="17"/>
      <c r="S3284" s="17"/>
      <c r="T3284" s="17"/>
      <c r="U3284" s="17"/>
      <c r="V3284" s="18">
        <v>0</v>
      </c>
      <c r="W3284" s="17">
        <f t="shared" si="104"/>
        <v>0</v>
      </c>
      <c r="X3284" s="5">
        <f t="shared" si="105"/>
        <v>0</v>
      </c>
    </row>
    <row r="3285" spans="1:24" x14ac:dyDescent="0.25">
      <c r="A3285" s="17"/>
      <c r="B3285" s="17"/>
      <c r="C3285" s="17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  <c r="N3285" s="17"/>
      <c r="O3285" s="17"/>
      <c r="P3285" s="17"/>
      <c r="Q3285" s="17"/>
      <c r="R3285" s="17"/>
      <c r="S3285" s="17"/>
      <c r="T3285" s="17"/>
      <c r="U3285" s="17"/>
      <c r="V3285" s="18">
        <v>0</v>
      </c>
      <c r="W3285" s="17">
        <f t="shared" si="104"/>
        <v>0</v>
      </c>
      <c r="X3285" s="5">
        <f t="shared" si="105"/>
        <v>0</v>
      </c>
    </row>
    <row r="3286" spans="1:24" x14ac:dyDescent="0.25">
      <c r="A3286" s="17"/>
      <c r="B3286" s="17"/>
      <c r="C3286" s="17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  <c r="N3286" s="17"/>
      <c r="O3286" s="17"/>
      <c r="P3286" s="17"/>
      <c r="Q3286" s="17"/>
      <c r="R3286" s="17"/>
      <c r="S3286" s="17"/>
      <c r="T3286" s="17"/>
      <c r="U3286" s="17"/>
      <c r="V3286" s="18">
        <v>0</v>
      </c>
      <c r="W3286" s="17">
        <f t="shared" si="104"/>
        <v>0</v>
      </c>
      <c r="X3286" s="5">
        <f t="shared" si="105"/>
        <v>0</v>
      </c>
    </row>
    <row r="3287" spans="1:24" x14ac:dyDescent="0.25">
      <c r="A3287" s="17"/>
      <c r="B3287" s="17"/>
      <c r="C3287" s="17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8">
        <v>0</v>
      </c>
      <c r="W3287" s="17">
        <f t="shared" si="104"/>
        <v>0</v>
      </c>
      <c r="X3287" s="5">
        <f t="shared" si="105"/>
        <v>0</v>
      </c>
    </row>
    <row r="3288" spans="1:24" x14ac:dyDescent="0.25">
      <c r="A3288" s="17"/>
      <c r="B3288" s="17"/>
      <c r="C3288" s="17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  <c r="N3288" s="17"/>
      <c r="O3288" s="17"/>
      <c r="P3288" s="17"/>
      <c r="Q3288" s="17"/>
      <c r="R3288" s="17"/>
      <c r="S3288" s="17"/>
      <c r="T3288" s="17"/>
      <c r="U3288" s="17"/>
      <c r="V3288" s="18">
        <v>0</v>
      </c>
      <c r="W3288" s="17">
        <f t="shared" si="104"/>
        <v>0</v>
      </c>
      <c r="X3288" s="5">
        <f t="shared" si="105"/>
        <v>0</v>
      </c>
    </row>
    <row r="3289" spans="1:24" x14ac:dyDescent="0.25">
      <c r="A3289" s="17"/>
      <c r="B3289" s="17"/>
      <c r="C3289" s="17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  <c r="N3289" s="17"/>
      <c r="O3289" s="17"/>
      <c r="P3289" s="17"/>
      <c r="Q3289" s="17"/>
      <c r="R3289" s="17"/>
      <c r="S3289" s="17"/>
      <c r="T3289" s="17"/>
      <c r="U3289" s="17"/>
      <c r="V3289" s="18">
        <v>0</v>
      </c>
      <c r="W3289" s="17">
        <f t="shared" si="104"/>
        <v>0</v>
      </c>
      <c r="X3289" s="5">
        <f t="shared" si="105"/>
        <v>0</v>
      </c>
    </row>
    <row r="3290" spans="1:24" x14ac:dyDescent="0.25">
      <c r="A3290" s="17"/>
      <c r="B3290" s="17"/>
      <c r="C3290" s="17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  <c r="N3290" s="17"/>
      <c r="O3290" s="17"/>
      <c r="P3290" s="17"/>
      <c r="Q3290" s="17"/>
      <c r="R3290" s="17"/>
      <c r="S3290" s="17"/>
      <c r="T3290" s="17"/>
      <c r="U3290" s="17"/>
      <c r="V3290" s="18">
        <v>0</v>
      </c>
      <c r="W3290" s="17">
        <f t="shared" si="104"/>
        <v>0</v>
      </c>
      <c r="X3290" s="5">
        <f t="shared" si="105"/>
        <v>0</v>
      </c>
    </row>
    <row r="3291" spans="1:24" x14ac:dyDescent="0.25">
      <c r="A3291" s="17"/>
      <c r="B3291" s="17"/>
      <c r="C3291" s="17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/>
      <c r="V3291" s="18">
        <v>0</v>
      </c>
      <c r="W3291" s="17">
        <f t="shared" si="104"/>
        <v>0</v>
      </c>
      <c r="X3291" s="5">
        <f t="shared" si="105"/>
        <v>0</v>
      </c>
    </row>
    <row r="3292" spans="1:24" x14ac:dyDescent="0.25">
      <c r="A3292" s="17"/>
      <c r="B3292" s="17"/>
      <c r="C3292" s="17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/>
      <c r="U3292" s="17"/>
      <c r="V3292" s="18">
        <v>0</v>
      </c>
      <c r="W3292" s="17">
        <f t="shared" si="104"/>
        <v>0</v>
      </c>
      <c r="X3292" s="5">
        <f t="shared" si="105"/>
        <v>0</v>
      </c>
    </row>
    <row r="3293" spans="1:24" x14ac:dyDescent="0.25">
      <c r="A3293" s="17"/>
      <c r="B3293" s="17"/>
      <c r="C3293" s="17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/>
      <c r="V3293" s="18">
        <v>0</v>
      </c>
      <c r="W3293" s="17">
        <f t="shared" si="104"/>
        <v>0</v>
      </c>
      <c r="X3293" s="5">
        <f t="shared" si="105"/>
        <v>0</v>
      </c>
    </row>
    <row r="3294" spans="1:24" x14ac:dyDescent="0.25">
      <c r="A3294" s="17"/>
      <c r="B3294" s="17"/>
      <c r="C3294" s="17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/>
      <c r="V3294" s="18">
        <v>0</v>
      </c>
      <c r="W3294" s="17">
        <f t="shared" si="104"/>
        <v>0</v>
      </c>
      <c r="X3294" s="5">
        <f t="shared" si="105"/>
        <v>0</v>
      </c>
    </row>
    <row r="3295" spans="1:24" x14ac:dyDescent="0.25">
      <c r="A3295" s="17"/>
      <c r="B3295" s="17"/>
      <c r="C3295" s="17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8">
        <v>0</v>
      </c>
      <c r="W3295" s="17">
        <f t="shared" si="104"/>
        <v>0</v>
      </c>
      <c r="X3295" s="5">
        <f t="shared" si="105"/>
        <v>0</v>
      </c>
    </row>
    <row r="3296" spans="1:24" x14ac:dyDescent="0.25">
      <c r="A3296" s="17"/>
      <c r="B3296" s="17"/>
      <c r="C3296" s="17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  <c r="N3296" s="17"/>
      <c r="O3296" s="17"/>
      <c r="P3296" s="17"/>
      <c r="Q3296" s="17"/>
      <c r="R3296" s="17"/>
      <c r="S3296" s="17"/>
      <c r="T3296" s="17"/>
      <c r="U3296" s="17"/>
      <c r="V3296" s="18">
        <v>0</v>
      </c>
      <c r="W3296" s="17">
        <f t="shared" si="104"/>
        <v>0</v>
      </c>
      <c r="X3296" s="5">
        <f t="shared" si="105"/>
        <v>0</v>
      </c>
    </row>
    <row r="3297" spans="1:24" x14ac:dyDescent="0.25">
      <c r="A3297" s="17"/>
      <c r="B3297" s="17"/>
      <c r="C3297" s="17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  <c r="N3297" s="17"/>
      <c r="O3297" s="17"/>
      <c r="P3297" s="17"/>
      <c r="Q3297" s="17"/>
      <c r="R3297" s="17"/>
      <c r="S3297" s="17"/>
      <c r="T3297" s="17"/>
      <c r="U3297" s="17"/>
      <c r="V3297" s="18">
        <v>0</v>
      </c>
      <c r="W3297" s="17">
        <f t="shared" si="104"/>
        <v>0</v>
      </c>
      <c r="X3297" s="5">
        <f t="shared" si="105"/>
        <v>0</v>
      </c>
    </row>
    <row r="3298" spans="1:24" x14ac:dyDescent="0.25">
      <c r="A3298" s="17"/>
      <c r="B3298" s="17"/>
      <c r="C3298" s="17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/>
      <c r="V3298" s="18">
        <v>0</v>
      </c>
      <c r="W3298" s="17">
        <f t="shared" si="104"/>
        <v>0</v>
      </c>
      <c r="X3298" s="5">
        <f t="shared" si="105"/>
        <v>0</v>
      </c>
    </row>
    <row r="3299" spans="1:24" x14ac:dyDescent="0.25">
      <c r="A3299" s="17"/>
      <c r="B3299" s="17"/>
      <c r="C3299" s="17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/>
      <c r="V3299" s="18">
        <v>0</v>
      </c>
      <c r="W3299" s="17">
        <f t="shared" si="104"/>
        <v>0</v>
      </c>
      <c r="X3299" s="5">
        <f t="shared" si="105"/>
        <v>0</v>
      </c>
    </row>
    <row r="3300" spans="1:24" x14ac:dyDescent="0.25">
      <c r="A3300" s="17"/>
      <c r="B3300" s="17"/>
      <c r="C3300" s="17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  <c r="N3300" s="17"/>
      <c r="O3300" s="17"/>
      <c r="P3300" s="17"/>
      <c r="Q3300" s="17"/>
      <c r="R3300" s="17"/>
      <c r="S3300" s="17"/>
      <c r="T3300" s="17"/>
      <c r="U3300" s="17"/>
      <c r="V3300" s="18">
        <v>0</v>
      </c>
      <c r="W3300" s="17">
        <f t="shared" si="104"/>
        <v>0</v>
      </c>
      <c r="X3300" s="5">
        <f t="shared" si="105"/>
        <v>0</v>
      </c>
    </row>
    <row r="3301" spans="1:24" x14ac:dyDescent="0.25">
      <c r="A3301" s="17"/>
      <c r="B3301" s="17"/>
      <c r="C3301" s="17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  <c r="N3301" s="17"/>
      <c r="O3301" s="17"/>
      <c r="P3301" s="17"/>
      <c r="Q3301" s="17"/>
      <c r="R3301" s="17"/>
      <c r="S3301" s="17"/>
      <c r="T3301" s="17"/>
      <c r="U3301" s="17"/>
      <c r="V3301" s="18">
        <v>0</v>
      </c>
      <c r="W3301" s="17">
        <f t="shared" si="104"/>
        <v>0</v>
      </c>
      <c r="X3301" s="5">
        <f t="shared" si="105"/>
        <v>0</v>
      </c>
    </row>
    <row r="3302" spans="1:24" x14ac:dyDescent="0.25">
      <c r="A3302" s="17"/>
      <c r="B3302" s="17"/>
      <c r="C3302" s="17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  <c r="N3302" s="17"/>
      <c r="O3302" s="17"/>
      <c r="P3302" s="17"/>
      <c r="Q3302" s="17"/>
      <c r="R3302" s="17"/>
      <c r="S3302" s="17"/>
      <c r="T3302" s="17"/>
      <c r="U3302" s="17"/>
      <c r="V3302" s="18">
        <v>0</v>
      </c>
      <c r="W3302" s="17">
        <f t="shared" si="104"/>
        <v>0</v>
      </c>
      <c r="X3302" s="5">
        <f t="shared" si="105"/>
        <v>0</v>
      </c>
    </row>
    <row r="3303" spans="1:24" x14ac:dyDescent="0.25">
      <c r="A3303" s="17"/>
      <c r="B3303" s="17"/>
      <c r="C3303" s="17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8">
        <v>0</v>
      </c>
      <c r="W3303" s="17">
        <f t="shared" si="104"/>
        <v>0</v>
      </c>
      <c r="X3303" s="5">
        <f t="shared" si="105"/>
        <v>0</v>
      </c>
    </row>
    <row r="3304" spans="1:24" x14ac:dyDescent="0.25">
      <c r="A3304" s="17"/>
      <c r="B3304" s="17"/>
      <c r="C3304" s="17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/>
      <c r="U3304" s="17"/>
      <c r="V3304" s="18">
        <v>0</v>
      </c>
      <c r="W3304" s="17">
        <f t="shared" si="104"/>
        <v>0</v>
      </c>
      <c r="X3304" s="5">
        <f t="shared" si="105"/>
        <v>0</v>
      </c>
    </row>
    <row r="3305" spans="1:24" x14ac:dyDescent="0.25">
      <c r="A3305" s="17"/>
      <c r="B3305" s="17"/>
      <c r="C3305" s="17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8">
        <v>0</v>
      </c>
      <c r="W3305" s="17">
        <f t="shared" si="104"/>
        <v>0</v>
      </c>
      <c r="X3305" s="5">
        <f t="shared" si="105"/>
        <v>0</v>
      </c>
    </row>
    <row r="3306" spans="1:24" x14ac:dyDescent="0.25">
      <c r="A3306" s="17"/>
      <c r="B3306" s="17"/>
      <c r="C3306" s="17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  <c r="N3306" s="17"/>
      <c r="O3306" s="17"/>
      <c r="P3306" s="17"/>
      <c r="Q3306" s="17"/>
      <c r="R3306" s="17"/>
      <c r="S3306" s="17"/>
      <c r="T3306" s="17"/>
      <c r="U3306" s="17"/>
      <c r="V3306" s="18">
        <v>0</v>
      </c>
      <c r="W3306" s="17">
        <f t="shared" si="104"/>
        <v>0</v>
      </c>
      <c r="X3306" s="5">
        <f t="shared" si="105"/>
        <v>0</v>
      </c>
    </row>
    <row r="3307" spans="1:24" x14ac:dyDescent="0.25">
      <c r="A3307" s="17"/>
      <c r="B3307" s="17"/>
      <c r="C3307" s="17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8">
        <v>0</v>
      </c>
      <c r="W3307" s="17">
        <f t="shared" si="104"/>
        <v>0</v>
      </c>
      <c r="X3307" s="5">
        <f t="shared" si="105"/>
        <v>0</v>
      </c>
    </row>
    <row r="3308" spans="1:24" x14ac:dyDescent="0.25">
      <c r="A3308" s="17"/>
      <c r="B3308" s="17"/>
      <c r="C3308" s="17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8">
        <v>0</v>
      </c>
      <c r="W3308" s="17">
        <f t="shared" si="104"/>
        <v>0</v>
      </c>
      <c r="X3308" s="5">
        <f t="shared" si="105"/>
        <v>0</v>
      </c>
    </row>
    <row r="3309" spans="1:24" x14ac:dyDescent="0.25">
      <c r="A3309" s="17"/>
      <c r="B3309" s="17"/>
      <c r="C3309" s="17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8">
        <v>0</v>
      </c>
      <c r="W3309" s="17">
        <f t="shared" si="104"/>
        <v>0</v>
      </c>
      <c r="X3309" s="5">
        <f t="shared" si="105"/>
        <v>0</v>
      </c>
    </row>
    <row r="3310" spans="1:24" x14ac:dyDescent="0.25">
      <c r="A3310" s="17"/>
      <c r="B3310" s="17"/>
      <c r="C3310" s="17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8">
        <v>0</v>
      </c>
      <c r="W3310" s="17">
        <f t="shared" si="104"/>
        <v>0</v>
      </c>
      <c r="X3310" s="5">
        <f t="shared" si="105"/>
        <v>0</v>
      </c>
    </row>
    <row r="3311" spans="1:24" x14ac:dyDescent="0.25">
      <c r="A3311" s="17"/>
      <c r="B3311" s="17"/>
      <c r="C3311" s="17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8">
        <v>0</v>
      </c>
      <c r="W3311" s="17">
        <f t="shared" si="104"/>
        <v>0</v>
      </c>
      <c r="X3311" s="5">
        <f t="shared" si="105"/>
        <v>0</v>
      </c>
    </row>
    <row r="3312" spans="1:24" x14ac:dyDescent="0.25">
      <c r="A3312" s="17"/>
      <c r="B3312" s="17"/>
      <c r="C3312" s="17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  <c r="N3312" s="17"/>
      <c r="O3312" s="17"/>
      <c r="P3312" s="17"/>
      <c r="Q3312" s="17"/>
      <c r="R3312" s="17"/>
      <c r="S3312" s="17"/>
      <c r="T3312" s="17"/>
      <c r="U3312" s="17"/>
      <c r="V3312" s="18">
        <v>0</v>
      </c>
      <c r="W3312" s="17">
        <f t="shared" si="104"/>
        <v>0</v>
      </c>
      <c r="X3312" s="5">
        <f t="shared" si="105"/>
        <v>0</v>
      </c>
    </row>
    <row r="3313" spans="1:24" x14ac:dyDescent="0.25">
      <c r="A3313" s="17"/>
      <c r="B3313" s="17"/>
      <c r="C3313" s="17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  <c r="N3313" s="17"/>
      <c r="O3313" s="17"/>
      <c r="P3313" s="17"/>
      <c r="Q3313" s="17"/>
      <c r="R3313" s="17"/>
      <c r="S3313" s="17"/>
      <c r="T3313" s="17"/>
      <c r="U3313" s="17"/>
      <c r="V3313" s="18">
        <v>0</v>
      </c>
      <c r="W3313" s="17">
        <f t="shared" si="104"/>
        <v>0</v>
      </c>
      <c r="X3313" s="5">
        <f t="shared" si="105"/>
        <v>0</v>
      </c>
    </row>
    <row r="3314" spans="1:24" x14ac:dyDescent="0.25">
      <c r="A3314" s="17"/>
      <c r="B3314" s="17"/>
      <c r="C3314" s="17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  <c r="N3314" s="17"/>
      <c r="O3314" s="17"/>
      <c r="P3314" s="17"/>
      <c r="Q3314" s="17"/>
      <c r="R3314" s="17"/>
      <c r="S3314" s="17"/>
      <c r="T3314" s="17"/>
      <c r="U3314" s="17"/>
      <c r="V3314" s="18">
        <v>0</v>
      </c>
      <c r="W3314" s="17">
        <f t="shared" si="104"/>
        <v>0</v>
      </c>
      <c r="X3314" s="5">
        <f t="shared" si="105"/>
        <v>0</v>
      </c>
    </row>
    <row r="3315" spans="1:24" x14ac:dyDescent="0.25">
      <c r="A3315" s="17"/>
      <c r="B3315" s="17"/>
      <c r="C3315" s="17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  <c r="N3315" s="17"/>
      <c r="O3315" s="17"/>
      <c r="P3315" s="17"/>
      <c r="Q3315" s="17"/>
      <c r="R3315" s="17"/>
      <c r="S3315" s="17"/>
      <c r="T3315" s="17"/>
      <c r="U3315" s="17"/>
      <c r="V3315" s="18">
        <v>0</v>
      </c>
      <c r="W3315" s="17">
        <f t="shared" si="104"/>
        <v>0</v>
      </c>
      <c r="X3315" s="5">
        <f t="shared" si="105"/>
        <v>0</v>
      </c>
    </row>
    <row r="3316" spans="1:24" x14ac:dyDescent="0.25">
      <c r="A3316" s="17"/>
      <c r="B3316" s="17"/>
      <c r="C3316" s="17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  <c r="N3316" s="17"/>
      <c r="O3316" s="17"/>
      <c r="P3316" s="17"/>
      <c r="Q3316" s="17"/>
      <c r="R3316" s="17"/>
      <c r="S3316" s="17"/>
      <c r="T3316" s="17"/>
      <c r="U3316" s="17"/>
      <c r="V3316" s="18">
        <v>0</v>
      </c>
      <c r="W3316" s="17">
        <f t="shared" si="104"/>
        <v>0</v>
      </c>
      <c r="X3316" s="5">
        <f t="shared" si="105"/>
        <v>0</v>
      </c>
    </row>
    <row r="3317" spans="1:24" x14ac:dyDescent="0.25">
      <c r="A3317" s="17"/>
      <c r="B3317" s="17"/>
      <c r="C3317" s="17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  <c r="N3317" s="17"/>
      <c r="O3317" s="17"/>
      <c r="P3317" s="17"/>
      <c r="Q3317" s="17"/>
      <c r="R3317" s="17"/>
      <c r="S3317" s="17"/>
      <c r="T3317" s="17"/>
      <c r="U3317" s="17"/>
      <c r="V3317" s="18">
        <v>0</v>
      </c>
      <c r="W3317" s="17">
        <f t="shared" si="104"/>
        <v>0</v>
      </c>
      <c r="X3317" s="5">
        <f t="shared" si="105"/>
        <v>0</v>
      </c>
    </row>
    <row r="3318" spans="1:24" x14ac:dyDescent="0.25">
      <c r="A3318" s="17"/>
      <c r="B3318" s="17"/>
      <c r="C3318" s="17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  <c r="N3318" s="17"/>
      <c r="O3318" s="17"/>
      <c r="P3318" s="17"/>
      <c r="Q3318" s="17"/>
      <c r="R3318" s="17"/>
      <c r="S3318" s="17"/>
      <c r="T3318" s="17"/>
      <c r="U3318" s="17"/>
      <c r="V3318" s="18">
        <v>0</v>
      </c>
      <c r="W3318" s="17">
        <f t="shared" si="104"/>
        <v>0</v>
      </c>
      <c r="X3318" s="5">
        <f t="shared" si="105"/>
        <v>0</v>
      </c>
    </row>
    <row r="3319" spans="1:24" x14ac:dyDescent="0.25">
      <c r="A3319" s="17"/>
      <c r="B3319" s="17"/>
      <c r="C3319" s="17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  <c r="N3319" s="17"/>
      <c r="O3319" s="17"/>
      <c r="P3319" s="17"/>
      <c r="Q3319" s="17"/>
      <c r="R3319" s="17"/>
      <c r="S3319" s="17"/>
      <c r="T3319" s="17"/>
      <c r="U3319" s="17"/>
      <c r="V3319" s="18">
        <v>0</v>
      </c>
      <c r="W3319" s="17">
        <f t="shared" si="104"/>
        <v>0</v>
      </c>
      <c r="X3319" s="5">
        <f t="shared" si="105"/>
        <v>0</v>
      </c>
    </row>
    <row r="3320" spans="1:24" x14ac:dyDescent="0.25">
      <c r="A3320" s="17"/>
      <c r="B3320" s="17"/>
      <c r="C3320" s="17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  <c r="N3320" s="17"/>
      <c r="O3320" s="17"/>
      <c r="P3320" s="17"/>
      <c r="Q3320" s="17"/>
      <c r="R3320" s="17"/>
      <c r="S3320" s="17"/>
      <c r="T3320" s="17"/>
      <c r="U3320" s="17"/>
      <c r="V3320" s="18">
        <v>0</v>
      </c>
      <c r="W3320" s="17">
        <f t="shared" si="104"/>
        <v>0</v>
      </c>
      <c r="X3320" s="5">
        <f t="shared" si="105"/>
        <v>0</v>
      </c>
    </row>
    <row r="3321" spans="1:24" x14ac:dyDescent="0.25">
      <c r="A3321" s="17"/>
      <c r="B3321" s="17"/>
      <c r="C3321" s="17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/>
      <c r="U3321" s="17"/>
      <c r="V3321" s="18">
        <v>0</v>
      </c>
      <c r="W3321" s="17">
        <f t="shared" si="104"/>
        <v>0</v>
      </c>
      <c r="X3321" s="5">
        <f t="shared" si="105"/>
        <v>0</v>
      </c>
    </row>
    <row r="3322" spans="1:24" x14ac:dyDescent="0.25">
      <c r="A3322" s="17"/>
      <c r="B3322" s="17"/>
      <c r="C3322" s="17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/>
      <c r="U3322" s="17"/>
      <c r="V3322" s="18">
        <v>0</v>
      </c>
      <c r="W3322" s="17">
        <f t="shared" si="104"/>
        <v>0</v>
      </c>
      <c r="X3322" s="5">
        <f t="shared" si="105"/>
        <v>0</v>
      </c>
    </row>
    <row r="3323" spans="1:24" x14ac:dyDescent="0.25">
      <c r="A3323" s="17"/>
      <c r="B3323" s="17"/>
      <c r="C3323" s="17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/>
      <c r="V3323" s="18">
        <v>0</v>
      </c>
      <c r="W3323" s="17">
        <f t="shared" si="104"/>
        <v>0</v>
      </c>
      <c r="X3323" s="5">
        <f t="shared" si="105"/>
        <v>0</v>
      </c>
    </row>
    <row r="3324" spans="1:24" x14ac:dyDescent="0.25">
      <c r="A3324" s="17"/>
      <c r="B3324" s="17"/>
      <c r="C3324" s="17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8">
        <v>0</v>
      </c>
      <c r="W3324" s="17">
        <f t="shared" si="104"/>
        <v>0</v>
      </c>
      <c r="X3324" s="5">
        <f t="shared" si="105"/>
        <v>0</v>
      </c>
    </row>
    <row r="3325" spans="1:24" x14ac:dyDescent="0.25">
      <c r="A3325" s="17"/>
      <c r="B3325" s="17"/>
      <c r="C3325" s="17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/>
      <c r="U3325" s="17"/>
      <c r="V3325" s="18">
        <v>0</v>
      </c>
      <c r="W3325" s="17">
        <f t="shared" si="104"/>
        <v>0</v>
      </c>
      <c r="X3325" s="5">
        <f t="shared" si="105"/>
        <v>0</v>
      </c>
    </row>
    <row r="3326" spans="1:24" x14ac:dyDescent="0.25">
      <c r="A3326" s="17"/>
      <c r="B3326" s="17"/>
      <c r="C3326" s="17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  <c r="N3326" s="17"/>
      <c r="O3326" s="17"/>
      <c r="P3326" s="17"/>
      <c r="Q3326" s="17"/>
      <c r="R3326" s="17"/>
      <c r="S3326" s="17"/>
      <c r="T3326" s="17"/>
      <c r="U3326" s="17"/>
      <c r="V3326" s="18">
        <v>0</v>
      </c>
      <c r="W3326" s="17">
        <f t="shared" si="104"/>
        <v>0</v>
      </c>
      <c r="X3326" s="5">
        <f t="shared" si="105"/>
        <v>0</v>
      </c>
    </row>
    <row r="3327" spans="1:24" x14ac:dyDescent="0.25">
      <c r="A3327" s="17"/>
      <c r="B3327" s="17"/>
      <c r="C3327" s="17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  <c r="N3327" s="17"/>
      <c r="O3327" s="17"/>
      <c r="P3327" s="17"/>
      <c r="Q3327" s="17"/>
      <c r="R3327" s="17"/>
      <c r="S3327" s="17"/>
      <c r="T3327" s="17"/>
      <c r="U3327" s="17"/>
      <c r="V3327" s="18">
        <v>0</v>
      </c>
      <c r="W3327" s="17">
        <f t="shared" si="104"/>
        <v>0</v>
      </c>
      <c r="X3327" s="5">
        <f t="shared" si="105"/>
        <v>0</v>
      </c>
    </row>
    <row r="3328" spans="1:24" x14ac:dyDescent="0.25">
      <c r="A3328" s="17"/>
      <c r="B3328" s="17"/>
      <c r="C3328" s="17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  <c r="N3328" s="17"/>
      <c r="O3328" s="17"/>
      <c r="P3328" s="17"/>
      <c r="Q3328" s="17"/>
      <c r="R3328" s="17"/>
      <c r="S3328" s="17"/>
      <c r="T3328" s="17"/>
      <c r="U3328" s="17"/>
      <c r="V3328" s="18">
        <v>0</v>
      </c>
      <c r="W3328" s="17">
        <f t="shared" si="104"/>
        <v>0</v>
      </c>
      <c r="X3328" s="5">
        <f t="shared" si="105"/>
        <v>0</v>
      </c>
    </row>
    <row r="3329" spans="1:24" x14ac:dyDescent="0.25">
      <c r="A3329" s="17"/>
      <c r="B3329" s="17"/>
      <c r="C3329" s="17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  <c r="N3329" s="17"/>
      <c r="O3329" s="17"/>
      <c r="P3329" s="17"/>
      <c r="Q3329" s="17"/>
      <c r="R3329" s="17"/>
      <c r="S3329" s="17"/>
      <c r="T3329" s="17"/>
      <c r="U3329" s="17"/>
      <c r="V3329" s="18">
        <v>0</v>
      </c>
      <c r="W3329" s="17">
        <f t="shared" si="104"/>
        <v>0</v>
      </c>
      <c r="X3329" s="5">
        <f t="shared" si="105"/>
        <v>0</v>
      </c>
    </row>
    <row r="3330" spans="1:24" x14ac:dyDescent="0.25">
      <c r="A3330" s="17"/>
      <c r="B3330" s="17"/>
      <c r="C3330" s="17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  <c r="N3330" s="17"/>
      <c r="O3330" s="17"/>
      <c r="P3330" s="17"/>
      <c r="Q3330" s="17"/>
      <c r="R3330" s="17"/>
      <c r="S3330" s="17"/>
      <c r="T3330" s="17"/>
      <c r="U3330" s="17"/>
      <c r="V3330" s="18">
        <v>0</v>
      </c>
      <c r="W3330" s="17">
        <f t="shared" si="104"/>
        <v>0</v>
      </c>
      <c r="X3330" s="5">
        <f t="shared" si="105"/>
        <v>0</v>
      </c>
    </row>
    <row r="3331" spans="1:24" x14ac:dyDescent="0.25">
      <c r="A3331" s="17"/>
      <c r="B3331" s="17"/>
      <c r="C3331" s="17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  <c r="N3331" s="17"/>
      <c r="O3331" s="17"/>
      <c r="P3331" s="17"/>
      <c r="Q3331" s="17"/>
      <c r="R3331" s="17"/>
      <c r="S3331" s="17"/>
      <c r="T3331" s="17"/>
      <c r="U3331" s="17"/>
      <c r="V3331" s="18">
        <v>0</v>
      </c>
      <c r="W3331" s="17">
        <f t="shared" ref="W3331:W3394" si="106">HOUR(E3331)</f>
        <v>0</v>
      </c>
      <c r="X3331" s="5">
        <f t="shared" ref="X3331:X3394" si="107">IF(D3331=D3330,0,1)</f>
        <v>0</v>
      </c>
    </row>
    <row r="3332" spans="1:24" x14ac:dyDescent="0.25">
      <c r="A3332" s="17"/>
      <c r="B3332" s="17"/>
      <c r="C3332" s="17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/>
      <c r="U3332" s="17"/>
      <c r="V3332" s="18">
        <v>0</v>
      </c>
      <c r="W3332" s="17">
        <f t="shared" si="106"/>
        <v>0</v>
      </c>
      <c r="X3332" s="5">
        <f t="shared" si="107"/>
        <v>0</v>
      </c>
    </row>
    <row r="3333" spans="1:24" x14ac:dyDescent="0.25">
      <c r="A3333" s="17"/>
      <c r="B3333" s="17"/>
      <c r="C3333" s="17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/>
      <c r="U3333" s="17"/>
      <c r="V3333" s="18">
        <v>0</v>
      </c>
      <c r="W3333" s="17">
        <f t="shared" si="106"/>
        <v>0</v>
      </c>
      <c r="X3333" s="5">
        <f t="shared" si="107"/>
        <v>0</v>
      </c>
    </row>
    <row r="3334" spans="1:24" x14ac:dyDescent="0.25">
      <c r="A3334" s="17"/>
      <c r="B3334" s="17"/>
      <c r="C3334" s="17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/>
      <c r="V3334" s="18">
        <v>0</v>
      </c>
      <c r="W3334" s="17">
        <f t="shared" si="106"/>
        <v>0</v>
      </c>
      <c r="X3334" s="5">
        <f t="shared" si="107"/>
        <v>0</v>
      </c>
    </row>
    <row r="3335" spans="1:24" x14ac:dyDescent="0.25">
      <c r="A3335" s="17"/>
      <c r="B3335" s="17"/>
      <c r="C3335" s="17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  <c r="N3335" s="17"/>
      <c r="O3335" s="17"/>
      <c r="P3335" s="17"/>
      <c r="Q3335" s="17"/>
      <c r="R3335" s="17"/>
      <c r="S3335" s="17"/>
      <c r="T3335" s="17"/>
      <c r="U3335" s="17"/>
      <c r="V3335" s="18">
        <v>0</v>
      </c>
      <c r="W3335" s="17">
        <f t="shared" si="106"/>
        <v>0</v>
      </c>
      <c r="X3335" s="5">
        <f t="shared" si="107"/>
        <v>0</v>
      </c>
    </row>
    <row r="3336" spans="1:24" x14ac:dyDescent="0.25">
      <c r="A3336" s="17"/>
      <c r="B3336" s="17"/>
      <c r="C3336" s="17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  <c r="N3336" s="17"/>
      <c r="O3336" s="17"/>
      <c r="P3336" s="17"/>
      <c r="Q3336" s="17"/>
      <c r="R3336" s="17"/>
      <c r="S3336" s="17"/>
      <c r="T3336" s="17"/>
      <c r="U3336" s="17"/>
      <c r="V3336" s="18">
        <v>0</v>
      </c>
      <c r="W3336" s="17">
        <f t="shared" si="106"/>
        <v>0</v>
      </c>
      <c r="X3336" s="5">
        <f t="shared" si="107"/>
        <v>0</v>
      </c>
    </row>
    <row r="3337" spans="1:24" x14ac:dyDescent="0.25">
      <c r="A3337" s="17"/>
      <c r="B3337" s="17"/>
      <c r="C3337" s="17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  <c r="N3337" s="17"/>
      <c r="O3337" s="17"/>
      <c r="P3337" s="17"/>
      <c r="Q3337" s="17"/>
      <c r="R3337" s="17"/>
      <c r="S3337" s="17"/>
      <c r="T3337" s="17"/>
      <c r="U3337" s="17"/>
      <c r="V3337" s="18">
        <v>0</v>
      </c>
      <c r="W3337" s="17">
        <f t="shared" si="106"/>
        <v>0</v>
      </c>
      <c r="X3337" s="5">
        <f t="shared" si="107"/>
        <v>0</v>
      </c>
    </row>
    <row r="3338" spans="1:24" x14ac:dyDescent="0.25">
      <c r="A3338" s="17"/>
      <c r="B3338" s="17"/>
      <c r="C3338" s="17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/>
      <c r="U3338" s="17"/>
      <c r="V3338" s="18">
        <v>0</v>
      </c>
      <c r="W3338" s="17">
        <f t="shared" si="106"/>
        <v>0</v>
      </c>
      <c r="X3338" s="5">
        <f t="shared" si="107"/>
        <v>0</v>
      </c>
    </row>
    <row r="3339" spans="1:24" x14ac:dyDescent="0.25">
      <c r="A3339" s="17"/>
      <c r="B3339" s="17"/>
      <c r="C3339" s="17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/>
      <c r="V3339" s="18">
        <v>0</v>
      </c>
      <c r="W3339" s="17">
        <f t="shared" si="106"/>
        <v>0</v>
      </c>
      <c r="X3339" s="5">
        <f t="shared" si="107"/>
        <v>0</v>
      </c>
    </row>
    <row r="3340" spans="1:24" x14ac:dyDescent="0.25">
      <c r="A3340" s="17"/>
      <c r="B3340" s="17"/>
      <c r="C3340" s="17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8">
        <v>0</v>
      </c>
      <c r="W3340" s="17">
        <f t="shared" si="106"/>
        <v>0</v>
      </c>
      <c r="X3340" s="5">
        <f t="shared" si="107"/>
        <v>0</v>
      </c>
    </row>
    <row r="3341" spans="1:24" x14ac:dyDescent="0.25">
      <c r="A3341" s="17"/>
      <c r="B3341" s="17"/>
      <c r="C3341" s="17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/>
      <c r="U3341" s="17"/>
      <c r="V3341" s="18">
        <v>0</v>
      </c>
      <c r="W3341" s="17">
        <f t="shared" si="106"/>
        <v>0</v>
      </c>
      <c r="X3341" s="5">
        <f t="shared" si="107"/>
        <v>0</v>
      </c>
    </row>
    <row r="3342" spans="1:24" x14ac:dyDescent="0.25">
      <c r="A3342" s="17"/>
      <c r="B3342" s="17"/>
      <c r="C3342" s="17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/>
      <c r="U3342" s="17"/>
      <c r="V3342" s="18">
        <v>0</v>
      </c>
      <c r="W3342" s="17">
        <f t="shared" si="106"/>
        <v>0</v>
      </c>
      <c r="X3342" s="5">
        <f t="shared" si="107"/>
        <v>0</v>
      </c>
    </row>
    <row r="3343" spans="1:24" x14ac:dyDescent="0.25">
      <c r="A3343" s="17"/>
      <c r="B3343" s="17"/>
      <c r="C3343" s="17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/>
      <c r="V3343" s="18">
        <v>0</v>
      </c>
      <c r="W3343" s="17">
        <f t="shared" si="106"/>
        <v>0</v>
      </c>
      <c r="X3343" s="5">
        <f t="shared" si="107"/>
        <v>0</v>
      </c>
    </row>
    <row r="3344" spans="1:24" x14ac:dyDescent="0.25">
      <c r="A3344" s="17"/>
      <c r="B3344" s="17"/>
      <c r="C3344" s="17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/>
      <c r="V3344" s="18">
        <v>0</v>
      </c>
      <c r="W3344" s="17">
        <f t="shared" si="106"/>
        <v>0</v>
      </c>
      <c r="X3344" s="5">
        <f t="shared" si="107"/>
        <v>0</v>
      </c>
    </row>
    <row r="3345" spans="1:24" x14ac:dyDescent="0.25">
      <c r="A3345" s="17"/>
      <c r="B3345" s="17"/>
      <c r="C3345" s="17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8">
        <v>0</v>
      </c>
      <c r="W3345" s="17">
        <f t="shared" si="106"/>
        <v>0</v>
      </c>
      <c r="X3345" s="5">
        <f t="shared" si="107"/>
        <v>0</v>
      </c>
    </row>
    <row r="3346" spans="1:24" x14ac:dyDescent="0.25">
      <c r="A3346" s="17"/>
      <c r="B3346" s="17"/>
      <c r="C3346" s="17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/>
      <c r="V3346" s="18">
        <v>0</v>
      </c>
      <c r="W3346" s="17">
        <f t="shared" si="106"/>
        <v>0</v>
      </c>
      <c r="X3346" s="5">
        <f t="shared" si="107"/>
        <v>0</v>
      </c>
    </row>
    <row r="3347" spans="1:24" x14ac:dyDescent="0.25">
      <c r="A3347" s="17"/>
      <c r="B3347" s="17"/>
      <c r="C3347" s="17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8">
        <v>0</v>
      </c>
      <c r="W3347" s="17">
        <f t="shared" si="106"/>
        <v>0</v>
      </c>
      <c r="X3347" s="5">
        <f t="shared" si="107"/>
        <v>0</v>
      </c>
    </row>
    <row r="3348" spans="1:24" x14ac:dyDescent="0.25">
      <c r="A3348" s="17"/>
      <c r="B3348" s="17"/>
      <c r="C3348" s="17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/>
      <c r="U3348" s="17"/>
      <c r="V3348" s="18">
        <v>0</v>
      </c>
      <c r="W3348" s="17">
        <f t="shared" si="106"/>
        <v>0</v>
      </c>
      <c r="X3348" s="5">
        <f t="shared" si="107"/>
        <v>0</v>
      </c>
    </row>
    <row r="3349" spans="1:24" x14ac:dyDescent="0.25">
      <c r="A3349" s="17"/>
      <c r="B3349" s="17"/>
      <c r="C3349" s="17"/>
      <c r="D3349" s="17"/>
      <c r="E3349" s="17"/>
      <c r="F3349" s="17"/>
      <c r="G3349" s="17"/>
      <c r="H3349" s="17"/>
      <c r="I3349" s="17"/>
      <c r="J3349" s="17"/>
      <c r="K3349" s="17"/>
      <c r="L3349" s="17"/>
      <c r="M3349" s="17"/>
      <c r="N3349" s="17"/>
      <c r="O3349" s="17"/>
      <c r="P3349" s="17"/>
      <c r="Q3349" s="17"/>
      <c r="R3349" s="17"/>
      <c r="S3349" s="17"/>
      <c r="T3349" s="17"/>
      <c r="U3349" s="17"/>
      <c r="V3349" s="18">
        <v>0</v>
      </c>
      <c r="W3349" s="17">
        <f t="shared" si="106"/>
        <v>0</v>
      </c>
      <c r="X3349" s="5">
        <f t="shared" si="107"/>
        <v>0</v>
      </c>
    </row>
    <row r="3350" spans="1:24" x14ac:dyDescent="0.25">
      <c r="A3350" s="17"/>
      <c r="B3350" s="17"/>
      <c r="C3350" s="17"/>
      <c r="D3350" s="17"/>
      <c r="E3350" s="17"/>
      <c r="F3350" s="17"/>
      <c r="G3350" s="17"/>
      <c r="H3350" s="17"/>
      <c r="I3350" s="17"/>
      <c r="J3350" s="17"/>
      <c r="K3350" s="17"/>
      <c r="L3350" s="17"/>
      <c r="M3350" s="17"/>
      <c r="N3350" s="17"/>
      <c r="O3350" s="17"/>
      <c r="P3350" s="17"/>
      <c r="Q3350" s="17"/>
      <c r="R3350" s="17"/>
      <c r="S3350" s="17"/>
      <c r="T3350" s="17"/>
      <c r="U3350" s="17"/>
      <c r="V3350" s="18">
        <v>0</v>
      </c>
      <c r="W3350" s="17">
        <f t="shared" si="106"/>
        <v>0</v>
      </c>
      <c r="X3350" s="5">
        <f t="shared" si="107"/>
        <v>0</v>
      </c>
    </row>
    <row r="3351" spans="1:24" x14ac:dyDescent="0.25">
      <c r="A3351" s="17"/>
      <c r="B3351" s="17"/>
      <c r="C3351" s="17"/>
      <c r="D3351" s="17"/>
      <c r="E3351" s="17"/>
      <c r="F3351" s="17"/>
      <c r="G3351" s="17"/>
      <c r="H3351" s="17"/>
      <c r="I3351" s="17"/>
      <c r="J3351" s="17"/>
      <c r="K3351" s="17"/>
      <c r="L3351" s="17"/>
      <c r="M3351" s="17"/>
      <c r="N3351" s="17"/>
      <c r="O3351" s="17"/>
      <c r="P3351" s="17"/>
      <c r="Q3351" s="17"/>
      <c r="R3351" s="17"/>
      <c r="S3351" s="17"/>
      <c r="T3351" s="17"/>
      <c r="U3351" s="17"/>
      <c r="V3351" s="18">
        <v>0</v>
      </c>
      <c r="W3351" s="17">
        <f t="shared" si="106"/>
        <v>0</v>
      </c>
      <c r="X3351" s="5">
        <f t="shared" si="107"/>
        <v>0</v>
      </c>
    </row>
    <row r="3352" spans="1:24" x14ac:dyDescent="0.25">
      <c r="A3352" s="17"/>
      <c r="B3352" s="17"/>
      <c r="C3352" s="17"/>
      <c r="D3352" s="17"/>
      <c r="E3352" s="17"/>
      <c r="F3352" s="17"/>
      <c r="G3352" s="17"/>
      <c r="H3352" s="17"/>
      <c r="I3352" s="17"/>
      <c r="J3352" s="17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/>
      <c r="V3352" s="18">
        <v>0</v>
      </c>
      <c r="W3352" s="17">
        <f t="shared" si="106"/>
        <v>0</v>
      </c>
      <c r="X3352" s="5">
        <f t="shared" si="107"/>
        <v>0</v>
      </c>
    </row>
    <row r="3353" spans="1:24" x14ac:dyDescent="0.25">
      <c r="A3353" s="17"/>
      <c r="B3353" s="17"/>
      <c r="C3353" s="17"/>
      <c r="D3353" s="17"/>
      <c r="E3353" s="17"/>
      <c r="F3353" s="17"/>
      <c r="G3353" s="17"/>
      <c r="H3353" s="17"/>
      <c r="I3353" s="17"/>
      <c r="J3353" s="17"/>
      <c r="K3353" s="17"/>
      <c r="L3353" s="17"/>
      <c r="M3353" s="17"/>
      <c r="N3353" s="17"/>
      <c r="O3353" s="17"/>
      <c r="P3353" s="17"/>
      <c r="Q3353" s="17"/>
      <c r="R3353" s="17"/>
      <c r="S3353" s="17"/>
      <c r="T3353" s="17"/>
      <c r="U3353" s="17"/>
      <c r="V3353" s="18">
        <v>0</v>
      </c>
      <c r="W3353" s="17">
        <f t="shared" si="106"/>
        <v>0</v>
      </c>
      <c r="X3353" s="5">
        <f t="shared" si="107"/>
        <v>0</v>
      </c>
    </row>
    <row r="3354" spans="1:24" x14ac:dyDescent="0.25">
      <c r="A3354" s="17"/>
      <c r="B3354" s="17"/>
      <c r="C3354" s="17"/>
      <c r="D3354" s="17"/>
      <c r="E3354" s="17"/>
      <c r="F3354" s="17"/>
      <c r="G3354" s="17"/>
      <c r="H3354" s="17"/>
      <c r="I3354" s="17"/>
      <c r="J3354" s="17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/>
      <c r="V3354" s="18">
        <v>0</v>
      </c>
      <c r="W3354" s="17">
        <f t="shared" si="106"/>
        <v>0</v>
      </c>
      <c r="X3354" s="5">
        <f t="shared" si="107"/>
        <v>0</v>
      </c>
    </row>
    <row r="3355" spans="1:24" x14ac:dyDescent="0.25">
      <c r="A3355" s="17"/>
      <c r="B3355" s="17"/>
      <c r="C3355" s="17"/>
      <c r="D3355" s="17"/>
      <c r="E3355" s="17"/>
      <c r="F3355" s="17"/>
      <c r="G3355" s="17"/>
      <c r="H3355" s="17"/>
      <c r="I3355" s="17"/>
      <c r="J3355" s="17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8">
        <v>0</v>
      </c>
      <c r="W3355" s="17">
        <f t="shared" si="106"/>
        <v>0</v>
      </c>
      <c r="X3355" s="5">
        <f t="shared" si="107"/>
        <v>0</v>
      </c>
    </row>
    <row r="3356" spans="1:24" x14ac:dyDescent="0.25">
      <c r="A3356" s="17"/>
      <c r="B3356" s="17"/>
      <c r="C3356" s="17"/>
      <c r="D3356" s="17"/>
      <c r="E3356" s="17"/>
      <c r="F3356" s="17"/>
      <c r="G3356" s="17"/>
      <c r="H3356" s="17"/>
      <c r="I3356" s="17"/>
      <c r="J3356" s="17"/>
      <c r="K3356" s="17"/>
      <c r="L3356" s="17"/>
      <c r="M3356" s="17"/>
      <c r="N3356" s="17"/>
      <c r="O3356" s="17"/>
      <c r="P3356" s="17"/>
      <c r="Q3356" s="17"/>
      <c r="R3356" s="17"/>
      <c r="S3356" s="17"/>
      <c r="T3356" s="17"/>
      <c r="U3356" s="17"/>
      <c r="V3356" s="18">
        <v>0</v>
      </c>
      <c r="W3356" s="17">
        <f t="shared" si="106"/>
        <v>0</v>
      </c>
      <c r="X3356" s="5">
        <f t="shared" si="107"/>
        <v>0</v>
      </c>
    </row>
    <row r="3357" spans="1:24" x14ac:dyDescent="0.25">
      <c r="A3357" s="17"/>
      <c r="B3357" s="17"/>
      <c r="C3357" s="17"/>
      <c r="D3357" s="17"/>
      <c r="E3357" s="17"/>
      <c r="F3357" s="17"/>
      <c r="G3357" s="17"/>
      <c r="H3357" s="17"/>
      <c r="I3357" s="17"/>
      <c r="J3357" s="17"/>
      <c r="K3357" s="17"/>
      <c r="L3357" s="17"/>
      <c r="M3357" s="17"/>
      <c r="N3357" s="17"/>
      <c r="O3357" s="17"/>
      <c r="P3357" s="17"/>
      <c r="Q3357" s="17"/>
      <c r="R3357" s="17"/>
      <c r="S3357" s="17"/>
      <c r="T3357" s="17"/>
      <c r="U3357" s="17"/>
      <c r="V3357" s="18">
        <v>0</v>
      </c>
      <c r="W3357" s="17">
        <f t="shared" si="106"/>
        <v>0</v>
      </c>
      <c r="X3357" s="5">
        <f t="shared" si="107"/>
        <v>0</v>
      </c>
    </row>
    <row r="3358" spans="1:24" x14ac:dyDescent="0.25">
      <c r="A3358" s="17"/>
      <c r="B3358" s="17"/>
      <c r="C3358" s="17"/>
      <c r="D3358" s="17"/>
      <c r="E3358" s="17"/>
      <c r="F3358" s="17"/>
      <c r="G3358" s="17"/>
      <c r="H3358" s="17"/>
      <c r="I3358" s="17"/>
      <c r="J3358" s="17"/>
      <c r="K3358" s="17"/>
      <c r="L3358" s="17"/>
      <c r="M3358" s="17"/>
      <c r="N3358" s="17"/>
      <c r="O3358" s="17"/>
      <c r="P3358" s="17"/>
      <c r="Q3358" s="17"/>
      <c r="R3358" s="17"/>
      <c r="S3358" s="17"/>
      <c r="T3358" s="17"/>
      <c r="U3358" s="17"/>
      <c r="V3358" s="18">
        <v>0</v>
      </c>
      <c r="W3358" s="17">
        <f t="shared" si="106"/>
        <v>0</v>
      </c>
      <c r="X3358" s="5">
        <f t="shared" si="107"/>
        <v>0</v>
      </c>
    </row>
    <row r="3359" spans="1:24" x14ac:dyDescent="0.25">
      <c r="A3359" s="17"/>
      <c r="B3359" s="17"/>
      <c r="C3359" s="17"/>
      <c r="D3359" s="17"/>
      <c r="E3359" s="17"/>
      <c r="F3359" s="17"/>
      <c r="G3359" s="17"/>
      <c r="H3359" s="17"/>
      <c r="I3359" s="17"/>
      <c r="J3359" s="17"/>
      <c r="K3359" s="17"/>
      <c r="L3359" s="17"/>
      <c r="M3359" s="17"/>
      <c r="N3359" s="17"/>
      <c r="O3359" s="17"/>
      <c r="P3359" s="17"/>
      <c r="Q3359" s="17"/>
      <c r="R3359" s="17"/>
      <c r="S3359" s="17"/>
      <c r="T3359" s="17"/>
      <c r="U3359" s="17"/>
      <c r="V3359" s="18">
        <v>0</v>
      </c>
      <c r="W3359" s="17">
        <f t="shared" si="106"/>
        <v>0</v>
      </c>
      <c r="X3359" s="5">
        <f t="shared" si="107"/>
        <v>0</v>
      </c>
    </row>
    <row r="3360" spans="1:24" x14ac:dyDescent="0.25">
      <c r="A3360" s="17"/>
      <c r="B3360" s="17"/>
      <c r="C3360" s="17"/>
      <c r="D3360" s="17"/>
      <c r="E3360" s="17"/>
      <c r="F3360" s="17"/>
      <c r="G3360" s="17"/>
      <c r="H3360" s="17"/>
      <c r="I3360" s="17"/>
      <c r="J3360" s="17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/>
      <c r="V3360" s="18">
        <v>0</v>
      </c>
      <c r="W3360" s="17">
        <f t="shared" si="106"/>
        <v>0</v>
      </c>
      <c r="X3360" s="5">
        <f t="shared" si="107"/>
        <v>0</v>
      </c>
    </row>
    <row r="3361" spans="1:24" x14ac:dyDescent="0.25">
      <c r="A3361" s="17"/>
      <c r="B3361" s="17"/>
      <c r="C3361" s="17"/>
      <c r="D3361" s="17"/>
      <c r="E3361" s="17"/>
      <c r="F3361" s="17"/>
      <c r="G3361" s="17"/>
      <c r="H3361" s="17"/>
      <c r="I3361" s="17"/>
      <c r="J3361" s="17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/>
      <c r="U3361" s="17"/>
      <c r="V3361" s="18">
        <v>0</v>
      </c>
      <c r="W3361" s="17">
        <f t="shared" si="106"/>
        <v>0</v>
      </c>
      <c r="X3361" s="5">
        <f t="shared" si="107"/>
        <v>0</v>
      </c>
    </row>
    <row r="3362" spans="1:24" x14ac:dyDescent="0.25">
      <c r="A3362" s="17"/>
      <c r="B3362" s="17"/>
      <c r="C3362" s="17"/>
      <c r="D3362" s="17"/>
      <c r="E3362" s="17"/>
      <c r="F3362" s="17"/>
      <c r="G3362" s="17"/>
      <c r="H3362" s="17"/>
      <c r="I3362" s="17"/>
      <c r="J3362" s="17"/>
      <c r="K3362" s="17"/>
      <c r="L3362" s="17"/>
      <c r="M3362" s="17"/>
      <c r="N3362" s="17"/>
      <c r="O3362" s="17"/>
      <c r="P3362" s="17"/>
      <c r="Q3362" s="17"/>
      <c r="R3362" s="17"/>
      <c r="S3362" s="17"/>
      <c r="T3362" s="17"/>
      <c r="U3362" s="17"/>
      <c r="V3362" s="18">
        <v>0</v>
      </c>
      <c r="W3362" s="17">
        <f t="shared" si="106"/>
        <v>0</v>
      </c>
      <c r="X3362" s="5">
        <f t="shared" si="107"/>
        <v>0</v>
      </c>
    </row>
    <row r="3363" spans="1:24" x14ac:dyDescent="0.25">
      <c r="A3363" s="17"/>
      <c r="B3363" s="17"/>
      <c r="C3363" s="17"/>
      <c r="D3363" s="17"/>
      <c r="E3363" s="17"/>
      <c r="F3363" s="17"/>
      <c r="G3363" s="17"/>
      <c r="H3363" s="17"/>
      <c r="I3363" s="17"/>
      <c r="J3363" s="17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/>
      <c r="V3363" s="18">
        <v>0</v>
      </c>
      <c r="W3363" s="17">
        <f t="shared" si="106"/>
        <v>0</v>
      </c>
      <c r="X3363" s="5">
        <f t="shared" si="107"/>
        <v>0</v>
      </c>
    </row>
    <row r="3364" spans="1:24" x14ac:dyDescent="0.25">
      <c r="A3364" s="17"/>
      <c r="B3364" s="17"/>
      <c r="C3364" s="17"/>
      <c r="D3364" s="17"/>
      <c r="E3364" s="17"/>
      <c r="F3364" s="17"/>
      <c r="G3364" s="17"/>
      <c r="H3364" s="17"/>
      <c r="I3364" s="17"/>
      <c r="J3364" s="17"/>
      <c r="K3364" s="17"/>
      <c r="L3364" s="17"/>
      <c r="M3364" s="17"/>
      <c r="N3364" s="17"/>
      <c r="O3364" s="17"/>
      <c r="P3364" s="17"/>
      <c r="Q3364" s="17"/>
      <c r="R3364" s="17"/>
      <c r="S3364" s="17"/>
      <c r="T3364" s="17"/>
      <c r="U3364" s="17"/>
      <c r="V3364" s="18">
        <v>0</v>
      </c>
      <c r="W3364" s="17">
        <f t="shared" si="106"/>
        <v>0</v>
      </c>
      <c r="X3364" s="5">
        <f t="shared" si="107"/>
        <v>0</v>
      </c>
    </row>
    <row r="3365" spans="1:24" x14ac:dyDescent="0.25">
      <c r="A3365" s="17"/>
      <c r="B3365" s="17"/>
      <c r="C3365" s="17"/>
      <c r="D3365" s="17"/>
      <c r="E3365" s="17"/>
      <c r="F3365" s="17"/>
      <c r="G3365" s="17"/>
      <c r="H3365" s="17"/>
      <c r="I3365" s="17"/>
      <c r="J3365" s="17"/>
      <c r="K3365" s="17"/>
      <c r="L3365" s="17"/>
      <c r="M3365" s="17"/>
      <c r="N3365" s="17"/>
      <c r="O3365" s="17"/>
      <c r="P3365" s="17"/>
      <c r="Q3365" s="17"/>
      <c r="R3365" s="17"/>
      <c r="S3365" s="17"/>
      <c r="T3365" s="17"/>
      <c r="U3365" s="17"/>
      <c r="V3365" s="18">
        <v>0</v>
      </c>
      <c r="W3365" s="17">
        <f t="shared" si="106"/>
        <v>0</v>
      </c>
      <c r="X3365" s="5">
        <f t="shared" si="107"/>
        <v>0</v>
      </c>
    </row>
    <row r="3366" spans="1:24" x14ac:dyDescent="0.25">
      <c r="A3366" s="17"/>
      <c r="B3366" s="17"/>
      <c r="C3366" s="17"/>
      <c r="D3366" s="17"/>
      <c r="E3366" s="17"/>
      <c r="F3366" s="17"/>
      <c r="G3366" s="17"/>
      <c r="H3366" s="17"/>
      <c r="I3366" s="17"/>
      <c r="J3366" s="17"/>
      <c r="K3366" s="17"/>
      <c r="L3366" s="17"/>
      <c r="M3366" s="17"/>
      <c r="N3366" s="17"/>
      <c r="O3366" s="17"/>
      <c r="P3366" s="17"/>
      <c r="Q3366" s="17"/>
      <c r="R3366" s="17"/>
      <c r="S3366" s="17"/>
      <c r="T3366" s="17"/>
      <c r="U3366" s="17"/>
      <c r="V3366" s="18">
        <v>0</v>
      </c>
      <c r="W3366" s="17">
        <f t="shared" si="106"/>
        <v>0</v>
      </c>
      <c r="X3366" s="5">
        <f t="shared" si="107"/>
        <v>0</v>
      </c>
    </row>
    <row r="3367" spans="1:24" x14ac:dyDescent="0.25">
      <c r="A3367" s="17"/>
      <c r="B3367" s="17"/>
      <c r="C3367" s="17"/>
      <c r="D3367" s="17"/>
      <c r="E3367" s="17"/>
      <c r="F3367" s="17"/>
      <c r="G3367" s="17"/>
      <c r="H3367" s="17"/>
      <c r="I3367" s="17"/>
      <c r="J3367" s="17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/>
      <c r="V3367" s="18">
        <v>0</v>
      </c>
      <c r="W3367" s="17">
        <f t="shared" si="106"/>
        <v>0</v>
      </c>
      <c r="X3367" s="5">
        <f t="shared" si="107"/>
        <v>0</v>
      </c>
    </row>
    <row r="3368" spans="1:24" x14ac:dyDescent="0.25">
      <c r="A3368" s="17"/>
      <c r="B3368" s="17"/>
      <c r="C3368" s="17"/>
      <c r="D3368" s="17"/>
      <c r="E3368" s="17"/>
      <c r="F3368" s="17"/>
      <c r="G3368" s="17"/>
      <c r="H3368" s="17"/>
      <c r="I3368" s="17"/>
      <c r="J3368" s="17"/>
      <c r="K3368" s="17"/>
      <c r="L3368" s="17"/>
      <c r="M3368" s="17"/>
      <c r="N3368" s="17"/>
      <c r="O3368" s="17"/>
      <c r="P3368" s="17"/>
      <c r="Q3368" s="17"/>
      <c r="R3368" s="17"/>
      <c r="S3368" s="17"/>
      <c r="T3368" s="17"/>
      <c r="U3368" s="17"/>
      <c r="V3368" s="18">
        <v>0</v>
      </c>
      <c r="W3368" s="17">
        <f t="shared" si="106"/>
        <v>0</v>
      </c>
      <c r="X3368" s="5">
        <f t="shared" si="107"/>
        <v>0</v>
      </c>
    </row>
    <row r="3369" spans="1:24" x14ac:dyDescent="0.25">
      <c r="A3369" s="17"/>
      <c r="B3369" s="17"/>
      <c r="C3369" s="17"/>
      <c r="D3369" s="17"/>
      <c r="E3369" s="17"/>
      <c r="F3369" s="17"/>
      <c r="G3369" s="17"/>
      <c r="H3369" s="17"/>
      <c r="I3369" s="17"/>
      <c r="J3369" s="17"/>
      <c r="K3369" s="17"/>
      <c r="L3369" s="17"/>
      <c r="M3369" s="17"/>
      <c r="N3369" s="17"/>
      <c r="O3369" s="17"/>
      <c r="P3369" s="17"/>
      <c r="Q3369" s="17"/>
      <c r="R3369" s="17"/>
      <c r="S3369" s="17"/>
      <c r="T3369" s="17"/>
      <c r="U3369" s="17"/>
      <c r="V3369" s="18">
        <v>0</v>
      </c>
      <c r="W3369" s="17">
        <f t="shared" si="106"/>
        <v>0</v>
      </c>
      <c r="X3369" s="5">
        <f t="shared" si="107"/>
        <v>0</v>
      </c>
    </row>
    <row r="3370" spans="1:24" x14ac:dyDescent="0.25">
      <c r="A3370" s="17"/>
      <c r="B3370" s="17"/>
      <c r="C3370" s="17"/>
      <c r="D3370" s="17"/>
      <c r="E3370" s="17"/>
      <c r="F3370" s="17"/>
      <c r="G3370" s="17"/>
      <c r="H3370" s="17"/>
      <c r="I3370" s="17"/>
      <c r="J3370" s="17"/>
      <c r="K3370" s="17"/>
      <c r="L3370" s="17"/>
      <c r="M3370" s="17"/>
      <c r="N3370" s="17"/>
      <c r="O3370" s="17"/>
      <c r="P3370" s="17"/>
      <c r="Q3370" s="17"/>
      <c r="R3370" s="17"/>
      <c r="S3370" s="17"/>
      <c r="T3370" s="17"/>
      <c r="U3370" s="17"/>
      <c r="V3370" s="18">
        <v>0</v>
      </c>
      <c r="W3370" s="17">
        <f t="shared" si="106"/>
        <v>0</v>
      </c>
      <c r="X3370" s="5">
        <f t="shared" si="107"/>
        <v>0</v>
      </c>
    </row>
    <row r="3371" spans="1:24" x14ac:dyDescent="0.25">
      <c r="A3371" s="17"/>
      <c r="B3371" s="17"/>
      <c r="C3371" s="17"/>
      <c r="D3371" s="17"/>
      <c r="E3371" s="17"/>
      <c r="F3371" s="17"/>
      <c r="G3371" s="17"/>
      <c r="H3371" s="17"/>
      <c r="I3371" s="17"/>
      <c r="J3371" s="17"/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/>
      <c r="V3371" s="18">
        <v>0</v>
      </c>
      <c r="W3371" s="17">
        <f t="shared" si="106"/>
        <v>0</v>
      </c>
      <c r="X3371" s="5">
        <f t="shared" si="107"/>
        <v>0</v>
      </c>
    </row>
    <row r="3372" spans="1:24" x14ac:dyDescent="0.25">
      <c r="A3372" s="17"/>
      <c r="B3372" s="17"/>
      <c r="C3372" s="17"/>
      <c r="D3372" s="17"/>
      <c r="E3372" s="17"/>
      <c r="F3372" s="17"/>
      <c r="G3372" s="17"/>
      <c r="H3372" s="17"/>
      <c r="I3372" s="17"/>
      <c r="J3372" s="17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8">
        <v>0</v>
      </c>
      <c r="W3372" s="17">
        <f t="shared" si="106"/>
        <v>0</v>
      </c>
      <c r="X3372" s="5">
        <f t="shared" si="107"/>
        <v>0</v>
      </c>
    </row>
    <row r="3373" spans="1:24" x14ac:dyDescent="0.25">
      <c r="A3373" s="17"/>
      <c r="B3373" s="17"/>
      <c r="C3373" s="17"/>
      <c r="D3373" s="17"/>
      <c r="E3373" s="17"/>
      <c r="F3373" s="17"/>
      <c r="G3373" s="17"/>
      <c r="H3373" s="17"/>
      <c r="I3373" s="17"/>
      <c r="J3373" s="17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8">
        <v>0</v>
      </c>
      <c r="W3373" s="17">
        <f t="shared" si="106"/>
        <v>0</v>
      </c>
      <c r="X3373" s="5">
        <f t="shared" si="107"/>
        <v>0</v>
      </c>
    </row>
    <row r="3374" spans="1:24" x14ac:dyDescent="0.25">
      <c r="A3374" s="17"/>
      <c r="B3374" s="17"/>
      <c r="C3374" s="17"/>
      <c r="D3374" s="17"/>
      <c r="E3374" s="17"/>
      <c r="F3374" s="17"/>
      <c r="G3374" s="17"/>
      <c r="H3374" s="17"/>
      <c r="I3374" s="17"/>
      <c r="J3374" s="17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8">
        <v>0</v>
      </c>
      <c r="W3374" s="17">
        <f t="shared" si="106"/>
        <v>0</v>
      </c>
      <c r="X3374" s="5">
        <f t="shared" si="107"/>
        <v>0</v>
      </c>
    </row>
    <row r="3375" spans="1:24" x14ac:dyDescent="0.25">
      <c r="A3375" s="17"/>
      <c r="B3375" s="17"/>
      <c r="C3375" s="17"/>
      <c r="D3375" s="17"/>
      <c r="E3375" s="17"/>
      <c r="F3375" s="17"/>
      <c r="G3375" s="17"/>
      <c r="H3375" s="17"/>
      <c r="I3375" s="17"/>
      <c r="J3375" s="17"/>
      <c r="K3375" s="17"/>
      <c r="L3375" s="17"/>
      <c r="M3375" s="17"/>
      <c r="N3375" s="17"/>
      <c r="O3375" s="17"/>
      <c r="P3375" s="17"/>
      <c r="Q3375" s="17"/>
      <c r="R3375" s="17"/>
      <c r="S3375" s="17"/>
      <c r="T3375" s="17"/>
      <c r="U3375" s="17"/>
      <c r="V3375" s="18">
        <v>0</v>
      </c>
      <c r="W3375" s="17">
        <f t="shared" si="106"/>
        <v>0</v>
      </c>
      <c r="X3375" s="5">
        <f t="shared" si="107"/>
        <v>0</v>
      </c>
    </row>
    <row r="3376" spans="1:24" x14ac:dyDescent="0.25">
      <c r="A3376" s="17"/>
      <c r="B3376" s="17"/>
      <c r="C3376" s="17"/>
      <c r="D3376" s="17"/>
      <c r="E3376" s="17"/>
      <c r="F3376" s="17"/>
      <c r="G3376" s="17"/>
      <c r="H3376" s="17"/>
      <c r="I3376" s="17"/>
      <c r="J3376" s="17"/>
      <c r="K3376" s="17"/>
      <c r="L3376" s="17"/>
      <c r="M3376" s="17"/>
      <c r="N3376" s="17"/>
      <c r="O3376" s="17"/>
      <c r="P3376" s="17"/>
      <c r="Q3376" s="17"/>
      <c r="R3376" s="17"/>
      <c r="S3376" s="17"/>
      <c r="T3376" s="17"/>
      <c r="U3376" s="17"/>
      <c r="V3376" s="18">
        <v>0</v>
      </c>
      <c r="W3376" s="17">
        <f t="shared" si="106"/>
        <v>0</v>
      </c>
      <c r="X3376" s="5">
        <f t="shared" si="107"/>
        <v>0</v>
      </c>
    </row>
    <row r="3377" spans="1:24" x14ac:dyDescent="0.25">
      <c r="A3377" s="17"/>
      <c r="B3377" s="17"/>
      <c r="C3377" s="17"/>
      <c r="D3377" s="17"/>
      <c r="E3377" s="17"/>
      <c r="F3377" s="17"/>
      <c r="G3377" s="17"/>
      <c r="H3377" s="17"/>
      <c r="I3377" s="17"/>
      <c r="J3377" s="17"/>
      <c r="K3377" s="17"/>
      <c r="L3377" s="17"/>
      <c r="M3377" s="17"/>
      <c r="N3377" s="17"/>
      <c r="O3377" s="17"/>
      <c r="P3377" s="17"/>
      <c r="Q3377" s="17"/>
      <c r="R3377" s="17"/>
      <c r="S3377" s="17"/>
      <c r="T3377" s="17"/>
      <c r="U3377" s="17"/>
      <c r="V3377" s="18">
        <v>0</v>
      </c>
      <c r="W3377" s="17">
        <f t="shared" si="106"/>
        <v>0</v>
      </c>
      <c r="X3377" s="5">
        <f t="shared" si="107"/>
        <v>0</v>
      </c>
    </row>
    <row r="3378" spans="1:24" x14ac:dyDescent="0.25">
      <c r="A3378" s="17"/>
      <c r="B3378" s="17"/>
      <c r="C3378" s="17"/>
      <c r="D3378" s="17"/>
      <c r="E3378" s="17"/>
      <c r="F3378" s="17"/>
      <c r="G3378" s="17"/>
      <c r="H3378" s="17"/>
      <c r="I3378" s="17"/>
      <c r="J3378" s="17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8">
        <v>0</v>
      </c>
      <c r="W3378" s="17">
        <f t="shared" si="106"/>
        <v>0</v>
      </c>
      <c r="X3378" s="5">
        <f t="shared" si="107"/>
        <v>0</v>
      </c>
    </row>
    <row r="3379" spans="1:24" x14ac:dyDescent="0.25">
      <c r="A3379" s="17"/>
      <c r="B3379" s="17"/>
      <c r="C3379" s="17"/>
      <c r="D3379" s="17"/>
      <c r="E3379" s="17"/>
      <c r="F3379" s="17"/>
      <c r="G3379" s="17"/>
      <c r="H3379" s="17"/>
      <c r="I3379" s="17"/>
      <c r="J3379" s="17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8">
        <v>0</v>
      </c>
      <c r="W3379" s="17">
        <f t="shared" si="106"/>
        <v>0</v>
      </c>
      <c r="X3379" s="5">
        <f t="shared" si="107"/>
        <v>0</v>
      </c>
    </row>
    <row r="3380" spans="1:24" x14ac:dyDescent="0.25">
      <c r="A3380" s="17"/>
      <c r="B3380" s="17"/>
      <c r="C3380" s="17"/>
      <c r="D3380" s="17"/>
      <c r="E3380" s="17"/>
      <c r="F3380" s="17"/>
      <c r="G3380" s="17"/>
      <c r="H3380" s="17"/>
      <c r="I3380" s="17"/>
      <c r="J3380" s="17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8">
        <v>0</v>
      </c>
      <c r="W3380" s="17">
        <f t="shared" si="106"/>
        <v>0</v>
      </c>
      <c r="X3380" s="5">
        <f t="shared" si="107"/>
        <v>0</v>
      </c>
    </row>
    <row r="3381" spans="1:24" x14ac:dyDescent="0.25">
      <c r="A3381" s="17"/>
      <c r="B3381" s="17"/>
      <c r="C3381" s="17"/>
      <c r="D3381" s="17"/>
      <c r="E3381" s="17"/>
      <c r="F3381" s="17"/>
      <c r="G3381" s="17"/>
      <c r="H3381" s="17"/>
      <c r="I3381" s="17"/>
      <c r="J3381" s="17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8">
        <v>0</v>
      </c>
      <c r="W3381" s="17">
        <f t="shared" si="106"/>
        <v>0</v>
      </c>
      <c r="X3381" s="5">
        <f t="shared" si="107"/>
        <v>0</v>
      </c>
    </row>
    <row r="3382" spans="1:24" x14ac:dyDescent="0.25">
      <c r="A3382" s="17"/>
      <c r="B3382" s="17"/>
      <c r="C3382" s="17"/>
      <c r="D3382" s="17"/>
      <c r="E3382" s="17"/>
      <c r="F3382" s="17"/>
      <c r="G3382" s="17"/>
      <c r="H3382" s="17"/>
      <c r="I3382" s="17"/>
      <c r="J3382" s="17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8">
        <v>0</v>
      </c>
      <c r="W3382" s="17">
        <f t="shared" si="106"/>
        <v>0</v>
      </c>
      <c r="X3382" s="5">
        <f t="shared" si="107"/>
        <v>0</v>
      </c>
    </row>
    <row r="3383" spans="1:24" x14ac:dyDescent="0.25">
      <c r="A3383" s="17"/>
      <c r="B3383" s="17"/>
      <c r="C3383" s="17"/>
      <c r="D3383" s="17"/>
      <c r="E3383" s="17"/>
      <c r="F3383" s="17"/>
      <c r="G3383" s="17"/>
      <c r="H3383" s="17"/>
      <c r="I3383" s="17"/>
      <c r="J3383" s="17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8">
        <v>0</v>
      </c>
      <c r="W3383" s="17">
        <f t="shared" si="106"/>
        <v>0</v>
      </c>
      <c r="X3383" s="5">
        <f t="shared" si="107"/>
        <v>0</v>
      </c>
    </row>
    <row r="3384" spans="1:24" x14ac:dyDescent="0.25">
      <c r="A3384" s="17"/>
      <c r="B3384" s="17"/>
      <c r="C3384" s="17"/>
      <c r="D3384" s="17"/>
      <c r="E3384" s="17"/>
      <c r="F3384" s="17"/>
      <c r="G3384" s="17"/>
      <c r="H3384" s="17"/>
      <c r="I3384" s="17"/>
      <c r="J3384" s="17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8">
        <v>0</v>
      </c>
      <c r="W3384" s="17">
        <f t="shared" si="106"/>
        <v>0</v>
      </c>
      <c r="X3384" s="5">
        <f t="shared" si="107"/>
        <v>0</v>
      </c>
    </row>
    <row r="3385" spans="1:24" x14ac:dyDescent="0.25">
      <c r="A3385" s="17"/>
      <c r="B3385" s="17"/>
      <c r="C3385" s="17"/>
      <c r="D3385" s="17"/>
      <c r="E3385" s="17"/>
      <c r="F3385" s="17"/>
      <c r="G3385" s="17"/>
      <c r="H3385" s="17"/>
      <c r="I3385" s="17"/>
      <c r="J3385" s="17"/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/>
      <c r="V3385" s="18">
        <v>0</v>
      </c>
      <c r="W3385" s="17">
        <f t="shared" si="106"/>
        <v>0</v>
      </c>
      <c r="X3385" s="5">
        <f t="shared" si="107"/>
        <v>0</v>
      </c>
    </row>
    <row r="3386" spans="1:24" x14ac:dyDescent="0.25">
      <c r="A3386" s="17"/>
      <c r="B3386" s="17"/>
      <c r="C3386" s="17"/>
      <c r="D3386" s="17"/>
      <c r="E3386" s="17"/>
      <c r="F3386" s="17"/>
      <c r="G3386" s="17"/>
      <c r="H3386" s="17"/>
      <c r="I3386" s="17"/>
      <c r="J3386" s="17"/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/>
      <c r="V3386" s="18">
        <v>0</v>
      </c>
      <c r="W3386" s="17">
        <f t="shared" si="106"/>
        <v>0</v>
      </c>
      <c r="X3386" s="5">
        <f t="shared" si="107"/>
        <v>0</v>
      </c>
    </row>
    <row r="3387" spans="1:24" x14ac:dyDescent="0.25">
      <c r="A3387" s="17"/>
      <c r="B3387" s="17"/>
      <c r="C3387" s="17"/>
      <c r="D3387" s="17"/>
      <c r="E3387" s="17"/>
      <c r="F3387" s="17"/>
      <c r="G3387" s="17"/>
      <c r="H3387" s="17"/>
      <c r="I3387" s="17"/>
      <c r="J3387" s="17"/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8">
        <v>0</v>
      </c>
      <c r="W3387" s="17">
        <f t="shared" si="106"/>
        <v>0</v>
      </c>
      <c r="X3387" s="5">
        <f t="shared" si="107"/>
        <v>0</v>
      </c>
    </row>
    <row r="3388" spans="1:24" x14ac:dyDescent="0.25">
      <c r="A3388" s="17"/>
      <c r="B3388" s="17"/>
      <c r="C3388" s="17"/>
      <c r="D3388" s="17"/>
      <c r="E3388" s="17"/>
      <c r="F3388" s="17"/>
      <c r="G3388" s="17"/>
      <c r="H3388" s="17"/>
      <c r="I3388" s="17"/>
      <c r="J3388" s="17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8">
        <v>0</v>
      </c>
      <c r="W3388" s="17">
        <f t="shared" si="106"/>
        <v>0</v>
      </c>
      <c r="X3388" s="5">
        <f t="shared" si="107"/>
        <v>0</v>
      </c>
    </row>
    <row r="3389" spans="1:24" x14ac:dyDescent="0.25">
      <c r="A3389" s="17"/>
      <c r="B3389" s="17"/>
      <c r="C3389" s="17"/>
      <c r="D3389" s="17"/>
      <c r="E3389" s="17"/>
      <c r="F3389" s="17"/>
      <c r="G3389" s="17"/>
      <c r="H3389" s="17"/>
      <c r="I3389" s="17"/>
      <c r="J3389" s="17"/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/>
      <c r="V3389" s="18">
        <v>0</v>
      </c>
      <c r="W3389" s="17">
        <f t="shared" si="106"/>
        <v>0</v>
      </c>
      <c r="X3389" s="5">
        <f t="shared" si="107"/>
        <v>0</v>
      </c>
    </row>
    <row r="3390" spans="1:24" x14ac:dyDescent="0.25">
      <c r="A3390" s="17"/>
      <c r="B3390" s="17"/>
      <c r="C3390" s="17"/>
      <c r="D3390" s="17"/>
      <c r="E3390" s="17"/>
      <c r="F3390" s="17"/>
      <c r="G3390" s="17"/>
      <c r="H3390" s="17"/>
      <c r="I3390" s="17"/>
      <c r="J3390" s="17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8">
        <v>0</v>
      </c>
      <c r="W3390" s="17">
        <f t="shared" si="106"/>
        <v>0</v>
      </c>
      <c r="X3390" s="5">
        <f t="shared" si="107"/>
        <v>0</v>
      </c>
    </row>
    <row r="3391" spans="1:24" x14ac:dyDescent="0.25">
      <c r="A3391" s="17"/>
      <c r="B3391" s="17"/>
      <c r="C3391" s="17"/>
      <c r="D3391" s="17"/>
      <c r="E3391" s="17"/>
      <c r="F3391" s="17"/>
      <c r="G3391" s="17"/>
      <c r="H3391" s="17"/>
      <c r="I3391" s="17"/>
      <c r="J3391" s="17"/>
      <c r="K3391" s="17"/>
      <c r="L3391" s="17"/>
      <c r="M3391" s="17"/>
      <c r="N3391" s="17"/>
      <c r="O3391" s="17"/>
      <c r="P3391" s="17"/>
      <c r="Q3391" s="17"/>
      <c r="R3391" s="17"/>
      <c r="S3391" s="17"/>
      <c r="T3391" s="17"/>
      <c r="U3391" s="17"/>
      <c r="V3391" s="18">
        <v>0</v>
      </c>
      <c r="W3391" s="17">
        <f t="shared" si="106"/>
        <v>0</v>
      </c>
      <c r="X3391" s="5">
        <f t="shared" si="107"/>
        <v>0</v>
      </c>
    </row>
    <row r="3392" spans="1:24" x14ac:dyDescent="0.25">
      <c r="A3392" s="17"/>
      <c r="B3392" s="17"/>
      <c r="C3392" s="17"/>
      <c r="D3392" s="17"/>
      <c r="E3392" s="17"/>
      <c r="F3392" s="17"/>
      <c r="G3392" s="17"/>
      <c r="H3392" s="17"/>
      <c r="I3392" s="17"/>
      <c r="J3392" s="17"/>
      <c r="K3392" s="17"/>
      <c r="L3392" s="17"/>
      <c r="M3392" s="17"/>
      <c r="N3392" s="17"/>
      <c r="O3392" s="17"/>
      <c r="P3392" s="17"/>
      <c r="Q3392" s="17"/>
      <c r="R3392" s="17"/>
      <c r="S3392" s="17"/>
      <c r="T3392" s="17"/>
      <c r="U3392" s="17"/>
      <c r="V3392" s="18">
        <v>0</v>
      </c>
      <c r="W3392" s="17">
        <f t="shared" si="106"/>
        <v>0</v>
      </c>
      <c r="X3392" s="5">
        <f t="shared" si="107"/>
        <v>0</v>
      </c>
    </row>
    <row r="3393" spans="1:24" x14ac:dyDescent="0.25">
      <c r="A3393" s="17"/>
      <c r="B3393" s="17"/>
      <c r="C3393" s="17"/>
      <c r="D3393" s="17"/>
      <c r="E3393" s="17"/>
      <c r="F3393" s="17"/>
      <c r="G3393" s="17"/>
      <c r="H3393" s="17"/>
      <c r="I3393" s="17"/>
      <c r="J3393" s="17"/>
      <c r="K3393" s="17"/>
      <c r="L3393" s="17"/>
      <c r="M3393" s="17"/>
      <c r="N3393" s="17"/>
      <c r="O3393" s="17"/>
      <c r="P3393" s="17"/>
      <c r="Q3393" s="17"/>
      <c r="R3393" s="17"/>
      <c r="S3393" s="17"/>
      <c r="T3393" s="17"/>
      <c r="U3393" s="17"/>
      <c r="V3393" s="18">
        <v>0</v>
      </c>
      <c r="W3393" s="17">
        <f t="shared" si="106"/>
        <v>0</v>
      </c>
      <c r="X3393" s="5">
        <f t="shared" si="107"/>
        <v>0</v>
      </c>
    </row>
    <row r="3394" spans="1:24" x14ac:dyDescent="0.25">
      <c r="A3394" s="17"/>
      <c r="B3394" s="17"/>
      <c r="C3394" s="17"/>
      <c r="D3394" s="17"/>
      <c r="E3394" s="17"/>
      <c r="F3394" s="17"/>
      <c r="G3394" s="17"/>
      <c r="H3394" s="17"/>
      <c r="I3394" s="17"/>
      <c r="J3394" s="17"/>
      <c r="K3394" s="17"/>
      <c r="L3394" s="17"/>
      <c r="M3394" s="17"/>
      <c r="N3394" s="17"/>
      <c r="O3394" s="17"/>
      <c r="P3394" s="17"/>
      <c r="Q3394" s="17"/>
      <c r="R3394" s="17"/>
      <c r="S3394" s="17"/>
      <c r="T3394" s="17"/>
      <c r="U3394" s="17"/>
      <c r="V3394" s="18">
        <v>0</v>
      </c>
      <c r="W3394" s="17">
        <f t="shared" si="106"/>
        <v>0</v>
      </c>
      <c r="X3394" s="5">
        <f t="shared" si="107"/>
        <v>0</v>
      </c>
    </row>
    <row r="3395" spans="1:24" x14ac:dyDescent="0.25">
      <c r="A3395" s="17"/>
      <c r="B3395" s="17"/>
      <c r="C3395" s="17"/>
      <c r="D3395" s="17"/>
      <c r="E3395" s="17"/>
      <c r="F3395" s="17"/>
      <c r="G3395" s="17"/>
      <c r="H3395" s="17"/>
      <c r="I3395" s="17"/>
      <c r="J3395" s="17"/>
      <c r="K3395" s="17"/>
      <c r="L3395" s="17"/>
      <c r="M3395" s="17"/>
      <c r="N3395" s="17"/>
      <c r="O3395" s="17"/>
      <c r="P3395" s="17"/>
      <c r="Q3395" s="17"/>
      <c r="R3395" s="17"/>
      <c r="S3395" s="17"/>
      <c r="T3395" s="17"/>
      <c r="U3395" s="17"/>
      <c r="V3395" s="18">
        <v>0</v>
      </c>
      <c r="W3395" s="17">
        <f t="shared" ref="W3395:W3458" si="108">HOUR(E3395)</f>
        <v>0</v>
      </c>
      <c r="X3395" s="5">
        <f t="shared" ref="X3395:X3458" si="109">IF(D3395=D3394,0,1)</f>
        <v>0</v>
      </c>
    </row>
    <row r="3396" spans="1:24" x14ac:dyDescent="0.25">
      <c r="A3396" s="17"/>
      <c r="B3396" s="17"/>
      <c r="C3396" s="17"/>
      <c r="D3396" s="17"/>
      <c r="E3396" s="17"/>
      <c r="F3396" s="17"/>
      <c r="G3396" s="17"/>
      <c r="H3396" s="17"/>
      <c r="I3396" s="17"/>
      <c r="J3396" s="17"/>
      <c r="K3396" s="17"/>
      <c r="L3396" s="17"/>
      <c r="M3396" s="17"/>
      <c r="N3396" s="17"/>
      <c r="O3396" s="17"/>
      <c r="P3396" s="17"/>
      <c r="Q3396" s="17"/>
      <c r="R3396" s="17"/>
      <c r="S3396" s="17"/>
      <c r="T3396" s="17"/>
      <c r="U3396" s="17"/>
      <c r="V3396" s="18">
        <v>0</v>
      </c>
      <c r="W3396" s="17">
        <f t="shared" si="108"/>
        <v>0</v>
      </c>
      <c r="X3396" s="5">
        <f t="shared" si="109"/>
        <v>0</v>
      </c>
    </row>
    <row r="3397" spans="1:24" x14ac:dyDescent="0.25">
      <c r="A3397" s="17"/>
      <c r="B3397" s="17"/>
      <c r="C3397" s="17"/>
      <c r="D3397" s="17"/>
      <c r="E3397" s="17"/>
      <c r="F3397" s="17"/>
      <c r="G3397" s="17"/>
      <c r="H3397" s="17"/>
      <c r="I3397" s="17"/>
      <c r="J3397" s="17"/>
      <c r="K3397" s="17"/>
      <c r="L3397" s="17"/>
      <c r="M3397" s="17"/>
      <c r="N3397" s="17"/>
      <c r="O3397" s="17"/>
      <c r="P3397" s="17"/>
      <c r="Q3397" s="17"/>
      <c r="R3397" s="17"/>
      <c r="S3397" s="17"/>
      <c r="T3397" s="17"/>
      <c r="U3397" s="17"/>
      <c r="V3397" s="18">
        <v>0</v>
      </c>
      <c r="W3397" s="17">
        <f t="shared" si="108"/>
        <v>0</v>
      </c>
      <c r="X3397" s="5">
        <f t="shared" si="109"/>
        <v>0</v>
      </c>
    </row>
    <row r="3398" spans="1:24" x14ac:dyDescent="0.25">
      <c r="A3398" s="17"/>
      <c r="B3398" s="17"/>
      <c r="C3398" s="17"/>
      <c r="D3398" s="17"/>
      <c r="E3398" s="17"/>
      <c r="F3398" s="17"/>
      <c r="G3398" s="17"/>
      <c r="H3398" s="17"/>
      <c r="I3398" s="17"/>
      <c r="J3398" s="17"/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/>
      <c r="V3398" s="18">
        <v>0</v>
      </c>
      <c r="W3398" s="17">
        <f t="shared" si="108"/>
        <v>0</v>
      </c>
      <c r="X3398" s="5">
        <f t="shared" si="109"/>
        <v>0</v>
      </c>
    </row>
    <row r="3399" spans="1:24" x14ac:dyDescent="0.25">
      <c r="A3399" s="17"/>
      <c r="B3399" s="17"/>
      <c r="C3399" s="17"/>
      <c r="D3399" s="17"/>
      <c r="E3399" s="17"/>
      <c r="F3399" s="17"/>
      <c r="G3399" s="17"/>
      <c r="H3399" s="17"/>
      <c r="I3399" s="17"/>
      <c r="J3399" s="17"/>
      <c r="K3399" s="17"/>
      <c r="L3399" s="17"/>
      <c r="M3399" s="17"/>
      <c r="N3399" s="17"/>
      <c r="O3399" s="17"/>
      <c r="P3399" s="17"/>
      <c r="Q3399" s="17"/>
      <c r="R3399" s="17"/>
      <c r="S3399" s="17"/>
      <c r="T3399" s="17"/>
      <c r="U3399" s="17"/>
      <c r="V3399" s="18">
        <v>0</v>
      </c>
      <c r="W3399" s="17">
        <f t="shared" si="108"/>
        <v>0</v>
      </c>
      <c r="X3399" s="5">
        <f t="shared" si="109"/>
        <v>0</v>
      </c>
    </row>
    <row r="3400" spans="1:24" x14ac:dyDescent="0.25">
      <c r="A3400" s="17"/>
      <c r="B3400" s="17"/>
      <c r="C3400" s="17"/>
      <c r="D3400" s="17"/>
      <c r="E3400" s="17"/>
      <c r="F3400" s="17"/>
      <c r="G3400" s="17"/>
      <c r="H3400" s="17"/>
      <c r="I3400" s="17"/>
      <c r="J3400" s="17"/>
      <c r="K3400" s="17"/>
      <c r="L3400" s="17"/>
      <c r="M3400" s="17"/>
      <c r="N3400" s="17"/>
      <c r="O3400" s="17"/>
      <c r="P3400" s="17"/>
      <c r="Q3400" s="17"/>
      <c r="R3400" s="17"/>
      <c r="S3400" s="17"/>
      <c r="T3400" s="17"/>
      <c r="U3400" s="17"/>
      <c r="V3400" s="18">
        <v>0</v>
      </c>
      <c r="W3400" s="17">
        <f t="shared" si="108"/>
        <v>0</v>
      </c>
      <c r="X3400" s="5">
        <f t="shared" si="109"/>
        <v>0</v>
      </c>
    </row>
    <row r="3401" spans="1:24" x14ac:dyDescent="0.25">
      <c r="A3401" s="17"/>
      <c r="B3401" s="17"/>
      <c r="C3401" s="17"/>
      <c r="D3401" s="17"/>
      <c r="E3401" s="17"/>
      <c r="F3401" s="17"/>
      <c r="G3401" s="17"/>
      <c r="H3401" s="17"/>
      <c r="I3401" s="17"/>
      <c r="J3401" s="17"/>
      <c r="K3401" s="17"/>
      <c r="L3401" s="17"/>
      <c r="M3401" s="17"/>
      <c r="N3401" s="17"/>
      <c r="O3401" s="17"/>
      <c r="P3401" s="17"/>
      <c r="Q3401" s="17"/>
      <c r="R3401" s="17"/>
      <c r="S3401" s="17"/>
      <c r="T3401" s="17"/>
      <c r="U3401" s="17"/>
      <c r="V3401" s="18">
        <v>0</v>
      </c>
      <c r="W3401" s="17">
        <f t="shared" si="108"/>
        <v>0</v>
      </c>
      <c r="X3401" s="5">
        <f t="shared" si="109"/>
        <v>0</v>
      </c>
    </row>
    <row r="3402" spans="1:24" x14ac:dyDescent="0.25">
      <c r="A3402" s="17"/>
      <c r="B3402" s="17"/>
      <c r="C3402" s="17"/>
      <c r="D3402" s="17"/>
      <c r="E3402" s="17"/>
      <c r="F3402" s="17"/>
      <c r="G3402" s="17"/>
      <c r="H3402" s="17"/>
      <c r="I3402" s="17"/>
      <c r="J3402" s="17"/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/>
      <c r="V3402" s="18">
        <v>0</v>
      </c>
      <c r="W3402" s="17">
        <f t="shared" si="108"/>
        <v>0</v>
      </c>
      <c r="X3402" s="5">
        <f t="shared" si="109"/>
        <v>0</v>
      </c>
    </row>
    <row r="3403" spans="1:24" x14ac:dyDescent="0.25">
      <c r="A3403" s="17"/>
      <c r="B3403" s="17"/>
      <c r="C3403" s="17"/>
      <c r="D3403" s="17"/>
      <c r="E3403" s="17"/>
      <c r="F3403" s="17"/>
      <c r="G3403" s="17"/>
      <c r="H3403" s="17"/>
      <c r="I3403" s="17"/>
      <c r="J3403" s="17"/>
      <c r="K3403" s="17"/>
      <c r="L3403" s="17"/>
      <c r="M3403" s="17"/>
      <c r="N3403" s="17"/>
      <c r="O3403" s="17"/>
      <c r="P3403" s="17"/>
      <c r="Q3403" s="17"/>
      <c r="R3403" s="17"/>
      <c r="S3403" s="17"/>
      <c r="T3403" s="17"/>
      <c r="U3403" s="17"/>
      <c r="V3403" s="18">
        <v>0</v>
      </c>
      <c r="W3403" s="17">
        <f t="shared" si="108"/>
        <v>0</v>
      </c>
      <c r="X3403" s="5">
        <f t="shared" si="109"/>
        <v>0</v>
      </c>
    </row>
    <row r="3404" spans="1:24" x14ac:dyDescent="0.25">
      <c r="A3404" s="17"/>
      <c r="B3404" s="17"/>
      <c r="C3404" s="17"/>
      <c r="D3404" s="17"/>
      <c r="E3404" s="17"/>
      <c r="F3404" s="17"/>
      <c r="G3404" s="17"/>
      <c r="H3404" s="17"/>
      <c r="I3404" s="17"/>
      <c r="J3404" s="17"/>
      <c r="K3404" s="17"/>
      <c r="L3404" s="17"/>
      <c r="M3404" s="17"/>
      <c r="N3404" s="17"/>
      <c r="O3404" s="17"/>
      <c r="P3404" s="17"/>
      <c r="Q3404" s="17"/>
      <c r="R3404" s="17"/>
      <c r="S3404" s="17"/>
      <c r="T3404" s="17"/>
      <c r="U3404" s="17"/>
      <c r="V3404" s="18">
        <v>0</v>
      </c>
      <c r="W3404" s="17">
        <f t="shared" si="108"/>
        <v>0</v>
      </c>
      <c r="X3404" s="5">
        <f t="shared" si="109"/>
        <v>0</v>
      </c>
    </row>
    <row r="3405" spans="1:24" x14ac:dyDescent="0.25">
      <c r="A3405" s="17"/>
      <c r="B3405" s="17"/>
      <c r="C3405" s="17"/>
      <c r="D3405" s="17"/>
      <c r="E3405" s="17"/>
      <c r="F3405" s="17"/>
      <c r="G3405" s="17"/>
      <c r="H3405" s="17"/>
      <c r="I3405" s="17"/>
      <c r="J3405" s="17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/>
      <c r="V3405" s="18">
        <v>0</v>
      </c>
      <c r="W3405" s="17">
        <f t="shared" si="108"/>
        <v>0</v>
      </c>
      <c r="X3405" s="5">
        <f t="shared" si="109"/>
        <v>0</v>
      </c>
    </row>
    <row r="3406" spans="1:24" x14ac:dyDescent="0.25">
      <c r="A3406" s="17"/>
      <c r="B3406" s="17"/>
      <c r="C3406" s="17"/>
      <c r="D3406" s="17"/>
      <c r="E3406" s="17"/>
      <c r="F3406" s="17"/>
      <c r="G3406" s="17"/>
      <c r="H3406" s="17"/>
      <c r="I3406" s="17"/>
      <c r="J3406" s="17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/>
      <c r="V3406" s="18">
        <v>0</v>
      </c>
      <c r="W3406" s="17">
        <f t="shared" si="108"/>
        <v>0</v>
      </c>
      <c r="X3406" s="5">
        <f t="shared" si="109"/>
        <v>0</v>
      </c>
    </row>
    <row r="3407" spans="1:24" x14ac:dyDescent="0.25">
      <c r="A3407" s="17"/>
      <c r="B3407" s="17"/>
      <c r="C3407" s="17"/>
      <c r="D3407" s="17"/>
      <c r="E3407" s="17"/>
      <c r="F3407" s="17"/>
      <c r="G3407" s="17"/>
      <c r="H3407" s="17"/>
      <c r="I3407" s="17"/>
      <c r="J3407" s="17"/>
      <c r="K3407" s="17"/>
      <c r="L3407" s="17"/>
      <c r="M3407" s="17"/>
      <c r="N3407" s="17"/>
      <c r="O3407" s="17"/>
      <c r="P3407" s="17"/>
      <c r="Q3407" s="17"/>
      <c r="R3407" s="17"/>
      <c r="S3407" s="17"/>
      <c r="T3407" s="17"/>
      <c r="U3407" s="17"/>
      <c r="V3407" s="18">
        <v>0</v>
      </c>
      <c r="W3407" s="17">
        <f t="shared" si="108"/>
        <v>0</v>
      </c>
      <c r="X3407" s="5">
        <f t="shared" si="109"/>
        <v>0</v>
      </c>
    </row>
    <row r="3408" spans="1:24" x14ac:dyDescent="0.25">
      <c r="A3408" s="17"/>
      <c r="B3408" s="17"/>
      <c r="C3408" s="17"/>
      <c r="D3408" s="17"/>
      <c r="E3408" s="17"/>
      <c r="F3408" s="17"/>
      <c r="G3408" s="17"/>
      <c r="H3408" s="17"/>
      <c r="I3408" s="17"/>
      <c r="J3408" s="17"/>
      <c r="K3408" s="17"/>
      <c r="L3408" s="17"/>
      <c r="M3408" s="17"/>
      <c r="N3408" s="17"/>
      <c r="O3408" s="17"/>
      <c r="P3408" s="17"/>
      <c r="Q3408" s="17"/>
      <c r="R3408" s="17"/>
      <c r="S3408" s="17"/>
      <c r="T3408" s="17"/>
      <c r="U3408" s="17"/>
      <c r="V3408" s="18">
        <v>0</v>
      </c>
      <c r="W3408" s="17">
        <f t="shared" si="108"/>
        <v>0</v>
      </c>
      <c r="X3408" s="5">
        <f t="shared" si="109"/>
        <v>0</v>
      </c>
    </row>
    <row r="3409" spans="1:24" x14ac:dyDescent="0.25">
      <c r="A3409" s="17"/>
      <c r="B3409" s="17"/>
      <c r="C3409" s="17"/>
      <c r="D3409" s="17"/>
      <c r="E3409" s="17"/>
      <c r="F3409" s="17"/>
      <c r="G3409" s="17"/>
      <c r="H3409" s="17"/>
      <c r="I3409" s="17"/>
      <c r="J3409" s="17"/>
      <c r="K3409" s="17"/>
      <c r="L3409" s="17"/>
      <c r="M3409" s="17"/>
      <c r="N3409" s="17"/>
      <c r="O3409" s="17"/>
      <c r="P3409" s="17"/>
      <c r="Q3409" s="17"/>
      <c r="R3409" s="17"/>
      <c r="S3409" s="17"/>
      <c r="T3409" s="17"/>
      <c r="U3409" s="17"/>
      <c r="V3409" s="18">
        <v>0</v>
      </c>
      <c r="W3409" s="17">
        <f t="shared" si="108"/>
        <v>0</v>
      </c>
      <c r="X3409" s="5">
        <f t="shared" si="109"/>
        <v>0</v>
      </c>
    </row>
    <row r="3410" spans="1:24" x14ac:dyDescent="0.25">
      <c r="A3410" s="17"/>
      <c r="B3410" s="17"/>
      <c r="C3410" s="17"/>
      <c r="D3410" s="17"/>
      <c r="E3410" s="17"/>
      <c r="F3410" s="17"/>
      <c r="G3410" s="17"/>
      <c r="H3410" s="17"/>
      <c r="I3410" s="17"/>
      <c r="J3410" s="17"/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/>
      <c r="V3410" s="18">
        <v>0</v>
      </c>
      <c r="W3410" s="17">
        <f t="shared" si="108"/>
        <v>0</v>
      </c>
      <c r="X3410" s="5">
        <f t="shared" si="109"/>
        <v>0</v>
      </c>
    </row>
    <row r="3411" spans="1:24" x14ac:dyDescent="0.25">
      <c r="A3411" s="17"/>
      <c r="B3411" s="17"/>
      <c r="C3411" s="17"/>
      <c r="D3411" s="17"/>
      <c r="E3411" s="17"/>
      <c r="F3411" s="17"/>
      <c r="G3411" s="17"/>
      <c r="H3411" s="17"/>
      <c r="I3411" s="17"/>
      <c r="J3411" s="17"/>
      <c r="K3411" s="17"/>
      <c r="L3411" s="17"/>
      <c r="M3411" s="17"/>
      <c r="N3411" s="17"/>
      <c r="O3411" s="17"/>
      <c r="P3411" s="17"/>
      <c r="Q3411" s="17"/>
      <c r="R3411" s="17"/>
      <c r="S3411" s="17"/>
      <c r="T3411" s="17"/>
      <c r="U3411" s="17"/>
      <c r="V3411" s="18">
        <v>0</v>
      </c>
      <c r="W3411" s="17">
        <f t="shared" si="108"/>
        <v>0</v>
      </c>
      <c r="X3411" s="5">
        <f t="shared" si="109"/>
        <v>0</v>
      </c>
    </row>
    <row r="3412" spans="1:24" x14ac:dyDescent="0.25">
      <c r="A3412" s="17"/>
      <c r="B3412" s="17"/>
      <c r="C3412" s="17"/>
      <c r="D3412" s="17"/>
      <c r="E3412" s="17"/>
      <c r="F3412" s="17"/>
      <c r="G3412" s="17"/>
      <c r="H3412" s="17"/>
      <c r="I3412" s="17"/>
      <c r="J3412" s="17"/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/>
      <c r="V3412" s="18">
        <v>0</v>
      </c>
      <c r="W3412" s="17">
        <f t="shared" si="108"/>
        <v>0</v>
      </c>
      <c r="X3412" s="5">
        <f t="shared" si="109"/>
        <v>0</v>
      </c>
    </row>
    <row r="3413" spans="1:24" x14ac:dyDescent="0.25">
      <c r="A3413" s="17"/>
      <c r="B3413" s="17"/>
      <c r="C3413" s="17"/>
      <c r="D3413" s="17"/>
      <c r="E3413" s="17"/>
      <c r="F3413" s="17"/>
      <c r="G3413" s="17"/>
      <c r="H3413" s="17"/>
      <c r="I3413" s="17"/>
      <c r="J3413" s="17"/>
      <c r="K3413" s="17"/>
      <c r="L3413" s="17"/>
      <c r="M3413" s="17"/>
      <c r="N3413" s="17"/>
      <c r="O3413" s="17"/>
      <c r="P3413" s="17"/>
      <c r="Q3413" s="17"/>
      <c r="R3413" s="17"/>
      <c r="S3413" s="17"/>
      <c r="T3413" s="17"/>
      <c r="U3413" s="17"/>
      <c r="V3413" s="18">
        <v>0</v>
      </c>
      <c r="W3413" s="17">
        <f t="shared" si="108"/>
        <v>0</v>
      </c>
      <c r="X3413" s="5">
        <f t="shared" si="109"/>
        <v>0</v>
      </c>
    </row>
    <row r="3414" spans="1:24" x14ac:dyDescent="0.25">
      <c r="A3414" s="17"/>
      <c r="B3414" s="17"/>
      <c r="C3414" s="17"/>
      <c r="D3414" s="17"/>
      <c r="E3414" s="17"/>
      <c r="F3414" s="17"/>
      <c r="G3414" s="17"/>
      <c r="H3414" s="17"/>
      <c r="I3414" s="17"/>
      <c r="J3414" s="17"/>
      <c r="K3414" s="17"/>
      <c r="L3414" s="17"/>
      <c r="M3414" s="17"/>
      <c r="N3414" s="17"/>
      <c r="O3414" s="17"/>
      <c r="P3414" s="17"/>
      <c r="Q3414" s="17"/>
      <c r="R3414" s="17"/>
      <c r="S3414" s="17"/>
      <c r="T3414" s="17"/>
      <c r="U3414" s="17"/>
      <c r="V3414" s="18">
        <v>0</v>
      </c>
      <c r="W3414" s="17">
        <f t="shared" si="108"/>
        <v>0</v>
      </c>
      <c r="X3414" s="5">
        <f t="shared" si="109"/>
        <v>0</v>
      </c>
    </row>
    <row r="3415" spans="1:24" x14ac:dyDescent="0.25">
      <c r="A3415" s="17"/>
      <c r="B3415" s="17"/>
      <c r="C3415" s="17"/>
      <c r="D3415" s="17"/>
      <c r="E3415" s="17"/>
      <c r="F3415" s="17"/>
      <c r="G3415" s="17"/>
      <c r="H3415" s="17"/>
      <c r="I3415" s="17"/>
      <c r="J3415" s="17"/>
      <c r="K3415" s="17"/>
      <c r="L3415" s="17"/>
      <c r="M3415" s="17"/>
      <c r="N3415" s="17"/>
      <c r="O3415" s="17"/>
      <c r="P3415" s="17"/>
      <c r="Q3415" s="17"/>
      <c r="R3415" s="17"/>
      <c r="S3415" s="17"/>
      <c r="T3415" s="17"/>
      <c r="U3415" s="17"/>
      <c r="V3415" s="18">
        <v>0</v>
      </c>
      <c r="W3415" s="17">
        <f t="shared" si="108"/>
        <v>0</v>
      </c>
      <c r="X3415" s="5">
        <f t="shared" si="109"/>
        <v>0</v>
      </c>
    </row>
    <row r="3416" spans="1:24" x14ac:dyDescent="0.25">
      <c r="A3416" s="17"/>
      <c r="B3416" s="17"/>
      <c r="C3416" s="17"/>
      <c r="D3416" s="17"/>
      <c r="E3416" s="17"/>
      <c r="F3416" s="17"/>
      <c r="G3416" s="17"/>
      <c r="H3416" s="17"/>
      <c r="I3416" s="17"/>
      <c r="J3416" s="17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8">
        <v>0</v>
      </c>
      <c r="W3416" s="17">
        <f t="shared" si="108"/>
        <v>0</v>
      </c>
      <c r="X3416" s="5">
        <f t="shared" si="109"/>
        <v>0</v>
      </c>
    </row>
    <row r="3417" spans="1:24" x14ac:dyDescent="0.25">
      <c r="A3417" s="17"/>
      <c r="B3417" s="17"/>
      <c r="C3417" s="17"/>
      <c r="D3417" s="17"/>
      <c r="E3417" s="17"/>
      <c r="F3417" s="17"/>
      <c r="G3417" s="17"/>
      <c r="H3417" s="17"/>
      <c r="I3417" s="17"/>
      <c r="J3417" s="17"/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/>
      <c r="V3417" s="18">
        <v>0</v>
      </c>
      <c r="W3417" s="17">
        <f t="shared" si="108"/>
        <v>0</v>
      </c>
      <c r="X3417" s="5">
        <f t="shared" si="109"/>
        <v>0</v>
      </c>
    </row>
    <row r="3418" spans="1:24" x14ac:dyDescent="0.25">
      <c r="A3418" s="17"/>
      <c r="B3418" s="17"/>
      <c r="C3418" s="17"/>
      <c r="D3418" s="17"/>
      <c r="E3418" s="17"/>
      <c r="F3418" s="17"/>
      <c r="G3418" s="17"/>
      <c r="H3418" s="17"/>
      <c r="I3418" s="17"/>
      <c r="J3418" s="17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8">
        <v>0</v>
      </c>
      <c r="W3418" s="17">
        <f t="shared" si="108"/>
        <v>0</v>
      </c>
      <c r="X3418" s="5">
        <f t="shared" si="109"/>
        <v>0</v>
      </c>
    </row>
    <row r="3419" spans="1:24" x14ac:dyDescent="0.25">
      <c r="A3419" s="17"/>
      <c r="B3419" s="17"/>
      <c r="C3419" s="17"/>
      <c r="D3419" s="17"/>
      <c r="E3419" s="17"/>
      <c r="F3419" s="17"/>
      <c r="G3419" s="17"/>
      <c r="H3419" s="17"/>
      <c r="I3419" s="17"/>
      <c r="J3419" s="17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8">
        <v>0</v>
      </c>
      <c r="W3419" s="17">
        <f t="shared" si="108"/>
        <v>0</v>
      </c>
      <c r="X3419" s="5">
        <f t="shared" si="109"/>
        <v>0</v>
      </c>
    </row>
    <row r="3420" spans="1:24" x14ac:dyDescent="0.25">
      <c r="A3420" s="17"/>
      <c r="B3420" s="17"/>
      <c r="C3420" s="17"/>
      <c r="D3420" s="17"/>
      <c r="E3420" s="17"/>
      <c r="F3420" s="17"/>
      <c r="G3420" s="17"/>
      <c r="H3420" s="17"/>
      <c r="I3420" s="17"/>
      <c r="J3420" s="17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8">
        <v>0</v>
      </c>
      <c r="W3420" s="17">
        <f t="shared" si="108"/>
        <v>0</v>
      </c>
      <c r="X3420" s="5">
        <f t="shared" si="109"/>
        <v>0</v>
      </c>
    </row>
    <row r="3421" spans="1:24" x14ac:dyDescent="0.25">
      <c r="A3421" s="17"/>
      <c r="B3421" s="17"/>
      <c r="C3421" s="17"/>
      <c r="D3421" s="17"/>
      <c r="E3421" s="17"/>
      <c r="F3421" s="17"/>
      <c r="G3421" s="17"/>
      <c r="H3421" s="17"/>
      <c r="I3421" s="17"/>
      <c r="J3421" s="17"/>
      <c r="K3421" s="17"/>
      <c r="L3421" s="17"/>
      <c r="M3421" s="17"/>
      <c r="N3421" s="17"/>
      <c r="O3421" s="17"/>
      <c r="P3421" s="17"/>
      <c r="Q3421" s="17"/>
      <c r="R3421" s="17"/>
      <c r="S3421" s="17"/>
      <c r="T3421" s="17"/>
      <c r="U3421" s="17"/>
      <c r="V3421" s="18">
        <v>0</v>
      </c>
      <c r="W3421" s="17">
        <f t="shared" si="108"/>
        <v>0</v>
      </c>
      <c r="X3421" s="5">
        <f t="shared" si="109"/>
        <v>0</v>
      </c>
    </row>
    <row r="3422" spans="1:24" x14ac:dyDescent="0.25">
      <c r="A3422" s="17"/>
      <c r="B3422" s="17"/>
      <c r="C3422" s="17"/>
      <c r="D3422" s="17"/>
      <c r="E3422" s="17"/>
      <c r="F3422" s="17"/>
      <c r="G3422" s="17"/>
      <c r="H3422" s="17"/>
      <c r="I3422" s="17"/>
      <c r="J3422" s="17"/>
      <c r="K3422" s="17"/>
      <c r="L3422" s="17"/>
      <c r="M3422" s="17"/>
      <c r="N3422" s="17"/>
      <c r="O3422" s="17"/>
      <c r="P3422" s="17"/>
      <c r="Q3422" s="17"/>
      <c r="R3422" s="17"/>
      <c r="S3422" s="17"/>
      <c r="T3422" s="17"/>
      <c r="U3422" s="17"/>
      <c r="V3422" s="18">
        <v>0</v>
      </c>
      <c r="W3422" s="17">
        <f t="shared" si="108"/>
        <v>0</v>
      </c>
      <c r="X3422" s="5">
        <f t="shared" si="109"/>
        <v>0</v>
      </c>
    </row>
    <row r="3423" spans="1:24" x14ac:dyDescent="0.25">
      <c r="A3423" s="17"/>
      <c r="B3423" s="17"/>
      <c r="C3423" s="17"/>
      <c r="D3423" s="17"/>
      <c r="E3423" s="17"/>
      <c r="F3423" s="17"/>
      <c r="G3423" s="17"/>
      <c r="H3423" s="17"/>
      <c r="I3423" s="17"/>
      <c r="J3423" s="17"/>
      <c r="K3423" s="17"/>
      <c r="L3423" s="17"/>
      <c r="M3423" s="17"/>
      <c r="N3423" s="17"/>
      <c r="O3423" s="17"/>
      <c r="P3423" s="17"/>
      <c r="Q3423" s="17"/>
      <c r="R3423" s="17"/>
      <c r="S3423" s="17"/>
      <c r="T3423" s="17"/>
      <c r="U3423" s="17"/>
      <c r="V3423" s="18">
        <v>0</v>
      </c>
      <c r="W3423" s="17">
        <f t="shared" si="108"/>
        <v>0</v>
      </c>
      <c r="X3423" s="5">
        <f t="shared" si="109"/>
        <v>0</v>
      </c>
    </row>
    <row r="3424" spans="1:24" x14ac:dyDescent="0.25">
      <c r="A3424" s="17"/>
      <c r="B3424" s="17"/>
      <c r="C3424" s="17"/>
      <c r="D3424" s="17"/>
      <c r="E3424" s="17"/>
      <c r="F3424" s="17"/>
      <c r="G3424" s="17"/>
      <c r="H3424" s="17"/>
      <c r="I3424" s="17"/>
      <c r="J3424" s="17"/>
      <c r="K3424" s="17"/>
      <c r="L3424" s="17"/>
      <c r="M3424" s="17"/>
      <c r="N3424" s="17"/>
      <c r="O3424" s="17"/>
      <c r="P3424" s="17"/>
      <c r="Q3424" s="17"/>
      <c r="R3424" s="17"/>
      <c r="S3424" s="17"/>
      <c r="T3424" s="17"/>
      <c r="U3424" s="17"/>
      <c r="V3424" s="18">
        <v>0</v>
      </c>
      <c r="W3424" s="17">
        <f t="shared" si="108"/>
        <v>0</v>
      </c>
      <c r="X3424" s="5">
        <f t="shared" si="109"/>
        <v>0</v>
      </c>
    </row>
    <row r="3425" spans="1:24" x14ac:dyDescent="0.25">
      <c r="A3425" s="17"/>
      <c r="B3425" s="17"/>
      <c r="C3425" s="17"/>
      <c r="D3425" s="17"/>
      <c r="E3425" s="17"/>
      <c r="F3425" s="17"/>
      <c r="G3425" s="17"/>
      <c r="H3425" s="17"/>
      <c r="I3425" s="17"/>
      <c r="J3425" s="17"/>
      <c r="K3425" s="17"/>
      <c r="L3425" s="17"/>
      <c r="M3425" s="17"/>
      <c r="N3425" s="17"/>
      <c r="O3425" s="17"/>
      <c r="P3425" s="17"/>
      <c r="Q3425" s="17"/>
      <c r="R3425" s="17"/>
      <c r="S3425" s="17"/>
      <c r="T3425" s="17"/>
      <c r="U3425" s="17"/>
      <c r="V3425" s="18">
        <v>0</v>
      </c>
      <c r="W3425" s="17">
        <f t="shared" si="108"/>
        <v>0</v>
      </c>
      <c r="X3425" s="5">
        <f t="shared" si="109"/>
        <v>0</v>
      </c>
    </row>
    <row r="3426" spans="1:24" x14ac:dyDescent="0.25">
      <c r="A3426" s="17"/>
      <c r="B3426" s="17"/>
      <c r="C3426" s="17"/>
      <c r="D3426" s="17"/>
      <c r="E3426" s="17"/>
      <c r="F3426" s="17"/>
      <c r="G3426" s="17"/>
      <c r="H3426" s="17"/>
      <c r="I3426" s="17"/>
      <c r="J3426" s="17"/>
      <c r="K3426" s="17"/>
      <c r="L3426" s="17"/>
      <c r="M3426" s="17"/>
      <c r="N3426" s="17"/>
      <c r="O3426" s="17"/>
      <c r="P3426" s="17"/>
      <c r="Q3426" s="17"/>
      <c r="R3426" s="17"/>
      <c r="S3426" s="17"/>
      <c r="T3426" s="17"/>
      <c r="U3426" s="17"/>
      <c r="V3426" s="18">
        <v>0</v>
      </c>
      <c r="W3426" s="17">
        <f t="shared" si="108"/>
        <v>0</v>
      </c>
      <c r="X3426" s="5">
        <f t="shared" si="109"/>
        <v>0</v>
      </c>
    </row>
    <row r="3427" spans="1:24" x14ac:dyDescent="0.25">
      <c r="A3427" s="17"/>
      <c r="B3427" s="17"/>
      <c r="C3427" s="17"/>
      <c r="D3427" s="17"/>
      <c r="E3427" s="17"/>
      <c r="F3427" s="17"/>
      <c r="G3427" s="17"/>
      <c r="H3427" s="17"/>
      <c r="I3427" s="17"/>
      <c r="J3427" s="17"/>
      <c r="K3427" s="17"/>
      <c r="L3427" s="17"/>
      <c r="M3427" s="17"/>
      <c r="N3427" s="17"/>
      <c r="O3427" s="17"/>
      <c r="P3427" s="17"/>
      <c r="Q3427" s="17"/>
      <c r="R3427" s="17"/>
      <c r="S3427" s="17"/>
      <c r="T3427" s="17"/>
      <c r="U3427" s="17"/>
      <c r="V3427" s="18">
        <v>0</v>
      </c>
      <c r="W3427" s="17">
        <f t="shared" si="108"/>
        <v>0</v>
      </c>
      <c r="X3427" s="5">
        <f t="shared" si="109"/>
        <v>0</v>
      </c>
    </row>
    <row r="3428" spans="1:24" x14ac:dyDescent="0.25">
      <c r="A3428" s="17"/>
      <c r="B3428" s="17"/>
      <c r="C3428" s="17"/>
      <c r="D3428" s="17"/>
      <c r="E3428" s="17"/>
      <c r="F3428" s="17"/>
      <c r="G3428" s="17"/>
      <c r="H3428" s="17"/>
      <c r="I3428" s="17"/>
      <c r="J3428" s="17"/>
      <c r="K3428" s="17"/>
      <c r="L3428" s="17"/>
      <c r="M3428" s="17"/>
      <c r="N3428" s="17"/>
      <c r="O3428" s="17"/>
      <c r="P3428" s="17"/>
      <c r="Q3428" s="17"/>
      <c r="R3428" s="17"/>
      <c r="S3428" s="17"/>
      <c r="T3428" s="17"/>
      <c r="U3428" s="17"/>
      <c r="V3428" s="18">
        <v>0</v>
      </c>
      <c r="W3428" s="17">
        <f t="shared" si="108"/>
        <v>0</v>
      </c>
      <c r="X3428" s="5">
        <f t="shared" si="109"/>
        <v>0</v>
      </c>
    </row>
    <row r="3429" spans="1:24" x14ac:dyDescent="0.25">
      <c r="A3429" s="17"/>
      <c r="B3429" s="17"/>
      <c r="C3429" s="17"/>
      <c r="D3429" s="17"/>
      <c r="E3429" s="17"/>
      <c r="F3429" s="17"/>
      <c r="G3429" s="17"/>
      <c r="H3429" s="17"/>
      <c r="I3429" s="17"/>
      <c r="J3429" s="17"/>
      <c r="K3429" s="17"/>
      <c r="L3429" s="17"/>
      <c r="M3429" s="17"/>
      <c r="N3429" s="17"/>
      <c r="O3429" s="17"/>
      <c r="P3429" s="17"/>
      <c r="Q3429" s="17"/>
      <c r="R3429" s="17"/>
      <c r="S3429" s="17"/>
      <c r="T3429" s="17"/>
      <c r="U3429" s="17"/>
      <c r="V3429" s="18">
        <v>0</v>
      </c>
      <c r="W3429" s="17">
        <f t="shared" si="108"/>
        <v>0</v>
      </c>
      <c r="X3429" s="5">
        <f t="shared" si="109"/>
        <v>0</v>
      </c>
    </row>
    <row r="3430" spans="1:24" x14ac:dyDescent="0.25">
      <c r="A3430" s="17"/>
      <c r="B3430" s="17"/>
      <c r="C3430" s="17"/>
      <c r="D3430" s="17"/>
      <c r="E3430" s="17"/>
      <c r="F3430" s="17"/>
      <c r="G3430" s="17"/>
      <c r="H3430" s="17"/>
      <c r="I3430" s="17"/>
      <c r="J3430" s="17"/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/>
      <c r="V3430" s="18">
        <v>0</v>
      </c>
      <c r="W3430" s="17">
        <f t="shared" si="108"/>
        <v>0</v>
      </c>
      <c r="X3430" s="5">
        <f t="shared" si="109"/>
        <v>0</v>
      </c>
    </row>
    <row r="3431" spans="1:24" x14ac:dyDescent="0.25">
      <c r="A3431" s="17"/>
      <c r="B3431" s="17"/>
      <c r="C3431" s="17"/>
      <c r="D3431" s="17"/>
      <c r="E3431" s="17"/>
      <c r="F3431" s="17"/>
      <c r="G3431" s="17"/>
      <c r="H3431" s="17"/>
      <c r="I3431" s="17"/>
      <c r="J3431" s="17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8">
        <v>0</v>
      </c>
      <c r="W3431" s="17">
        <f t="shared" si="108"/>
        <v>0</v>
      </c>
      <c r="X3431" s="5">
        <f t="shared" si="109"/>
        <v>0</v>
      </c>
    </row>
    <row r="3432" spans="1:24" x14ac:dyDescent="0.25">
      <c r="A3432" s="17"/>
      <c r="B3432" s="17"/>
      <c r="C3432" s="17"/>
      <c r="D3432" s="17"/>
      <c r="E3432" s="17"/>
      <c r="F3432" s="17"/>
      <c r="G3432" s="17"/>
      <c r="H3432" s="17"/>
      <c r="I3432" s="17"/>
      <c r="J3432" s="17"/>
      <c r="K3432" s="17"/>
      <c r="L3432" s="17"/>
      <c r="M3432" s="17"/>
      <c r="N3432" s="17"/>
      <c r="O3432" s="17"/>
      <c r="P3432" s="17"/>
      <c r="Q3432" s="17"/>
      <c r="R3432" s="17"/>
      <c r="S3432" s="17"/>
      <c r="T3432" s="17"/>
      <c r="U3432" s="17"/>
      <c r="V3432" s="18">
        <v>0</v>
      </c>
      <c r="W3432" s="17">
        <f t="shared" si="108"/>
        <v>0</v>
      </c>
      <c r="X3432" s="5">
        <f t="shared" si="109"/>
        <v>0</v>
      </c>
    </row>
    <row r="3433" spans="1:24" x14ac:dyDescent="0.25">
      <c r="A3433" s="17"/>
      <c r="B3433" s="17"/>
      <c r="C3433" s="17"/>
      <c r="D3433" s="17"/>
      <c r="E3433" s="17"/>
      <c r="F3433" s="17"/>
      <c r="G3433" s="17"/>
      <c r="H3433" s="17"/>
      <c r="I3433" s="17"/>
      <c r="J3433" s="17"/>
      <c r="K3433" s="17"/>
      <c r="L3433" s="17"/>
      <c r="M3433" s="17"/>
      <c r="N3433" s="17"/>
      <c r="O3433" s="17"/>
      <c r="P3433" s="17"/>
      <c r="Q3433" s="17"/>
      <c r="R3433" s="17"/>
      <c r="S3433" s="17"/>
      <c r="T3433" s="17"/>
      <c r="U3433" s="17"/>
      <c r="V3433" s="18">
        <v>0</v>
      </c>
      <c r="W3433" s="17">
        <f t="shared" si="108"/>
        <v>0</v>
      </c>
      <c r="X3433" s="5">
        <f t="shared" si="109"/>
        <v>0</v>
      </c>
    </row>
    <row r="3434" spans="1:24" x14ac:dyDescent="0.25">
      <c r="A3434" s="17"/>
      <c r="B3434" s="17"/>
      <c r="C3434" s="17"/>
      <c r="D3434" s="17"/>
      <c r="E3434" s="17"/>
      <c r="F3434" s="17"/>
      <c r="G3434" s="17"/>
      <c r="H3434" s="17"/>
      <c r="I3434" s="17"/>
      <c r="J3434" s="17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8">
        <v>0</v>
      </c>
      <c r="W3434" s="17">
        <f t="shared" si="108"/>
        <v>0</v>
      </c>
      <c r="X3434" s="5">
        <f t="shared" si="109"/>
        <v>0</v>
      </c>
    </row>
    <row r="3435" spans="1:24" x14ac:dyDescent="0.25">
      <c r="A3435" s="17"/>
      <c r="B3435" s="17"/>
      <c r="C3435" s="17"/>
      <c r="D3435" s="17"/>
      <c r="E3435" s="17"/>
      <c r="F3435" s="17"/>
      <c r="G3435" s="17"/>
      <c r="H3435" s="17"/>
      <c r="I3435" s="17"/>
      <c r="J3435" s="17"/>
      <c r="K3435" s="17"/>
      <c r="L3435" s="17"/>
      <c r="M3435" s="17"/>
      <c r="N3435" s="17"/>
      <c r="O3435" s="17"/>
      <c r="P3435" s="17"/>
      <c r="Q3435" s="17"/>
      <c r="R3435" s="17"/>
      <c r="S3435" s="17"/>
      <c r="T3435" s="17"/>
      <c r="U3435" s="17"/>
      <c r="V3435" s="18">
        <v>0</v>
      </c>
      <c r="W3435" s="17">
        <f t="shared" si="108"/>
        <v>0</v>
      </c>
      <c r="X3435" s="5">
        <f t="shared" si="109"/>
        <v>0</v>
      </c>
    </row>
    <row r="3436" spans="1:24" x14ac:dyDescent="0.25">
      <c r="A3436" s="17"/>
      <c r="B3436" s="17"/>
      <c r="C3436" s="17"/>
      <c r="D3436" s="17"/>
      <c r="E3436" s="17"/>
      <c r="F3436" s="17"/>
      <c r="G3436" s="17"/>
      <c r="H3436" s="17"/>
      <c r="I3436" s="17"/>
      <c r="J3436" s="17"/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/>
      <c r="V3436" s="18">
        <v>0</v>
      </c>
      <c r="W3436" s="17">
        <f t="shared" si="108"/>
        <v>0</v>
      </c>
      <c r="X3436" s="5">
        <f t="shared" si="109"/>
        <v>0</v>
      </c>
    </row>
    <row r="3437" spans="1:24" x14ac:dyDescent="0.25">
      <c r="A3437" s="17"/>
      <c r="B3437" s="17"/>
      <c r="C3437" s="17"/>
      <c r="D3437" s="17"/>
      <c r="E3437" s="17"/>
      <c r="F3437" s="17"/>
      <c r="G3437" s="17"/>
      <c r="H3437" s="17"/>
      <c r="I3437" s="17"/>
      <c r="J3437" s="17"/>
      <c r="K3437" s="17"/>
      <c r="L3437" s="17"/>
      <c r="M3437" s="17"/>
      <c r="N3437" s="17"/>
      <c r="O3437" s="17"/>
      <c r="P3437" s="17"/>
      <c r="Q3437" s="17"/>
      <c r="R3437" s="17"/>
      <c r="S3437" s="17"/>
      <c r="T3437" s="17"/>
      <c r="U3437" s="17"/>
      <c r="V3437" s="18">
        <v>0</v>
      </c>
      <c r="W3437" s="17">
        <f t="shared" si="108"/>
        <v>0</v>
      </c>
      <c r="X3437" s="5">
        <f t="shared" si="109"/>
        <v>0</v>
      </c>
    </row>
    <row r="3438" spans="1:24" x14ac:dyDescent="0.25">
      <c r="A3438" s="17"/>
      <c r="B3438" s="17"/>
      <c r="C3438" s="17"/>
      <c r="D3438" s="17"/>
      <c r="E3438" s="17"/>
      <c r="F3438" s="17"/>
      <c r="G3438" s="17"/>
      <c r="H3438" s="17"/>
      <c r="I3438" s="17"/>
      <c r="J3438" s="17"/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/>
      <c r="V3438" s="18">
        <v>0</v>
      </c>
      <c r="W3438" s="17">
        <f t="shared" si="108"/>
        <v>0</v>
      </c>
      <c r="X3438" s="5">
        <f t="shared" si="109"/>
        <v>0</v>
      </c>
    </row>
    <row r="3439" spans="1:24" x14ac:dyDescent="0.25">
      <c r="A3439" s="17"/>
      <c r="B3439" s="17"/>
      <c r="C3439" s="17"/>
      <c r="D3439" s="17"/>
      <c r="E3439" s="17"/>
      <c r="F3439" s="17"/>
      <c r="G3439" s="17"/>
      <c r="H3439" s="17"/>
      <c r="I3439" s="17"/>
      <c r="J3439" s="17"/>
      <c r="K3439" s="17"/>
      <c r="L3439" s="17"/>
      <c r="M3439" s="17"/>
      <c r="N3439" s="17"/>
      <c r="O3439" s="17"/>
      <c r="P3439" s="17"/>
      <c r="Q3439" s="17"/>
      <c r="R3439" s="17"/>
      <c r="S3439" s="17"/>
      <c r="T3439" s="17"/>
      <c r="U3439" s="17"/>
      <c r="V3439" s="18">
        <v>0</v>
      </c>
      <c r="W3439" s="17">
        <f t="shared" si="108"/>
        <v>0</v>
      </c>
      <c r="X3439" s="5">
        <f t="shared" si="109"/>
        <v>0</v>
      </c>
    </row>
    <row r="3440" spans="1:24" x14ac:dyDescent="0.25">
      <c r="A3440" s="17"/>
      <c r="B3440" s="17"/>
      <c r="C3440" s="17"/>
      <c r="D3440" s="17"/>
      <c r="E3440" s="17"/>
      <c r="F3440" s="17"/>
      <c r="G3440" s="17"/>
      <c r="H3440" s="17"/>
      <c r="I3440" s="17"/>
      <c r="J3440" s="17"/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/>
      <c r="V3440" s="18">
        <v>0</v>
      </c>
      <c r="W3440" s="17">
        <f t="shared" si="108"/>
        <v>0</v>
      </c>
      <c r="X3440" s="5">
        <f t="shared" si="109"/>
        <v>0</v>
      </c>
    </row>
    <row r="3441" spans="1:24" x14ac:dyDescent="0.25">
      <c r="A3441" s="17"/>
      <c r="B3441" s="17"/>
      <c r="C3441" s="17"/>
      <c r="D3441" s="17"/>
      <c r="E3441" s="17"/>
      <c r="F3441" s="17"/>
      <c r="G3441" s="17"/>
      <c r="H3441" s="17"/>
      <c r="I3441" s="17"/>
      <c r="J3441" s="17"/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/>
      <c r="V3441" s="18">
        <v>0</v>
      </c>
      <c r="W3441" s="17">
        <f t="shared" si="108"/>
        <v>0</v>
      </c>
      <c r="X3441" s="5">
        <f t="shared" si="109"/>
        <v>0</v>
      </c>
    </row>
    <row r="3442" spans="1:24" x14ac:dyDescent="0.25">
      <c r="A3442" s="17"/>
      <c r="B3442" s="17"/>
      <c r="C3442" s="17"/>
      <c r="D3442" s="17"/>
      <c r="E3442" s="17"/>
      <c r="F3442" s="17"/>
      <c r="G3442" s="17"/>
      <c r="H3442" s="17"/>
      <c r="I3442" s="17"/>
      <c r="J3442" s="17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8">
        <v>0</v>
      </c>
      <c r="W3442" s="17">
        <f t="shared" si="108"/>
        <v>0</v>
      </c>
      <c r="X3442" s="5">
        <f t="shared" si="109"/>
        <v>0</v>
      </c>
    </row>
    <row r="3443" spans="1:24" x14ac:dyDescent="0.25">
      <c r="A3443" s="17"/>
      <c r="B3443" s="17"/>
      <c r="C3443" s="17"/>
      <c r="D3443" s="17"/>
      <c r="E3443" s="17"/>
      <c r="F3443" s="17"/>
      <c r="G3443" s="17"/>
      <c r="H3443" s="17"/>
      <c r="I3443" s="17"/>
      <c r="J3443" s="17"/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/>
      <c r="V3443" s="18">
        <v>0</v>
      </c>
      <c r="W3443" s="17">
        <f t="shared" si="108"/>
        <v>0</v>
      </c>
      <c r="X3443" s="5">
        <f t="shared" si="109"/>
        <v>0</v>
      </c>
    </row>
    <row r="3444" spans="1:24" x14ac:dyDescent="0.25">
      <c r="A3444" s="17"/>
      <c r="B3444" s="17"/>
      <c r="C3444" s="17"/>
      <c r="D3444" s="17"/>
      <c r="E3444" s="17"/>
      <c r="F3444" s="17"/>
      <c r="G3444" s="17"/>
      <c r="H3444" s="17"/>
      <c r="I3444" s="17"/>
      <c r="J3444" s="17"/>
      <c r="K3444" s="17"/>
      <c r="L3444" s="17"/>
      <c r="M3444" s="17"/>
      <c r="N3444" s="17"/>
      <c r="O3444" s="17"/>
      <c r="P3444" s="17"/>
      <c r="Q3444" s="17"/>
      <c r="R3444" s="17"/>
      <c r="S3444" s="17"/>
      <c r="T3444" s="17"/>
      <c r="U3444" s="17"/>
      <c r="V3444" s="18">
        <v>0</v>
      </c>
      <c r="W3444" s="17">
        <f t="shared" si="108"/>
        <v>0</v>
      </c>
      <c r="X3444" s="5">
        <f t="shared" si="109"/>
        <v>0</v>
      </c>
    </row>
    <row r="3445" spans="1:24" x14ac:dyDescent="0.25">
      <c r="A3445" s="17"/>
      <c r="B3445" s="17"/>
      <c r="C3445" s="17"/>
      <c r="D3445" s="17"/>
      <c r="E3445" s="17"/>
      <c r="F3445" s="17"/>
      <c r="G3445" s="17"/>
      <c r="H3445" s="17"/>
      <c r="I3445" s="17"/>
      <c r="J3445" s="17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8">
        <v>0</v>
      </c>
      <c r="W3445" s="17">
        <f t="shared" si="108"/>
        <v>0</v>
      </c>
      <c r="X3445" s="5">
        <f t="shared" si="109"/>
        <v>0</v>
      </c>
    </row>
    <row r="3446" spans="1:24" x14ac:dyDescent="0.25">
      <c r="A3446" s="17"/>
      <c r="B3446" s="17"/>
      <c r="C3446" s="17"/>
      <c r="D3446" s="17"/>
      <c r="E3446" s="17"/>
      <c r="F3446" s="17"/>
      <c r="G3446" s="17"/>
      <c r="H3446" s="17"/>
      <c r="I3446" s="17"/>
      <c r="J3446" s="17"/>
      <c r="K3446" s="17"/>
      <c r="L3446" s="17"/>
      <c r="M3446" s="17"/>
      <c r="N3446" s="17"/>
      <c r="O3446" s="17"/>
      <c r="P3446" s="17"/>
      <c r="Q3446" s="17"/>
      <c r="R3446" s="17"/>
      <c r="S3446" s="17"/>
      <c r="T3446" s="17"/>
      <c r="U3446" s="17"/>
      <c r="V3446" s="18">
        <v>0</v>
      </c>
      <c r="W3446" s="17">
        <f t="shared" si="108"/>
        <v>0</v>
      </c>
      <c r="X3446" s="5">
        <f t="shared" si="109"/>
        <v>0</v>
      </c>
    </row>
    <row r="3447" spans="1:24" x14ac:dyDescent="0.25">
      <c r="A3447" s="17"/>
      <c r="B3447" s="17"/>
      <c r="C3447" s="17"/>
      <c r="D3447" s="17"/>
      <c r="E3447" s="17"/>
      <c r="F3447" s="17"/>
      <c r="G3447" s="17"/>
      <c r="H3447" s="17"/>
      <c r="I3447" s="17"/>
      <c r="J3447" s="17"/>
      <c r="K3447" s="17"/>
      <c r="L3447" s="17"/>
      <c r="M3447" s="17"/>
      <c r="N3447" s="17"/>
      <c r="O3447" s="17"/>
      <c r="P3447" s="17"/>
      <c r="Q3447" s="17"/>
      <c r="R3447" s="17"/>
      <c r="S3447" s="17"/>
      <c r="T3447" s="17"/>
      <c r="U3447" s="17"/>
      <c r="V3447" s="18">
        <v>0</v>
      </c>
      <c r="W3447" s="17">
        <f t="shared" si="108"/>
        <v>0</v>
      </c>
      <c r="X3447" s="5">
        <f t="shared" si="109"/>
        <v>0</v>
      </c>
    </row>
    <row r="3448" spans="1:24" x14ac:dyDescent="0.25">
      <c r="A3448" s="17"/>
      <c r="B3448" s="17"/>
      <c r="C3448" s="17"/>
      <c r="D3448" s="17"/>
      <c r="E3448" s="17"/>
      <c r="F3448" s="17"/>
      <c r="G3448" s="17"/>
      <c r="H3448" s="17"/>
      <c r="I3448" s="17"/>
      <c r="J3448" s="17"/>
      <c r="K3448" s="17"/>
      <c r="L3448" s="17"/>
      <c r="M3448" s="17"/>
      <c r="N3448" s="17"/>
      <c r="O3448" s="17"/>
      <c r="P3448" s="17"/>
      <c r="Q3448" s="17"/>
      <c r="R3448" s="17"/>
      <c r="S3448" s="17"/>
      <c r="T3448" s="17"/>
      <c r="U3448" s="17"/>
      <c r="V3448" s="18">
        <v>0</v>
      </c>
      <c r="W3448" s="17">
        <f t="shared" si="108"/>
        <v>0</v>
      </c>
      <c r="X3448" s="5">
        <f t="shared" si="109"/>
        <v>0</v>
      </c>
    </row>
    <row r="3449" spans="1:24" x14ac:dyDescent="0.25">
      <c r="A3449" s="17"/>
      <c r="B3449" s="17"/>
      <c r="C3449" s="17"/>
      <c r="D3449" s="17"/>
      <c r="E3449" s="17"/>
      <c r="F3449" s="17"/>
      <c r="G3449" s="17"/>
      <c r="H3449" s="17"/>
      <c r="I3449" s="17"/>
      <c r="J3449" s="17"/>
      <c r="K3449" s="17"/>
      <c r="L3449" s="17"/>
      <c r="M3449" s="17"/>
      <c r="N3449" s="17"/>
      <c r="O3449" s="17"/>
      <c r="P3449" s="17"/>
      <c r="Q3449" s="17"/>
      <c r="R3449" s="17"/>
      <c r="S3449" s="17"/>
      <c r="T3449" s="17"/>
      <c r="U3449" s="17"/>
      <c r="V3449" s="18">
        <v>0</v>
      </c>
      <c r="W3449" s="17">
        <f t="shared" si="108"/>
        <v>0</v>
      </c>
      <c r="X3449" s="5">
        <f t="shared" si="109"/>
        <v>0</v>
      </c>
    </row>
    <row r="3450" spans="1:24" x14ac:dyDescent="0.25">
      <c r="A3450" s="17"/>
      <c r="B3450" s="17"/>
      <c r="C3450" s="17"/>
      <c r="D3450" s="17"/>
      <c r="E3450" s="17"/>
      <c r="F3450" s="17"/>
      <c r="G3450" s="17"/>
      <c r="H3450" s="17"/>
      <c r="I3450" s="17"/>
      <c r="J3450" s="17"/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/>
      <c r="V3450" s="18">
        <v>0</v>
      </c>
      <c r="W3450" s="17">
        <f t="shared" si="108"/>
        <v>0</v>
      </c>
      <c r="X3450" s="5">
        <f t="shared" si="109"/>
        <v>0</v>
      </c>
    </row>
    <row r="3451" spans="1:24" x14ac:dyDescent="0.25">
      <c r="A3451" s="17"/>
      <c r="B3451" s="17"/>
      <c r="C3451" s="17"/>
      <c r="D3451" s="17"/>
      <c r="E3451" s="17"/>
      <c r="F3451" s="17"/>
      <c r="G3451" s="17"/>
      <c r="H3451" s="17"/>
      <c r="I3451" s="17"/>
      <c r="J3451" s="17"/>
      <c r="K3451" s="17"/>
      <c r="L3451" s="17"/>
      <c r="M3451" s="17"/>
      <c r="N3451" s="17"/>
      <c r="O3451" s="17"/>
      <c r="P3451" s="17"/>
      <c r="Q3451" s="17"/>
      <c r="R3451" s="17"/>
      <c r="S3451" s="17"/>
      <c r="T3451" s="17"/>
      <c r="U3451" s="17"/>
      <c r="V3451" s="18">
        <v>0</v>
      </c>
      <c r="W3451" s="17">
        <f t="shared" si="108"/>
        <v>0</v>
      </c>
      <c r="X3451" s="5">
        <f t="shared" si="109"/>
        <v>0</v>
      </c>
    </row>
    <row r="3452" spans="1:24" x14ac:dyDescent="0.25">
      <c r="A3452" s="17"/>
      <c r="B3452" s="17"/>
      <c r="C3452" s="17"/>
      <c r="D3452" s="17"/>
      <c r="E3452" s="17"/>
      <c r="F3452" s="17"/>
      <c r="G3452" s="17"/>
      <c r="H3452" s="17"/>
      <c r="I3452" s="17"/>
      <c r="J3452" s="17"/>
      <c r="K3452" s="17"/>
      <c r="L3452" s="17"/>
      <c r="M3452" s="17"/>
      <c r="N3452" s="17"/>
      <c r="O3452" s="17"/>
      <c r="P3452" s="17"/>
      <c r="Q3452" s="17"/>
      <c r="R3452" s="17"/>
      <c r="S3452" s="17"/>
      <c r="T3452" s="17"/>
      <c r="U3452" s="17"/>
      <c r="V3452" s="18">
        <v>0</v>
      </c>
      <c r="W3452" s="17">
        <f t="shared" si="108"/>
        <v>0</v>
      </c>
      <c r="X3452" s="5">
        <f t="shared" si="109"/>
        <v>0</v>
      </c>
    </row>
    <row r="3453" spans="1:24" x14ac:dyDescent="0.25">
      <c r="A3453" s="17"/>
      <c r="B3453" s="17"/>
      <c r="C3453" s="17"/>
      <c r="D3453" s="17"/>
      <c r="E3453" s="17"/>
      <c r="F3453" s="17"/>
      <c r="G3453" s="17"/>
      <c r="H3453" s="17"/>
      <c r="I3453" s="17"/>
      <c r="J3453" s="17"/>
      <c r="K3453" s="17"/>
      <c r="L3453" s="17"/>
      <c r="M3453" s="17"/>
      <c r="N3453" s="17"/>
      <c r="O3453" s="17"/>
      <c r="P3453" s="17"/>
      <c r="Q3453" s="17"/>
      <c r="R3453" s="17"/>
      <c r="S3453" s="17"/>
      <c r="T3453" s="17"/>
      <c r="U3453" s="17"/>
      <c r="V3453" s="18">
        <v>0</v>
      </c>
      <c r="W3453" s="17">
        <f t="shared" si="108"/>
        <v>0</v>
      </c>
      <c r="X3453" s="5">
        <f t="shared" si="109"/>
        <v>0</v>
      </c>
    </row>
    <row r="3454" spans="1:24" x14ac:dyDescent="0.25">
      <c r="A3454" s="17"/>
      <c r="B3454" s="17"/>
      <c r="C3454" s="17"/>
      <c r="D3454" s="17"/>
      <c r="E3454" s="17"/>
      <c r="F3454" s="17"/>
      <c r="G3454" s="17"/>
      <c r="H3454" s="17"/>
      <c r="I3454" s="17"/>
      <c r="J3454" s="17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8">
        <v>0</v>
      </c>
      <c r="W3454" s="17">
        <f t="shared" si="108"/>
        <v>0</v>
      </c>
      <c r="X3454" s="5">
        <f t="shared" si="109"/>
        <v>0</v>
      </c>
    </row>
    <row r="3455" spans="1:24" x14ac:dyDescent="0.25">
      <c r="A3455" s="17"/>
      <c r="B3455" s="17"/>
      <c r="C3455" s="17"/>
      <c r="D3455" s="17"/>
      <c r="E3455" s="17"/>
      <c r="F3455" s="17"/>
      <c r="G3455" s="17"/>
      <c r="H3455" s="17"/>
      <c r="I3455" s="17"/>
      <c r="J3455" s="17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/>
      <c r="V3455" s="18">
        <v>0</v>
      </c>
      <c r="W3455" s="17">
        <f t="shared" si="108"/>
        <v>0</v>
      </c>
      <c r="X3455" s="5">
        <f t="shared" si="109"/>
        <v>0</v>
      </c>
    </row>
    <row r="3456" spans="1:24" x14ac:dyDescent="0.25">
      <c r="A3456" s="17"/>
      <c r="B3456" s="17"/>
      <c r="C3456" s="17"/>
      <c r="D3456" s="17"/>
      <c r="E3456" s="17"/>
      <c r="F3456" s="17"/>
      <c r="G3456" s="17"/>
      <c r="H3456" s="17"/>
      <c r="I3456" s="17"/>
      <c r="J3456" s="17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/>
      <c r="V3456" s="18">
        <v>0</v>
      </c>
      <c r="W3456" s="17">
        <f t="shared" si="108"/>
        <v>0</v>
      </c>
      <c r="X3456" s="5">
        <f t="shared" si="109"/>
        <v>0</v>
      </c>
    </row>
    <row r="3457" spans="1:24" x14ac:dyDescent="0.25">
      <c r="A3457" s="17"/>
      <c r="B3457" s="17"/>
      <c r="C3457" s="17"/>
      <c r="D3457" s="17"/>
      <c r="E3457" s="17"/>
      <c r="F3457" s="17"/>
      <c r="G3457" s="17"/>
      <c r="H3457" s="17"/>
      <c r="I3457" s="17"/>
      <c r="J3457" s="17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/>
      <c r="V3457" s="18">
        <v>0</v>
      </c>
      <c r="W3457" s="17">
        <f t="shared" si="108"/>
        <v>0</v>
      </c>
      <c r="X3457" s="5">
        <f t="shared" si="109"/>
        <v>0</v>
      </c>
    </row>
    <row r="3458" spans="1:24" x14ac:dyDescent="0.25">
      <c r="A3458" s="17"/>
      <c r="B3458" s="17"/>
      <c r="C3458" s="17"/>
      <c r="D3458" s="17"/>
      <c r="E3458" s="17"/>
      <c r="F3458" s="17"/>
      <c r="G3458" s="17"/>
      <c r="H3458" s="17"/>
      <c r="I3458" s="17"/>
      <c r="J3458" s="17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8">
        <v>0</v>
      </c>
      <c r="W3458" s="17">
        <f t="shared" si="108"/>
        <v>0</v>
      </c>
      <c r="X3458" s="5">
        <f t="shared" si="109"/>
        <v>0</v>
      </c>
    </row>
    <row r="3459" spans="1:24" x14ac:dyDescent="0.25">
      <c r="A3459" s="17"/>
      <c r="B3459" s="17"/>
      <c r="C3459" s="17"/>
      <c r="D3459" s="17"/>
      <c r="E3459" s="17"/>
      <c r="F3459" s="17"/>
      <c r="G3459" s="17"/>
      <c r="H3459" s="17"/>
      <c r="I3459" s="17"/>
      <c r="J3459" s="17"/>
      <c r="K3459" s="17"/>
      <c r="L3459" s="17"/>
      <c r="M3459" s="17"/>
      <c r="N3459" s="17"/>
      <c r="O3459" s="17"/>
      <c r="P3459" s="17"/>
      <c r="Q3459" s="17"/>
      <c r="R3459" s="17"/>
      <c r="S3459" s="17"/>
      <c r="T3459" s="17"/>
      <c r="U3459" s="17"/>
      <c r="V3459" s="18">
        <v>0</v>
      </c>
      <c r="W3459" s="17">
        <f t="shared" ref="W3459:W3522" si="110">HOUR(E3459)</f>
        <v>0</v>
      </c>
      <c r="X3459" s="5">
        <f t="shared" ref="X3459:X3522" si="111">IF(D3459=D3458,0,1)</f>
        <v>0</v>
      </c>
    </row>
    <row r="3460" spans="1:24" x14ac:dyDescent="0.25">
      <c r="A3460" s="17"/>
      <c r="B3460" s="17"/>
      <c r="C3460" s="17"/>
      <c r="D3460" s="17"/>
      <c r="E3460" s="17"/>
      <c r="F3460" s="17"/>
      <c r="G3460" s="17"/>
      <c r="H3460" s="17"/>
      <c r="I3460" s="17"/>
      <c r="J3460" s="17"/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8">
        <v>0</v>
      </c>
      <c r="W3460" s="17">
        <f t="shared" si="110"/>
        <v>0</v>
      </c>
      <c r="X3460" s="5">
        <f t="shared" si="111"/>
        <v>0</v>
      </c>
    </row>
    <row r="3461" spans="1:24" x14ac:dyDescent="0.25">
      <c r="A3461" s="17"/>
      <c r="B3461" s="17"/>
      <c r="C3461" s="17"/>
      <c r="D3461" s="17"/>
      <c r="E3461" s="17"/>
      <c r="F3461" s="17"/>
      <c r="G3461" s="17"/>
      <c r="H3461" s="17"/>
      <c r="I3461" s="17"/>
      <c r="J3461" s="17"/>
      <c r="K3461" s="17"/>
      <c r="L3461" s="17"/>
      <c r="M3461" s="17"/>
      <c r="N3461" s="17"/>
      <c r="O3461" s="17"/>
      <c r="P3461" s="17"/>
      <c r="Q3461" s="17"/>
      <c r="R3461" s="17"/>
      <c r="S3461" s="17"/>
      <c r="T3461" s="17"/>
      <c r="U3461" s="17"/>
      <c r="V3461" s="18">
        <v>0</v>
      </c>
      <c r="W3461" s="17">
        <f t="shared" si="110"/>
        <v>0</v>
      </c>
      <c r="X3461" s="5">
        <f t="shared" si="111"/>
        <v>0</v>
      </c>
    </row>
    <row r="3462" spans="1:24" x14ac:dyDescent="0.25">
      <c r="A3462" s="17"/>
      <c r="B3462" s="17"/>
      <c r="C3462" s="17"/>
      <c r="D3462" s="17"/>
      <c r="E3462" s="17"/>
      <c r="F3462" s="17"/>
      <c r="G3462" s="17"/>
      <c r="H3462" s="17"/>
      <c r="I3462" s="17"/>
      <c r="J3462" s="17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8">
        <v>0</v>
      </c>
      <c r="W3462" s="17">
        <f t="shared" si="110"/>
        <v>0</v>
      </c>
      <c r="X3462" s="5">
        <f t="shared" si="111"/>
        <v>0</v>
      </c>
    </row>
    <row r="3463" spans="1:24" x14ac:dyDescent="0.25">
      <c r="A3463" s="17"/>
      <c r="B3463" s="17"/>
      <c r="C3463" s="17"/>
      <c r="D3463" s="17"/>
      <c r="E3463" s="17"/>
      <c r="F3463" s="17"/>
      <c r="G3463" s="17"/>
      <c r="H3463" s="17"/>
      <c r="I3463" s="17"/>
      <c r="J3463" s="17"/>
      <c r="K3463" s="17"/>
      <c r="L3463" s="17"/>
      <c r="M3463" s="17"/>
      <c r="N3463" s="17"/>
      <c r="O3463" s="17"/>
      <c r="P3463" s="17"/>
      <c r="Q3463" s="17"/>
      <c r="R3463" s="17"/>
      <c r="S3463" s="17"/>
      <c r="T3463" s="17"/>
      <c r="U3463" s="17"/>
      <c r="V3463" s="18">
        <v>0</v>
      </c>
      <c r="W3463" s="17">
        <f t="shared" si="110"/>
        <v>0</v>
      </c>
      <c r="X3463" s="5">
        <f t="shared" si="111"/>
        <v>0</v>
      </c>
    </row>
    <row r="3464" spans="1:24" x14ac:dyDescent="0.25">
      <c r="A3464" s="17"/>
      <c r="B3464" s="17"/>
      <c r="C3464" s="17"/>
      <c r="D3464" s="17"/>
      <c r="E3464" s="17"/>
      <c r="F3464" s="17"/>
      <c r="G3464" s="17"/>
      <c r="H3464" s="17"/>
      <c r="I3464" s="17"/>
      <c r="J3464" s="17"/>
      <c r="K3464" s="17"/>
      <c r="L3464" s="17"/>
      <c r="M3464" s="17"/>
      <c r="N3464" s="17"/>
      <c r="O3464" s="17"/>
      <c r="P3464" s="17"/>
      <c r="Q3464" s="17"/>
      <c r="R3464" s="17"/>
      <c r="S3464" s="17"/>
      <c r="T3464" s="17"/>
      <c r="U3464" s="17"/>
      <c r="V3464" s="18">
        <v>0</v>
      </c>
      <c r="W3464" s="17">
        <f t="shared" si="110"/>
        <v>0</v>
      </c>
      <c r="X3464" s="5">
        <f t="shared" si="111"/>
        <v>0</v>
      </c>
    </row>
    <row r="3465" spans="1:24" x14ac:dyDescent="0.25">
      <c r="A3465" s="17"/>
      <c r="B3465" s="17"/>
      <c r="C3465" s="17"/>
      <c r="D3465" s="17"/>
      <c r="E3465" s="17"/>
      <c r="F3465" s="17"/>
      <c r="G3465" s="17"/>
      <c r="H3465" s="17"/>
      <c r="I3465" s="17"/>
      <c r="J3465" s="17"/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/>
      <c r="V3465" s="18">
        <v>0</v>
      </c>
      <c r="W3465" s="17">
        <f t="shared" si="110"/>
        <v>0</v>
      </c>
      <c r="X3465" s="5">
        <f t="shared" si="111"/>
        <v>0</v>
      </c>
    </row>
    <row r="3466" spans="1:24" x14ac:dyDescent="0.25">
      <c r="A3466" s="17"/>
      <c r="B3466" s="17"/>
      <c r="C3466" s="17"/>
      <c r="D3466" s="17"/>
      <c r="E3466" s="17"/>
      <c r="F3466" s="17"/>
      <c r="G3466" s="17"/>
      <c r="H3466" s="17"/>
      <c r="I3466" s="17"/>
      <c r="J3466" s="17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8">
        <v>0</v>
      </c>
      <c r="W3466" s="17">
        <f t="shared" si="110"/>
        <v>0</v>
      </c>
      <c r="X3466" s="5">
        <f t="shared" si="111"/>
        <v>0</v>
      </c>
    </row>
    <row r="3467" spans="1:24" x14ac:dyDescent="0.25">
      <c r="A3467" s="17"/>
      <c r="B3467" s="17"/>
      <c r="C3467" s="17"/>
      <c r="D3467" s="17"/>
      <c r="E3467" s="17"/>
      <c r="F3467" s="17"/>
      <c r="G3467" s="17"/>
      <c r="H3467" s="17"/>
      <c r="I3467" s="17"/>
      <c r="J3467" s="17"/>
      <c r="K3467" s="17"/>
      <c r="L3467" s="17"/>
      <c r="M3467" s="17"/>
      <c r="N3467" s="17"/>
      <c r="O3467" s="17"/>
      <c r="P3467" s="17"/>
      <c r="Q3467" s="17"/>
      <c r="R3467" s="17"/>
      <c r="S3467" s="17"/>
      <c r="T3467" s="17"/>
      <c r="U3467" s="17"/>
      <c r="V3467" s="18">
        <v>0</v>
      </c>
      <c r="W3467" s="17">
        <f t="shared" si="110"/>
        <v>0</v>
      </c>
      <c r="X3467" s="5">
        <f t="shared" si="111"/>
        <v>0</v>
      </c>
    </row>
    <row r="3468" spans="1:24" x14ac:dyDescent="0.25">
      <c r="A3468" s="17"/>
      <c r="B3468" s="17"/>
      <c r="C3468" s="17"/>
      <c r="D3468" s="17"/>
      <c r="E3468" s="17"/>
      <c r="F3468" s="17"/>
      <c r="G3468" s="17"/>
      <c r="H3468" s="17"/>
      <c r="I3468" s="17"/>
      <c r="J3468" s="17"/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/>
      <c r="V3468" s="18">
        <v>0</v>
      </c>
      <c r="W3468" s="17">
        <f t="shared" si="110"/>
        <v>0</v>
      </c>
      <c r="X3468" s="5">
        <f t="shared" si="111"/>
        <v>0</v>
      </c>
    </row>
    <row r="3469" spans="1:24" x14ac:dyDescent="0.25">
      <c r="A3469" s="17"/>
      <c r="B3469" s="17"/>
      <c r="C3469" s="17"/>
      <c r="D3469" s="17"/>
      <c r="E3469" s="17"/>
      <c r="F3469" s="17"/>
      <c r="G3469" s="17"/>
      <c r="H3469" s="17"/>
      <c r="I3469" s="17"/>
      <c r="J3469" s="17"/>
      <c r="K3469" s="17"/>
      <c r="L3469" s="17"/>
      <c r="M3469" s="17"/>
      <c r="N3469" s="17"/>
      <c r="O3469" s="17"/>
      <c r="P3469" s="17"/>
      <c r="Q3469" s="17"/>
      <c r="R3469" s="17"/>
      <c r="S3469" s="17"/>
      <c r="T3469" s="17"/>
      <c r="U3469" s="17"/>
      <c r="V3469" s="18">
        <v>0</v>
      </c>
      <c r="W3469" s="17">
        <f t="shared" si="110"/>
        <v>0</v>
      </c>
      <c r="X3469" s="5">
        <f t="shared" si="111"/>
        <v>0</v>
      </c>
    </row>
    <row r="3470" spans="1:24" x14ac:dyDescent="0.25">
      <c r="A3470" s="17"/>
      <c r="B3470" s="17"/>
      <c r="C3470" s="17"/>
      <c r="D3470" s="17"/>
      <c r="E3470" s="17"/>
      <c r="F3470" s="17"/>
      <c r="G3470" s="17"/>
      <c r="H3470" s="17"/>
      <c r="I3470" s="17"/>
      <c r="J3470" s="17"/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8">
        <v>0</v>
      </c>
      <c r="W3470" s="17">
        <f t="shared" si="110"/>
        <v>0</v>
      </c>
      <c r="X3470" s="5">
        <f t="shared" si="111"/>
        <v>0</v>
      </c>
    </row>
    <row r="3471" spans="1:24" x14ac:dyDescent="0.25">
      <c r="A3471" s="17"/>
      <c r="B3471" s="17"/>
      <c r="C3471" s="17"/>
      <c r="D3471" s="17"/>
      <c r="E3471" s="17"/>
      <c r="F3471" s="17"/>
      <c r="G3471" s="17"/>
      <c r="H3471" s="17"/>
      <c r="I3471" s="17"/>
      <c r="J3471" s="17"/>
      <c r="K3471" s="17"/>
      <c r="L3471" s="17"/>
      <c r="M3471" s="17"/>
      <c r="N3471" s="17"/>
      <c r="O3471" s="17"/>
      <c r="P3471" s="17"/>
      <c r="Q3471" s="17"/>
      <c r="R3471" s="17"/>
      <c r="S3471" s="17"/>
      <c r="T3471" s="17"/>
      <c r="U3471" s="17"/>
      <c r="V3471" s="18">
        <v>0</v>
      </c>
      <c r="W3471" s="17">
        <f t="shared" si="110"/>
        <v>0</v>
      </c>
      <c r="X3471" s="5">
        <f t="shared" si="111"/>
        <v>0</v>
      </c>
    </row>
    <row r="3472" spans="1:24" x14ac:dyDescent="0.25">
      <c r="A3472" s="17"/>
      <c r="B3472" s="17"/>
      <c r="C3472" s="17"/>
      <c r="D3472" s="17"/>
      <c r="E3472" s="17"/>
      <c r="F3472" s="17"/>
      <c r="G3472" s="17"/>
      <c r="H3472" s="17"/>
      <c r="I3472" s="17"/>
      <c r="J3472" s="17"/>
      <c r="K3472" s="17"/>
      <c r="L3472" s="17"/>
      <c r="M3472" s="17"/>
      <c r="N3472" s="17"/>
      <c r="O3472" s="17"/>
      <c r="P3472" s="17"/>
      <c r="Q3472" s="17"/>
      <c r="R3472" s="17"/>
      <c r="S3472" s="17"/>
      <c r="T3472" s="17"/>
      <c r="U3472" s="17"/>
      <c r="V3472" s="18">
        <v>0</v>
      </c>
      <c r="W3472" s="17">
        <f t="shared" si="110"/>
        <v>0</v>
      </c>
      <c r="X3472" s="5">
        <f t="shared" si="111"/>
        <v>0</v>
      </c>
    </row>
    <row r="3473" spans="1:24" x14ac:dyDescent="0.25">
      <c r="A3473" s="17"/>
      <c r="B3473" s="17"/>
      <c r="C3473" s="17"/>
      <c r="D3473" s="17"/>
      <c r="E3473" s="17"/>
      <c r="F3473" s="17"/>
      <c r="G3473" s="17"/>
      <c r="H3473" s="17"/>
      <c r="I3473" s="17"/>
      <c r="J3473" s="17"/>
      <c r="K3473" s="17"/>
      <c r="L3473" s="17"/>
      <c r="M3473" s="17"/>
      <c r="N3473" s="17"/>
      <c r="O3473" s="17"/>
      <c r="P3473" s="17"/>
      <c r="Q3473" s="17"/>
      <c r="R3473" s="17"/>
      <c r="S3473" s="17"/>
      <c r="T3473" s="17"/>
      <c r="U3473" s="17"/>
      <c r="V3473" s="18">
        <v>0</v>
      </c>
      <c r="W3473" s="17">
        <f t="shared" si="110"/>
        <v>0</v>
      </c>
      <c r="X3473" s="5">
        <f t="shared" si="111"/>
        <v>0</v>
      </c>
    </row>
    <row r="3474" spans="1:24" x14ac:dyDescent="0.25">
      <c r="A3474" s="17"/>
      <c r="B3474" s="17"/>
      <c r="C3474" s="17"/>
      <c r="D3474" s="17"/>
      <c r="E3474" s="17"/>
      <c r="F3474" s="17"/>
      <c r="G3474" s="17"/>
      <c r="H3474" s="17"/>
      <c r="I3474" s="17"/>
      <c r="J3474" s="17"/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/>
      <c r="V3474" s="18">
        <v>0</v>
      </c>
      <c r="W3474" s="17">
        <f t="shared" si="110"/>
        <v>0</v>
      </c>
      <c r="X3474" s="5">
        <f t="shared" si="111"/>
        <v>0</v>
      </c>
    </row>
    <row r="3475" spans="1:24" x14ac:dyDescent="0.25">
      <c r="A3475" s="17"/>
      <c r="B3475" s="17"/>
      <c r="C3475" s="17"/>
      <c r="D3475" s="17"/>
      <c r="E3475" s="17"/>
      <c r="F3475" s="17"/>
      <c r="G3475" s="17"/>
      <c r="H3475" s="17"/>
      <c r="I3475" s="17"/>
      <c r="J3475" s="17"/>
      <c r="K3475" s="17"/>
      <c r="L3475" s="17"/>
      <c r="M3475" s="17"/>
      <c r="N3475" s="17"/>
      <c r="O3475" s="17"/>
      <c r="P3475" s="17"/>
      <c r="Q3475" s="17"/>
      <c r="R3475" s="17"/>
      <c r="S3475" s="17"/>
      <c r="T3475" s="17"/>
      <c r="U3475" s="17"/>
      <c r="V3475" s="18">
        <v>0</v>
      </c>
      <c r="W3475" s="17">
        <f t="shared" si="110"/>
        <v>0</v>
      </c>
      <c r="X3475" s="5">
        <f t="shared" si="111"/>
        <v>0</v>
      </c>
    </row>
    <row r="3476" spans="1:24" x14ac:dyDescent="0.25">
      <c r="A3476" s="17"/>
      <c r="B3476" s="17"/>
      <c r="C3476" s="17"/>
      <c r="D3476" s="17"/>
      <c r="E3476" s="17"/>
      <c r="F3476" s="17"/>
      <c r="G3476" s="17"/>
      <c r="H3476" s="17"/>
      <c r="I3476" s="17"/>
      <c r="J3476" s="17"/>
      <c r="K3476" s="17"/>
      <c r="L3476" s="17"/>
      <c r="M3476" s="17"/>
      <c r="N3476" s="17"/>
      <c r="O3476" s="17"/>
      <c r="P3476" s="17"/>
      <c r="Q3476" s="17"/>
      <c r="R3476" s="17"/>
      <c r="S3476" s="17"/>
      <c r="T3476" s="17"/>
      <c r="U3476" s="17"/>
      <c r="V3476" s="18">
        <v>0</v>
      </c>
      <c r="W3476" s="17">
        <f t="shared" si="110"/>
        <v>0</v>
      </c>
      <c r="X3476" s="5">
        <f t="shared" si="111"/>
        <v>0</v>
      </c>
    </row>
    <row r="3477" spans="1:24" x14ac:dyDescent="0.25">
      <c r="A3477" s="17"/>
      <c r="B3477" s="17"/>
      <c r="C3477" s="17"/>
      <c r="D3477" s="17"/>
      <c r="E3477" s="17"/>
      <c r="F3477" s="17"/>
      <c r="G3477" s="17"/>
      <c r="H3477" s="17"/>
      <c r="I3477" s="17"/>
      <c r="J3477" s="17"/>
      <c r="K3477" s="17"/>
      <c r="L3477" s="17"/>
      <c r="M3477" s="17"/>
      <c r="N3477" s="17"/>
      <c r="O3477" s="17"/>
      <c r="P3477" s="17"/>
      <c r="Q3477" s="17"/>
      <c r="R3477" s="17"/>
      <c r="S3477" s="17"/>
      <c r="T3477" s="17"/>
      <c r="U3477" s="17"/>
      <c r="V3477" s="18">
        <v>0</v>
      </c>
      <c r="W3477" s="17">
        <f t="shared" si="110"/>
        <v>0</v>
      </c>
      <c r="X3477" s="5">
        <f t="shared" si="111"/>
        <v>0</v>
      </c>
    </row>
    <row r="3478" spans="1:24" x14ac:dyDescent="0.25">
      <c r="A3478" s="17"/>
      <c r="B3478" s="17"/>
      <c r="C3478" s="17"/>
      <c r="D3478" s="17"/>
      <c r="E3478" s="17"/>
      <c r="F3478" s="17"/>
      <c r="G3478" s="17"/>
      <c r="H3478" s="17"/>
      <c r="I3478" s="17"/>
      <c r="J3478" s="17"/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8">
        <v>0</v>
      </c>
      <c r="W3478" s="17">
        <f t="shared" si="110"/>
        <v>0</v>
      </c>
      <c r="X3478" s="5">
        <f t="shared" si="111"/>
        <v>0</v>
      </c>
    </row>
    <row r="3479" spans="1:24" x14ac:dyDescent="0.25">
      <c r="A3479" s="17"/>
      <c r="B3479" s="17"/>
      <c r="C3479" s="17"/>
      <c r="D3479" s="17"/>
      <c r="E3479" s="17"/>
      <c r="F3479" s="17"/>
      <c r="G3479" s="17"/>
      <c r="H3479" s="17"/>
      <c r="I3479" s="17"/>
      <c r="J3479" s="17"/>
      <c r="K3479" s="17"/>
      <c r="L3479" s="17"/>
      <c r="M3479" s="17"/>
      <c r="N3479" s="17"/>
      <c r="O3479" s="17"/>
      <c r="P3479" s="17"/>
      <c r="Q3479" s="17"/>
      <c r="R3479" s="17"/>
      <c r="S3479" s="17"/>
      <c r="T3479" s="17"/>
      <c r="U3479" s="17"/>
      <c r="V3479" s="18">
        <v>0</v>
      </c>
      <c r="W3479" s="17">
        <f t="shared" si="110"/>
        <v>0</v>
      </c>
      <c r="X3479" s="5">
        <f t="shared" si="111"/>
        <v>0</v>
      </c>
    </row>
    <row r="3480" spans="1:24" x14ac:dyDescent="0.25">
      <c r="A3480" s="17"/>
      <c r="B3480" s="17"/>
      <c r="C3480" s="17"/>
      <c r="D3480" s="17"/>
      <c r="E3480" s="17"/>
      <c r="F3480" s="17"/>
      <c r="G3480" s="17"/>
      <c r="H3480" s="17"/>
      <c r="I3480" s="17"/>
      <c r="J3480" s="17"/>
      <c r="K3480" s="17"/>
      <c r="L3480" s="17"/>
      <c r="M3480" s="17"/>
      <c r="N3480" s="17"/>
      <c r="O3480" s="17"/>
      <c r="P3480" s="17"/>
      <c r="Q3480" s="17"/>
      <c r="R3480" s="17"/>
      <c r="S3480" s="17"/>
      <c r="T3480" s="17"/>
      <c r="U3480" s="17"/>
      <c r="V3480" s="18">
        <v>0</v>
      </c>
      <c r="W3480" s="17">
        <f t="shared" si="110"/>
        <v>0</v>
      </c>
      <c r="X3480" s="5">
        <f t="shared" si="111"/>
        <v>0</v>
      </c>
    </row>
    <row r="3481" spans="1:24" x14ac:dyDescent="0.25">
      <c r="A3481" s="17"/>
      <c r="B3481" s="17"/>
      <c r="C3481" s="17"/>
      <c r="D3481" s="17"/>
      <c r="E3481" s="17"/>
      <c r="F3481" s="17"/>
      <c r="G3481" s="17"/>
      <c r="H3481" s="17"/>
      <c r="I3481" s="17"/>
      <c r="J3481" s="17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8">
        <v>0</v>
      </c>
      <c r="W3481" s="17">
        <f t="shared" si="110"/>
        <v>0</v>
      </c>
      <c r="X3481" s="5">
        <f t="shared" si="111"/>
        <v>0</v>
      </c>
    </row>
    <row r="3482" spans="1:24" x14ac:dyDescent="0.25">
      <c r="A3482" s="17"/>
      <c r="B3482" s="17"/>
      <c r="C3482" s="17"/>
      <c r="D3482" s="17"/>
      <c r="E3482" s="17"/>
      <c r="F3482" s="17"/>
      <c r="G3482" s="17"/>
      <c r="H3482" s="17"/>
      <c r="I3482" s="17"/>
      <c r="J3482" s="17"/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8">
        <v>0</v>
      </c>
      <c r="W3482" s="17">
        <f t="shared" si="110"/>
        <v>0</v>
      </c>
      <c r="X3482" s="5">
        <f t="shared" si="111"/>
        <v>0</v>
      </c>
    </row>
    <row r="3483" spans="1:24" x14ac:dyDescent="0.25">
      <c r="A3483" s="17"/>
      <c r="B3483" s="17"/>
      <c r="C3483" s="17"/>
      <c r="D3483" s="17"/>
      <c r="E3483" s="17"/>
      <c r="F3483" s="17"/>
      <c r="G3483" s="17"/>
      <c r="H3483" s="17"/>
      <c r="I3483" s="17"/>
      <c r="J3483" s="17"/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8">
        <v>0</v>
      </c>
      <c r="W3483" s="17">
        <f t="shared" si="110"/>
        <v>0</v>
      </c>
      <c r="X3483" s="5">
        <f t="shared" si="111"/>
        <v>0</v>
      </c>
    </row>
    <row r="3484" spans="1:24" x14ac:dyDescent="0.25">
      <c r="A3484" s="17"/>
      <c r="B3484" s="17"/>
      <c r="C3484" s="17"/>
      <c r="D3484" s="17"/>
      <c r="E3484" s="17"/>
      <c r="F3484" s="17"/>
      <c r="G3484" s="17"/>
      <c r="H3484" s="17"/>
      <c r="I3484" s="17"/>
      <c r="J3484" s="17"/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/>
      <c r="V3484" s="18">
        <v>0</v>
      </c>
      <c r="W3484" s="17">
        <f t="shared" si="110"/>
        <v>0</v>
      </c>
      <c r="X3484" s="5">
        <f t="shared" si="111"/>
        <v>0</v>
      </c>
    </row>
    <row r="3485" spans="1:24" x14ac:dyDescent="0.25">
      <c r="A3485" s="17"/>
      <c r="B3485" s="17"/>
      <c r="C3485" s="17"/>
      <c r="D3485" s="17"/>
      <c r="E3485" s="17"/>
      <c r="F3485" s="17"/>
      <c r="G3485" s="17"/>
      <c r="H3485" s="17"/>
      <c r="I3485" s="17"/>
      <c r="J3485" s="17"/>
      <c r="K3485" s="17"/>
      <c r="L3485" s="17"/>
      <c r="M3485" s="17"/>
      <c r="N3485" s="17"/>
      <c r="O3485" s="17"/>
      <c r="P3485" s="17"/>
      <c r="Q3485" s="17"/>
      <c r="R3485" s="17"/>
      <c r="S3485" s="17"/>
      <c r="T3485" s="17"/>
      <c r="U3485" s="17"/>
      <c r="V3485" s="18">
        <v>0</v>
      </c>
      <c r="W3485" s="17">
        <f t="shared" si="110"/>
        <v>0</v>
      </c>
      <c r="X3485" s="5">
        <f t="shared" si="111"/>
        <v>0</v>
      </c>
    </row>
    <row r="3486" spans="1:24" x14ac:dyDescent="0.25">
      <c r="A3486" s="17"/>
      <c r="B3486" s="17"/>
      <c r="C3486" s="17"/>
      <c r="D3486" s="17"/>
      <c r="E3486" s="17"/>
      <c r="F3486" s="17"/>
      <c r="G3486" s="17"/>
      <c r="H3486" s="17"/>
      <c r="I3486" s="17"/>
      <c r="J3486" s="17"/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8">
        <v>0</v>
      </c>
      <c r="W3486" s="17">
        <f t="shared" si="110"/>
        <v>0</v>
      </c>
      <c r="X3486" s="5">
        <f t="shared" si="111"/>
        <v>0</v>
      </c>
    </row>
    <row r="3487" spans="1:24" x14ac:dyDescent="0.25">
      <c r="A3487" s="17"/>
      <c r="B3487" s="17"/>
      <c r="C3487" s="17"/>
      <c r="D3487" s="17"/>
      <c r="E3487" s="17"/>
      <c r="F3487" s="17"/>
      <c r="G3487" s="17"/>
      <c r="H3487" s="17"/>
      <c r="I3487" s="17"/>
      <c r="J3487" s="17"/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8">
        <v>0</v>
      </c>
      <c r="W3487" s="17">
        <f t="shared" si="110"/>
        <v>0</v>
      </c>
      <c r="X3487" s="5">
        <f t="shared" si="111"/>
        <v>0</v>
      </c>
    </row>
    <row r="3488" spans="1:24" x14ac:dyDescent="0.25">
      <c r="A3488" s="17"/>
      <c r="B3488" s="17"/>
      <c r="C3488" s="17"/>
      <c r="D3488" s="17"/>
      <c r="E3488" s="17"/>
      <c r="F3488" s="17"/>
      <c r="G3488" s="17"/>
      <c r="H3488" s="17"/>
      <c r="I3488" s="17"/>
      <c r="J3488" s="17"/>
      <c r="K3488" s="17"/>
      <c r="L3488" s="17"/>
      <c r="M3488" s="17"/>
      <c r="N3488" s="17"/>
      <c r="O3488" s="17"/>
      <c r="P3488" s="17"/>
      <c r="Q3488" s="17"/>
      <c r="R3488" s="17"/>
      <c r="S3488" s="17"/>
      <c r="T3488" s="17"/>
      <c r="U3488" s="17"/>
      <c r="V3488" s="18">
        <v>0</v>
      </c>
      <c r="W3488" s="17">
        <f t="shared" si="110"/>
        <v>0</v>
      </c>
      <c r="X3488" s="5">
        <f t="shared" si="111"/>
        <v>0</v>
      </c>
    </row>
    <row r="3489" spans="1:24" x14ac:dyDescent="0.25">
      <c r="A3489" s="17"/>
      <c r="B3489" s="17"/>
      <c r="C3489" s="17"/>
      <c r="D3489" s="17"/>
      <c r="E3489" s="17"/>
      <c r="F3489" s="17"/>
      <c r="G3489" s="17"/>
      <c r="H3489" s="17"/>
      <c r="I3489" s="17"/>
      <c r="J3489" s="17"/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/>
      <c r="V3489" s="18">
        <v>0</v>
      </c>
      <c r="W3489" s="17">
        <f t="shared" si="110"/>
        <v>0</v>
      </c>
      <c r="X3489" s="5">
        <f t="shared" si="111"/>
        <v>0</v>
      </c>
    </row>
    <row r="3490" spans="1:24" x14ac:dyDescent="0.25">
      <c r="A3490" s="17"/>
      <c r="B3490" s="17"/>
      <c r="C3490" s="17"/>
      <c r="D3490" s="17"/>
      <c r="E3490" s="17"/>
      <c r="F3490" s="17"/>
      <c r="G3490" s="17"/>
      <c r="H3490" s="17"/>
      <c r="I3490" s="17"/>
      <c r="J3490" s="17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8">
        <v>0</v>
      </c>
      <c r="W3490" s="17">
        <f t="shared" si="110"/>
        <v>0</v>
      </c>
      <c r="X3490" s="5">
        <f t="shared" si="111"/>
        <v>0</v>
      </c>
    </row>
    <row r="3491" spans="1:24" x14ac:dyDescent="0.25">
      <c r="A3491" s="17"/>
      <c r="B3491" s="17"/>
      <c r="C3491" s="17"/>
      <c r="D3491" s="17"/>
      <c r="E3491" s="17"/>
      <c r="F3491" s="17"/>
      <c r="G3491" s="17"/>
      <c r="H3491" s="17"/>
      <c r="I3491" s="17"/>
      <c r="J3491" s="17"/>
      <c r="K3491" s="17"/>
      <c r="L3491" s="17"/>
      <c r="M3491" s="17"/>
      <c r="N3491" s="17"/>
      <c r="O3491" s="17"/>
      <c r="P3491" s="17"/>
      <c r="Q3491" s="17"/>
      <c r="R3491" s="17"/>
      <c r="S3491" s="17"/>
      <c r="T3491" s="17"/>
      <c r="U3491" s="17"/>
      <c r="V3491" s="18">
        <v>0</v>
      </c>
      <c r="W3491" s="17">
        <f t="shared" si="110"/>
        <v>0</v>
      </c>
      <c r="X3491" s="5">
        <f t="shared" si="111"/>
        <v>0</v>
      </c>
    </row>
    <row r="3492" spans="1:24" x14ac:dyDescent="0.25">
      <c r="A3492" s="17"/>
      <c r="B3492" s="17"/>
      <c r="C3492" s="17"/>
      <c r="D3492" s="17"/>
      <c r="E3492" s="17"/>
      <c r="F3492" s="17"/>
      <c r="G3492" s="17"/>
      <c r="H3492" s="17"/>
      <c r="I3492" s="17"/>
      <c r="J3492" s="17"/>
      <c r="K3492" s="17"/>
      <c r="L3492" s="17"/>
      <c r="M3492" s="17"/>
      <c r="N3492" s="17"/>
      <c r="O3492" s="17"/>
      <c r="P3492" s="17"/>
      <c r="Q3492" s="17"/>
      <c r="R3492" s="17"/>
      <c r="S3492" s="17"/>
      <c r="T3492" s="17"/>
      <c r="U3492" s="17"/>
      <c r="V3492" s="18">
        <v>0</v>
      </c>
      <c r="W3492" s="17">
        <f t="shared" si="110"/>
        <v>0</v>
      </c>
      <c r="X3492" s="5">
        <f t="shared" si="111"/>
        <v>0</v>
      </c>
    </row>
    <row r="3493" spans="1:24" x14ac:dyDescent="0.25">
      <c r="A3493" s="17"/>
      <c r="B3493" s="17"/>
      <c r="C3493" s="17"/>
      <c r="D3493" s="17"/>
      <c r="E3493" s="17"/>
      <c r="F3493" s="17"/>
      <c r="G3493" s="17"/>
      <c r="H3493" s="17"/>
      <c r="I3493" s="17"/>
      <c r="J3493" s="17"/>
      <c r="K3493" s="17"/>
      <c r="L3493" s="17"/>
      <c r="M3493" s="17"/>
      <c r="N3493" s="17"/>
      <c r="O3493" s="17"/>
      <c r="P3493" s="17"/>
      <c r="Q3493" s="17"/>
      <c r="R3493" s="17"/>
      <c r="S3493" s="17"/>
      <c r="T3493" s="17"/>
      <c r="U3493" s="17"/>
      <c r="V3493" s="18">
        <v>0</v>
      </c>
      <c r="W3493" s="17">
        <f t="shared" si="110"/>
        <v>0</v>
      </c>
      <c r="X3493" s="5">
        <f t="shared" si="111"/>
        <v>0</v>
      </c>
    </row>
    <row r="3494" spans="1:24" x14ac:dyDescent="0.25">
      <c r="A3494" s="17"/>
      <c r="B3494" s="17"/>
      <c r="C3494" s="17"/>
      <c r="D3494" s="17"/>
      <c r="E3494" s="17"/>
      <c r="F3494" s="17"/>
      <c r="G3494" s="17"/>
      <c r="H3494" s="17"/>
      <c r="I3494" s="17"/>
      <c r="J3494" s="17"/>
      <c r="K3494" s="17"/>
      <c r="L3494" s="17"/>
      <c r="M3494" s="17"/>
      <c r="N3494" s="17"/>
      <c r="O3494" s="17"/>
      <c r="P3494" s="17"/>
      <c r="Q3494" s="17"/>
      <c r="R3494" s="17"/>
      <c r="S3494" s="17"/>
      <c r="T3494" s="17"/>
      <c r="U3494" s="17"/>
      <c r="V3494" s="18">
        <v>0</v>
      </c>
      <c r="W3494" s="17">
        <f t="shared" si="110"/>
        <v>0</v>
      </c>
      <c r="X3494" s="5">
        <f t="shared" si="111"/>
        <v>0</v>
      </c>
    </row>
    <row r="3495" spans="1:24" x14ac:dyDescent="0.25">
      <c r="A3495" s="17"/>
      <c r="B3495" s="17"/>
      <c r="C3495" s="17"/>
      <c r="D3495" s="17"/>
      <c r="E3495" s="17"/>
      <c r="F3495" s="17"/>
      <c r="G3495" s="17"/>
      <c r="H3495" s="17"/>
      <c r="I3495" s="17"/>
      <c r="J3495" s="17"/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/>
      <c r="V3495" s="18">
        <v>0</v>
      </c>
      <c r="W3495" s="17">
        <f t="shared" si="110"/>
        <v>0</v>
      </c>
      <c r="X3495" s="5">
        <f t="shared" si="111"/>
        <v>0</v>
      </c>
    </row>
    <row r="3496" spans="1:24" x14ac:dyDescent="0.25">
      <c r="A3496" s="17"/>
      <c r="B3496" s="17"/>
      <c r="C3496" s="17"/>
      <c r="D3496" s="17"/>
      <c r="E3496" s="17"/>
      <c r="F3496" s="17"/>
      <c r="G3496" s="17"/>
      <c r="H3496" s="17"/>
      <c r="I3496" s="17"/>
      <c r="J3496" s="17"/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/>
      <c r="V3496" s="18">
        <v>0</v>
      </c>
      <c r="W3496" s="17">
        <f t="shared" si="110"/>
        <v>0</v>
      </c>
      <c r="X3496" s="5">
        <f t="shared" si="111"/>
        <v>0</v>
      </c>
    </row>
    <row r="3497" spans="1:24" x14ac:dyDescent="0.25">
      <c r="A3497" s="17"/>
      <c r="B3497" s="17"/>
      <c r="C3497" s="17"/>
      <c r="D3497" s="17"/>
      <c r="E3497" s="17"/>
      <c r="F3497" s="17"/>
      <c r="G3497" s="17"/>
      <c r="H3497" s="17"/>
      <c r="I3497" s="17"/>
      <c r="J3497" s="17"/>
      <c r="K3497" s="17"/>
      <c r="L3497" s="17"/>
      <c r="M3497" s="17"/>
      <c r="N3497" s="17"/>
      <c r="O3497" s="17"/>
      <c r="P3497" s="17"/>
      <c r="Q3497" s="17"/>
      <c r="R3497" s="17"/>
      <c r="S3497" s="17"/>
      <c r="T3497" s="17"/>
      <c r="U3497" s="17"/>
      <c r="V3497" s="18">
        <v>0</v>
      </c>
      <c r="W3497" s="17">
        <f t="shared" si="110"/>
        <v>0</v>
      </c>
      <c r="X3497" s="5">
        <f t="shared" si="111"/>
        <v>0</v>
      </c>
    </row>
    <row r="3498" spans="1:24" x14ac:dyDescent="0.25">
      <c r="A3498" s="17"/>
      <c r="B3498" s="17"/>
      <c r="C3498" s="17"/>
      <c r="D3498" s="17"/>
      <c r="E3498" s="17"/>
      <c r="F3498" s="17"/>
      <c r="G3498" s="17"/>
      <c r="H3498" s="17"/>
      <c r="I3498" s="17"/>
      <c r="J3498" s="17"/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/>
      <c r="V3498" s="18">
        <v>0</v>
      </c>
      <c r="W3498" s="17">
        <f t="shared" si="110"/>
        <v>0</v>
      </c>
      <c r="X3498" s="5">
        <f t="shared" si="111"/>
        <v>0</v>
      </c>
    </row>
    <row r="3499" spans="1:24" x14ac:dyDescent="0.25">
      <c r="A3499" s="17"/>
      <c r="B3499" s="17"/>
      <c r="C3499" s="17"/>
      <c r="D3499" s="17"/>
      <c r="E3499" s="17"/>
      <c r="F3499" s="17"/>
      <c r="G3499" s="17"/>
      <c r="H3499" s="17"/>
      <c r="I3499" s="17"/>
      <c r="J3499" s="17"/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/>
      <c r="V3499" s="18">
        <v>0</v>
      </c>
      <c r="W3499" s="17">
        <f t="shared" si="110"/>
        <v>0</v>
      </c>
      <c r="X3499" s="5">
        <f t="shared" si="111"/>
        <v>0</v>
      </c>
    </row>
    <row r="3500" spans="1:24" x14ac:dyDescent="0.25">
      <c r="A3500" s="17"/>
      <c r="B3500" s="17"/>
      <c r="C3500" s="17"/>
      <c r="D3500" s="17"/>
      <c r="E3500" s="17"/>
      <c r="F3500" s="17"/>
      <c r="G3500" s="17"/>
      <c r="H3500" s="17"/>
      <c r="I3500" s="17"/>
      <c r="J3500" s="17"/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/>
      <c r="V3500" s="18">
        <v>0</v>
      </c>
      <c r="W3500" s="17">
        <f t="shared" si="110"/>
        <v>0</v>
      </c>
      <c r="X3500" s="5">
        <f t="shared" si="111"/>
        <v>0</v>
      </c>
    </row>
    <row r="3501" spans="1:24" x14ac:dyDescent="0.25">
      <c r="A3501" s="17"/>
      <c r="B3501" s="17"/>
      <c r="C3501" s="17"/>
      <c r="D3501" s="17"/>
      <c r="E3501" s="17"/>
      <c r="F3501" s="17"/>
      <c r="G3501" s="17"/>
      <c r="H3501" s="17"/>
      <c r="I3501" s="17"/>
      <c r="J3501" s="17"/>
      <c r="K3501" s="17"/>
      <c r="L3501" s="17"/>
      <c r="M3501" s="17"/>
      <c r="N3501" s="17"/>
      <c r="O3501" s="17"/>
      <c r="P3501" s="17"/>
      <c r="Q3501" s="17"/>
      <c r="R3501" s="17"/>
      <c r="S3501" s="17"/>
      <c r="T3501" s="17"/>
      <c r="U3501" s="17"/>
      <c r="V3501" s="18">
        <v>0</v>
      </c>
      <c r="W3501" s="17">
        <f t="shared" si="110"/>
        <v>0</v>
      </c>
      <c r="X3501" s="5">
        <f t="shared" si="111"/>
        <v>0</v>
      </c>
    </row>
    <row r="3502" spans="1:24" x14ac:dyDescent="0.25">
      <c r="A3502" s="17"/>
      <c r="B3502" s="17"/>
      <c r="C3502" s="17"/>
      <c r="D3502" s="17"/>
      <c r="E3502" s="17"/>
      <c r="F3502" s="17"/>
      <c r="G3502" s="17"/>
      <c r="H3502" s="17"/>
      <c r="I3502" s="17"/>
      <c r="J3502" s="17"/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8">
        <v>0</v>
      </c>
      <c r="W3502" s="17">
        <f t="shared" si="110"/>
        <v>0</v>
      </c>
      <c r="X3502" s="5">
        <f t="shared" si="111"/>
        <v>0</v>
      </c>
    </row>
    <row r="3503" spans="1:24" x14ac:dyDescent="0.25">
      <c r="A3503" s="17"/>
      <c r="B3503" s="17"/>
      <c r="C3503" s="17"/>
      <c r="D3503" s="17"/>
      <c r="E3503" s="17"/>
      <c r="F3503" s="17"/>
      <c r="G3503" s="17"/>
      <c r="H3503" s="17"/>
      <c r="I3503" s="17"/>
      <c r="J3503" s="17"/>
      <c r="K3503" s="17"/>
      <c r="L3503" s="17"/>
      <c r="M3503" s="17"/>
      <c r="N3503" s="17"/>
      <c r="O3503" s="17"/>
      <c r="P3503" s="17"/>
      <c r="Q3503" s="17"/>
      <c r="R3503" s="17"/>
      <c r="S3503" s="17"/>
      <c r="T3503" s="17"/>
      <c r="U3503" s="17"/>
      <c r="V3503" s="18">
        <v>0</v>
      </c>
      <c r="W3503" s="17">
        <f t="shared" si="110"/>
        <v>0</v>
      </c>
      <c r="X3503" s="5">
        <f t="shared" si="111"/>
        <v>0</v>
      </c>
    </row>
    <row r="3504" spans="1:24" x14ac:dyDescent="0.25">
      <c r="A3504" s="17"/>
      <c r="B3504" s="17"/>
      <c r="C3504" s="17"/>
      <c r="D3504" s="17"/>
      <c r="E3504" s="17"/>
      <c r="F3504" s="17"/>
      <c r="G3504" s="17"/>
      <c r="H3504" s="17"/>
      <c r="I3504" s="17"/>
      <c r="J3504" s="17"/>
      <c r="K3504" s="17"/>
      <c r="L3504" s="17"/>
      <c r="M3504" s="17"/>
      <c r="N3504" s="17"/>
      <c r="O3504" s="17"/>
      <c r="P3504" s="17"/>
      <c r="Q3504" s="17"/>
      <c r="R3504" s="17"/>
      <c r="S3504" s="17"/>
      <c r="T3504" s="17"/>
      <c r="U3504" s="17"/>
      <c r="V3504" s="18">
        <v>0</v>
      </c>
      <c r="W3504" s="17">
        <f t="shared" si="110"/>
        <v>0</v>
      </c>
      <c r="X3504" s="5">
        <f t="shared" si="111"/>
        <v>0</v>
      </c>
    </row>
    <row r="3505" spans="1:24" x14ac:dyDescent="0.25">
      <c r="A3505" s="17"/>
      <c r="B3505" s="17"/>
      <c r="C3505" s="17"/>
      <c r="D3505" s="17"/>
      <c r="E3505" s="17"/>
      <c r="F3505" s="17"/>
      <c r="G3505" s="17"/>
      <c r="H3505" s="17"/>
      <c r="I3505" s="17"/>
      <c r="J3505" s="17"/>
      <c r="K3505" s="17"/>
      <c r="L3505" s="17"/>
      <c r="M3505" s="17"/>
      <c r="N3505" s="17"/>
      <c r="O3505" s="17"/>
      <c r="P3505" s="17"/>
      <c r="Q3505" s="17"/>
      <c r="R3505" s="17"/>
      <c r="S3505" s="17"/>
      <c r="T3505" s="17"/>
      <c r="U3505" s="17"/>
      <c r="V3505" s="18">
        <v>0</v>
      </c>
      <c r="W3505" s="17">
        <f t="shared" si="110"/>
        <v>0</v>
      </c>
      <c r="X3505" s="5">
        <f t="shared" si="111"/>
        <v>0</v>
      </c>
    </row>
    <row r="3506" spans="1:24" x14ac:dyDescent="0.25">
      <c r="A3506" s="17"/>
      <c r="B3506" s="17"/>
      <c r="C3506" s="17"/>
      <c r="D3506" s="17"/>
      <c r="E3506" s="17"/>
      <c r="F3506" s="17"/>
      <c r="G3506" s="17"/>
      <c r="H3506" s="17"/>
      <c r="I3506" s="17"/>
      <c r="J3506" s="17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/>
      <c r="V3506" s="18">
        <v>0</v>
      </c>
      <c r="W3506" s="17">
        <f t="shared" si="110"/>
        <v>0</v>
      </c>
      <c r="X3506" s="5">
        <f t="shared" si="111"/>
        <v>0</v>
      </c>
    </row>
    <row r="3507" spans="1:24" x14ac:dyDescent="0.25">
      <c r="A3507" s="17"/>
      <c r="B3507" s="17"/>
      <c r="C3507" s="17"/>
      <c r="D3507" s="17"/>
      <c r="E3507" s="17"/>
      <c r="F3507" s="17"/>
      <c r="G3507" s="17"/>
      <c r="H3507" s="17"/>
      <c r="I3507" s="17"/>
      <c r="J3507" s="17"/>
      <c r="K3507" s="17"/>
      <c r="L3507" s="17"/>
      <c r="M3507" s="17"/>
      <c r="N3507" s="17"/>
      <c r="O3507" s="17"/>
      <c r="P3507" s="17"/>
      <c r="Q3507" s="17"/>
      <c r="R3507" s="17"/>
      <c r="S3507" s="17"/>
      <c r="T3507" s="17"/>
      <c r="U3507" s="17"/>
      <c r="V3507" s="18">
        <v>0</v>
      </c>
      <c r="W3507" s="17">
        <f t="shared" si="110"/>
        <v>0</v>
      </c>
      <c r="X3507" s="5">
        <f t="shared" si="111"/>
        <v>0</v>
      </c>
    </row>
    <row r="3508" spans="1:24" x14ac:dyDescent="0.25">
      <c r="A3508" s="17"/>
      <c r="B3508" s="17"/>
      <c r="C3508" s="17"/>
      <c r="D3508" s="17"/>
      <c r="E3508" s="17"/>
      <c r="F3508" s="17"/>
      <c r="G3508" s="17"/>
      <c r="H3508" s="17"/>
      <c r="I3508" s="17"/>
      <c r="J3508" s="17"/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8">
        <v>0</v>
      </c>
      <c r="W3508" s="17">
        <f t="shared" si="110"/>
        <v>0</v>
      </c>
      <c r="X3508" s="5">
        <f t="shared" si="111"/>
        <v>0</v>
      </c>
    </row>
    <row r="3509" spans="1:24" x14ac:dyDescent="0.25">
      <c r="A3509" s="17"/>
      <c r="B3509" s="17"/>
      <c r="C3509" s="17"/>
      <c r="D3509" s="17"/>
      <c r="E3509" s="17"/>
      <c r="F3509" s="17"/>
      <c r="G3509" s="17"/>
      <c r="H3509" s="17"/>
      <c r="I3509" s="17"/>
      <c r="J3509" s="17"/>
      <c r="K3509" s="17"/>
      <c r="L3509" s="17"/>
      <c r="M3509" s="17"/>
      <c r="N3509" s="17"/>
      <c r="O3509" s="17"/>
      <c r="P3509" s="17"/>
      <c r="Q3509" s="17"/>
      <c r="R3509" s="17"/>
      <c r="S3509" s="17"/>
      <c r="T3509" s="17"/>
      <c r="U3509" s="17"/>
      <c r="V3509" s="18">
        <v>0</v>
      </c>
      <c r="W3509" s="17">
        <f t="shared" si="110"/>
        <v>0</v>
      </c>
      <c r="X3509" s="5">
        <f t="shared" si="111"/>
        <v>0</v>
      </c>
    </row>
    <row r="3510" spans="1:24" x14ac:dyDescent="0.25">
      <c r="A3510" s="17"/>
      <c r="B3510" s="17"/>
      <c r="C3510" s="17"/>
      <c r="D3510" s="17"/>
      <c r="E3510" s="17"/>
      <c r="F3510" s="17"/>
      <c r="G3510" s="17"/>
      <c r="H3510" s="17"/>
      <c r="I3510" s="17"/>
      <c r="J3510" s="17"/>
      <c r="K3510" s="17"/>
      <c r="L3510" s="17"/>
      <c r="M3510" s="17"/>
      <c r="N3510" s="17"/>
      <c r="O3510" s="17"/>
      <c r="P3510" s="17"/>
      <c r="Q3510" s="17"/>
      <c r="R3510" s="17"/>
      <c r="S3510" s="17"/>
      <c r="T3510" s="17"/>
      <c r="U3510" s="17"/>
      <c r="V3510" s="18">
        <v>0</v>
      </c>
      <c r="W3510" s="17">
        <f t="shared" si="110"/>
        <v>0</v>
      </c>
      <c r="X3510" s="5">
        <f t="shared" si="111"/>
        <v>0</v>
      </c>
    </row>
    <row r="3511" spans="1:24" x14ac:dyDescent="0.25">
      <c r="A3511" s="17"/>
      <c r="B3511" s="17"/>
      <c r="C3511" s="17"/>
      <c r="D3511" s="17"/>
      <c r="E3511" s="17"/>
      <c r="F3511" s="17"/>
      <c r="G3511" s="17"/>
      <c r="H3511" s="17"/>
      <c r="I3511" s="17"/>
      <c r="J3511" s="17"/>
      <c r="K3511" s="17"/>
      <c r="L3511" s="17"/>
      <c r="M3511" s="17"/>
      <c r="N3511" s="17"/>
      <c r="O3511" s="17"/>
      <c r="P3511" s="17"/>
      <c r="Q3511" s="17"/>
      <c r="R3511" s="17"/>
      <c r="S3511" s="17"/>
      <c r="T3511" s="17"/>
      <c r="U3511" s="17"/>
      <c r="V3511" s="18">
        <v>0</v>
      </c>
      <c r="W3511" s="17">
        <f t="shared" si="110"/>
        <v>0</v>
      </c>
      <c r="X3511" s="5">
        <f t="shared" si="111"/>
        <v>0</v>
      </c>
    </row>
    <row r="3512" spans="1:24" x14ac:dyDescent="0.25">
      <c r="A3512" s="17"/>
      <c r="B3512" s="17"/>
      <c r="C3512" s="17"/>
      <c r="D3512" s="17"/>
      <c r="E3512" s="17"/>
      <c r="F3512" s="17"/>
      <c r="G3512" s="17"/>
      <c r="H3512" s="17"/>
      <c r="I3512" s="17"/>
      <c r="J3512" s="17"/>
      <c r="K3512" s="17"/>
      <c r="L3512" s="17"/>
      <c r="M3512" s="17"/>
      <c r="N3512" s="17"/>
      <c r="O3512" s="17"/>
      <c r="P3512" s="17"/>
      <c r="Q3512" s="17"/>
      <c r="R3512" s="17"/>
      <c r="S3512" s="17"/>
      <c r="T3512" s="17"/>
      <c r="U3512" s="17"/>
      <c r="V3512" s="18">
        <v>0</v>
      </c>
      <c r="W3512" s="17">
        <f t="shared" si="110"/>
        <v>0</v>
      </c>
      <c r="X3512" s="5">
        <f t="shared" si="111"/>
        <v>0</v>
      </c>
    </row>
    <row r="3513" spans="1:24" x14ac:dyDescent="0.25">
      <c r="A3513" s="17"/>
      <c r="B3513" s="17"/>
      <c r="C3513" s="17"/>
      <c r="D3513" s="17"/>
      <c r="E3513" s="17"/>
      <c r="F3513" s="17"/>
      <c r="G3513" s="17"/>
      <c r="H3513" s="17"/>
      <c r="I3513" s="17"/>
      <c r="J3513" s="17"/>
      <c r="K3513" s="17"/>
      <c r="L3513" s="17"/>
      <c r="M3513" s="17"/>
      <c r="N3513" s="17"/>
      <c r="O3513" s="17"/>
      <c r="P3513" s="17"/>
      <c r="Q3513" s="17"/>
      <c r="R3513" s="17"/>
      <c r="S3513" s="17"/>
      <c r="T3513" s="17"/>
      <c r="U3513" s="17"/>
      <c r="V3513" s="18">
        <v>0</v>
      </c>
      <c r="W3513" s="17">
        <f t="shared" si="110"/>
        <v>0</v>
      </c>
      <c r="X3513" s="5">
        <f t="shared" si="111"/>
        <v>0</v>
      </c>
    </row>
    <row r="3514" spans="1:24" x14ac:dyDescent="0.25">
      <c r="A3514" s="17"/>
      <c r="B3514" s="17"/>
      <c r="C3514" s="17"/>
      <c r="D3514" s="17"/>
      <c r="E3514" s="17"/>
      <c r="F3514" s="17"/>
      <c r="G3514" s="17"/>
      <c r="H3514" s="17"/>
      <c r="I3514" s="17"/>
      <c r="J3514" s="17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/>
      <c r="V3514" s="18">
        <v>0</v>
      </c>
      <c r="W3514" s="17">
        <f t="shared" si="110"/>
        <v>0</v>
      </c>
      <c r="X3514" s="5">
        <f t="shared" si="111"/>
        <v>0</v>
      </c>
    </row>
    <row r="3515" spans="1:24" x14ac:dyDescent="0.25">
      <c r="A3515" s="17"/>
      <c r="B3515" s="17"/>
      <c r="C3515" s="17"/>
      <c r="D3515" s="17"/>
      <c r="E3515" s="17"/>
      <c r="F3515" s="17"/>
      <c r="G3515" s="17"/>
      <c r="H3515" s="17"/>
      <c r="I3515" s="17"/>
      <c r="J3515" s="17"/>
      <c r="K3515" s="17"/>
      <c r="L3515" s="17"/>
      <c r="M3515" s="17"/>
      <c r="N3515" s="17"/>
      <c r="O3515" s="17"/>
      <c r="P3515" s="17"/>
      <c r="Q3515" s="17"/>
      <c r="R3515" s="17"/>
      <c r="S3515" s="17"/>
      <c r="T3515" s="17"/>
      <c r="U3515" s="17"/>
      <c r="V3515" s="18">
        <v>0</v>
      </c>
      <c r="W3515" s="17">
        <f t="shared" si="110"/>
        <v>0</v>
      </c>
      <c r="X3515" s="5">
        <f t="shared" si="111"/>
        <v>0</v>
      </c>
    </row>
    <row r="3516" spans="1:24" x14ac:dyDescent="0.25">
      <c r="A3516" s="17"/>
      <c r="B3516" s="17"/>
      <c r="C3516" s="17"/>
      <c r="D3516" s="17"/>
      <c r="E3516" s="17"/>
      <c r="F3516" s="17"/>
      <c r="G3516" s="17"/>
      <c r="H3516" s="17"/>
      <c r="I3516" s="17"/>
      <c r="J3516" s="17"/>
      <c r="K3516" s="17"/>
      <c r="L3516" s="17"/>
      <c r="M3516" s="17"/>
      <c r="N3516" s="17"/>
      <c r="O3516" s="17"/>
      <c r="P3516" s="17"/>
      <c r="Q3516" s="17"/>
      <c r="R3516" s="17"/>
      <c r="S3516" s="17"/>
      <c r="T3516" s="17"/>
      <c r="U3516" s="17"/>
      <c r="V3516" s="18">
        <v>0</v>
      </c>
      <c r="W3516" s="17">
        <f t="shared" si="110"/>
        <v>0</v>
      </c>
      <c r="X3516" s="5">
        <f t="shared" si="111"/>
        <v>0</v>
      </c>
    </row>
    <row r="3517" spans="1:24" x14ac:dyDescent="0.25">
      <c r="A3517" s="17"/>
      <c r="B3517" s="17"/>
      <c r="C3517" s="17"/>
      <c r="D3517" s="17"/>
      <c r="E3517" s="17"/>
      <c r="F3517" s="17"/>
      <c r="G3517" s="17"/>
      <c r="H3517" s="17"/>
      <c r="I3517" s="17"/>
      <c r="J3517" s="17"/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/>
      <c r="V3517" s="18">
        <v>0</v>
      </c>
      <c r="W3517" s="17">
        <f t="shared" si="110"/>
        <v>0</v>
      </c>
      <c r="X3517" s="5">
        <f t="shared" si="111"/>
        <v>0</v>
      </c>
    </row>
    <row r="3518" spans="1:24" x14ac:dyDescent="0.25">
      <c r="A3518" s="17"/>
      <c r="B3518" s="17"/>
      <c r="C3518" s="17"/>
      <c r="D3518" s="17"/>
      <c r="E3518" s="17"/>
      <c r="F3518" s="17"/>
      <c r="G3518" s="17"/>
      <c r="H3518" s="17"/>
      <c r="I3518" s="17"/>
      <c r="J3518" s="17"/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/>
      <c r="V3518" s="18">
        <v>0</v>
      </c>
      <c r="W3518" s="17">
        <f t="shared" si="110"/>
        <v>0</v>
      </c>
      <c r="X3518" s="5">
        <f t="shared" si="111"/>
        <v>0</v>
      </c>
    </row>
    <row r="3519" spans="1:24" x14ac:dyDescent="0.25">
      <c r="A3519" s="17"/>
      <c r="B3519" s="17"/>
      <c r="C3519" s="17"/>
      <c r="D3519" s="17"/>
      <c r="E3519" s="17"/>
      <c r="F3519" s="17"/>
      <c r="G3519" s="17"/>
      <c r="H3519" s="17"/>
      <c r="I3519" s="17"/>
      <c r="J3519" s="17"/>
      <c r="K3519" s="17"/>
      <c r="L3519" s="17"/>
      <c r="M3519" s="17"/>
      <c r="N3519" s="17"/>
      <c r="O3519" s="17"/>
      <c r="P3519" s="17"/>
      <c r="Q3519" s="17"/>
      <c r="R3519" s="17"/>
      <c r="S3519" s="17"/>
      <c r="T3519" s="17"/>
      <c r="U3519" s="17"/>
      <c r="V3519" s="18">
        <v>0</v>
      </c>
      <c r="W3519" s="17">
        <f t="shared" si="110"/>
        <v>0</v>
      </c>
      <c r="X3519" s="5">
        <f t="shared" si="111"/>
        <v>0</v>
      </c>
    </row>
    <row r="3520" spans="1:24" x14ac:dyDescent="0.25">
      <c r="A3520" s="17"/>
      <c r="B3520" s="17"/>
      <c r="C3520" s="17"/>
      <c r="D3520" s="17"/>
      <c r="E3520" s="17"/>
      <c r="F3520" s="17"/>
      <c r="G3520" s="17"/>
      <c r="H3520" s="17"/>
      <c r="I3520" s="17"/>
      <c r="J3520" s="17"/>
      <c r="K3520" s="17"/>
      <c r="L3520" s="17"/>
      <c r="M3520" s="17"/>
      <c r="N3520" s="17"/>
      <c r="O3520" s="17"/>
      <c r="P3520" s="17"/>
      <c r="Q3520" s="17"/>
      <c r="R3520" s="17"/>
      <c r="S3520" s="17"/>
      <c r="T3520" s="17"/>
      <c r="U3520" s="17"/>
      <c r="V3520" s="18">
        <v>0</v>
      </c>
      <c r="W3520" s="17">
        <f t="shared" si="110"/>
        <v>0</v>
      </c>
      <c r="X3520" s="5">
        <f t="shared" si="111"/>
        <v>0</v>
      </c>
    </row>
    <row r="3521" spans="1:24" x14ac:dyDescent="0.25">
      <c r="A3521" s="17"/>
      <c r="B3521" s="17"/>
      <c r="C3521" s="17"/>
      <c r="D3521" s="17"/>
      <c r="E3521" s="17"/>
      <c r="F3521" s="17"/>
      <c r="G3521" s="17"/>
      <c r="H3521" s="17"/>
      <c r="I3521" s="17"/>
      <c r="J3521" s="17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8">
        <v>0</v>
      </c>
      <c r="W3521" s="17">
        <f t="shared" si="110"/>
        <v>0</v>
      </c>
      <c r="X3521" s="5">
        <f t="shared" si="111"/>
        <v>0</v>
      </c>
    </row>
    <row r="3522" spans="1:24" x14ac:dyDescent="0.25">
      <c r="A3522" s="17"/>
      <c r="B3522" s="17"/>
      <c r="C3522" s="17"/>
      <c r="D3522" s="17"/>
      <c r="E3522" s="17"/>
      <c r="F3522" s="17"/>
      <c r="G3522" s="17"/>
      <c r="H3522" s="17"/>
      <c r="I3522" s="17"/>
      <c r="J3522" s="17"/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/>
      <c r="V3522" s="18">
        <v>0</v>
      </c>
      <c r="W3522" s="17">
        <f t="shared" si="110"/>
        <v>0</v>
      </c>
      <c r="X3522" s="5">
        <f t="shared" si="111"/>
        <v>0</v>
      </c>
    </row>
    <row r="3523" spans="1:24" x14ac:dyDescent="0.25">
      <c r="A3523" s="17"/>
      <c r="B3523" s="17"/>
      <c r="C3523" s="17"/>
      <c r="D3523" s="17"/>
      <c r="E3523" s="17"/>
      <c r="F3523" s="17"/>
      <c r="G3523" s="17"/>
      <c r="H3523" s="17"/>
      <c r="I3523" s="17"/>
      <c r="J3523" s="17"/>
      <c r="K3523" s="17"/>
      <c r="L3523" s="17"/>
      <c r="M3523" s="17"/>
      <c r="N3523" s="17"/>
      <c r="O3523" s="17"/>
      <c r="P3523" s="17"/>
      <c r="Q3523" s="17"/>
      <c r="R3523" s="17"/>
      <c r="S3523" s="17"/>
      <c r="T3523" s="17"/>
      <c r="U3523" s="17"/>
      <c r="V3523" s="18">
        <v>0</v>
      </c>
      <c r="W3523" s="17">
        <f t="shared" ref="W3523:W3586" si="112">HOUR(E3523)</f>
        <v>0</v>
      </c>
      <c r="X3523" s="5">
        <f t="shared" ref="X3523:X3586" si="113">IF(D3523=D3522,0,1)</f>
        <v>0</v>
      </c>
    </row>
    <row r="3524" spans="1:24" x14ac:dyDescent="0.25">
      <c r="A3524" s="17"/>
      <c r="B3524" s="17"/>
      <c r="C3524" s="17"/>
      <c r="D3524" s="17"/>
      <c r="E3524" s="17"/>
      <c r="F3524" s="17"/>
      <c r="G3524" s="17"/>
      <c r="H3524" s="17"/>
      <c r="I3524" s="17"/>
      <c r="J3524" s="17"/>
      <c r="K3524" s="17"/>
      <c r="L3524" s="17"/>
      <c r="M3524" s="17"/>
      <c r="N3524" s="17"/>
      <c r="O3524" s="17"/>
      <c r="P3524" s="17"/>
      <c r="Q3524" s="17"/>
      <c r="R3524" s="17"/>
      <c r="S3524" s="17"/>
      <c r="T3524" s="17"/>
      <c r="U3524" s="17"/>
      <c r="V3524" s="18">
        <v>0</v>
      </c>
      <c r="W3524" s="17">
        <f t="shared" si="112"/>
        <v>0</v>
      </c>
      <c r="X3524" s="5">
        <f t="shared" si="113"/>
        <v>0</v>
      </c>
    </row>
    <row r="3525" spans="1:24" x14ac:dyDescent="0.25">
      <c r="A3525" s="17"/>
      <c r="B3525" s="17"/>
      <c r="C3525" s="17"/>
      <c r="D3525" s="17"/>
      <c r="E3525" s="17"/>
      <c r="F3525" s="17"/>
      <c r="G3525" s="17"/>
      <c r="H3525" s="17"/>
      <c r="I3525" s="17"/>
      <c r="J3525" s="17"/>
      <c r="K3525" s="17"/>
      <c r="L3525" s="17"/>
      <c r="M3525" s="17"/>
      <c r="N3525" s="17"/>
      <c r="O3525" s="17"/>
      <c r="P3525" s="17"/>
      <c r="Q3525" s="17"/>
      <c r="R3525" s="17"/>
      <c r="S3525" s="17"/>
      <c r="T3525" s="17"/>
      <c r="U3525" s="17"/>
      <c r="V3525" s="18">
        <v>0</v>
      </c>
      <c r="W3525" s="17">
        <f t="shared" si="112"/>
        <v>0</v>
      </c>
      <c r="X3525" s="5">
        <f t="shared" si="113"/>
        <v>0</v>
      </c>
    </row>
    <row r="3526" spans="1:24" x14ac:dyDescent="0.25">
      <c r="A3526" s="17"/>
      <c r="B3526" s="17"/>
      <c r="C3526" s="17"/>
      <c r="D3526" s="17"/>
      <c r="E3526" s="17"/>
      <c r="F3526" s="17"/>
      <c r="G3526" s="17"/>
      <c r="H3526" s="17"/>
      <c r="I3526" s="17"/>
      <c r="J3526" s="17"/>
      <c r="K3526" s="17"/>
      <c r="L3526" s="17"/>
      <c r="M3526" s="17"/>
      <c r="N3526" s="17"/>
      <c r="O3526" s="17"/>
      <c r="P3526" s="17"/>
      <c r="Q3526" s="17"/>
      <c r="R3526" s="17"/>
      <c r="S3526" s="17"/>
      <c r="T3526" s="17"/>
      <c r="U3526" s="17"/>
      <c r="V3526" s="18">
        <v>0</v>
      </c>
      <c r="W3526" s="17">
        <f t="shared" si="112"/>
        <v>0</v>
      </c>
      <c r="X3526" s="5">
        <f t="shared" si="113"/>
        <v>0</v>
      </c>
    </row>
    <row r="3527" spans="1:24" x14ac:dyDescent="0.25">
      <c r="A3527" s="17"/>
      <c r="B3527" s="17"/>
      <c r="C3527" s="17"/>
      <c r="D3527" s="17"/>
      <c r="E3527" s="17"/>
      <c r="F3527" s="17"/>
      <c r="G3527" s="17"/>
      <c r="H3527" s="17"/>
      <c r="I3527" s="17"/>
      <c r="J3527" s="17"/>
      <c r="K3527" s="17"/>
      <c r="L3527" s="17"/>
      <c r="M3527" s="17"/>
      <c r="N3527" s="17"/>
      <c r="O3527" s="17"/>
      <c r="P3527" s="17"/>
      <c r="Q3527" s="17"/>
      <c r="R3527" s="17"/>
      <c r="S3527" s="17"/>
      <c r="T3527" s="17"/>
      <c r="U3527" s="17"/>
      <c r="V3527" s="18">
        <v>0</v>
      </c>
      <c r="W3527" s="17">
        <f t="shared" si="112"/>
        <v>0</v>
      </c>
      <c r="X3527" s="5">
        <f t="shared" si="113"/>
        <v>0</v>
      </c>
    </row>
    <row r="3528" spans="1:24" x14ac:dyDescent="0.25">
      <c r="A3528" s="17"/>
      <c r="B3528" s="17"/>
      <c r="C3528" s="17"/>
      <c r="D3528" s="17"/>
      <c r="E3528" s="17"/>
      <c r="F3528" s="17"/>
      <c r="G3528" s="17"/>
      <c r="H3528" s="17"/>
      <c r="I3528" s="17"/>
      <c r="J3528" s="17"/>
      <c r="K3528" s="17"/>
      <c r="L3528" s="17"/>
      <c r="M3528" s="17"/>
      <c r="N3528" s="17"/>
      <c r="O3528" s="17"/>
      <c r="P3528" s="17"/>
      <c r="Q3528" s="17"/>
      <c r="R3528" s="17"/>
      <c r="S3528" s="17"/>
      <c r="T3528" s="17"/>
      <c r="U3528" s="17"/>
      <c r="V3528" s="18">
        <v>0</v>
      </c>
      <c r="W3528" s="17">
        <f t="shared" si="112"/>
        <v>0</v>
      </c>
      <c r="X3528" s="5">
        <f t="shared" si="113"/>
        <v>0</v>
      </c>
    </row>
    <row r="3529" spans="1:24" x14ac:dyDescent="0.25">
      <c r="A3529" s="17"/>
      <c r="B3529" s="17"/>
      <c r="C3529" s="17"/>
      <c r="D3529" s="17"/>
      <c r="E3529" s="17"/>
      <c r="F3529" s="17"/>
      <c r="G3529" s="17"/>
      <c r="H3529" s="17"/>
      <c r="I3529" s="17"/>
      <c r="J3529" s="17"/>
      <c r="K3529" s="17"/>
      <c r="L3529" s="17"/>
      <c r="M3529" s="17"/>
      <c r="N3529" s="17"/>
      <c r="O3529" s="17"/>
      <c r="P3529" s="17"/>
      <c r="Q3529" s="17"/>
      <c r="R3529" s="17"/>
      <c r="S3529" s="17"/>
      <c r="T3529" s="17"/>
      <c r="U3529" s="17"/>
      <c r="V3529" s="18">
        <v>0</v>
      </c>
      <c r="W3529" s="17">
        <f t="shared" si="112"/>
        <v>0</v>
      </c>
      <c r="X3529" s="5">
        <f t="shared" si="113"/>
        <v>0</v>
      </c>
    </row>
    <row r="3530" spans="1:24" x14ac:dyDescent="0.25">
      <c r="A3530" s="17"/>
      <c r="B3530" s="17"/>
      <c r="C3530" s="17"/>
      <c r="D3530" s="17"/>
      <c r="E3530" s="17"/>
      <c r="F3530" s="17"/>
      <c r="G3530" s="17"/>
      <c r="H3530" s="17"/>
      <c r="I3530" s="17"/>
      <c r="J3530" s="17"/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/>
      <c r="V3530" s="18">
        <v>0</v>
      </c>
      <c r="W3530" s="17">
        <f t="shared" si="112"/>
        <v>0</v>
      </c>
      <c r="X3530" s="5">
        <f t="shared" si="113"/>
        <v>0</v>
      </c>
    </row>
    <row r="3531" spans="1:24" x14ac:dyDescent="0.25">
      <c r="A3531" s="17"/>
      <c r="B3531" s="17"/>
      <c r="C3531" s="17"/>
      <c r="D3531" s="17"/>
      <c r="E3531" s="17"/>
      <c r="F3531" s="17"/>
      <c r="G3531" s="17"/>
      <c r="H3531" s="17"/>
      <c r="I3531" s="17"/>
      <c r="J3531" s="17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8">
        <v>0</v>
      </c>
      <c r="W3531" s="17">
        <f t="shared" si="112"/>
        <v>0</v>
      </c>
      <c r="X3531" s="5">
        <f t="shared" si="113"/>
        <v>0</v>
      </c>
    </row>
    <row r="3532" spans="1:24" x14ac:dyDescent="0.25">
      <c r="A3532" s="17"/>
      <c r="B3532" s="17"/>
      <c r="C3532" s="17"/>
      <c r="D3532" s="17"/>
      <c r="E3532" s="17"/>
      <c r="F3532" s="17"/>
      <c r="G3532" s="17"/>
      <c r="H3532" s="17"/>
      <c r="I3532" s="17"/>
      <c r="J3532" s="17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8">
        <v>0</v>
      </c>
      <c r="W3532" s="17">
        <f t="shared" si="112"/>
        <v>0</v>
      </c>
      <c r="X3532" s="5">
        <f t="shared" si="113"/>
        <v>0</v>
      </c>
    </row>
    <row r="3533" spans="1:24" x14ac:dyDescent="0.25">
      <c r="A3533" s="17"/>
      <c r="B3533" s="17"/>
      <c r="C3533" s="17"/>
      <c r="D3533" s="17"/>
      <c r="E3533" s="17"/>
      <c r="F3533" s="17"/>
      <c r="G3533" s="17"/>
      <c r="H3533" s="17"/>
      <c r="I3533" s="17"/>
      <c r="J3533" s="17"/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/>
      <c r="V3533" s="18">
        <v>0</v>
      </c>
      <c r="W3533" s="17">
        <f t="shared" si="112"/>
        <v>0</v>
      </c>
      <c r="X3533" s="5">
        <f t="shared" si="113"/>
        <v>0</v>
      </c>
    </row>
    <row r="3534" spans="1:24" x14ac:dyDescent="0.25">
      <c r="A3534" s="17"/>
      <c r="B3534" s="17"/>
      <c r="C3534" s="17"/>
      <c r="D3534" s="17"/>
      <c r="E3534" s="17"/>
      <c r="F3534" s="17"/>
      <c r="G3534" s="17"/>
      <c r="H3534" s="17"/>
      <c r="I3534" s="17"/>
      <c r="J3534" s="17"/>
      <c r="K3534" s="17"/>
      <c r="L3534" s="17"/>
      <c r="M3534" s="17"/>
      <c r="N3534" s="17"/>
      <c r="O3534" s="17"/>
      <c r="P3534" s="17"/>
      <c r="Q3534" s="17"/>
      <c r="R3534" s="17"/>
      <c r="S3534" s="17"/>
      <c r="T3534" s="17"/>
      <c r="U3534" s="17"/>
      <c r="V3534" s="18">
        <v>0</v>
      </c>
      <c r="W3534" s="17">
        <f t="shared" si="112"/>
        <v>0</v>
      </c>
      <c r="X3534" s="5">
        <f t="shared" si="113"/>
        <v>0</v>
      </c>
    </row>
    <row r="3535" spans="1:24" x14ac:dyDescent="0.25">
      <c r="A3535" s="17"/>
      <c r="B3535" s="17"/>
      <c r="C3535" s="17"/>
      <c r="D3535" s="17"/>
      <c r="E3535" s="17"/>
      <c r="F3535" s="17"/>
      <c r="G3535" s="17"/>
      <c r="H3535" s="17"/>
      <c r="I3535" s="17"/>
      <c r="J3535" s="17"/>
      <c r="K3535" s="17"/>
      <c r="L3535" s="17"/>
      <c r="M3535" s="17"/>
      <c r="N3535" s="17"/>
      <c r="O3535" s="17"/>
      <c r="P3535" s="17"/>
      <c r="Q3535" s="17"/>
      <c r="R3535" s="17"/>
      <c r="S3535" s="17"/>
      <c r="T3535" s="17"/>
      <c r="U3535" s="17"/>
      <c r="V3535" s="18">
        <v>0</v>
      </c>
      <c r="W3535" s="17">
        <f t="shared" si="112"/>
        <v>0</v>
      </c>
      <c r="X3535" s="5">
        <f t="shared" si="113"/>
        <v>0</v>
      </c>
    </row>
    <row r="3536" spans="1:24" x14ac:dyDescent="0.25">
      <c r="A3536" s="17"/>
      <c r="B3536" s="17"/>
      <c r="C3536" s="17"/>
      <c r="D3536" s="17"/>
      <c r="E3536" s="17"/>
      <c r="F3536" s="17"/>
      <c r="G3536" s="17"/>
      <c r="H3536" s="17"/>
      <c r="I3536" s="17"/>
      <c r="J3536" s="17"/>
      <c r="K3536" s="17"/>
      <c r="L3536" s="17"/>
      <c r="M3536" s="17"/>
      <c r="N3536" s="17"/>
      <c r="O3536" s="17"/>
      <c r="P3536" s="17"/>
      <c r="Q3536" s="17"/>
      <c r="R3536" s="17"/>
      <c r="S3536" s="17"/>
      <c r="T3536" s="17"/>
      <c r="U3536" s="17"/>
      <c r="V3536" s="18">
        <v>0</v>
      </c>
      <c r="W3536" s="17">
        <f t="shared" si="112"/>
        <v>0</v>
      </c>
      <c r="X3536" s="5">
        <f t="shared" si="113"/>
        <v>0</v>
      </c>
    </row>
    <row r="3537" spans="1:24" x14ac:dyDescent="0.25">
      <c r="A3537" s="17"/>
      <c r="B3537" s="17"/>
      <c r="C3537" s="17"/>
      <c r="D3537" s="17"/>
      <c r="E3537" s="17"/>
      <c r="F3537" s="17"/>
      <c r="G3537" s="17"/>
      <c r="H3537" s="17"/>
      <c r="I3537" s="17"/>
      <c r="J3537" s="17"/>
      <c r="K3537" s="17"/>
      <c r="L3537" s="17"/>
      <c r="M3537" s="17"/>
      <c r="N3537" s="17"/>
      <c r="O3537" s="17"/>
      <c r="P3537" s="17"/>
      <c r="Q3537" s="17"/>
      <c r="R3537" s="17"/>
      <c r="S3537" s="17"/>
      <c r="T3537" s="17"/>
      <c r="U3537" s="17"/>
      <c r="V3537" s="18">
        <v>0</v>
      </c>
      <c r="W3537" s="17">
        <f t="shared" si="112"/>
        <v>0</v>
      </c>
      <c r="X3537" s="5">
        <f t="shared" si="113"/>
        <v>0</v>
      </c>
    </row>
    <row r="3538" spans="1:24" x14ac:dyDescent="0.25">
      <c r="A3538" s="17"/>
      <c r="B3538" s="17"/>
      <c r="C3538" s="17"/>
      <c r="D3538" s="17"/>
      <c r="E3538" s="17"/>
      <c r="F3538" s="17"/>
      <c r="G3538" s="17"/>
      <c r="H3538" s="17"/>
      <c r="I3538" s="17"/>
      <c r="J3538" s="17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8">
        <v>0</v>
      </c>
      <c r="W3538" s="17">
        <f t="shared" si="112"/>
        <v>0</v>
      </c>
      <c r="X3538" s="5">
        <f t="shared" si="113"/>
        <v>0</v>
      </c>
    </row>
    <row r="3539" spans="1:24" x14ac:dyDescent="0.25">
      <c r="A3539" s="17"/>
      <c r="B3539" s="17"/>
      <c r="C3539" s="17"/>
      <c r="D3539" s="17"/>
      <c r="E3539" s="17"/>
      <c r="F3539" s="17"/>
      <c r="G3539" s="17"/>
      <c r="H3539" s="17"/>
      <c r="I3539" s="17"/>
      <c r="J3539" s="17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/>
      <c r="U3539" s="17"/>
      <c r="V3539" s="18">
        <v>0</v>
      </c>
      <c r="W3539" s="17">
        <f t="shared" si="112"/>
        <v>0</v>
      </c>
      <c r="X3539" s="5">
        <f t="shared" si="113"/>
        <v>0</v>
      </c>
    </row>
    <row r="3540" spans="1:24" x14ac:dyDescent="0.25">
      <c r="A3540" s="17"/>
      <c r="B3540" s="17"/>
      <c r="C3540" s="17"/>
      <c r="D3540" s="17"/>
      <c r="E3540" s="17"/>
      <c r="F3540" s="17"/>
      <c r="G3540" s="17"/>
      <c r="H3540" s="17"/>
      <c r="I3540" s="17"/>
      <c r="J3540" s="17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/>
      <c r="V3540" s="18">
        <v>0</v>
      </c>
      <c r="W3540" s="17">
        <f t="shared" si="112"/>
        <v>0</v>
      </c>
      <c r="X3540" s="5">
        <f t="shared" si="113"/>
        <v>0</v>
      </c>
    </row>
    <row r="3541" spans="1:24" x14ac:dyDescent="0.25">
      <c r="A3541" s="17"/>
      <c r="B3541" s="17"/>
      <c r="C3541" s="17"/>
      <c r="D3541" s="17"/>
      <c r="E3541" s="17"/>
      <c r="F3541" s="17"/>
      <c r="G3541" s="17"/>
      <c r="H3541" s="17"/>
      <c r="I3541" s="17"/>
      <c r="J3541" s="17"/>
      <c r="K3541" s="17"/>
      <c r="L3541" s="17"/>
      <c r="M3541" s="17"/>
      <c r="N3541" s="17"/>
      <c r="O3541" s="17"/>
      <c r="P3541" s="17"/>
      <c r="Q3541" s="17"/>
      <c r="R3541" s="17"/>
      <c r="S3541" s="17"/>
      <c r="T3541" s="17"/>
      <c r="U3541" s="17"/>
      <c r="V3541" s="18">
        <v>0</v>
      </c>
      <c r="W3541" s="17">
        <f t="shared" si="112"/>
        <v>0</v>
      </c>
      <c r="X3541" s="5">
        <f t="shared" si="113"/>
        <v>0</v>
      </c>
    </row>
    <row r="3542" spans="1:24" x14ac:dyDescent="0.25">
      <c r="A3542" s="17"/>
      <c r="B3542" s="17"/>
      <c r="C3542" s="17"/>
      <c r="D3542" s="17"/>
      <c r="E3542" s="17"/>
      <c r="F3542" s="17"/>
      <c r="G3542" s="17"/>
      <c r="H3542" s="17"/>
      <c r="I3542" s="17"/>
      <c r="J3542" s="17"/>
      <c r="K3542" s="17"/>
      <c r="L3542" s="17"/>
      <c r="M3542" s="17"/>
      <c r="N3542" s="17"/>
      <c r="O3542" s="17"/>
      <c r="P3542" s="17"/>
      <c r="Q3542" s="17"/>
      <c r="R3542" s="17"/>
      <c r="S3542" s="17"/>
      <c r="T3542" s="17"/>
      <c r="U3542" s="17"/>
      <c r="V3542" s="18">
        <v>0</v>
      </c>
      <c r="W3542" s="17">
        <f t="shared" si="112"/>
        <v>0</v>
      </c>
      <c r="X3542" s="5">
        <f t="shared" si="113"/>
        <v>0</v>
      </c>
    </row>
    <row r="3543" spans="1:24" x14ac:dyDescent="0.25">
      <c r="A3543" s="17"/>
      <c r="B3543" s="17"/>
      <c r="C3543" s="17"/>
      <c r="D3543" s="17"/>
      <c r="E3543" s="17"/>
      <c r="F3543" s="17"/>
      <c r="G3543" s="17"/>
      <c r="H3543" s="17"/>
      <c r="I3543" s="17"/>
      <c r="J3543" s="17"/>
      <c r="K3543" s="17"/>
      <c r="L3543" s="17"/>
      <c r="M3543" s="17"/>
      <c r="N3543" s="17"/>
      <c r="O3543" s="17"/>
      <c r="P3543" s="17"/>
      <c r="Q3543" s="17"/>
      <c r="R3543" s="17"/>
      <c r="S3543" s="17"/>
      <c r="T3543" s="17"/>
      <c r="U3543" s="17"/>
      <c r="V3543" s="18">
        <v>0</v>
      </c>
      <c r="W3543" s="17">
        <f t="shared" si="112"/>
        <v>0</v>
      </c>
      <c r="X3543" s="5">
        <f t="shared" si="113"/>
        <v>0</v>
      </c>
    </row>
    <row r="3544" spans="1:24" x14ac:dyDescent="0.25">
      <c r="A3544" s="17"/>
      <c r="B3544" s="17"/>
      <c r="C3544" s="17"/>
      <c r="D3544" s="17"/>
      <c r="E3544" s="17"/>
      <c r="F3544" s="17"/>
      <c r="G3544" s="17"/>
      <c r="H3544" s="17"/>
      <c r="I3544" s="17"/>
      <c r="J3544" s="17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/>
      <c r="V3544" s="18">
        <v>0</v>
      </c>
      <c r="W3544" s="17">
        <f t="shared" si="112"/>
        <v>0</v>
      </c>
      <c r="X3544" s="5">
        <f t="shared" si="113"/>
        <v>0</v>
      </c>
    </row>
    <row r="3545" spans="1:24" x14ac:dyDescent="0.25">
      <c r="A3545" s="17"/>
      <c r="B3545" s="17"/>
      <c r="C3545" s="17"/>
      <c r="D3545" s="17"/>
      <c r="E3545" s="17"/>
      <c r="F3545" s="17"/>
      <c r="G3545" s="17"/>
      <c r="H3545" s="17"/>
      <c r="I3545" s="17"/>
      <c r="J3545" s="17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8">
        <v>0</v>
      </c>
      <c r="W3545" s="17">
        <f t="shared" si="112"/>
        <v>0</v>
      </c>
      <c r="X3545" s="5">
        <f t="shared" si="113"/>
        <v>0</v>
      </c>
    </row>
    <row r="3546" spans="1:24" x14ac:dyDescent="0.25">
      <c r="A3546" s="17"/>
      <c r="B3546" s="17"/>
      <c r="C3546" s="17"/>
      <c r="D3546" s="17"/>
      <c r="E3546" s="17"/>
      <c r="F3546" s="17"/>
      <c r="G3546" s="17"/>
      <c r="H3546" s="17"/>
      <c r="I3546" s="17"/>
      <c r="J3546" s="17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/>
      <c r="V3546" s="18">
        <v>0</v>
      </c>
      <c r="W3546" s="17">
        <f t="shared" si="112"/>
        <v>0</v>
      </c>
      <c r="X3546" s="5">
        <f t="shared" si="113"/>
        <v>0</v>
      </c>
    </row>
    <row r="3547" spans="1:24" x14ac:dyDescent="0.25">
      <c r="A3547" s="17"/>
      <c r="B3547" s="17"/>
      <c r="C3547" s="17"/>
      <c r="D3547" s="17"/>
      <c r="E3547" s="17"/>
      <c r="F3547" s="17"/>
      <c r="G3547" s="17"/>
      <c r="H3547" s="17"/>
      <c r="I3547" s="17"/>
      <c r="J3547" s="17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/>
      <c r="V3547" s="18">
        <v>0</v>
      </c>
      <c r="W3547" s="17">
        <f t="shared" si="112"/>
        <v>0</v>
      </c>
      <c r="X3547" s="5">
        <f t="shared" si="113"/>
        <v>0</v>
      </c>
    </row>
    <row r="3548" spans="1:24" x14ac:dyDescent="0.25">
      <c r="A3548" s="17"/>
      <c r="B3548" s="17"/>
      <c r="C3548" s="17"/>
      <c r="D3548" s="17"/>
      <c r="E3548" s="17"/>
      <c r="F3548" s="17"/>
      <c r="G3548" s="17"/>
      <c r="H3548" s="17"/>
      <c r="I3548" s="17"/>
      <c r="J3548" s="17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/>
      <c r="V3548" s="18">
        <v>0</v>
      </c>
      <c r="W3548" s="17">
        <f t="shared" si="112"/>
        <v>0</v>
      </c>
      <c r="X3548" s="5">
        <f t="shared" si="113"/>
        <v>0</v>
      </c>
    </row>
    <row r="3549" spans="1:24" x14ac:dyDescent="0.25">
      <c r="A3549" s="17"/>
      <c r="B3549" s="17"/>
      <c r="C3549" s="17"/>
      <c r="D3549" s="17"/>
      <c r="E3549" s="17"/>
      <c r="F3549" s="17"/>
      <c r="G3549" s="17"/>
      <c r="H3549" s="17"/>
      <c r="I3549" s="17"/>
      <c r="J3549" s="17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/>
      <c r="U3549" s="17"/>
      <c r="V3549" s="18">
        <v>0</v>
      </c>
      <c r="W3549" s="17">
        <f t="shared" si="112"/>
        <v>0</v>
      </c>
      <c r="X3549" s="5">
        <f t="shared" si="113"/>
        <v>0</v>
      </c>
    </row>
    <row r="3550" spans="1:24" x14ac:dyDescent="0.25">
      <c r="A3550" s="17"/>
      <c r="B3550" s="17"/>
      <c r="C3550" s="17"/>
      <c r="D3550" s="17"/>
      <c r="E3550" s="17"/>
      <c r="F3550" s="17"/>
      <c r="G3550" s="17"/>
      <c r="H3550" s="17"/>
      <c r="I3550" s="17"/>
      <c r="J3550" s="17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8">
        <v>0</v>
      </c>
      <c r="W3550" s="17">
        <f t="shared" si="112"/>
        <v>0</v>
      </c>
      <c r="X3550" s="5">
        <f t="shared" si="113"/>
        <v>0</v>
      </c>
    </row>
    <row r="3551" spans="1:24" x14ac:dyDescent="0.25">
      <c r="A3551" s="17"/>
      <c r="B3551" s="17"/>
      <c r="C3551" s="17"/>
      <c r="D3551" s="17"/>
      <c r="E3551" s="17"/>
      <c r="F3551" s="17"/>
      <c r="G3551" s="17"/>
      <c r="H3551" s="17"/>
      <c r="I3551" s="17"/>
      <c r="J3551" s="17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/>
      <c r="U3551" s="17"/>
      <c r="V3551" s="18">
        <v>0</v>
      </c>
      <c r="W3551" s="17">
        <f t="shared" si="112"/>
        <v>0</v>
      </c>
      <c r="X3551" s="5">
        <f t="shared" si="113"/>
        <v>0</v>
      </c>
    </row>
    <row r="3552" spans="1:24" x14ac:dyDescent="0.25">
      <c r="A3552" s="17"/>
      <c r="B3552" s="17"/>
      <c r="C3552" s="17"/>
      <c r="D3552" s="17"/>
      <c r="E3552" s="17"/>
      <c r="F3552" s="17"/>
      <c r="G3552" s="17"/>
      <c r="H3552" s="17"/>
      <c r="I3552" s="17"/>
      <c r="J3552" s="17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/>
      <c r="U3552" s="17"/>
      <c r="V3552" s="18">
        <v>0</v>
      </c>
      <c r="W3552" s="17">
        <f t="shared" si="112"/>
        <v>0</v>
      </c>
      <c r="X3552" s="5">
        <f t="shared" si="113"/>
        <v>0</v>
      </c>
    </row>
    <row r="3553" spans="1:24" x14ac:dyDescent="0.25">
      <c r="A3553" s="17"/>
      <c r="B3553" s="17"/>
      <c r="C3553" s="17"/>
      <c r="D3553" s="17"/>
      <c r="E3553" s="17"/>
      <c r="F3553" s="17"/>
      <c r="G3553" s="17"/>
      <c r="H3553" s="17"/>
      <c r="I3553" s="17"/>
      <c r="J3553" s="17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/>
      <c r="U3553" s="17"/>
      <c r="V3553" s="18">
        <v>0</v>
      </c>
      <c r="W3553" s="17">
        <f t="shared" si="112"/>
        <v>0</v>
      </c>
      <c r="X3553" s="5">
        <f t="shared" si="113"/>
        <v>0</v>
      </c>
    </row>
    <row r="3554" spans="1:24" x14ac:dyDescent="0.25">
      <c r="A3554" s="17"/>
      <c r="B3554" s="17"/>
      <c r="C3554" s="17"/>
      <c r="D3554" s="17"/>
      <c r="E3554" s="17"/>
      <c r="F3554" s="17"/>
      <c r="G3554" s="17"/>
      <c r="H3554" s="17"/>
      <c r="I3554" s="17"/>
      <c r="J3554" s="17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/>
      <c r="V3554" s="18">
        <v>0</v>
      </c>
      <c r="W3554" s="17">
        <f t="shared" si="112"/>
        <v>0</v>
      </c>
      <c r="X3554" s="5">
        <f t="shared" si="113"/>
        <v>0</v>
      </c>
    </row>
    <row r="3555" spans="1:24" x14ac:dyDescent="0.25">
      <c r="A3555" s="17"/>
      <c r="B3555" s="17"/>
      <c r="C3555" s="17"/>
      <c r="D3555" s="17"/>
      <c r="E3555" s="17"/>
      <c r="F3555" s="17"/>
      <c r="G3555" s="17"/>
      <c r="H3555" s="17"/>
      <c r="I3555" s="17"/>
      <c r="J3555" s="17"/>
      <c r="K3555" s="17"/>
      <c r="L3555" s="17"/>
      <c r="M3555" s="17"/>
      <c r="N3555" s="17"/>
      <c r="O3555" s="17"/>
      <c r="P3555" s="17"/>
      <c r="Q3555" s="17"/>
      <c r="R3555" s="17"/>
      <c r="S3555" s="17"/>
      <c r="T3555" s="17"/>
      <c r="U3555" s="17"/>
      <c r="V3555" s="18">
        <v>0</v>
      </c>
      <c r="W3555" s="17">
        <f t="shared" si="112"/>
        <v>0</v>
      </c>
      <c r="X3555" s="5">
        <f t="shared" si="113"/>
        <v>0</v>
      </c>
    </row>
    <row r="3556" spans="1:24" x14ac:dyDescent="0.25">
      <c r="A3556" s="17"/>
      <c r="B3556" s="17"/>
      <c r="C3556" s="17"/>
      <c r="D3556" s="17"/>
      <c r="E3556" s="17"/>
      <c r="F3556" s="17"/>
      <c r="G3556" s="17"/>
      <c r="H3556" s="17"/>
      <c r="I3556" s="17"/>
      <c r="J3556" s="17"/>
      <c r="K3556" s="17"/>
      <c r="L3556" s="17"/>
      <c r="M3556" s="17"/>
      <c r="N3556" s="17"/>
      <c r="O3556" s="17"/>
      <c r="P3556" s="17"/>
      <c r="Q3556" s="17"/>
      <c r="R3556" s="17"/>
      <c r="S3556" s="17"/>
      <c r="T3556" s="17"/>
      <c r="U3556" s="17"/>
      <c r="V3556" s="18">
        <v>0</v>
      </c>
      <c r="W3556" s="17">
        <f t="shared" si="112"/>
        <v>0</v>
      </c>
      <c r="X3556" s="5">
        <f t="shared" si="113"/>
        <v>0</v>
      </c>
    </row>
    <row r="3557" spans="1:24" x14ac:dyDescent="0.25">
      <c r="A3557" s="17"/>
      <c r="B3557" s="17"/>
      <c r="C3557" s="17"/>
      <c r="D3557" s="17"/>
      <c r="E3557" s="17"/>
      <c r="F3557" s="17"/>
      <c r="G3557" s="17"/>
      <c r="H3557" s="17"/>
      <c r="I3557" s="17"/>
      <c r="J3557" s="17"/>
      <c r="K3557" s="17"/>
      <c r="L3557" s="17"/>
      <c r="M3557" s="17"/>
      <c r="N3557" s="17"/>
      <c r="O3557" s="17"/>
      <c r="P3557" s="17"/>
      <c r="Q3557" s="17"/>
      <c r="R3557" s="17"/>
      <c r="S3557" s="17"/>
      <c r="T3557" s="17"/>
      <c r="U3557" s="17"/>
      <c r="V3557" s="18">
        <v>0</v>
      </c>
      <c r="W3557" s="17">
        <f t="shared" si="112"/>
        <v>0</v>
      </c>
      <c r="X3557" s="5">
        <f t="shared" si="113"/>
        <v>0</v>
      </c>
    </row>
    <row r="3558" spans="1:24" x14ac:dyDescent="0.25">
      <c r="A3558" s="17"/>
      <c r="B3558" s="17"/>
      <c r="C3558" s="17"/>
      <c r="D3558" s="17"/>
      <c r="E3558" s="17"/>
      <c r="F3558" s="17"/>
      <c r="G3558" s="17"/>
      <c r="H3558" s="17"/>
      <c r="I3558" s="17"/>
      <c r="J3558" s="17"/>
      <c r="K3558" s="17"/>
      <c r="L3558" s="17"/>
      <c r="M3558" s="17"/>
      <c r="N3558" s="17"/>
      <c r="O3558" s="17"/>
      <c r="P3558" s="17"/>
      <c r="Q3558" s="17"/>
      <c r="R3558" s="17"/>
      <c r="S3558" s="17"/>
      <c r="T3558" s="17"/>
      <c r="U3558" s="17"/>
      <c r="V3558" s="18">
        <v>0</v>
      </c>
      <c r="W3558" s="17">
        <f t="shared" si="112"/>
        <v>0</v>
      </c>
      <c r="X3558" s="5">
        <f t="shared" si="113"/>
        <v>0</v>
      </c>
    </row>
    <row r="3559" spans="1:24" x14ac:dyDescent="0.25">
      <c r="A3559" s="17"/>
      <c r="B3559" s="17"/>
      <c r="C3559" s="17"/>
      <c r="D3559" s="17"/>
      <c r="E3559" s="17"/>
      <c r="F3559" s="17"/>
      <c r="G3559" s="17"/>
      <c r="H3559" s="17"/>
      <c r="I3559" s="17"/>
      <c r="J3559" s="17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/>
      <c r="V3559" s="18">
        <v>0</v>
      </c>
      <c r="W3559" s="17">
        <f t="shared" si="112"/>
        <v>0</v>
      </c>
      <c r="X3559" s="5">
        <f t="shared" si="113"/>
        <v>0</v>
      </c>
    </row>
    <row r="3560" spans="1:24" x14ac:dyDescent="0.25">
      <c r="A3560" s="17"/>
      <c r="B3560" s="17"/>
      <c r="C3560" s="17"/>
      <c r="D3560" s="17"/>
      <c r="E3560" s="17"/>
      <c r="F3560" s="17"/>
      <c r="G3560" s="17"/>
      <c r="H3560" s="17"/>
      <c r="I3560" s="17"/>
      <c r="J3560" s="17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/>
      <c r="U3560" s="17"/>
      <c r="V3560" s="18">
        <v>0</v>
      </c>
      <c r="W3560" s="17">
        <f t="shared" si="112"/>
        <v>0</v>
      </c>
      <c r="X3560" s="5">
        <f t="shared" si="113"/>
        <v>0</v>
      </c>
    </row>
    <row r="3561" spans="1:24" x14ac:dyDescent="0.25">
      <c r="A3561" s="17"/>
      <c r="B3561" s="17"/>
      <c r="C3561" s="17"/>
      <c r="D3561" s="17"/>
      <c r="E3561" s="17"/>
      <c r="F3561" s="17"/>
      <c r="G3561" s="17"/>
      <c r="H3561" s="17"/>
      <c r="I3561" s="17"/>
      <c r="J3561" s="17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/>
      <c r="U3561" s="17"/>
      <c r="V3561" s="18">
        <v>0</v>
      </c>
      <c r="W3561" s="17">
        <f t="shared" si="112"/>
        <v>0</v>
      </c>
      <c r="X3561" s="5">
        <f t="shared" si="113"/>
        <v>0</v>
      </c>
    </row>
    <row r="3562" spans="1:24" x14ac:dyDescent="0.25">
      <c r="A3562" s="17"/>
      <c r="B3562" s="17"/>
      <c r="C3562" s="17"/>
      <c r="D3562" s="17"/>
      <c r="E3562" s="17"/>
      <c r="F3562" s="17"/>
      <c r="G3562" s="17"/>
      <c r="H3562" s="17"/>
      <c r="I3562" s="17"/>
      <c r="J3562" s="17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8">
        <v>0</v>
      </c>
      <c r="W3562" s="17">
        <f t="shared" si="112"/>
        <v>0</v>
      </c>
      <c r="X3562" s="5">
        <f t="shared" si="113"/>
        <v>0</v>
      </c>
    </row>
    <row r="3563" spans="1:24" x14ac:dyDescent="0.25">
      <c r="A3563" s="17"/>
      <c r="B3563" s="17"/>
      <c r="C3563" s="17"/>
      <c r="D3563" s="17"/>
      <c r="E3563" s="17"/>
      <c r="F3563" s="17"/>
      <c r="G3563" s="17"/>
      <c r="H3563" s="17"/>
      <c r="I3563" s="17"/>
      <c r="J3563" s="17"/>
      <c r="K3563" s="17"/>
      <c r="L3563" s="17"/>
      <c r="M3563" s="17"/>
      <c r="N3563" s="17"/>
      <c r="O3563" s="17"/>
      <c r="P3563" s="17"/>
      <c r="Q3563" s="17"/>
      <c r="R3563" s="17"/>
      <c r="S3563" s="17"/>
      <c r="T3563" s="17"/>
      <c r="U3563" s="17"/>
      <c r="V3563" s="18">
        <v>0</v>
      </c>
      <c r="W3563" s="17">
        <f t="shared" si="112"/>
        <v>0</v>
      </c>
      <c r="X3563" s="5">
        <f t="shared" si="113"/>
        <v>0</v>
      </c>
    </row>
    <row r="3564" spans="1:24" x14ac:dyDescent="0.25">
      <c r="A3564" s="17"/>
      <c r="B3564" s="17"/>
      <c r="C3564" s="17"/>
      <c r="D3564" s="17"/>
      <c r="E3564" s="17"/>
      <c r="F3564" s="17"/>
      <c r="G3564" s="17"/>
      <c r="H3564" s="17"/>
      <c r="I3564" s="17"/>
      <c r="J3564" s="17"/>
      <c r="K3564" s="17"/>
      <c r="L3564" s="17"/>
      <c r="M3564" s="17"/>
      <c r="N3564" s="17"/>
      <c r="O3564" s="17"/>
      <c r="P3564" s="17"/>
      <c r="Q3564" s="17"/>
      <c r="R3564" s="17"/>
      <c r="S3564" s="17"/>
      <c r="T3564" s="17"/>
      <c r="U3564" s="17"/>
      <c r="V3564" s="18">
        <v>0</v>
      </c>
      <c r="W3564" s="17">
        <f t="shared" si="112"/>
        <v>0</v>
      </c>
      <c r="X3564" s="5">
        <f t="shared" si="113"/>
        <v>0</v>
      </c>
    </row>
    <row r="3565" spans="1:24" x14ac:dyDescent="0.25">
      <c r="A3565" s="17"/>
      <c r="B3565" s="17"/>
      <c r="C3565" s="17"/>
      <c r="D3565" s="17"/>
      <c r="E3565" s="17"/>
      <c r="F3565" s="17"/>
      <c r="G3565" s="17"/>
      <c r="H3565" s="17"/>
      <c r="I3565" s="17"/>
      <c r="J3565" s="17"/>
      <c r="K3565" s="17"/>
      <c r="L3565" s="17"/>
      <c r="M3565" s="17"/>
      <c r="N3565" s="17"/>
      <c r="O3565" s="17"/>
      <c r="P3565" s="17"/>
      <c r="Q3565" s="17"/>
      <c r="R3565" s="17"/>
      <c r="S3565" s="17"/>
      <c r="T3565" s="17"/>
      <c r="U3565" s="17"/>
      <c r="V3565" s="18">
        <v>0</v>
      </c>
      <c r="W3565" s="17">
        <f t="shared" si="112"/>
        <v>0</v>
      </c>
      <c r="X3565" s="5">
        <f t="shared" si="113"/>
        <v>0</v>
      </c>
    </row>
    <row r="3566" spans="1:24" x14ac:dyDescent="0.25">
      <c r="A3566" s="17"/>
      <c r="B3566" s="17"/>
      <c r="C3566" s="17"/>
      <c r="D3566" s="17"/>
      <c r="E3566" s="17"/>
      <c r="F3566" s="17"/>
      <c r="G3566" s="17"/>
      <c r="H3566" s="17"/>
      <c r="I3566" s="17"/>
      <c r="J3566" s="17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8">
        <v>0</v>
      </c>
      <c r="W3566" s="17">
        <f t="shared" si="112"/>
        <v>0</v>
      </c>
      <c r="X3566" s="5">
        <f t="shared" si="113"/>
        <v>0</v>
      </c>
    </row>
    <row r="3567" spans="1:24" x14ac:dyDescent="0.25">
      <c r="A3567" s="17"/>
      <c r="B3567" s="17"/>
      <c r="C3567" s="17"/>
      <c r="D3567" s="17"/>
      <c r="E3567" s="17"/>
      <c r="F3567" s="17"/>
      <c r="G3567" s="17"/>
      <c r="H3567" s="17"/>
      <c r="I3567" s="17"/>
      <c r="J3567" s="17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/>
      <c r="U3567" s="17"/>
      <c r="V3567" s="18">
        <v>0</v>
      </c>
      <c r="W3567" s="17">
        <f t="shared" si="112"/>
        <v>0</v>
      </c>
      <c r="X3567" s="5">
        <f t="shared" si="113"/>
        <v>0</v>
      </c>
    </row>
    <row r="3568" spans="1:24" x14ac:dyDescent="0.25">
      <c r="A3568" s="17"/>
      <c r="B3568" s="17"/>
      <c r="C3568" s="17"/>
      <c r="D3568" s="17"/>
      <c r="E3568" s="17"/>
      <c r="F3568" s="17"/>
      <c r="G3568" s="17"/>
      <c r="H3568" s="17"/>
      <c r="I3568" s="17"/>
      <c r="J3568" s="17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8">
        <v>0</v>
      </c>
      <c r="W3568" s="17">
        <f t="shared" si="112"/>
        <v>0</v>
      </c>
      <c r="X3568" s="5">
        <f t="shared" si="113"/>
        <v>0</v>
      </c>
    </row>
    <row r="3569" spans="1:24" x14ac:dyDescent="0.25">
      <c r="A3569" s="17"/>
      <c r="B3569" s="17"/>
      <c r="C3569" s="17"/>
      <c r="D3569" s="17"/>
      <c r="E3569" s="17"/>
      <c r="F3569" s="17"/>
      <c r="G3569" s="17"/>
      <c r="H3569" s="17"/>
      <c r="I3569" s="17"/>
      <c r="J3569" s="17"/>
      <c r="K3569" s="17"/>
      <c r="L3569" s="17"/>
      <c r="M3569" s="17"/>
      <c r="N3569" s="17"/>
      <c r="O3569" s="17"/>
      <c r="P3569" s="17"/>
      <c r="Q3569" s="17"/>
      <c r="R3569" s="17"/>
      <c r="S3569" s="17"/>
      <c r="T3569" s="17"/>
      <c r="U3569" s="17"/>
      <c r="V3569" s="18">
        <v>0</v>
      </c>
      <c r="W3569" s="17">
        <f t="shared" si="112"/>
        <v>0</v>
      </c>
      <c r="X3569" s="5">
        <f t="shared" si="113"/>
        <v>0</v>
      </c>
    </row>
    <row r="3570" spans="1:24" x14ac:dyDescent="0.25">
      <c r="A3570" s="17"/>
      <c r="B3570" s="17"/>
      <c r="C3570" s="17"/>
      <c r="D3570" s="17"/>
      <c r="E3570" s="17"/>
      <c r="F3570" s="17"/>
      <c r="G3570" s="17"/>
      <c r="H3570" s="17"/>
      <c r="I3570" s="17"/>
      <c r="J3570" s="17"/>
      <c r="K3570" s="17"/>
      <c r="L3570" s="17"/>
      <c r="M3570" s="17"/>
      <c r="N3570" s="17"/>
      <c r="O3570" s="17"/>
      <c r="P3570" s="17"/>
      <c r="Q3570" s="17"/>
      <c r="R3570" s="17"/>
      <c r="S3570" s="17"/>
      <c r="T3570" s="17"/>
      <c r="U3570" s="17"/>
      <c r="V3570" s="18">
        <v>0</v>
      </c>
      <c r="W3570" s="17">
        <f t="shared" si="112"/>
        <v>0</v>
      </c>
      <c r="X3570" s="5">
        <f t="shared" si="113"/>
        <v>0</v>
      </c>
    </row>
    <row r="3571" spans="1:24" x14ac:dyDescent="0.25">
      <c r="A3571" s="17"/>
      <c r="B3571" s="17"/>
      <c r="C3571" s="17"/>
      <c r="D3571" s="17"/>
      <c r="E3571" s="17"/>
      <c r="F3571" s="17"/>
      <c r="G3571" s="17"/>
      <c r="H3571" s="17"/>
      <c r="I3571" s="17"/>
      <c r="J3571" s="17"/>
      <c r="K3571" s="17"/>
      <c r="L3571" s="17"/>
      <c r="M3571" s="17"/>
      <c r="N3571" s="17"/>
      <c r="O3571" s="17"/>
      <c r="P3571" s="17"/>
      <c r="Q3571" s="17"/>
      <c r="R3571" s="17"/>
      <c r="S3571" s="17"/>
      <c r="T3571" s="17"/>
      <c r="U3571" s="17"/>
      <c r="V3571" s="18">
        <v>0</v>
      </c>
      <c r="W3571" s="17">
        <f t="shared" si="112"/>
        <v>0</v>
      </c>
      <c r="X3571" s="5">
        <f t="shared" si="113"/>
        <v>0</v>
      </c>
    </row>
    <row r="3572" spans="1:24" x14ac:dyDescent="0.25">
      <c r="A3572" s="17"/>
      <c r="B3572" s="17"/>
      <c r="C3572" s="17"/>
      <c r="D3572" s="17"/>
      <c r="E3572" s="17"/>
      <c r="F3572" s="17"/>
      <c r="G3572" s="17"/>
      <c r="H3572" s="17"/>
      <c r="I3572" s="17"/>
      <c r="J3572" s="17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8">
        <v>0</v>
      </c>
      <c r="W3572" s="17">
        <f t="shared" si="112"/>
        <v>0</v>
      </c>
      <c r="X3572" s="5">
        <f t="shared" si="113"/>
        <v>0</v>
      </c>
    </row>
    <row r="3573" spans="1:24" x14ac:dyDescent="0.25">
      <c r="A3573" s="17"/>
      <c r="B3573" s="17"/>
      <c r="C3573" s="17"/>
      <c r="D3573" s="17"/>
      <c r="E3573" s="17"/>
      <c r="F3573" s="17"/>
      <c r="G3573" s="17"/>
      <c r="H3573" s="17"/>
      <c r="I3573" s="17"/>
      <c r="J3573" s="17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/>
      <c r="U3573" s="17"/>
      <c r="V3573" s="18">
        <v>0</v>
      </c>
      <c r="W3573" s="17">
        <f t="shared" si="112"/>
        <v>0</v>
      </c>
      <c r="X3573" s="5">
        <f t="shared" si="113"/>
        <v>0</v>
      </c>
    </row>
    <row r="3574" spans="1:24" x14ac:dyDescent="0.25">
      <c r="A3574" s="17"/>
      <c r="B3574" s="17"/>
      <c r="C3574" s="17"/>
      <c r="D3574" s="17"/>
      <c r="E3574" s="17"/>
      <c r="F3574" s="17"/>
      <c r="G3574" s="17"/>
      <c r="H3574" s="17"/>
      <c r="I3574" s="17"/>
      <c r="J3574" s="17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/>
      <c r="V3574" s="18">
        <v>0</v>
      </c>
      <c r="W3574" s="17">
        <f t="shared" si="112"/>
        <v>0</v>
      </c>
      <c r="X3574" s="5">
        <f t="shared" si="113"/>
        <v>0</v>
      </c>
    </row>
    <row r="3575" spans="1:24" x14ac:dyDescent="0.25">
      <c r="A3575" s="17"/>
      <c r="B3575" s="17"/>
      <c r="C3575" s="17"/>
      <c r="D3575" s="17"/>
      <c r="E3575" s="17"/>
      <c r="F3575" s="17"/>
      <c r="G3575" s="17"/>
      <c r="H3575" s="17"/>
      <c r="I3575" s="17"/>
      <c r="J3575" s="17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/>
      <c r="U3575" s="17"/>
      <c r="V3575" s="18">
        <v>0</v>
      </c>
      <c r="W3575" s="17">
        <f t="shared" si="112"/>
        <v>0</v>
      </c>
      <c r="X3575" s="5">
        <f t="shared" si="113"/>
        <v>0</v>
      </c>
    </row>
    <row r="3576" spans="1:24" x14ac:dyDescent="0.25">
      <c r="A3576" s="17"/>
      <c r="B3576" s="17"/>
      <c r="C3576" s="17"/>
      <c r="D3576" s="17"/>
      <c r="E3576" s="17"/>
      <c r="F3576" s="17"/>
      <c r="G3576" s="17"/>
      <c r="H3576" s="17"/>
      <c r="I3576" s="17"/>
      <c r="J3576" s="17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/>
      <c r="U3576" s="17"/>
      <c r="V3576" s="18">
        <v>0</v>
      </c>
      <c r="W3576" s="17">
        <f t="shared" si="112"/>
        <v>0</v>
      </c>
      <c r="X3576" s="5">
        <f t="shared" si="113"/>
        <v>0</v>
      </c>
    </row>
    <row r="3577" spans="1:24" x14ac:dyDescent="0.25">
      <c r="A3577" s="17"/>
      <c r="B3577" s="17"/>
      <c r="C3577" s="17"/>
      <c r="D3577" s="17"/>
      <c r="E3577" s="17"/>
      <c r="F3577" s="17"/>
      <c r="G3577" s="17"/>
      <c r="H3577" s="17"/>
      <c r="I3577" s="17"/>
      <c r="J3577" s="17"/>
      <c r="K3577" s="17"/>
      <c r="L3577" s="17"/>
      <c r="M3577" s="17"/>
      <c r="N3577" s="17"/>
      <c r="O3577" s="17"/>
      <c r="P3577" s="17"/>
      <c r="Q3577" s="17"/>
      <c r="R3577" s="17"/>
      <c r="S3577" s="17"/>
      <c r="T3577" s="17"/>
      <c r="U3577" s="17"/>
      <c r="V3577" s="18">
        <v>0</v>
      </c>
      <c r="W3577" s="17">
        <f t="shared" si="112"/>
        <v>0</v>
      </c>
      <c r="X3577" s="5">
        <f t="shared" si="113"/>
        <v>0</v>
      </c>
    </row>
    <row r="3578" spans="1:24" x14ac:dyDescent="0.25">
      <c r="A3578" s="17"/>
      <c r="B3578" s="17"/>
      <c r="C3578" s="17"/>
      <c r="D3578" s="17"/>
      <c r="E3578" s="17"/>
      <c r="F3578" s="17"/>
      <c r="G3578" s="17"/>
      <c r="H3578" s="17"/>
      <c r="I3578" s="17"/>
      <c r="J3578" s="17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8">
        <v>0</v>
      </c>
      <c r="W3578" s="17">
        <f t="shared" si="112"/>
        <v>0</v>
      </c>
      <c r="X3578" s="5">
        <f t="shared" si="113"/>
        <v>0</v>
      </c>
    </row>
    <row r="3579" spans="1:24" x14ac:dyDescent="0.25">
      <c r="A3579" s="17"/>
      <c r="B3579" s="17"/>
      <c r="C3579" s="17"/>
      <c r="D3579" s="17"/>
      <c r="E3579" s="17"/>
      <c r="F3579" s="17"/>
      <c r="G3579" s="17"/>
      <c r="H3579" s="17"/>
      <c r="I3579" s="17"/>
      <c r="J3579" s="17"/>
      <c r="K3579" s="17"/>
      <c r="L3579" s="17"/>
      <c r="M3579" s="17"/>
      <c r="N3579" s="17"/>
      <c r="O3579" s="17"/>
      <c r="P3579" s="17"/>
      <c r="Q3579" s="17"/>
      <c r="R3579" s="17"/>
      <c r="S3579" s="17"/>
      <c r="T3579" s="17"/>
      <c r="U3579" s="17"/>
      <c r="V3579" s="18">
        <v>0</v>
      </c>
      <c r="W3579" s="17">
        <f t="shared" si="112"/>
        <v>0</v>
      </c>
      <c r="X3579" s="5">
        <f t="shared" si="113"/>
        <v>0</v>
      </c>
    </row>
    <row r="3580" spans="1:24" x14ac:dyDescent="0.25">
      <c r="A3580" s="17"/>
      <c r="B3580" s="17"/>
      <c r="C3580" s="17"/>
      <c r="D3580" s="17"/>
      <c r="E3580" s="17"/>
      <c r="F3580" s="17"/>
      <c r="G3580" s="17"/>
      <c r="H3580" s="17"/>
      <c r="I3580" s="17"/>
      <c r="J3580" s="17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8">
        <v>0</v>
      </c>
      <c r="W3580" s="17">
        <f t="shared" si="112"/>
        <v>0</v>
      </c>
      <c r="X3580" s="5">
        <f t="shared" si="113"/>
        <v>0</v>
      </c>
    </row>
    <row r="3581" spans="1:24" x14ac:dyDescent="0.25">
      <c r="A3581" s="17"/>
      <c r="B3581" s="17"/>
      <c r="C3581" s="17"/>
      <c r="D3581" s="17"/>
      <c r="E3581" s="17"/>
      <c r="F3581" s="17"/>
      <c r="G3581" s="17"/>
      <c r="H3581" s="17"/>
      <c r="I3581" s="17"/>
      <c r="J3581" s="17"/>
      <c r="K3581" s="17"/>
      <c r="L3581" s="17"/>
      <c r="M3581" s="17"/>
      <c r="N3581" s="17"/>
      <c r="O3581" s="17"/>
      <c r="P3581" s="17"/>
      <c r="Q3581" s="17"/>
      <c r="R3581" s="17"/>
      <c r="S3581" s="17"/>
      <c r="T3581" s="17"/>
      <c r="U3581" s="17"/>
      <c r="V3581" s="18">
        <v>0</v>
      </c>
      <c r="W3581" s="17">
        <f t="shared" si="112"/>
        <v>0</v>
      </c>
      <c r="X3581" s="5">
        <f t="shared" si="113"/>
        <v>0</v>
      </c>
    </row>
    <row r="3582" spans="1:24" x14ac:dyDescent="0.25">
      <c r="A3582" s="17"/>
      <c r="B3582" s="17"/>
      <c r="C3582" s="17"/>
      <c r="D3582" s="17"/>
      <c r="E3582" s="17"/>
      <c r="F3582" s="17"/>
      <c r="G3582" s="17"/>
      <c r="H3582" s="17"/>
      <c r="I3582" s="17"/>
      <c r="J3582" s="17"/>
      <c r="K3582" s="17"/>
      <c r="L3582" s="17"/>
      <c r="M3582" s="17"/>
      <c r="N3582" s="17"/>
      <c r="O3582" s="17"/>
      <c r="P3582" s="17"/>
      <c r="Q3582" s="17"/>
      <c r="R3582" s="17"/>
      <c r="S3582" s="17"/>
      <c r="T3582" s="17"/>
      <c r="U3582" s="17"/>
      <c r="V3582" s="18">
        <v>0</v>
      </c>
      <c r="W3582" s="17">
        <f t="shared" si="112"/>
        <v>0</v>
      </c>
      <c r="X3582" s="5">
        <f t="shared" si="113"/>
        <v>0</v>
      </c>
    </row>
    <row r="3583" spans="1:24" x14ac:dyDescent="0.25">
      <c r="A3583" s="17"/>
      <c r="B3583" s="17"/>
      <c r="C3583" s="17"/>
      <c r="D3583" s="17"/>
      <c r="E3583" s="17"/>
      <c r="F3583" s="17"/>
      <c r="G3583" s="17"/>
      <c r="H3583" s="17"/>
      <c r="I3583" s="17"/>
      <c r="J3583" s="17"/>
      <c r="K3583" s="17"/>
      <c r="L3583" s="17"/>
      <c r="M3583" s="17"/>
      <c r="N3583" s="17"/>
      <c r="O3583" s="17"/>
      <c r="P3583" s="17"/>
      <c r="Q3583" s="17"/>
      <c r="R3583" s="17"/>
      <c r="S3583" s="17"/>
      <c r="T3583" s="17"/>
      <c r="U3583" s="17"/>
      <c r="V3583" s="18">
        <v>0</v>
      </c>
      <c r="W3583" s="17">
        <f t="shared" si="112"/>
        <v>0</v>
      </c>
      <c r="X3583" s="5">
        <f t="shared" si="113"/>
        <v>0</v>
      </c>
    </row>
    <row r="3584" spans="1:24" x14ac:dyDescent="0.25">
      <c r="A3584" s="17"/>
      <c r="B3584" s="17"/>
      <c r="C3584" s="17"/>
      <c r="D3584" s="17"/>
      <c r="E3584" s="17"/>
      <c r="F3584" s="17"/>
      <c r="G3584" s="17"/>
      <c r="H3584" s="17"/>
      <c r="I3584" s="17"/>
      <c r="J3584" s="17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/>
      <c r="U3584" s="17"/>
      <c r="V3584" s="18">
        <v>0</v>
      </c>
      <c r="W3584" s="17">
        <f t="shared" si="112"/>
        <v>0</v>
      </c>
      <c r="X3584" s="5">
        <f t="shared" si="113"/>
        <v>0</v>
      </c>
    </row>
    <row r="3585" spans="1:24" x14ac:dyDescent="0.25">
      <c r="A3585" s="17"/>
      <c r="B3585" s="17"/>
      <c r="C3585" s="17"/>
      <c r="D3585" s="17"/>
      <c r="E3585" s="17"/>
      <c r="F3585" s="17"/>
      <c r="G3585" s="17"/>
      <c r="H3585" s="17"/>
      <c r="I3585" s="17"/>
      <c r="J3585" s="17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/>
      <c r="U3585" s="17"/>
      <c r="V3585" s="18">
        <v>0</v>
      </c>
      <c r="W3585" s="17">
        <f t="shared" si="112"/>
        <v>0</v>
      </c>
      <c r="X3585" s="5">
        <f t="shared" si="113"/>
        <v>0</v>
      </c>
    </row>
    <row r="3586" spans="1:24" x14ac:dyDescent="0.25">
      <c r="A3586" s="17"/>
      <c r="B3586" s="17"/>
      <c r="C3586" s="17"/>
      <c r="D3586" s="17"/>
      <c r="E3586" s="17"/>
      <c r="F3586" s="17"/>
      <c r="G3586" s="17"/>
      <c r="H3586" s="17"/>
      <c r="I3586" s="17"/>
      <c r="J3586" s="17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/>
      <c r="V3586" s="18">
        <v>0</v>
      </c>
      <c r="W3586" s="17">
        <f t="shared" si="112"/>
        <v>0</v>
      </c>
      <c r="X3586" s="5">
        <f t="shared" si="113"/>
        <v>0</v>
      </c>
    </row>
    <row r="3587" spans="1:24" x14ac:dyDescent="0.25">
      <c r="A3587" s="17"/>
      <c r="B3587" s="17"/>
      <c r="C3587" s="17"/>
      <c r="D3587" s="17"/>
      <c r="E3587" s="17"/>
      <c r="F3587" s="17"/>
      <c r="G3587" s="17"/>
      <c r="H3587" s="17"/>
      <c r="I3587" s="17"/>
      <c r="J3587" s="17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/>
      <c r="U3587" s="17"/>
      <c r="V3587" s="18">
        <v>0</v>
      </c>
      <c r="W3587" s="17">
        <f t="shared" ref="W3587:W3650" si="114">HOUR(E3587)</f>
        <v>0</v>
      </c>
      <c r="X3587" s="5">
        <f t="shared" ref="X3587:X3650" si="115">IF(D3587=D3586,0,1)</f>
        <v>0</v>
      </c>
    </row>
    <row r="3588" spans="1:24" x14ac:dyDescent="0.25">
      <c r="A3588" s="17"/>
      <c r="B3588" s="17"/>
      <c r="C3588" s="17"/>
      <c r="D3588" s="17"/>
      <c r="E3588" s="17"/>
      <c r="F3588" s="17"/>
      <c r="G3588" s="17"/>
      <c r="H3588" s="17"/>
      <c r="I3588" s="17"/>
      <c r="J3588" s="17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8">
        <v>0</v>
      </c>
      <c r="W3588" s="17">
        <f t="shared" si="114"/>
        <v>0</v>
      </c>
      <c r="X3588" s="5">
        <f t="shared" si="115"/>
        <v>0</v>
      </c>
    </row>
    <row r="3589" spans="1:24" x14ac:dyDescent="0.25">
      <c r="A3589" s="17"/>
      <c r="B3589" s="17"/>
      <c r="C3589" s="17"/>
      <c r="D3589" s="17"/>
      <c r="E3589" s="17"/>
      <c r="F3589" s="17"/>
      <c r="G3589" s="17"/>
      <c r="H3589" s="17"/>
      <c r="I3589" s="17"/>
      <c r="J3589" s="17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/>
      <c r="U3589" s="17"/>
      <c r="V3589" s="18">
        <v>0</v>
      </c>
      <c r="W3589" s="17">
        <f t="shared" si="114"/>
        <v>0</v>
      </c>
      <c r="X3589" s="5">
        <f t="shared" si="115"/>
        <v>0</v>
      </c>
    </row>
    <row r="3590" spans="1:24" x14ac:dyDescent="0.25">
      <c r="A3590" s="17"/>
      <c r="B3590" s="17"/>
      <c r="C3590" s="17"/>
      <c r="D3590" s="17"/>
      <c r="E3590" s="17"/>
      <c r="F3590" s="17"/>
      <c r="G3590" s="17"/>
      <c r="H3590" s="17"/>
      <c r="I3590" s="17"/>
      <c r="J3590" s="17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/>
      <c r="V3590" s="18">
        <v>0</v>
      </c>
      <c r="W3590" s="17">
        <f t="shared" si="114"/>
        <v>0</v>
      </c>
      <c r="X3590" s="5">
        <f t="shared" si="115"/>
        <v>0</v>
      </c>
    </row>
    <row r="3591" spans="1:24" x14ac:dyDescent="0.25">
      <c r="A3591" s="17"/>
      <c r="B3591" s="17"/>
      <c r="C3591" s="17"/>
      <c r="D3591" s="17"/>
      <c r="E3591" s="17"/>
      <c r="F3591" s="17"/>
      <c r="G3591" s="17"/>
      <c r="H3591" s="17"/>
      <c r="I3591" s="17"/>
      <c r="J3591" s="17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8">
        <v>0</v>
      </c>
      <c r="W3591" s="17">
        <f t="shared" si="114"/>
        <v>0</v>
      </c>
      <c r="X3591" s="5">
        <f t="shared" si="115"/>
        <v>0</v>
      </c>
    </row>
    <row r="3592" spans="1:24" x14ac:dyDescent="0.25">
      <c r="A3592" s="17"/>
      <c r="B3592" s="17"/>
      <c r="C3592" s="17"/>
      <c r="D3592" s="17"/>
      <c r="E3592" s="17"/>
      <c r="F3592" s="17"/>
      <c r="G3592" s="17"/>
      <c r="H3592" s="17"/>
      <c r="I3592" s="17"/>
      <c r="J3592" s="17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8">
        <v>0</v>
      </c>
      <c r="W3592" s="17">
        <f t="shared" si="114"/>
        <v>0</v>
      </c>
      <c r="X3592" s="5">
        <f t="shared" si="115"/>
        <v>0</v>
      </c>
    </row>
    <row r="3593" spans="1:24" x14ac:dyDescent="0.25">
      <c r="A3593" s="17"/>
      <c r="B3593" s="17"/>
      <c r="C3593" s="17"/>
      <c r="D3593" s="17"/>
      <c r="E3593" s="17"/>
      <c r="F3593" s="17"/>
      <c r="G3593" s="17"/>
      <c r="H3593" s="17"/>
      <c r="I3593" s="17"/>
      <c r="J3593" s="17"/>
      <c r="K3593" s="17"/>
      <c r="L3593" s="17"/>
      <c r="M3593" s="17"/>
      <c r="N3593" s="17"/>
      <c r="O3593" s="17"/>
      <c r="P3593" s="17"/>
      <c r="Q3593" s="17"/>
      <c r="R3593" s="17"/>
      <c r="S3593" s="17"/>
      <c r="T3593" s="17"/>
      <c r="U3593" s="17"/>
      <c r="V3593" s="18">
        <v>0</v>
      </c>
      <c r="W3593" s="17">
        <f t="shared" si="114"/>
        <v>0</v>
      </c>
      <c r="X3593" s="5">
        <f t="shared" si="115"/>
        <v>0</v>
      </c>
    </row>
    <row r="3594" spans="1:24" x14ac:dyDescent="0.25">
      <c r="A3594" s="17"/>
      <c r="B3594" s="17"/>
      <c r="C3594" s="17"/>
      <c r="D3594" s="17"/>
      <c r="E3594" s="17"/>
      <c r="F3594" s="17"/>
      <c r="G3594" s="17"/>
      <c r="H3594" s="17"/>
      <c r="I3594" s="17"/>
      <c r="J3594" s="17"/>
      <c r="K3594" s="17"/>
      <c r="L3594" s="17"/>
      <c r="M3594" s="17"/>
      <c r="N3594" s="17"/>
      <c r="O3594" s="17"/>
      <c r="P3594" s="17"/>
      <c r="Q3594" s="17"/>
      <c r="R3594" s="17"/>
      <c r="S3594" s="17"/>
      <c r="T3594" s="17"/>
      <c r="U3594" s="17"/>
      <c r="V3594" s="18">
        <v>0</v>
      </c>
      <c r="W3594" s="17">
        <f t="shared" si="114"/>
        <v>0</v>
      </c>
      <c r="X3594" s="5">
        <f t="shared" si="115"/>
        <v>0</v>
      </c>
    </row>
    <row r="3595" spans="1:24" x14ac:dyDescent="0.25">
      <c r="A3595" s="17"/>
      <c r="B3595" s="17"/>
      <c r="C3595" s="17"/>
      <c r="D3595" s="17"/>
      <c r="E3595" s="17"/>
      <c r="F3595" s="17"/>
      <c r="G3595" s="17"/>
      <c r="H3595" s="17"/>
      <c r="I3595" s="17"/>
      <c r="J3595" s="17"/>
      <c r="K3595" s="17"/>
      <c r="L3595" s="17"/>
      <c r="M3595" s="17"/>
      <c r="N3595" s="17"/>
      <c r="O3595" s="17"/>
      <c r="P3595" s="17"/>
      <c r="Q3595" s="17"/>
      <c r="R3595" s="17"/>
      <c r="S3595" s="17"/>
      <c r="T3595" s="17"/>
      <c r="U3595" s="17"/>
      <c r="V3595" s="18">
        <v>0</v>
      </c>
      <c r="W3595" s="17">
        <f t="shared" si="114"/>
        <v>0</v>
      </c>
      <c r="X3595" s="5">
        <f t="shared" si="115"/>
        <v>0</v>
      </c>
    </row>
    <row r="3596" spans="1:24" x14ac:dyDescent="0.25">
      <c r="A3596" s="17"/>
      <c r="B3596" s="17"/>
      <c r="C3596" s="17"/>
      <c r="D3596" s="17"/>
      <c r="E3596" s="17"/>
      <c r="F3596" s="17"/>
      <c r="G3596" s="17"/>
      <c r="H3596" s="17"/>
      <c r="I3596" s="17"/>
      <c r="J3596" s="17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/>
      <c r="U3596" s="17"/>
      <c r="V3596" s="18">
        <v>0</v>
      </c>
      <c r="W3596" s="17">
        <f t="shared" si="114"/>
        <v>0</v>
      </c>
      <c r="X3596" s="5">
        <f t="shared" si="115"/>
        <v>0</v>
      </c>
    </row>
    <row r="3597" spans="1:24" x14ac:dyDescent="0.25">
      <c r="A3597" s="17"/>
      <c r="B3597" s="17"/>
      <c r="C3597" s="17"/>
      <c r="D3597" s="17"/>
      <c r="E3597" s="17"/>
      <c r="F3597" s="17"/>
      <c r="G3597" s="17"/>
      <c r="H3597" s="17"/>
      <c r="I3597" s="17"/>
      <c r="J3597" s="17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8">
        <v>0</v>
      </c>
      <c r="W3597" s="17">
        <f t="shared" si="114"/>
        <v>0</v>
      </c>
      <c r="X3597" s="5">
        <f t="shared" si="115"/>
        <v>0</v>
      </c>
    </row>
    <row r="3598" spans="1:24" x14ac:dyDescent="0.25">
      <c r="A3598" s="17"/>
      <c r="B3598" s="17"/>
      <c r="C3598" s="17"/>
      <c r="D3598" s="17"/>
      <c r="E3598" s="17"/>
      <c r="F3598" s="17"/>
      <c r="G3598" s="17"/>
      <c r="H3598" s="17"/>
      <c r="I3598" s="17"/>
      <c r="J3598" s="17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/>
      <c r="V3598" s="18">
        <v>0</v>
      </c>
      <c r="W3598" s="17">
        <f t="shared" si="114"/>
        <v>0</v>
      </c>
      <c r="X3598" s="5">
        <f t="shared" si="115"/>
        <v>0</v>
      </c>
    </row>
    <row r="3599" spans="1:24" x14ac:dyDescent="0.25">
      <c r="A3599" s="17"/>
      <c r="B3599" s="17"/>
      <c r="C3599" s="17"/>
      <c r="D3599" s="17"/>
      <c r="E3599" s="17"/>
      <c r="F3599" s="17"/>
      <c r="G3599" s="17"/>
      <c r="H3599" s="17"/>
      <c r="I3599" s="17"/>
      <c r="J3599" s="17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/>
      <c r="V3599" s="18">
        <v>0</v>
      </c>
      <c r="W3599" s="17">
        <f t="shared" si="114"/>
        <v>0</v>
      </c>
      <c r="X3599" s="5">
        <f t="shared" si="115"/>
        <v>0</v>
      </c>
    </row>
    <row r="3600" spans="1:24" x14ac:dyDescent="0.25">
      <c r="A3600" s="17"/>
      <c r="B3600" s="17"/>
      <c r="C3600" s="17"/>
      <c r="D3600" s="17"/>
      <c r="E3600" s="17"/>
      <c r="F3600" s="17"/>
      <c r="G3600" s="17"/>
      <c r="H3600" s="17"/>
      <c r="I3600" s="17"/>
      <c r="J3600" s="17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/>
      <c r="U3600" s="17"/>
      <c r="V3600" s="18">
        <v>0</v>
      </c>
      <c r="W3600" s="17">
        <f t="shared" si="114"/>
        <v>0</v>
      </c>
      <c r="X3600" s="5">
        <f t="shared" si="115"/>
        <v>0</v>
      </c>
    </row>
    <row r="3601" spans="1:24" x14ac:dyDescent="0.25">
      <c r="A3601" s="17"/>
      <c r="B3601" s="17"/>
      <c r="C3601" s="17"/>
      <c r="D3601" s="17"/>
      <c r="E3601" s="17"/>
      <c r="F3601" s="17"/>
      <c r="G3601" s="17"/>
      <c r="H3601" s="17"/>
      <c r="I3601" s="17"/>
      <c r="J3601" s="17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/>
      <c r="U3601" s="17"/>
      <c r="V3601" s="18">
        <v>0</v>
      </c>
      <c r="W3601" s="17">
        <f t="shared" si="114"/>
        <v>0</v>
      </c>
      <c r="X3601" s="5">
        <f t="shared" si="115"/>
        <v>0</v>
      </c>
    </row>
    <row r="3602" spans="1:24" x14ac:dyDescent="0.25">
      <c r="A3602" s="17"/>
      <c r="B3602" s="17"/>
      <c r="C3602" s="17"/>
      <c r="D3602" s="17"/>
      <c r="E3602" s="17"/>
      <c r="F3602" s="17"/>
      <c r="G3602" s="17"/>
      <c r="H3602" s="17"/>
      <c r="I3602" s="17"/>
      <c r="J3602" s="17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/>
      <c r="V3602" s="18">
        <v>0</v>
      </c>
      <c r="W3602" s="17">
        <f t="shared" si="114"/>
        <v>0</v>
      </c>
      <c r="X3602" s="5">
        <f t="shared" si="115"/>
        <v>0</v>
      </c>
    </row>
    <row r="3603" spans="1:24" x14ac:dyDescent="0.25">
      <c r="A3603" s="17"/>
      <c r="B3603" s="17"/>
      <c r="C3603" s="17"/>
      <c r="D3603" s="17"/>
      <c r="E3603" s="17"/>
      <c r="F3603" s="17"/>
      <c r="G3603" s="17"/>
      <c r="H3603" s="17"/>
      <c r="I3603" s="17"/>
      <c r="J3603" s="17"/>
      <c r="K3603" s="17"/>
      <c r="L3603" s="17"/>
      <c r="M3603" s="17"/>
      <c r="N3603" s="17"/>
      <c r="O3603" s="17"/>
      <c r="P3603" s="17"/>
      <c r="Q3603" s="17"/>
      <c r="R3603" s="17"/>
      <c r="S3603" s="17"/>
      <c r="T3603" s="17"/>
      <c r="U3603" s="17"/>
      <c r="V3603" s="18">
        <v>0</v>
      </c>
      <c r="W3603" s="17">
        <f t="shared" si="114"/>
        <v>0</v>
      </c>
      <c r="X3603" s="5">
        <f t="shared" si="115"/>
        <v>0</v>
      </c>
    </row>
    <row r="3604" spans="1:24" x14ac:dyDescent="0.25">
      <c r="A3604" s="17"/>
      <c r="B3604" s="17"/>
      <c r="C3604" s="17"/>
      <c r="D3604" s="17"/>
      <c r="E3604" s="17"/>
      <c r="F3604" s="17"/>
      <c r="G3604" s="17"/>
      <c r="H3604" s="17"/>
      <c r="I3604" s="17"/>
      <c r="J3604" s="17"/>
      <c r="K3604" s="17"/>
      <c r="L3604" s="17"/>
      <c r="M3604" s="17"/>
      <c r="N3604" s="17"/>
      <c r="O3604" s="17"/>
      <c r="P3604" s="17"/>
      <c r="Q3604" s="17"/>
      <c r="R3604" s="17"/>
      <c r="S3604" s="17"/>
      <c r="T3604" s="17"/>
      <c r="U3604" s="17"/>
      <c r="V3604" s="18">
        <v>0</v>
      </c>
      <c r="W3604" s="17">
        <f t="shared" si="114"/>
        <v>0</v>
      </c>
      <c r="X3604" s="5">
        <f t="shared" si="115"/>
        <v>0</v>
      </c>
    </row>
    <row r="3605" spans="1:24" x14ac:dyDescent="0.25">
      <c r="A3605" s="17"/>
      <c r="B3605" s="17"/>
      <c r="C3605" s="17"/>
      <c r="D3605" s="17"/>
      <c r="E3605" s="17"/>
      <c r="F3605" s="17"/>
      <c r="G3605" s="17"/>
      <c r="H3605" s="17"/>
      <c r="I3605" s="17"/>
      <c r="J3605" s="17"/>
      <c r="K3605" s="17"/>
      <c r="L3605" s="17"/>
      <c r="M3605" s="17"/>
      <c r="N3605" s="17"/>
      <c r="O3605" s="17"/>
      <c r="P3605" s="17"/>
      <c r="Q3605" s="17"/>
      <c r="R3605" s="17"/>
      <c r="S3605" s="17"/>
      <c r="T3605" s="17"/>
      <c r="U3605" s="17"/>
      <c r="V3605" s="18">
        <v>0</v>
      </c>
      <c r="W3605" s="17">
        <f t="shared" si="114"/>
        <v>0</v>
      </c>
      <c r="X3605" s="5">
        <f t="shared" si="115"/>
        <v>0</v>
      </c>
    </row>
    <row r="3606" spans="1:24" x14ac:dyDescent="0.25">
      <c r="A3606" s="17"/>
      <c r="B3606" s="17"/>
      <c r="C3606" s="17"/>
      <c r="D3606" s="17"/>
      <c r="E3606" s="17"/>
      <c r="F3606" s="17"/>
      <c r="G3606" s="17"/>
      <c r="H3606" s="17"/>
      <c r="I3606" s="17"/>
      <c r="J3606" s="17"/>
      <c r="K3606" s="17"/>
      <c r="L3606" s="17"/>
      <c r="M3606" s="17"/>
      <c r="N3606" s="17"/>
      <c r="O3606" s="17"/>
      <c r="P3606" s="17"/>
      <c r="Q3606" s="17"/>
      <c r="R3606" s="17"/>
      <c r="S3606" s="17"/>
      <c r="T3606" s="17"/>
      <c r="U3606" s="17"/>
      <c r="V3606" s="18">
        <v>0</v>
      </c>
      <c r="W3606" s="17">
        <f t="shared" si="114"/>
        <v>0</v>
      </c>
      <c r="X3606" s="5">
        <f t="shared" si="115"/>
        <v>0</v>
      </c>
    </row>
    <row r="3607" spans="1:24" x14ac:dyDescent="0.25">
      <c r="A3607" s="17"/>
      <c r="B3607" s="17"/>
      <c r="C3607" s="17"/>
      <c r="D3607" s="17"/>
      <c r="E3607" s="17"/>
      <c r="F3607" s="17"/>
      <c r="G3607" s="17"/>
      <c r="H3607" s="17"/>
      <c r="I3607" s="17"/>
      <c r="J3607" s="17"/>
      <c r="K3607" s="17"/>
      <c r="L3607" s="17"/>
      <c r="M3607" s="17"/>
      <c r="N3607" s="17"/>
      <c r="O3607" s="17"/>
      <c r="P3607" s="17"/>
      <c r="Q3607" s="17"/>
      <c r="R3607" s="17"/>
      <c r="S3607" s="17"/>
      <c r="T3607" s="17"/>
      <c r="U3607" s="17"/>
      <c r="V3607" s="18">
        <v>0</v>
      </c>
      <c r="W3607" s="17">
        <f t="shared" si="114"/>
        <v>0</v>
      </c>
      <c r="X3607" s="5">
        <f t="shared" si="115"/>
        <v>0</v>
      </c>
    </row>
    <row r="3608" spans="1:24" x14ac:dyDescent="0.25">
      <c r="A3608" s="17"/>
      <c r="B3608" s="17"/>
      <c r="C3608" s="17"/>
      <c r="D3608" s="17"/>
      <c r="E3608" s="17"/>
      <c r="F3608" s="17"/>
      <c r="G3608" s="17"/>
      <c r="H3608" s="17"/>
      <c r="I3608" s="17"/>
      <c r="J3608" s="17"/>
      <c r="K3608" s="17"/>
      <c r="L3608" s="17"/>
      <c r="M3608" s="17"/>
      <c r="N3608" s="17"/>
      <c r="O3608" s="17"/>
      <c r="P3608" s="17"/>
      <c r="Q3608" s="17"/>
      <c r="R3608" s="17"/>
      <c r="S3608" s="17"/>
      <c r="T3608" s="17"/>
      <c r="U3608" s="17"/>
      <c r="V3608" s="18">
        <v>0</v>
      </c>
      <c r="W3608" s="17">
        <f t="shared" si="114"/>
        <v>0</v>
      </c>
      <c r="X3608" s="5">
        <f t="shared" si="115"/>
        <v>0</v>
      </c>
    </row>
    <row r="3609" spans="1:24" x14ac:dyDescent="0.25">
      <c r="A3609" s="17"/>
      <c r="B3609" s="17"/>
      <c r="C3609" s="17"/>
      <c r="D3609" s="17"/>
      <c r="E3609" s="17"/>
      <c r="F3609" s="17"/>
      <c r="G3609" s="17"/>
      <c r="H3609" s="17"/>
      <c r="I3609" s="17"/>
      <c r="J3609" s="17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/>
      <c r="V3609" s="18">
        <v>0</v>
      </c>
      <c r="W3609" s="17">
        <f t="shared" si="114"/>
        <v>0</v>
      </c>
      <c r="X3609" s="5">
        <f t="shared" si="115"/>
        <v>0</v>
      </c>
    </row>
    <row r="3610" spans="1:24" x14ac:dyDescent="0.25">
      <c r="A3610" s="17"/>
      <c r="B3610" s="17"/>
      <c r="C3610" s="17"/>
      <c r="D3610" s="17"/>
      <c r="E3610" s="17"/>
      <c r="F3610" s="17"/>
      <c r="G3610" s="17"/>
      <c r="H3610" s="17"/>
      <c r="I3610" s="17"/>
      <c r="J3610" s="17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8">
        <v>0</v>
      </c>
      <c r="W3610" s="17">
        <f t="shared" si="114"/>
        <v>0</v>
      </c>
      <c r="X3610" s="5">
        <f t="shared" si="115"/>
        <v>0</v>
      </c>
    </row>
    <row r="3611" spans="1:24" x14ac:dyDescent="0.25">
      <c r="A3611" s="17"/>
      <c r="B3611" s="17"/>
      <c r="C3611" s="17"/>
      <c r="D3611" s="17"/>
      <c r="E3611" s="17"/>
      <c r="F3611" s="17"/>
      <c r="G3611" s="17"/>
      <c r="H3611" s="17"/>
      <c r="I3611" s="17"/>
      <c r="J3611" s="17"/>
      <c r="K3611" s="17"/>
      <c r="L3611" s="17"/>
      <c r="M3611" s="17"/>
      <c r="N3611" s="17"/>
      <c r="O3611" s="17"/>
      <c r="P3611" s="17"/>
      <c r="Q3611" s="17"/>
      <c r="R3611" s="17"/>
      <c r="S3611" s="17"/>
      <c r="T3611" s="17"/>
      <c r="U3611" s="17"/>
      <c r="V3611" s="18">
        <v>0</v>
      </c>
      <c r="W3611" s="17">
        <f t="shared" si="114"/>
        <v>0</v>
      </c>
      <c r="X3611" s="5">
        <f t="shared" si="115"/>
        <v>0</v>
      </c>
    </row>
    <row r="3612" spans="1:24" x14ac:dyDescent="0.25">
      <c r="A3612" s="17"/>
      <c r="B3612" s="17"/>
      <c r="C3612" s="17"/>
      <c r="D3612" s="17"/>
      <c r="E3612" s="17"/>
      <c r="F3612" s="17"/>
      <c r="G3612" s="17"/>
      <c r="H3612" s="17"/>
      <c r="I3612" s="17"/>
      <c r="J3612" s="17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/>
      <c r="U3612" s="17"/>
      <c r="V3612" s="18">
        <v>0</v>
      </c>
      <c r="W3612" s="17">
        <f t="shared" si="114"/>
        <v>0</v>
      </c>
      <c r="X3612" s="5">
        <f t="shared" si="115"/>
        <v>0</v>
      </c>
    </row>
    <row r="3613" spans="1:24" x14ac:dyDescent="0.25">
      <c r="A3613" s="17"/>
      <c r="B3613" s="17"/>
      <c r="C3613" s="17"/>
      <c r="D3613" s="17"/>
      <c r="E3613" s="17"/>
      <c r="F3613" s="17"/>
      <c r="G3613" s="17"/>
      <c r="H3613" s="17"/>
      <c r="I3613" s="17"/>
      <c r="J3613" s="17"/>
      <c r="K3613" s="17"/>
      <c r="L3613" s="17"/>
      <c r="M3613" s="17"/>
      <c r="N3613" s="17"/>
      <c r="O3613" s="17"/>
      <c r="P3613" s="17"/>
      <c r="Q3613" s="17"/>
      <c r="R3613" s="17"/>
      <c r="S3613" s="17"/>
      <c r="T3613" s="17"/>
      <c r="U3613" s="17"/>
      <c r="V3613" s="18">
        <v>0</v>
      </c>
      <c r="W3613" s="17">
        <f t="shared" si="114"/>
        <v>0</v>
      </c>
      <c r="X3613" s="5">
        <f t="shared" si="115"/>
        <v>0</v>
      </c>
    </row>
    <row r="3614" spans="1:24" x14ac:dyDescent="0.25">
      <c r="A3614" s="17"/>
      <c r="B3614" s="17"/>
      <c r="C3614" s="17"/>
      <c r="D3614" s="17"/>
      <c r="E3614" s="17"/>
      <c r="F3614" s="17"/>
      <c r="G3614" s="17"/>
      <c r="H3614" s="17"/>
      <c r="I3614" s="17"/>
      <c r="J3614" s="17"/>
      <c r="K3614" s="17"/>
      <c r="L3614" s="17"/>
      <c r="M3614" s="17"/>
      <c r="N3614" s="17"/>
      <c r="O3614" s="17"/>
      <c r="P3614" s="17"/>
      <c r="Q3614" s="17"/>
      <c r="R3614" s="17"/>
      <c r="S3614" s="17"/>
      <c r="T3614" s="17"/>
      <c r="U3614" s="17"/>
      <c r="V3614" s="18">
        <v>0</v>
      </c>
      <c r="W3614" s="17">
        <f t="shared" si="114"/>
        <v>0</v>
      </c>
      <c r="X3614" s="5">
        <f t="shared" si="115"/>
        <v>0</v>
      </c>
    </row>
    <row r="3615" spans="1:24" x14ac:dyDescent="0.25">
      <c r="A3615" s="17"/>
      <c r="B3615" s="17"/>
      <c r="C3615" s="17"/>
      <c r="D3615" s="17"/>
      <c r="E3615" s="17"/>
      <c r="F3615" s="17"/>
      <c r="G3615" s="17"/>
      <c r="H3615" s="17"/>
      <c r="I3615" s="17"/>
      <c r="J3615" s="17"/>
      <c r="K3615" s="17"/>
      <c r="L3615" s="17"/>
      <c r="M3615" s="17"/>
      <c r="N3615" s="17"/>
      <c r="O3615" s="17"/>
      <c r="P3615" s="17"/>
      <c r="Q3615" s="17"/>
      <c r="R3615" s="17"/>
      <c r="S3615" s="17"/>
      <c r="T3615" s="17"/>
      <c r="U3615" s="17"/>
      <c r="V3615" s="18">
        <v>0</v>
      </c>
      <c r="W3615" s="17">
        <f t="shared" si="114"/>
        <v>0</v>
      </c>
      <c r="X3615" s="5">
        <f t="shared" si="115"/>
        <v>0</v>
      </c>
    </row>
    <row r="3616" spans="1:24" x14ac:dyDescent="0.25">
      <c r="A3616" s="17"/>
      <c r="B3616" s="17"/>
      <c r="C3616" s="17"/>
      <c r="D3616" s="17"/>
      <c r="E3616" s="17"/>
      <c r="F3616" s="17"/>
      <c r="G3616" s="17"/>
      <c r="H3616" s="17"/>
      <c r="I3616" s="17"/>
      <c r="J3616" s="17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/>
      <c r="V3616" s="18">
        <v>0</v>
      </c>
      <c r="W3616" s="17">
        <f t="shared" si="114"/>
        <v>0</v>
      </c>
      <c r="X3616" s="5">
        <f t="shared" si="115"/>
        <v>0</v>
      </c>
    </row>
    <row r="3617" spans="1:24" x14ac:dyDescent="0.25">
      <c r="A3617" s="17"/>
      <c r="B3617" s="17"/>
      <c r="C3617" s="17"/>
      <c r="D3617" s="17"/>
      <c r="E3617" s="17"/>
      <c r="F3617" s="17"/>
      <c r="G3617" s="17"/>
      <c r="H3617" s="17"/>
      <c r="I3617" s="17"/>
      <c r="J3617" s="17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/>
      <c r="U3617" s="17"/>
      <c r="V3617" s="18">
        <v>0</v>
      </c>
      <c r="W3617" s="17">
        <f t="shared" si="114"/>
        <v>0</v>
      </c>
      <c r="X3617" s="5">
        <f t="shared" si="115"/>
        <v>0</v>
      </c>
    </row>
    <row r="3618" spans="1:24" x14ac:dyDescent="0.25">
      <c r="A3618" s="17"/>
      <c r="B3618" s="17"/>
      <c r="C3618" s="17"/>
      <c r="D3618" s="17"/>
      <c r="E3618" s="17"/>
      <c r="F3618" s="17"/>
      <c r="G3618" s="17"/>
      <c r="H3618" s="17"/>
      <c r="I3618" s="17"/>
      <c r="J3618" s="17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/>
      <c r="V3618" s="18">
        <v>0</v>
      </c>
      <c r="W3618" s="17">
        <f t="shared" si="114"/>
        <v>0</v>
      </c>
      <c r="X3618" s="5">
        <f t="shared" si="115"/>
        <v>0</v>
      </c>
    </row>
    <row r="3619" spans="1:24" x14ac:dyDescent="0.25">
      <c r="A3619" s="17"/>
      <c r="B3619" s="17"/>
      <c r="C3619" s="17"/>
      <c r="D3619" s="17"/>
      <c r="E3619" s="17"/>
      <c r="F3619" s="17"/>
      <c r="G3619" s="17"/>
      <c r="H3619" s="17"/>
      <c r="I3619" s="17"/>
      <c r="J3619" s="17"/>
      <c r="K3619" s="17"/>
      <c r="L3619" s="17"/>
      <c r="M3619" s="17"/>
      <c r="N3619" s="17"/>
      <c r="O3619" s="17"/>
      <c r="P3619" s="17"/>
      <c r="Q3619" s="17"/>
      <c r="R3619" s="17"/>
      <c r="S3619" s="17"/>
      <c r="T3619" s="17"/>
      <c r="U3619" s="17"/>
      <c r="V3619" s="18">
        <v>0</v>
      </c>
      <c r="W3619" s="17">
        <f t="shared" si="114"/>
        <v>0</v>
      </c>
      <c r="X3619" s="5">
        <f t="shared" si="115"/>
        <v>0</v>
      </c>
    </row>
    <row r="3620" spans="1:24" x14ac:dyDescent="0.25">
      <c r="A3620" s="17"/>
      <c r="B3620" s="17"/>
      <c r="C3620" s="17"/>
      <c r="D3620" s="17"/>
      <c r="E3620" s="17"/>
      <c r="F3620" s="17"/>
      <c r="G3620" s="17"/>
      <c r="H3620" s="17"/>
      <c r="I3620" s="17"/>
      <c r="J3620" s="17"/>
      <c r="K3620" s="17"/>
      <c r="L3620" s="17"/>
      <c r="M3620" s="17"/>
      <c r="N3620" s="17"/>
      <c r="O3620" s="17"/>
      <c r="P3620" s="17"/>
      <c r="Q3620" s="17"/>
      <c r="R3620" s="17"/>
      <c r="S3620" s="17"/>
      <c r="T3620" s="17"/>
      <c r="U3620" s="17"/>
      <c r="V3620" s="18">
        <v>0</v>
      </c>
      <c r="W3620" s="17">
        <f t="shared" si="114"/>
        <v>0</v>
      </c>
      <c r="X3620" s="5">
        <f t="shared" si="115"/>
        <v>0</v>
      </c>
    </row>
    <row r="3621" spans="1:24" x14ac:dyDescent="0.25">
      <c r="A3621" s="17"/>
      <c r="B3621" s="17"/>
      <c r="C3621" s="17"/>
      <c r="D3621" s="17"/>
      <c r="E3621" s="17"/>
      <c r="F3621" s="17"/>
      <c r="G3621" s="17"/>
      <c r="H3621" s="17"/>
      <c r="I3621" s="17"/>
      <c r="J3621" s="17"/>
      <c r="K3621" s="17"/>
      <c r="L3621" s="17"/>
      <c r="M3621" s="17"/>
      <c r="N3621" s="17"/>
      <c r="O3621" s="17"/>
      <c r="P3621" s="17"/>
      <c r="Q3621" s="17"/>
      <c r="R3621" s="17"/>
      <c r="S3621" s="17"/>
      <c r="T3621" s="17"/>
      <c r="U3621" s="17"/>
      <c r="V3621" s="18">
        <v>0</v>
      </c>
      <c r="W3621" s="17">
        <f t="shared" si="114"/>
        <v>0</v>
      </c>
      <c r="X3621" s="5">
        <f t="shared" si="115"/>
        <v>0</v>
      </c>
    </row>
    <row r="3622" spans="1:24" x14ac:dyDescent="0.25">
      <c r="A3622" s="17"/>
      <c r="B3622" s="17"/>
      <c r="C3622" s="17"/>
      <c r="D3622" s="17"/>
      <c r="E3622" s="17"/>
      <c r="F3622" s="17"/>
      <c r="G3622" s="17"/>
      <c r="H3622" s="17"/>
      <c r="I3622" s="17"/>
      <c r="J3622" s="17"/>
      <c r="K3622" s="17"/>
      <c r="L3622" s="17"/>
      <c r="M3622" s="17"/>
      <c r="N3622" s="17"/>
      <c r="O3622" s="17"/>
      <c r="P3622" s="17"/>
      <c r="Q3622" s="17"/>
      <c r="R3622" s="17"/>
      <c r="S3622" s="17"/>
      <c r="T3622" s="17"/>
      <c r="U3622" s="17"/>
      <c r="V3622" s="18">
        <v>0</v>
      </c>
      <c r="W3622" s="17">
        <f t="shared" si="114"/>
        <v>0</v>
      </c>
      <c r="X3622" s="5">
        <f t="shared" si="115"/>
        <v>0</v>
      </c>
    </row>
    <row r="3623" spans="1:24" x14ac:dyDescent="0.25">
      <c r="A3623" s="17"/>
      <c r="B3623" s="17"/>
      <c r="C3623" s="17"/>
      <c r="D3623" s="17"/>
      <c r="E3623" s="17"/>
      <c r="F3623" s="17"/>
      <c r="G3623" s="17"/>
      <c r="H3623" s="17"/>
      <c r="I3623" s="17"/>
      <c r="J3623" s="17"/>
      <c r="K3623" s="17"/>
      <c r="L3623" s="17"/>
      <c r="M3623" s="17"/>
      <c r="N3623" s="17"/>
      <c r="O3623" s="17"/>
      <c r="P3623" s="17"/>
      <c r="Q3623" s="17"/>
      <c r="R3623" s="17"/>
      <c r="S3623" s="17"/>
      <c r="T3623" s="17"/>
      <c r="U3623" s="17"/>
      <c r="V3623" s="18">
        <v>0</v>
      </c>
      <c r="W3623" s="17">
        <f t="shared" si="114"/>
        <v>0</v>
      </c>
      <c r="X3623" s="5">
        <f t="shared" si="115"/>
        <v>0</v>
      </c>
    </row>
    <row r="3624" spans="1:24" x14ac:dyDescent="0.25">
      <c r="A3624" s="17"/>
      <c r="B3624" s="17"/>
      <c r="C3624" s="17"/>
      <c r="D3624" s="17"/>
      <c r="E3624" s="17"/>
      <c r="F3624" s="17"/>
      <c r="G3624" s="17"/>
      <c r="H3624" s="17"/>
      <c r="I3624" s="17"/>
      <c r="J3624" s="17"/>
      <c r="K3624" s="17"/>
      <c r="L3624" s="17"/>
      <c r="M3624" s="17"/>
      <c r="N3624" s="17"/>
      <c r="O3624" s="17"/>
      <c r="P3624" s="17"/>
      <c r="Q3624" s="17"/>
      <c r="R3624" s="17"/>
      <c r="S3624" s="17"/>
      <c r="T3624" s="17"/>
      <c r="U3624" s="17"/>
      <c r="V3624" s="18">
        <v>0</v>
      </c>
      <c r="W3624" s="17">
        <f t="shared" si="114"/>
        <v>0</v>
      </c>
      <c r="X3624" s="5">
        <f t="shared" si="115"/>
        <v>0</v>
      </c>
    </row>
    <row r="3625" spans="1:24" x14ac:dyDescent="0.25">
      <c r="A3625" s="17"/>
      <c r="B3625" s="17"/>
      <c r="C3625" s="17"/>
      <c r="D3625" s="17"/>
      <c r="E3625" s="17"/>
      <c r="F3625" s="17"/>
      <c r="G3625" s="17"/>
      <c r="H3625" s="17"/>
      <c r="I3625" s="17"/>
      <c r="J3625" s="17"/>
      <c r="K3625" s="17"/>
      <c r="L3625" s="17"/>
      <c r="M3625" s="17"/>
      <c r="N3625" s="17"/>
      <c r="O3625" s="17"/>
      <c r="P3625" s="17"/>
      <c r="Q3625" s="17"/>
      <c r="R3625" s="17"/>
      <c r="S3625" s="17"/>
      <c r="T3625" s="17"/>
      <c r="U3625" s="17"/>
      <c r="V3625" s="18">
        <v>0</v>
      </c>
      <c r="W3625" s="17">
        <f t="shared" si="114"/>
        <v>0</v>
      </c>
      <c r="X3625" s="5">
        <f t="shared" si="115"/>
        <v>0</v>
      </c>
    </row>
    <row r="3626" spans="1:24" x14ac:dyDescent="0.25">
      <c r="A3626" s="17"/>
      <c r="B3626" s="17"/>
      <c r="C3626" s="17"/>
      <c r="D3626" s="17"/>
      <c r="E3626" s="17"/>
      <c r="F3626" s="17"/>
      <c r="G3626" s="17"/>
      <c r="H3626" s="17"/>
      <c r="I3626" s="17"/>
      <c r="J3626" s="17"/>
      <c r="K3626" s="17"/>
      <c r="L3626" s="17"/>
      <c r="M3626" s="17"/>
      <c r="N3626" s="17"/>
      <c r="O3626" s="17"/>
      <c r="P3626" s="17"/>
      <c r="Q3626" s="17"/>
      <c r="R3626" s="17"/>
      <c r="S3626" s="17"/>
      <c r="T3626" s="17"/>
      <c r="U3626" s="17"/>
      <c r="V3626" s="18">
        <v>0</v>
      </c>
      <c r="W3626" s="17">
        <f t="shared" si="114"/>
        <v>0</v>
      </c>
      <c r="X3626" s="5">
        <f t="shared" si="115"/>
        <v>0</v>
      </c>
    </row>
    <row r="3627" spans="1:24" x14ac:dyDescent="0.25">
      <c r="A3627" s="17"/>
      <c r="B3627" s="17"/>
      <c r="C3627" s="17"/>
      <c r="D3627" s="17"/>
      <c r="E3627" s="17"/>
      <c r="F3627" s="17"/>
      <c r="G3627" s="17"/>
      <c r="H3627" s="17"/>
      <c r="I3627" s="17"/>
      <c r="J3627" s="17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/>
      <c r="V3627" s="18">
        <v>0</v>
      </c>
      <c r="W3627" s="17">
        <f t="shared" si="114"/>
        <v>0</v>
      </c>
      <c r="X3627" s="5">
        <f t="shared" si="115"/>
        <v>0</v>
      </c>
    </row>
    <row r="3628" spans="1:24" x14ac:dyDescent="0.25">
      <c r="A3628" s="17"/>
      <c r="B3628" s="17"/>
      <c r="C3628" s="17"/>
      <c r="D3628" s="17"/>
      <c r="E3628" s="17"/>
      <c r="F3628" s="17"/>
      <c r="G3628" s="17"/>
      <c r="H3628" s="17"/>
      <c r="I3628" s="17"/>
      <c r="J3628" s="17"/>
      <c r="K3628" s="17"/>
      <c r="L3628" s="17"/>
      <c r="M3628" s="17"/>
      <c r="N3628" s="17"/>
      <c r="O3628" s="17"/>
      <c r="P3628" s="17"/>
      <c r="Q3628" s="17"/>
      <c r="R3628" s="17"/>
      <c r="S3628" s="17"/>
      <c r="T3628" s="17"/>
      <c r="U3628" s="17"/>
      <c r="V3628" s="18">
        <v>0</v>
      </c>
      <c r="W3628" s="17">
        <f t="shared" si="114"/>
        <v>0</v>
      </c>
      <c r="X3628" s="5">
        <f t="shared" si="115"/>
        <v>0</v>
      </c>
    </row>
    <row r="3629" spans="1:24" x14ac:dyDescent="0.25">
      <c r="A3629" s="17"/>
      <c r="B3629" s="17"/>
      <c r="C3629" s="17"/>
      <c r="D3629" s="17"/>
      <c r="E3629" s="17"/>
      <c r="F3629" s="17"/>
      <c r="G3629" s="17"/>
      <c r="H3629" s="17"/>
      <c r="I3629" s="17"/>
      <c r="J3629" s="17"/>
      <c r="K3629" s="17"/>
      <c r="L3629" s="17"/>
      <c r="M3629" s="17"/>
      <c r="N3629" s="17"/>
      <c r="O3629" s="17"/>
      <c r="P3629" s="17"/>
      <c r="Q3629" s="17"/>
      <c r="R3629" s="17"/>
      <c r="S3629" s="17"/>
      <c r="T3629" s="17"/>
      <c r="U3629" s="17"/>
      <c r="V3629" s="18">
        <v>0</v>
      </c>
      <c r="W3629" s="17">
        <f t="shared" si="114"/>
        <v>0</v>
      </c>
      <c r="X3629" s="5">
        <f t="shared" si="115"/>
        <v>0</v>
      </c>
    </row>
    <row r="3630" spans="1:24" x14ac:dyDescent="0.25">
      <c r="A3630" s="17"/>
      <c r="B3630" s="17"/>
      <c r="C3630" s="17"/>
      <c r="D3630" s="17"/>
      <c r="E3630" s="17"/>
      <c r="F3630" s="17"/>
      <c r="G3630" s="17"/>
      <c r="H3630" s="17"/>
      <c r="I3630" s="17"/>
      <c r="J3630" s="17"/>
      <c r="K3630" s="17"/>
      <c r="L3630" s="17"/>
      <c r="M3630" s="17"/>
      <c r="N3630" s="17"/>
      <c r="O3630" s="17"/>
      <c r="P3630" s="17"/>
      <c r="Q3630" s="17"/>
      <c r="R3630" s="17"/>
      <c r="S3630" s="17"/>
      <c r="T3630" s="17"/>
      <c r="U3630" s="17"/>
      <c r="V3630" s="18">
        <v>0</v>
      </c>
      <c r="W3630" s="17">
        <f t="shared" si="114"/>
        <v>0</v>
      </c>
      <c r="X3630" s="5">
        <f t="shared" si="115"/>
        <v>0</v>
      </c>
    </row>
    <row r="3631" spans="1:24" x14ac:dyDescent="0.25">
      <c r="A3631" s="17"/>
      <c r="B3631" s="17"/>
      <c r="C3631" s="17"/>
      <c r="D3631" s="17"/>
      <c r="E3631" s="17"/>
      <c r="F3631" s="17"/>
      <c r="G3631" s="17"/>
      <c r="H3631" s="17"/>
      <c r="I3631" s="17"/>
      <c r="J3631" s="17"/>
      <c r="K3631" s="17"/>
      <c r="L3631" s="17"/>
      <c r="M3631" s="17"/>
      <c r="N3631" s="17"/>
      <c r="O3631" s="17"/>
      <c r="P3631" s="17"/>
      <c r="Q3631" s="17"/>
      <c r="R3631" s="17"/>
      <c r="S3631" s="17"/>
      <c r="T3631" s="17"/>
      <c r="U3631" s="17"/>
      <c r="V3631" s="18">
        <v>0</v>
      </c>
      <c r="W3631" s="17">
        <f t="shared" si="114"/>
        <v>0</v>
      </c>
      <c r="X3631" s="5">
        <f t="shared" si="115"/>
        <v>0</v>
      </c>
    </row>
    <row r="3632" spans="1:24" x14ac:dyDescent="0.25">
      <c r="A3632" s="17"/>
      <c r="B3632" s="17"/>
      <c r="C3632" s="17"/>
      <c r="D3632" s="17"/>
      <c r="E3632" s="17"/>
      <c r="F3632" s="17"/>
      <c r="G3632" s="17"/>
      <c r="H3632" s="17"/>
      <c r="I3632" s="17"/>
      <c r="J3632" s="17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/>
      <c r="V3632" s="18">
        <v>0</v>
      </c>
      <c r="W3632" s="17">
        <f t="shared" si="114"/>
        <v>0</v>
      </c>
      <c r="X3632" s="5">
        <f t="shared" si="115"/>
        <v>0</v>
      </c>
    </row>
    <row r="3633" spans="1:24" x14ac:dyDescent="0.25">
      <c r="A3633" s="17"/>
      <c r="B3633" s="17"/>
      <c r="C3633" s="17"/>
      <c r="D3633" s="17"/>
      <c r="E3633" s="17"/>
      <c r="F3633" s="17"/>
      <c r="G3633" s="17"/>
      <c r="H3633" s="17"/>
      <c r="I3633" s="17"/>
      <c r="J3633" s="17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/>
      <c r="U3633" s="17"/>
      <c r="V3633" s="18">
        <v>0</v>
      </c>
      <c r="W3633" s="17">
        <f t="shared" si="114"/>
        <v>0</v>
      </c>
      <c r="X3633" s="5">
        <f t="shared" si="115"/>
        <v>0</v>
      </c>
    </row>
    <row r="3634" spans="1:24" x14ac:dyDescent="0.25">
      <c r="A3634" s="17"/>
      <c r="B3634" s="17"/>
      <c r="C3634" s="17"/>
      <c r="D3634" s="17"/>
      <c r="E3634" s="17"/>
      <c r="F3634" s="17"/>
      <c r="G3634" s="17"/>
      <c r="H3634" s="17"/>
      <c r="I3634" s="17"/>
      <c r="J3634" s="17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8">
        <v>0</v>
      </c>
      <c r="W3634" s="17">
        <f t="shared" si="114"/>
        <v>0</v>
      </c>
      <c r="X3634" s="5">
        <f t="shared" si="115"/>
        <v>0</v>
      </c>
    </row>
    <row r="3635" spans="1:24" x14ac:dyDescent="0.25">
      <c r="A3635" s="17"/>
      <c r="B3635" s="17"/>
      <c r="C3635" s="17"/>
      <c r="D3635" s="17"/>
      <c r="E3635" s="17"/>
      <c r="F3635" s="17"/>
      <c r="G3635" s="17"/>
      <c r="H3635" s="17"/>
      <c r="I3635" s="17"/>
      <c r="J3635" s="17"/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/>
      <c r="V3635" s="18">
        <v>0</v>
      </c>
      <c r="W3635" s="17">
        <f t="shared" si="114"/>
        <v>0</v>
      </c>
      <c r="X3635" s="5">
        <f t="shared" si="115"/>
        <v>0</v>
      </c>
    </row>
    <row r="3636" spans="1:24" x14ac:dyDescent="0.25">
      <c r="A3636" s="17"/>
      <c r="B3636" s="17"/>
      <c r="C3636" s="17"/>
      <c r="D3636" s="17"/>
      <c r="E3636" s="17"/>
      <c r="F3636" s="17"/>
      <c r="G3636" s="17"/>
      <c r="H3636" s="17"/>
      <c r="I3636" s="17"/>
      <c r="J3636" s="17"/>
      <c r="K3636" s="17"/>
      <c r="L3636" s="17"/>
      <c r="M3636" s="17"/>
      <c r="N3636" s="17"/>
      <c r="O3636" s="17"/>
      <c r="P3636" s="17"/>
      <c r="Q3636" s="17"/>
      <c r="R3636" s="17"/>
      <c r="S3636" s="17"/>
      <c r="T3636" s="17"/>
      <c r="U3636" s="17"/>
      <c r="V3636" s="18">
        <v>0</v>
      </c>
      <c r="W3636" s="17">
        <f t="shared" si="114"/>
        <v>0</v>
      </c>
      <c r="X3636" s="5">
        <f t="shared" si="115"/>
        <v>0</v>
      </c>
    </row>
    <row r="3637" spans="1:24" x14ac:dyDescent="0.25">
      <c r="A3637" s="17"/>
      <c r="B3637" s="17"/>
      <c r="C3637" s="17"/>
      <c r="D3637" s="17"/>
      <c r="E3637" s="17"/>
      <c r="F3637" s="17"/>
      <c r="G3637" s="17"/>
      <c r="H3637" s="17"/>
      <c r="I3637" s="17"/>
      <c r="J3637" s="17"/>
      <c r="K3637" s="17"/>
      <c r="L3637" s="17"/>
      <c r="M3637" s="17"/>
      <c r="N3637" s="17"/>
      <c r="O3637" s="17"/>
      <c r="P3637" s="17"/>
      <c r="Q3637" s="17"/>
      <c r="R3637" s="17"/>
      <c r="S3637" s="17"/>
      <c r="T3637" s="17"/>
      <c r="U3637" s="17"/>
      <c r="V3637" s="18">
        <v>0</v>
      </c>
      <c r="W3637" s="17">
        <f t="shared" si="114"/>
        <v>0</v>
      </c>
      <c r="X3637" s="5">
        <f t="shared" si="115"/>
        <v>0</v>
      </c>
    </row>
    <row r="3638" spans="1:24" x14ac:dyDescent="0.25">
      <c r="A3638" s="17"/>
      <c r="B3638" s="17"/>
      <c r="C3638" s="17"/>
      <c r="D3638" s="17"/>
      <c r="E3638" s="17"/>
      <c r="F3638" s="17"/>
      <c r="G3638" s="17"/>
      <c r="H3638" s="17"/>
      <c r="I3638" s="17"/>
      <c r="J3638" s="17"/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/>
      <c r="V3638" s="18">
        <v>0</v>
      </c>
      <c r="W3638" s="17">
        <f t="shared" si="114"/>
        <v>0</v>
      </c>
      <c r="X3638" s="5">
        <f t="shared" si="115"/>
        <v>0</v>
      </c>
    </row>
    <row r="3639" spans="1:24" x14ac:dyDescent="0.25">
      <c r="A3639" s="17"/>
      <c r="B3639" s="17"/>
      <c r="C3639" s="17"/>
      <c r="D3639" s="17"/>
      <c r="E3639" s="17"/>
      <c r="F3639" s="17"/>
      <c r="G3639" s="17"/>
      <c r="H3639" s="17"/>
      <c r="I3639" s="17"/>
      <c r="J3639" s="17"/>
      <c r="K3639" s="17"/>
      <c r="L3639" s="17"/>
      <c r="M3639" s="17"/>
      <c r="N3639" s="17"/>
      <c r="O3639" s="17"/>
      <c r="P3639" s="17"/>
      <c r="Q3639" s="17"/>
      <c r="R3639" s="17"/>
      <c r="S3639" s="17"/>
      <c r="T3639" s="17"/>
      <c r="U3639" s="17"/>
      <c r="V3639" s="18">
        <v>0</v>
      </c>
      <c r="W3639" s="17">
        <f t="shared" si="114"/>
        <v>0</v>
      </c>
      <c r="X3639" s="5">
        <f t="shared" si="115"/>
        <v>0</v>
      </c>
    </row>
    <row r="3640" spans="1:24" x14ac:dyDescent="0.25">
      <c r="A3640" s="17"/>
      <c r="B3640" s="17"/>
      <c r="C3640" s="17"/>
      <c r="D3640" s="17"/>
      <c r="E3640" s="17"/>
      <c r="F3640" s="17"/>
      <c r="G3640" s="17"/>
      <c r="H3640" s="17"/>
      <c r="I3640" s="17"/>
      <c r="J3640" s="17"/>
      <c r="K3640" s="17"/>
      <c r="L3640" s="17"/>
      <c r="M3640" s="17"/>
      <c r="N3640" s="17"/>
      <c r="O3640" s="17"/>
      <c r="P3640" s="17"/>
      <c r="Q3640" s="17"/>
      <c r="R3640" s="17"/>
      <c r="S3640" s="17"/>
      <c r="T3640" s="17"/>
      <c r="U3640" s="17"/>
      <c r="V3640" s="18">
        <v>0</v>
      </c>
      <c r="W3640" s="17">
        <f t="shared" si="114"/>
        <v>0</v>
      </c>
      <c r="X3640" s="5">
        <f t="shared" si="115"/>
        <v>0</v>
      </c>
    </row>
    <row r="3641" spans="1:24" x14ac:dyDescent="0.25">
      <c r="A3641" s="17"/>
      <c r="B3641" s="17"/>
      <c r="C3641" s="17"/>
      <c r="D3641" s="17"/>
      <c r="E3641" s="17"/>
      <c r="F3641" s="17"/>
      <c r="G3641" s="17"/>
      <c r="H3641" s="17"/>
      <c r="I3641" s="17"/>
      <c r="J3641" s="17"/>
      <c r="K3641" s="17"/>
      <c r="L3641" s="17"/>
      <c r="M3641" s="17"/>
      <c r="N3641" s="17"/>
      <c r="O3641" s="17"/>
      <c r="P3641" s="17"/>
      <c r="Q3641" s="17"/>
      <c r="R3641" s="17"/>
      <c r="S3641" s="17"/>
      <c r="T3641" s="17"/>
      <c r="U3641" s="17"/>
      <c r="V3641" s="18">
        <v>0</v>
      </c>
      <c r="W3641" s="17">
        <f t="shared" si="114"/>
        <v>0</v>
      </c>
      <c r="X3641" s="5">
        <f t="shared" si="115"/>
        <v>0</v>
      </c>
    </row>
    <row r="3642" spans="1:24" x14ac:dyDescent="0.25">
      <c r="A3642" s="17"/>
      <c r="B3642" s="17"/>
      <c r="C3642" s="17"/>
      <c r="D3642" s="17"/>
      <c r="E3642" s="17"/>
      <c r="F3642" s="17"/>
      <c r="G3642" s="17"/>
      <c r="H3642" s="17"/>
      <c r="I3642" s="17"/>
      <c r="J3642" s="17"/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/>
      <c r="V3642" s="18">
        <v>0</v>
      </c>
      <c r="W3642" s="17">
        <f t="shared" si="114"/>
        <v>0</v>
      </c>
      <c r="X3642" s="5">
        <f t="shared" si="115"/>
        <v>0</v>
      </c>
    </row>
    <row r="3643" spans="1:24" x14ac:dyDescent="0.25">
      <c r="A3643" s="17"/>
      <c r="B3643" s="17"/>
      <c r="C3643" s="17"/>
      <c r="D3643" s="17"/>
      <c r="E3643" s="17"/>
      <c r="F3643" s="17"/>
      <c r="G3643" s="17"/>
      <c r="H3643" s="17"/>
      <c r="I3643" s="17"/>
      <c r="J3643" s="17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8">
        <v>0</v>
      </c>
      <c r="W3643" s="17">
        <f t="shared" si="114"/>
        <v>0</v>
      </c>
      <c r="X3643" s="5">
        <f t="shared" si="115"/>
        <v>0</v>
      </c>
    </row>
    <row r="3644" spans="1:24" x14ac:dyDescent="0.25">
      <c r="A3644" s="17"/>
      <c r="B3644" s="17"/>
      <c r="C3644" s="17"/>
      <c r="D3644" s="17"/>
      <c r="E3644" s="17"/>
      <c r="F3644" s="17"/>
      <c r="G3644" s="17"/>
      <c r="H3644" s="17"/>
      <c r="I3644" s="17"/>
      <c r="J3644" s="17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/>
      <c r="U3644" s="17"/>
      <c r="V3644" s="18">
        <v>0</v>
      </c>
      <c r="W3644" s="17">
        <f t="shared" si="114"/>
        <v>0</v>
      </c>
      <c r="X3644" s="5">
        <f t="shared" si="115"/>
        <v>0</v>
      </c>
    </row>
    <row r="3645" spans="1:24" x14ac:dyDescent="0.25">
      <c r="A3645" s="17"/>
      <c r="B3645" s="17"/>
      <c r="C3645" s="17"/>
      <c r="D3645" s="17"/>
      <c r="E3645" s="17"/>
      <c r="F3645" s="17"/>
      <c r="G3645" s="17"/>
      <c r="H3645" s="17"/>
      <c r="I3645" s="17"/>
      <c r="J3645" s="17"/>
      <c r="K3645" s="17"/>
      <c r="L3645" s="17"/>
      <c r="M3645" s="17"/>
      <c r="N3645" s="17"/>
      <c r="O3645" s="17"/>
      <c r="P3645" s="17"/>
      <c r="Q3645" s="17"/>
      <c r="R3645" s="17"/>
      <c r="S3645" s="17"/>
      <c r="T3645" s="17"/>
      <c r="U3645" s="17"/>
      <c r="V3645" s="18">
        <v>0</v>
      </c>
      <c r="W3645" s="17">
        <f t="shared" si="114"/>
        <v>0</v>
      </c>
      <c r="X3645" s="5">
        <f t="shared" si="115"/>
        <v>0</v>
      </c>
    </row>
    <row r="3646" spans="1:24" x14ac:dyDescent="0.25">
      <c r="A3646" s="17"/>
      <c r="B3646" s="17"/>
      <c r="C3646" s="17"/>
      <c r="D3646" s="17"/>
      <c r="E3646" s="17"/>
      <c r="F3646" s="17"/>
      <c r="G3646" s="17"/>
      <c r="H3646" s="17"/>
      <c r="I3646" s="17"/>
      <c r="J3646" s="17"/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/>
      <c r="V3646" s="18">
        <v>0</v>
      </c>
      <c r="W3646" s="17">
        <f t="shared" si="114"/>
        <v>0</v>
      </c>
      <c r="X3646" s="5">
        <f t="shared" si="115"/>
        <v>0</v>
      </c>
    </row>
    <row r="3647" spans="1:24" x14ac:dyDescent="0.25">
      <c r="A3647" s="17"/>
      <c r="B3647" s="17"/>
      <c r="C3647" s="17"/>
      <c r="D3647" s="17"/>
      <c r="E3647" s="17"/>
      <c r="F3647" s="17"/>
      <c r="G3647" s="17"/>
      <c r="H3647" s="17"/>
      <c r="I3647" s="17"/>
      <c r="J3647" s="17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/>
      <c r="U3647" s="17"/>
      <c r="V3647" s="18">
        <v>0</v>
      </c>
      <c r="W3647" s="17">
        <f t="shared" si="114"/>
        <v>0</v>
      </c>
      <c r="X3647" s="5">
        <f t="shared" si="115"/>
        <v>0</v>
      </c>
    </row>
    <row r="3648" spans="1:24" x14ac:dyDescent="0.25">
      <c r="A3648" s="17"/>
      <c r="B3648" s="17"/>
      <c r="C3648" s="17"/>
      <c r="D3648" s="17"/>
      <c r="E3648" s="17"/>
      <c r="F3648" s="17"/>
      <c r="G3648" s="17"/>
      <c r="H3648" s="17"/>
      <c r="I3648" s="17"/>
      <c r="J3648" s="17"/>
      <c r="K3648" s="17"/>
      <c r="L3648" s="17"/>
      <c r="M3648" s="17"/>
      <c r="N3648" s="17"/>
      <c r="O3648" s="17"/>
      <c r="P3648" s="17"/>
      <c r="Q3648" s="17"/>
      <c r="R3648" s="17"/>
      <c r="S3648" s="17"/>
      <c r="T3648" s="17"/>
      <c r="U3648" s="17"/>
      <c r="V3648" s="18">
        <v>0</v>
      </c>
      <c r="W3648" s="17">
        <f t="shared" si="114"/>
        <v>0</v>
      </c>
      <c r="X3648" s="5">
        <f t="shared" si="115"/>
        <v>0</v>
      </c>
    </row>
    <row r="3649" spans="1:24" x14ac:dyDescent="0.25">
      <c r="A3649" s="17"/>
      <c r="B3649" s="17"/>
      <c r="C3649" s="17"/>
      <c r="D3649" s="17"/>
      <c r="E3649" s="17"/>
      <c r="F3649" s="17"/>
      <c r="G3649" s="17"/>
      <c r="H3649" s="17"/>
      <c r="I3649" s="17"/>
      <c r="J3649" s="17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/>
      <c r="U3649" s="17"/>
      <c r="V3649" s="18">
        <v>0</v>
      </c>
      <c r="W3649" s="17">
        <f t="shared" si="114"/>
        <v>0</v>
      </c>
      <c r="X3649" s="5">
        <f t="shared" si="115"/>
        <v>0</v>
      </c>
    </row>
    <row r="3650" spans="1:24" x14ac:dyDescent="0.25">
      <c r="A3650" s="17"/>
      <c r="B3650" s="17"/>
      <c r="C3650" s="17"/>
      <c r="D3650" s="17"/>
      <c r="E3650" s="17"/>
      <c r="F3650" s="17"/>
      <c r="G3650" s="17"/>
      <c r="H3650" s="17"/>
      <c r="I3650" s="17"/>
      <c r="J3650" s="17"/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/>
      <c r="V3650" s="18">
        <v>0</v>
      </c>
      <c r="W3650" s="17">
        <f t="shared" si="114"/>
        <v>0</v>
      </c>
      <c r="X3650" s="5">
        <f t="shared" si="115"/>
        <v>0</v>
      </c>
    </row>
    <row r="3651" spans="1:24" x14ac:dyDescent="0.25">
      <c r="A3651" s="17"/>
      <c r="B3651" s="17"/>
      <c r="C3651" s="17"/>
      <c r="D3651" s="17"/>
      <c r="E3651" s="17"/>
      <c r="F3651" s="17"/>
      <c r="G3651" s="17"/>
      <c r="H3651" s="17"/>
      <c r="I3651" s="17"/>
      <c r="J3651" s="17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8">
        <v>0</v>
      </c>
      <c r="W3651" s="17">
        <f t="shared" ref="W3651:W3714" si="116">HOUR(E3651)</f>
        <v>0</v>
      </c>
      <c r="X3651" s="5">
        <f t="shared" ref="X3651:X3714" si="117">IF(D3651=D3650,0,1)</f>
        <v>0</v>
      </c>
    </row>
    <row r="3652" spans="1:24" x14ac:dyDescent="0.25">
      <c r="A3652" s="17"/>
      <c r="B3652" s="17"/>
      <c r="C3652" s="17"/>
      <c r="D3652" s="17"/>
      <c r="E3652" s="17"/>
      <c r="F3652" s="17"/>
      <c r="G3652" s="17"/>
      <c r="H3652" s="17"/>
      <c r="I3652" s="17"/>
      <c r="J3652" s="17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/>
      <c r="V3652" s="18">
        <v>0</v>
      </c>
      <c r="W3652" s="17">
        <f t="shared" si="116"/>
        <v>0</v>
      </c>
      <c r="X3652" s="5">
        <f t="shared" si="117"/>
        <v>0</v>
      </c>
    </row>
    <row r="3653" spans="1:24" x14ac:dyDescent="0.25">
      <c r="A3653" s="17"/>
      <c r="B3653" s="17"/>
      <c r="C3653" s="17"/>
      <c r="D3653" s="17"/>
      <c r="E3653" s="17"/>
      <c r="F3653" s="17"/>
      <c r="G3653" s="17"/>
      <c r="H3653" s="17"/>
      <c r="I3653" s="17"/>
      <c r="J3653" s="17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/>
      <c r="U3653" s="17"/>
      <c r="V3653" s="18">
        <v>0</v>
      </c>
      <c r="W3653" s="17">
        <f t="shared" si="116"/>
        <v>0</v>
      </c>
      <c r="X3653" s="5">
        <f t="shared" si="117"/>
        <v>0</v>
      </c>
    </row>
    <row r="3654" spans="1:24" x14ac:dyDescent="0.25">
      <c r="A3654" s="17"/>
      <c r="B3654" s="17"/>
      <c r="C3654" s="17"/>
      <c r="D3654" s="17"/>
      <c r="E3654" s="17"/>
      <c r="F3654" s="17"/>
      <c r="G3654" s="17"/>
      <c r="H3654" s="17"/>
      <c r="I3654" s="17"/>
      <c r="J3654" s="17"/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8">
        <v>0</v>
      </c>
      <c r="W3654" s="17">
        <f t="shared" si="116"/>
        <v>0</v>
      </c>
      <c r="X3654" s="5">
        <f t="shared" si="117"/>
        <v>0</v>
      </c>
    </row>
    <row r="3655" spans="1:24" x14ac:dyDescent="0.25">
      <c r="A3655" s="17"/>
      <c r="B3655" s="17"/>
      <c r="C3655" s="17"/>
      <c r="D3655" s="17"/>
      <c r="E3655" s="17"/>
      <c r="F3655" s="17"/>
      <c r="G3655" s="17"/>
      <c r="H3655" s="17"/>
      <c r="I3655" s="17"/>
      <c r="J3655" s="17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8">
        <v>0</v>
      </c>
      <c r="W3655" s="17">
        <f t="shared" si="116"/>
        <v>0</v>
      </c>
      <c r="X3655" s="5">
        <f t="shared" si="117"/>
        <v>0</v>
      </c>
    </row>
    <row r="3656" spans="1:24" x14ac:dyDescent="0.25">
      <c r="A3656" s="17"/>
      <c r="B3656" s="17"/>
      <c r="C3656" s="17"/>
      <c r="D3656" s="17"/>
      <c r="E3656" s="17"/>
      <c r="F3656" s="17"/>
      <c r="G3656" s="17"/>
      <c r="H3656" s="17"/>
      <c r="I3656" s="17"/>
      <c r="J3656" s="17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/>
      <c r="U3656" s="17"/>
      <c r="V3656" s="18">
        <v>0</v>
      </c>
      <c r="W3656" s="17">
        <f t="shared" si="116"/>
        <v>0</v>
      </c>
      <c r="X3656" s="5">
        <f t="shared" si="117"/>
        <v>0</v>
      </c>
    </row>
    <row r="3657" spans="1:24" x14ac:dyDescent="0.25">
      <c r="A3657" s="17"/>
      <c r="B3657" s="17"/>
      <c r="C3657" s="17"/>
      <c r="D3657" s="17"/>
      <c r="E3657" s="17"/>
      <c r="F3657" s="17"/>
      <c r="G3657" s="17"/>
      <c r="H3657" s="17"/>
      <c r="I3657" s="17"/>
      <c r="J3657" s="17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/>
      <c r="U3657" s="17"/>
      <c r="V3657" s="18">
        <v>0</v>
      </c>
      <c r="W3657" s="17">
        <f t="shared" si="116"/>
        <v>0</v>
      </c>
      <c r="X3657" s="5">
        <f t="shared" si="117"/>
        <v>0</v>
      </c>
    </row>
    <row r="3658" spans="1:24" x14ac:dyDescent="0.25">
      <c r="A3658" s="17"/>
      <c r="B3658" s="17"/>
      <c r="C3658" s="17"/>
      <c r="D3658" s="17"/>
      <c r="E3658" s="17"/>
      <c r="F3658" s="17"/>
      <c r="G3658" s="17"/>
      <c r="H3658" s="17"/>
      <c r="I3658" s="17"/>
      <c r="J3658" s="17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8">
        <v>0</v>
      </c>
      <c r="W3658" s="17">
        <f t="shared" si="116"/>
        <v>0</v>
      </c>
      <c r="X3658" s="5">
        <f t="shared" si="117"/>
        <v>0</v>
      </c>
    </row>
    <row r="3659" spans="1:24" x14ac:dyDescent="0.25">
      <c r="A3659" s="17"/>
      <c r="B3659" s="17"/>
      <c r="C3659" s="17"/>
      <c r="D3659" s="17"/>
      <c r="E3659" s="17"/>
      <c r="F3659" s="17"/>
      <c r="G3659" s="17"/>
      <c r="H3659" s="17"/>
      <c r="I3659" s="17"/>
      <c r="J3659" s="17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/>
      <c r="U3659" s="17"/>
      <c r="V3659" s="18">
        <v>0</v>
      </c>
      <c r="W3659" s="17">
        <f t="shared" si="116"/>
        <v>0</v>
      </c>
      <c r="X3659" s="5">
        <f t="shared" si="117"/>
        <v>0</v>
      </c>
    </row>
    <row r="3660" spans="1:24" x14ac:dyDescent="0.25">
      <c r="A3660" s="17"/>
      <c r="B3660" s="17"/>
      <c r="C3660" s="17"/>
      <c r="D3660" s="17"/>
      <c r="E3660" s="17"/>
      <c r="F3660" s="17"/>
      <c r="G3660" s="17"/>
      <c r="H3660" s="17"/>
      <c r="I3660" s="17"/>
      <c r="J3660" s="17"/>
      <c r="K3660" s="17"/>
      <c r="L3660" s="17"/>
      <c r="M3660" s="17"/>
      <c r="N3660" s="17"/>
      <c r="O3660" s="17"/>
      <c r="P3660" s="17"/>
      <c r="Q3660" s="17"/>
      <c r="R3660" s="17"/>
      <c r="S3660" s="17"/>
      <c r="T3660" s="17"/>
      <c r="U3660" s="17"/>
      <c r="V3660" s="18">
        <v>0</v>
      </c>
      <c r="W3660" s="17">
        <f t="shared" si="116"/>
        <v>0</v>
      </c>
      <c r="X3660" s="5">
        <f t="shared" si="117"/>
        <v>0</v>
      </c>
    </row>
    <row r="3661" spans="1:24" x14ac:dyDescent="0.25">
      <c r="A3661" s="17"/>
      <c r="B3661" s="17"/>
      <c r="C3661" s="17"/>
      <c r="D3661" s="17"/>
      <c r="E3661" s="17"/>
      <c r="F3661" s="17"/>
      <c r="G3661" s="17"/>
      <c r="H3661" s="17"/>
      <c r="I3661" s="17"/>
      <c r="J3661" s="17"/>
      <c r="K3661" s="17"/>
      <c r="L3661" s="17"/>
      <c r="M3661" s="17"/>
      <c r="N3661" s="17"/>
      <c r="O3661" s="17"/>
      <c r="P3661" s="17"/>
      <c r="Q3661" s="17"/>
      <c r="R3661" s="17"/>
      <c r="S3661" s="17"/>
      <c r="T3661" s="17"/>
      <c r="U3661" s="17"/>
      <c r="V3661" s="18">
        <v>0</v>
      </c>
      <c r="W3661" s="17">
        <f t="shared" si="116"/>
        <v>0</v>
      </c>
      <c r="X3661" s="5">
        <f t="shared" si="117"/>
        <v>0</v>
      </c>
    </row>
    <row r="3662" spans="1:24" x14ac:dyDescent="0.25">
      <c r="A3662" s="17"/>
      <c r="B3662" s="17"/>
      <c r="C3662" s="17"/>
      <c r="D3662" s="17"/>
      <c r="E3662" s="17"/>
      <c r="F3662" s="17"/>
      <c r="G3662" s="17"/>
      <c r="H3662" s="17"/>
      <c r="I3662" s="17"/>
      <c r="J3662" s="17"/>
      <c r="K3662" s="17"/>
      <c r="L3662" s="17"/>
      <c r="M3662" s="17"/>
      <c r="N3662" s="17"/>
      <c r="O3662" s="17"/>
      <c r="P3662" s="17"/>
      <c r="Q3662" s="17"/>
      <c r="R3662" s="17"/>
      <c r="S3662" s="17"/>
      <c r="T3662" s="17"/>
      <c r="U3662" s="17"/>
      <c r="V3662" s="18">
        <v>0</v>
      </c>
      <c r="W3662" s="17">
        <f t="shared" si="116"/>
        <v>0</v>
      </c>
      <c r="X3662" s="5">
        <f t="shared" si="117"/>
        <v>0</v>
      </c>
    </row>
    <row r="3663" spans="1:24" x14ac:dyDescent="0.25">
      <c r="A3663" s="17"/>
      <c r="B3663" s="17"/>
      <c r="C3663" s="17"/>
      <c r="D3663" s="17"/>
      <c r="E3663" s="17"/>
      <c r="F3663" s="17"/>
      <c r="G3663" s="17"/>
      <c r="H3663" s="17"/>
      <c r="I3663" s="17"/>
      <c r="J3663" s="17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/>
      <c r="V3663" s="18">
        <v>0</v>
      </c>
      <c r="W3663" s="17">
        <f t="shared" si="116"/>
        <v>0</v>
      </c>
      <c r="X3663" s="5">
        <f t="shared" si="117"/>
        <v>0</v>
      </c>
    </row>
    <row r="3664" spans="1:24" x14ac:dyDescent="0.25">
      <c r="A3664" s="17"/>
      <c r="B3664" s="17"/>
      <c r="C3664" s="17"/>
      <c r="D3664" s="17"/>
      <c r="E3664" s="17"/>
      <c r="F3664" s="17"/>
      <c r="G3664" s="17"/>
      <c r="H3664" s="17"/>
      <c r="I3664" s="17"/>
      <c r="J3664" s="17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8">
        <v>0</v>
      </c>
      <c r="W3664" s="17">
        <f t="shared" si="116"/>
        <v>0</v>
      </c>
      <c r="X3664" s="5">
        <f t="shared" si="117"/>
        <v>0</v>
      </c>
    </row>
    <row r="3665" spans="1:24" x14ac:dyDescent="0.25">
      <c r="A3665" s="17"/>
      <c r="B3665" s="17"/>
      <c r="C3665" s="17"/>
      <c r="D3665" s="17"/>
      <c r="E3665" s="17"/>
      <c r="F3665" s="17"/>
      <c r="G3665" s="17"/>
      <c r="H3665" s="17"/>
      <c r="I3665" s="17"/>
      <c r="J3665" s="17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/>
      <c r="U3665" s="17"/>
      <c r="V3665" s="18">
        <v>0</v>
      </c>
      <c r="W3665" s="17">
        <f t="shared" si="116"/>
        <v>0</v>
      </c>
      <c r="X3665" s="5">
        <f t="shared" si="117"/>
        <v>0</v>
      </c>
    </row>
    <row r="3666" spans="1:24" x14ac:dyDescent="0.25">
      <c r="A3666" s="17"/>
      <c r="B3666" s="17"/>
      <c r="C3666" s="17"/>
      <c r="D3666" s="17"/>
      <c r="E3666" s="17"/>
      <c r="F3666" s="17"/>
      <c r="G3666" s="17"/>
      <c r="H3666" s="17"/>
      <c r="I3666" s="17"/>
      <c r="J3666" s="17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/>
      <c r="V3666" s="18">
        <v>0</v>
      </c>
      <c r="W3666" s="17">
        <f t="shared" si="116"/>
        <v>0</v>
      </c>
      <c r="X3666" s="5">
        <f t="shared" si="117"/>
        <v>0</v>
      </c>
    </row>
    <row r="3667" spans="1:24" x14ac:dyDescent="0.25">
      <c r="A3667" s="17"/>
      <c r="B3667" s="17"/>
      <c r="C3667" s="17"/>
      <c r="D3667" s="17"/>
      <c r="E3667" s="17"/>
      <c r="F3667" s="17"/>
      <c r="G3667" s="17"/>
      <c r="H3667" s="17"/>
      <c r="I3667" s="17"/>
      <c r="J3667" s="17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8">
        <v>0</v>
      </c>
      <c r="W3667" s="17">
        <f t="shared" si="116"/>
        <v>0</v>
      </c>
      <c r="X3667" s="5">
        <f t="shared" si="117"/>
        <v>0</v>
      </c>
    </row>
    <row r="3668" spans="1:24" x14ac:dyDescent="0.25">
      <c r="A3668" s="17"/>
      <c r="B3668" s="17"/>
      <c r="C3668" s="17"/>
      <c r="D3668" s="17"/>
      <c r="E3668" s="17"/>
      <c r="F3668" s="17"/>
      <c r="G3668" s="17"/>
      <c r="H3668" s="17"/>
      <c r="I3668" s="17"/>
      <c r="J3668" s="17"/>
      <c r="K3668" s="17"/>
      <c r="L3668" s="17"/>
      <c r="M3668" s="17"/>
      <c r="N3668" s="17"/>
      <c r="O3668" s="17"/>
      <c r="P3668" s="17"/>
      <c r="Q3668" s="17"/>
      <c r="R3668" s="17"/>
      <c r="S3668" s="17"/>
      <c r="T3668" s="17"/>
      <c r="U3668" s="17"/>
      <c r="V3668" s="18">
        <v>0</v>
      </c>
      <c r="W3668" s="17">
        <f t="shared" si="116"/>
        <v>0</v>
      </c>
      <c r="X3668" s="5">
        <f t="shared" si="117"/>
        <v>0</v>
      </c>
    </row>
    <row r="3669" spans="1:24" x14ac:dyDescent="0.25">
      <c r="A3669" s="17"/>
      <c r="B3669" s="17"/>
      <c r="C3669" s="17"/>
      <c r="D3669" s="17"/>
      <c r="E3669" s="17"/>
      <c r="F3669" s="17"/>
      <c r="G3669" s="17"/>
      <c r="H3669" s="17"/>
      <c r="I3669" s="17"/>
      <c r="J3669" s="17"/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/>
      <c r="V3669" s="18">
        <v>0</v>
      </c>
      <c r="W3669" s="17">
        <f t="shared" si="116"/>
        <v>0</v>
      </c>
      <c r="X3669" s="5">
        <f t="shared" si="117"/>
        <v>0</v>
      </c>
    </row>
    <row r="3670" spans="1:24" x14ac:dyDescent="0.25">
      <c r="A3670" s="17"/>
      <c r="B3670" s="17"/>
      <c r="C3670" s="17"/>
      <c r="D3670" s="17"/>
      <c r="E3670" s="17"/>
      <c r="F3670" s="17"/>
      <c r="G3670" s="17"/>
      <c r="H3670" s="17"/>
      <c r="I3670" s="17"/>
      <c r="J3670" s="17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8">
        <v>0</v>
      </c>
      <c r="W3670" s="17">
        <f t="shared" si="116"/>
        <v>0</v>
      </c>
      <c r="X3670" s="5">
        <f t="shared" si="117"/>
        <v>0</v>
      </c>
    </row>
    <row r="3671" spans="1:24" x14ac:dyDescent="0.25">
      <c r="A3671" s="17"/>
      <c r="B3671" s="17"/>
      <c r="C3671" s="17"/>
      <c r="D3671" s="17"/>
      <c r="E3671" s="17"/>
      <c r="F3671" s="17"/>
      <c r="G3671" s="17"/>
      <c r="H3671" s="17"/>
      <c r="I3671" s="17"/>
      <c r="J3671" s="17"/>
      <c r="K3671" s="17"/>
      <c r="L3671" s="17"/>
      <c r="M3671" s="17"/>
      <c r="N3671" s="17"/>
      <c r="O3671" s="17"/>
      <c r="P3671" s="17"/>
      <c r="Q3671" s="17"/>
      <c r="R3671" s="17"/>
      <c r="S3671" s="17"/>
      <c r="T3671" s="17"/>
      <c r="U3671" s="17"/>
      <c r="V3671" s="18">
        <v>0</v>
      </c>
      <c r="W3671" s="17">
        <f t="shared" si="116"/>
        <v>0</v>
      </c>
      <c r="X3671" s="5">
        <f t="shared" si="117"/>
        <v>0</v>
      </c>
    </row>
    <row r="3672" spans="1:24" x14ac:dyDescent="0.25">
      <c r="A3672" s="17"/>
      <c r="B3672" s="17"/>
      <c r="C3672" s="17"/>
      <c r="D3672" s="17"/>
      <c r="E3672" s="17"/>
      <c r="F3672" s="17"/>
      <c r="G3672" s="17"/>
      <c r="H3672" s="17"/>
      <c r="I3672" s="17"/>
      <c r="J3672" s="17"/>
      <c r="K3672" s="17"/>
      <c r="L3672" s="17"/>
      <c r="M3672" s="17"/>
      <c r="N3672" s="17"/>
      <c r="O3672" s="17"/>
      <c r="P3672" s="17"/>
      <c r="Q3672" s="17"/>
      <c r="R3672" s="17"/>
      <c r="S3672" s="17"/>
      <c r="T3672" s="17"/>
      <c r="U3672" s="17"/>
      <c r="V3672" s="18">
        <v>0</v>
      </c>
      <c r="W3672" s="17">
        <f t="shared" si="116"/>
        <v>0</v>
      </c>
      <c r="X3672" s="5">
        <f t="shared" si="117"/>
        <v>0</v>
      </c>
    </row>
    <row r="3673" spans="1:24" x14ac:dyDescent="0.25">
      <c r="A3673" s="17"/>
      <c r="B3673" s="17"/>
      <c r="C3673" s="17"/>
      <c r="D3673" s="17"/>
      <c r="E3673" s="17"/>
      <c r="F3673" s="17"/>
      <c r="G3673" s="17"/>
      <c r="H3673" s="17"/>
      <c r="I3673" s="17"/>
      <c r="J3673" s="17"/>
      <c r="K3673" s="17"/>
      <c r="L3673" s="17"/>
      <c r="M3673" s="17"/>
      <c r="N3673" s="17"/>
      <c r="O3673" s="17"/>
      <c r="P3673" s="17"/>
      <c r="Q3673" s="17"/>
      <c r="R3673" s="17"/>
      <c r="S3673" s="17"/>
      <c r="T3673" s="17"/>
      <c r="U3673" s="17"/>
      <c r="V3673" s="18">
        <v>0</v>
      </c>
      <c r="W3673" s="17">
        <f t="shared" si="116"/>
        <v>0</v>
      </c>
      <c r="X3673" s="5">
        <f t="shared" si="117"/>
        <v>0</v>
      </c>
    </row>
    <row r="3674" spans="1:24" x14ac:dyDescent="0.25">
      <c r="A3674" s="17"/>
      <c r="B3674" s="17"/>
      <c r="C3674" s="17"/>
      <c r="D3674" s="17"/>
      <c r="E3674" s="17"/>
      <c r="F3674" s="17"/>
      <c r="G3674" s="17"/>
      <c r="H3674" s="17"/>
      <c r="I3674" s="17"/>
      <c r="J3674" s="17"/>
      <c r="K3674" s="17"/>
      <c r="L3674" s="17"/>
      <c r="M3674" s="17"/>
      <c r="N3674" s="17"/>
      <c r="O3674" s="17"/>
      <c r="P3674" s="17"/>
      <c r="Q3674" s="17"/>
      <c r="R3674" s="17"/>
      <c r="S3674" s="17"/>
      <c r="T3674" s="17"/>
      <c r="U3674" s="17"/>
      <c r="V3674" s="18">
        <v>0</v>
      </c>
      <c r="W3674" s="17">
        <f t="shared" si="116"/>
        <v>0</v>
      </c>
      <c r="X3674" s="5">
        <f t="shared" si="117"/>
        <v>0</v>
      </c>
    </row>
    <row r="3675" spans="1:24" x14ac:dyDescent="0.25">
      <c r="A3675" s="17"/>
      <c r="B3675" s="17"/>
      <c r="C3675" s="17"/>
      <c r="D3675" s="17"/>
      <c r="E3675" s="17"/>
      <c r="F3675" s="17"/>
      <c r="G3675" s="17"/>
      <c r="H3675" s="17"/>
      <c r="I3675" s="17"/>
      <c r="J3675" s="17"/>
      <c r="K3675" s="17"/>
      <c r="L3675" s="17"/>
      <c r="M3675" s="17"/>
      <c r="N3675" s="17"/>
      <c r="O3675" s="17"/>
      <c r="P3675" s="17"/>
      <c r="Q3675" s="17"/>
      <c r="R3675" s="17"/>
      <c r="S3675" s="17"/>
      <c r="T3675" s="17"/>
      <c r="U3675" s="17"/>
      <c r="V3675" s="18">
        <v>0</v>
      </c>
      <c r="W3675" s="17">
        <f t="shared" si="116"/>
        <v>0</v>
      </c>
      <c r="X3675" s="5">
        <f t="shared" si="117"/>
        <v>0</v>
      </c>
    </row>
    <row r="3676" spans="1:24" x14ac:dyDescent="0.25">
      <c r="A3676" s="17"/>
      <c r="B3676" s="17"/>
      <c r="C3676" s="17"/>
      <c r="D3676" s="17"/>
      <c r="E3676" s="17"/>
      <c r="F3676" s="17"/>
      <c r="G3676" s="17"/>
      <c r="H3676" s="17"/>
      <c r="I3676" s="17"/>
      <c r="J3676" s="17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8">
        <v>0</v>
      </c>
      <c r="W3676" s="17">
        <f t="shared" si="116"/>
        <v>0</v>
      </c>
      <c r="X3676" s="5">
        <f t="shared" si="117"/>
        <v>0</v>
      </c>
    </row>
    <row r="3677" spans="1:24" x14ac:dyDescent="0.25">
      <c r="A3677" s="17"/>
      <c r="B3677" s="17"/>
      <c r="C3677" s="17"/>
      <c r="D3677" s="17"/>
      <c r="E3677" s="17"/>
      <c r="F3677" s="17"/>
      <c r="G3677" s="17"/>
      <c r="H3677" s="17"/>
      <c r="I3677" s="17"/>
      <c r="J3677" s="17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8">
        <v>0</v>
      </c>
      <c r="W3677" s="17">
        <f t="shared" si="116"/>
        <v>0</v>
      </c>
      <c r="X3677" s="5">
        <f t="shared" si="117"/>
        <v>0</v>
      </c>
    </row>
    <row r="3678" spans="1:24" x14ac:dyDescent="0.25">
      <c r="A3678" s="17"/>
      <c r="B3678" s="17"/>
      <c r="C3678" s="17"/>
      <c r="D3678" s="17"/>
      <c r="E3678" s="17"/>
      <c r="F3678" s="17"/>
      <c r="G3678" s="17"/>
      <c r="H3678" s="17"/>
      <c r="I3678" s="17"/>
      <c r="J3678" s="17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8">
        <v>0</v>
      </c>
      <c r="W3678" s="17">
        <f t="shared" si="116"/>
        <v>0</v>
      </c>
      <c r="X3678" s="5">
        <f t="shared" si="117"/>
        <v>0</v>
      </c>
    </row>
    <row r="3679" spans="1:24" x14ac:dyDescent="0.25">
      <c r="A3679" s="17"/>
      <c r="B3679" s="17"/>
      <c r="C3679" s="17"/>
      <c r="D3679" s="17"/>
      <c r="E3679" s="17"/>
      <c r="F3679" s="17"/>
      <c r="G3679" s="17"/>
      <c r="H3679" s="17"/>
      <c r="I3679" s="17"/>
      <c r="J3679" s="17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8">
        <v>0</v>
      </c>
      <c r="W3679" s="17">
        <f t="shared" si="116"/>
        <v>0</v>
      </c>
      <c r="X3679" s="5">
        <f t="shared" si="117"/>
        <v>0</v>
      </c>
    </row>
    <row r="3680" spans="1:24" x14ac:dyDescent="0.25">
      <c r="A3680" s="17"/>
      <c r="B3680" s="17"/>
      <c r="C3680" s="17"/>
      <c r="D3680" s="17"/>
      <c r="E3680" s="17"/>
      <c r="F3680" s="17"/>
      <c r="G3680" s="17"/>
      <c r="H3680" s="17"/>
      <c r="I3680" s="17"/>
      <c r="J3680" s="17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8">
        <v>0</v>
      </c>
      <c r="W3680" s="17">
        <f t="shared" si="116"/>
        <v>0</v>
      </c>
      <c r="X3680" s="5">
        <f t="shared" si="117"/>
        <v>0</v>
      </c>
    </row>
    <row r="3681" spans="1:24" x14ac:dyDescent="0.25">
      <c r="A3681" s="17"/>
      <c r="B3681" s="17"/>
      <c r="C3681" s="17"/>
      <c r="D3681" s="17"/>
      <c r="E3681" s="17"/>
      <c r="F3681" s="17"/>
      <c r="G3681" s="17"/>
      <c r="H3681" s="17"/>
      <c r="I3681" s="17"/>
      <c r="J3681" s="17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8">
        <v>0</v>
      </c>
      <c r="W3681" s="17">
        <f t="shared" si="116"/>
        <v>0</v>
      </c>
      <c r="X3681" s="5">
        <f t="shared" si="117"/>
        <v>0</v>
      </c>
    </row>
    <row r="3682" spans="1:24" x14ac:dyDescent="0.25">
      <c r="A3682" s="17"/>
      <c r="B3682" s="17"/>
      <c r="C3682" s="17"/>
      <c r="D3682" s="17"/>
      <c r="E3682" s="17"/>
      <c r="F3682" s="17"/>
      <c r="G3682" s="17"/>
      <c r="H3682" s="17"/>
      <c r="I3682" s="17"/>
      <c r="J3682" s="17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8">
        <v>0</v>
      </c>
      <c r="W3682" s="17">
        <f t="shared" si="116"/>
        <v>0</v>
      </c>
      <c r="X3682" s="5">
        <f t="shared" si="117"/>
        <v>0</v>
      </c>
    </row>
    <row r="3683" spans="1:24" x14ac:dyDescent="0.25">
      <c r="A3683" s="17"/>
      <c r="B3683" s="17"/>
      <c r="C3683" s="17"/>
      <c r="D3683" s="17"/>
      <c r="E3683" s="17"/>
      <c r="F3683" s="17"/>
      <c r="G3683" s="17"/>
      <c r="H3683" s="17"/>
      <c r="I3683" s="17"/>
      <c r="J3683" s="17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8">
        <v>0</v>
      </c>
      <c r="W3683" s="17">
        <f t="shared" si="116"/>
        <v>0</v>
      </c>
      <c r="X3683" s="5">
        <f t="shared" si="117"/>
        <v>0</v>
      </c>
    </row>
    <row r="3684" spans="1:24" x14ac:dyDescent="0.25">
      <c r="A3684" s="17"/>
      <c r="B3684" s="17"/>
      <c r="C3684" s="17"/>
      <c r="D3684" s="17"/>
      <c r="E3684" s="17"/>
      <c r="F3684" s="17"/>
      <c r="G3684" s="17"/>
      <c r="H3684" s="17"/>
      <c r="I3684" s="17"/>
      <c r="J3684" s="17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/>
      <c r="U3684" s="17"/>
      <c r="V3684" s="18">
        <v>0</v>
      </c>
      <c r="W3684" s="17">
        <f t="shared" si="116"/>
        <v>0</v>
      </c>
      <c r="X3684" s="5">
        <f t="shared" si="117"/>
        <v>0</v>
      </c>
    </row>
    <row r="3685" spans="1:24" x14ac:dyDescent="0.25">
      <c r="A3685" s="17"/>
      <c r="B3685" s="17"/>
      <c r="C3685" s="17"/>
      <c r="D3685" s="17"/>
      <c r="E3685" s="17"/>
      <c r="F3685" s="17"/>
      <c r="G3685" s="17"/>
      <c r="H3685" s="17"/>
      <c r="I3685" s="17"/>
      <c r="J3685" s="17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/>
      <c r="U3685" s="17"/>
      <c r="V3685" s="18">
        <v>0</v>
      </c>
      <c r="W3685" s="17">
        <f t="shared" si="116"/>
        <v>0</v>
      </c>
      <c r="X3685" s="5">
        <f t="shared" si="117"/>
        <v>0</v>
      </c>
    </row>
    <row r="3686" spans="1:24" x14ac:dyDescent="0.25">
      <c r="A3686" s="17"/>
      <c r="B3686" s="17"/>
      <c r="C3686" s="17"/>
      <c r="D3686" s="17"/>
      <c r="E3686" s="17"/>
      <c r="F3686" s="17"/>
      <c r="G3686" s="17"/>
      <c r="H3686" s="17"/>
      <c r="I3686" s="17"/>
      <c r="J3686" s="17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/>
      <c r="V3686" s="18">
        <v>0</v>
      </c>
      <c r="W3686" s="17">
        <f t="shared" si="116"/>
        <v>0</v>
      </c>
      <c r="X3686" s="5">
        <f t="shared" si="117"/>
        <v>0</v>
      </c>
    </row>
    <row r="3687" spans="1:24" x14ac:dyDescent="0.25">
      <c r="A3687" s="17"/>
      <c r="B3687" s="17"/>
      <c r="C3687" s="17"/>
      <c r="D3687" s="17"/>
      <c r="E3687" s="17"/>
      <c r="F3687" s="17"/>
      <c r="G3687" s="17"/>
      <c r="H3687" s="17"/>
      <c r="I3687" s="17"/>
      <c r="J3687" s="17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/>
      <c r="V3687" s="18">
        <v>0</v>
      </c>
      <c r="W3687" s="17">
        <f t="shared" si="116"/>
        <v>0</v>
      </c>
      <c r="X3687" s="5">
        <f t="shared" si="117"/>
        <v>0</v>
      </c>
    </row>
    <row r="3688" spans="1:24" x14ac:dyDescent="0.25">
      <c r="A3688" s="17"/>
      <c r="B3688" s="17"/>
      <c r="C3688" s="17"/>
      <c r="D3688" s="17"/>
      <c r="E3688" s="17"/>
      <c r="F3688" s="17"/>
      <c r="G3688" s="17"/>
      <c r="H3688" s="17"/>
      <c r="I3688" s="17"/>
      <c r="J3688" s="17"/>
      <c r="K3688" s="17"/>
      <c r="L3688" s="17"/>
      <c r="M3688" s="17"/>
      <c r="N3688" s="17"/>
      <c r="O3688" s="17"/>
      <c r="P3688" s="17"/>
      <c r="Q3688" s="17"/>
      <c r="R3688" s="17"/>
      <c r="S3688" s="17"/>
      <c r="T3688" s="17"/>
      <c r="U3688" s="17"/>
      <c r="V3688" s="18">
        <v>0</v>
      </c>
      <c r="W3688" s="17">
        <f t="shared" si="116"/>
        <v>0</v>
      </c>
      <c r="X3688" s="5">
        <f t="shared" si="117"/>
        <v>0</v>
      </c>
    </row>
    <row r="3689" spans="1:24" x14ac:dyDescent="0.25">
      <c r="A3689" s="17"/>
      <c r="B3689" s="17"/>
      <c r="C3689" s="17"/>
      <c r="D3689" s="17"/>
      <c r="E3689" s="17"/>
      <c r="F3689" s="17"/>
      <c r="G3689" s="17"/>
      <c r="H3689" s="17"/>
      <c r="I3689" s="17"/>
      <c r="J3689" s="17"/>
      <c r="K3689" s="17"/>
      <c r="L3689" s="17"/>
      <c r="M3689" s="17"/>
      <c r="N3689" s="17"/>
      <c r="O3689" s="17"/>
      <c r="P3689" s="17"/>
      <c r="Q3689" s="17"/>
      <c r="R3689" s="17"/>
      <c r="S3689" s="17"/>
      <c r="T3689" s="17"/>
      <c r="U3689" s="17"/>
      <c r="V3689" s="18">
        <v>0</v>
      </c>
      <c r="W3689" s="17">
        <f t="shared" si="116"/>
        <v>0</v>
      </c>
      <c r="X3689" s="5">
        <f t="shared" si="117"/>
        <v>0</v>
      </c>
    </row>
    <row r="3690" spans="1:24" x14ac:dyDescent="0.25">
      <c r="A3690" s="17"/>
      <c r="B3690" s="17"/>
      <c r="C3690" s="17"/>
      <c r="D3690" s="17"/>
      <c r="E3690" s="17"/>
      <c r="F3690" s="17"/>
      <c r="G3690" s="17"/>
      <c r="H3690" s="17"/>
      <c r="I3690" s="17"/>
      <c r="J3690" s="17"/>
      <c r="K3690" s="17"/>
      <c r="L3690" s="17"/>
      <c r="M3690" s="17"/>
      <c r="N3690" s="17"/>
      <c r="O3690" s="17"/>
      <c r="P3690" s="17"/>
      <c r="Q3690" s="17"/>
      <c r="R3690" s="17"/>
      <c r="S3690" s="17"/>
      <c r="T3690" s="17"/>
      <c r="U3690" s="17"/>
      <c r="V3690" s="18">
        <v>0</v>
      </c>
      <c r="W3690" s="17">
        <f t="shared" si="116"/>
        <v>0</v>
      </c>
      <c r="X3690" s="5">
        <f t="shared" si="117"/>
        <v>0</v>
      </c>
    </row>
    <row r="3691" spans="1:24" x14ac:dyDescent="0.25">
      <c r="A3691" s="17"/>
      <c r="B3691" s="17"/>
      <c r="C3691" s="17"/>
      <c r="D3691" s="17"/>
      <c r="E3691" s="17"/>
      <c r="F3691" s="17"/>
      <c r="G3691" s="17"/>
      <c r="H3691" s="17"/>
      <c r="I3691" s="17"/>
      <c r="J3691" s="17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/>
      <c r="U3691" s="17"/>
      <c r="V3691" s="18">
        <v>0</v>
      </c>
      <c r="W3691" s="17">
        <f t="shared" si="116"/>
        <v>0</v>
      </c>
      <c r="X3691" s="5">
        <f t="shared" si="117"/>
        <v>0</v>
      </c>
    </row>
    <row r="3692" spans="1:24" x14ac:dyDescent="0.25">
      <c r="A3692" s="17"/>
      <c r="B3692" s="17"/>
      <c r="C3692" s="17"/>
      <c r="D3692" s="17"/>
      <c r="E3692" s="17"/>
      <c r="F3692" s="17"/>
      <c r="G3692" s="17"/>
      <c r="H3692" s="17"/>
      <c r="I3692" s="17"/>
      <c r="J3692" s="17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/>
      <c r="V3692" s="18">
        <v>0</v>
      </c>
      <c r="W3692" s="17">
        <f t="shared" si="116"/>
        <v>0</v>
      </c>
      <c r="X3692" s="5">
        <f t="shared" si="117"/>
        <v>0</v>
      </c>
    </row>
    <row r="3693" spans="1:24" x14ac:dyDescent="0.25">
      <c r="A3693" s="17"/>
      <c r="B3693" s="17"/>
      <c r="C3693" s="17"/>
      <c r="D3693" s="17"/>
      <c r="E3693" s="17"/>
      <c r="F3693" s="17"/>
      <c r="G3693" s="17"/>
      <c r="H3693" s="17"/>
      <c r="I3693" s="17"/>
      <c r="J3693" s="17"/>
      <c r="K3693" s="17"/>
      <c r="L3693" s="17"/>
      <c r="M3693" s="17"/>
      <c r="N3693" s="17"/>
      <c r="O3693" s="17"/>
      <c r="P3693" s="17"/>
      <c r="Q3693" s="17"/>
      <c r="R3693" s="17"/>
      <c r="S3693" s="17"/>
      <c r="T3693" s="17"/>
      <c r="U3693" s="17"/>
      <c r="V3693" s="18">
        <v>0</v>
      </c>
      <c r="W3693" s="17">
        <f t="shared" si="116"/>
        <v>0</v>
      </c>
      <c r="X3693" s="5">
        <f t="shared" si="117"/>
        <v>0</v>
      </c>
    </row>
    <row r="3694" spans="1:24" x14ac:dyDescent="0.25">
      <c r="A3694" s="17"/>
      <c r="B3694" s="17"/>
      <c r="C3694" s="17"/>
      <c r="D3694" s="17"/>
      <c r="E3694" s="17"/>
      <c r="F3694" s="17"/>
      <c r="G3694" s="17"/>
      <c r="H3694" s="17"/>
      <c r="I3694" s="17"/>
      <c r="J3694" s="17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/>
      <c r="V3694" s="18">
        <v>0</v>
      </c>
      <c r="W3694" s="17">
        <f t="shared" si="116"/>
        <v>0</v>
      </c>
      <c r="X3694" s="5">
        <f t="shared" si="117"/>
        <v>0</v>
      </c>
    </row>
    <row r="3695" spans="1:24" x14ac:dyDescent="0.25">
      <c r="A3695" s="17"/>
      <c r="B3695" s="17"/>
      <c r="C3695" s="17"/>
      <c r="D3695" s="17"/>
      <c r="E3695" s="17"/>
      <c r="F3695" s="17"/>
      <c r="G3695" s="17"/>
      <c r="H3695" s="17"/>
      <c r="I3695" s="17"/>
      <c r="J3695" s="17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/>
      <c r="V3695" s="18">
        <v>0</v>
      </c>
      <c r="W3695" s="17">
        <f t="shared" si="116"/>
        <v>0</v>
      </c>
      <c r="X3695" s="5">
        <f t="shared" si="117"/>
        <v>0</v>
      </c>
    </row>
    <row r="3696" spans="1:24" x14ac:dyDescent="0.25">
      <c r="A3696" s="17"/>
      <c r="B3696" s="17"/>
      <c r="C3696" s="17"/>
      <c r="D3696" s="17"/>
      <c r="E3696" s="17"/>
      <c r="F3696" s="17"/>
      <c r="G3696" s="17"/>
      <c r="H3696" s="17"/>
      <c r="I3696" s="17"/>
      <c r="J3696" s="17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/>
      <c r="U3696" s="17"/>
      <c r="V3696" s="18">
        <v>0</v>
      </c>
      <c r="W3696" s="17">
        <f t="shared" si="116"/>
        <v>0</v>
      </c>
      <c r="X3696" s="5">
        <f t="shared" si="117"/>
        <v>0</v>
      </c>
    </row>
    <row r="3697" spans="1:24" x14ac:dyDescent="0.25">
      <c r="A3697" s="17"/>
      <c r="B3697" s="17"/>
      <c r="C3697" s="17"/>
      <c r="D3697" s="17"/>
      <c r="E3697" s="17"/>
      <c r="F3697" s="17"/>
      <c r="G3697" s="17"/>
      <c r="H3697" s="17"/>
      <c r="I3697" s="17"/>
      <c r="J3697" s="17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/>
      <c r="U3697" s="17"/>
      <c r="V3697" s="18">
        <v>0</v>
      </c>
      <c r="W3697" s="17">
        <f t="shared" si="116"/>
        <v>0</v>
      </c>
      <c r="X3697" s="5">
        <f t="shared" si="117"/>
        <v>0</v>
      </c>
    </row>
    <row r="3698" spans="1:24" x14ac:dyDescent="0.25">
      <c r="A3698" s="17"/>
      <c r="B3698" s="17"/>
      <c r="C3698" s="17"/>
      <c r="D3698" s="17"/>
      <c r="E3698" s="17"/>
      <c r="F3698" s="17"/>
      <c r="G3698" s="17"/>
      <c r="H3698" s="17"/>
      <c r="I3698" s="17"/>
      <c r="J3698" s="17"/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/>
      <c r="V3698" s="18">
        <v>0</v>
      </c>
      <c r="W3698" s="17">
        <f t="shared" si="116"/>
        <v>0</v>
      </c>
      <c r="X3698" s="5">
        <f t="shared" si="117"/>
        <v>0</v>
      </c>
    </row>
    <row r="3699" spans="1:24" x14ac:dyDescent="0.25">
      <c r="A3699" s="17"/>
      <c r="B3699" s="17"/>
      <c r="C3699" s="17"/>
      <c r="D3699" s="17"/>
      <c r="E3699" s="17"/>
      <c r="F3699" s="17"/>
      <c r="G3699" s="17"/>
      <c r="H3699" s="17"/>
      <c r="I3699" s="17"/>
      <c r="J3699" s="17"/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/>
      <c r="V3699" s="18">
        <v>0</v>
      </c>
      <c r="W3699" s="17">
        <f t="shared" si="116"/>
        <v>0</v>
      </c>
      <c r="X3699" s="5">
        <f t="shared" si="117"/>
        <v>0</v>
      </c>
    </row>
    <row r="3700" spans="1:24" x14ac:dyDescent="0.25">
      <c r="A3700" s="17"/>
      <c r="B3700" s="17"/>
      <c r="C3700" s="17"/>
      <c r="D3700" s="17"/>
      <c r="E3700" s="17"/>
      <c r="F3700" s="17"/>
      <c r="G3700" s="17"/>
      <c r="H3700" s="17"/>
      <c r="I3700" s="17"/>
      <c r="J3700" s="17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8">
        <v>0</v>
      </c>
      <c r="W3700" s="17">
        <f t="shared" si="116"/>
        <v>0</v>
      </c>
      <c r="X3700" s="5">
        <f t="shared" si="117"/>
        <v>0</v>
      </c>
    </row>
    <row r="3701" spans="1:24" x14ac:dyDescent="0.25">
      <c r="A3701" s="17"/>
      <c r="B3701" s="17"/>
      <c r="C3701" s="17"/>
      <c r="D3701" s="17"/>
      <c r="E3701" s="17"/>
      <c r="F3701" s="17"/>
      <c r="G3701" s="17"/>
      <c r="H3701" s="17"/>
      <c r="I3701" s="17"/>
      <c r="J3701" s="17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8">
        <v>0</v>
      </c>
      <c r="W3701" s="17">
        <f t="shared" si="116"/>
        <v>0</v>
      </c>
      <c r="X3701" s="5">
        <f t="shared" si="117"/>
        <v>0</v>
      </c>
    </row>
    <row r="3702" spans="1:24" x14ac:dyDescent="0.25">
      <c r="A3702" s="17"/>
      <c r="B3702" s="17"/>
      <c r="C3702" s="17"/>
      <c r="D3702" s="17"/>
      <c r="E3702" s="17"/>
      <c r="F3702" s="17"/>
      <c r="G3702" s="17"/>
      <c r="H3702" s="17"/>
      <c r="I3702" s="17"/>
      <c r="J3702" s="17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8">
        <v>0</v>
      </c>
      <c r="W3702" s="17">
        <f t="shared" si="116"/>
        <v>0</v>
      </c>
      <c r="X3702" s="5">
        <f t="shared" si="117"/>
        <v>0</v>
      </c>
    </row>
    <row r="3703" spans="1:24" x14ac:dyDescent="0.25">
      <c r="A3703" s="17"/>
      <c r="B3703" s="17"/>
      <c r="C3703" s="17"/>
      <c r="D3703" s="17"/>
      <c r="E3703" s="17"/>
      <c r="F3703" s="17"/>
      <c r="G3703" s="17"/>
      <c r="H3703" s="17"/>
      <c r="I3703" s="17"/>
      <c r="J3703" s="17"/>
      <c r="K3703" s="17"/>
      <c r="L3703" s="17"/>
      <c r="M3703" s="17"/>
      <c r="N3703" s="17"/>
      <c r="O3703" s="17"/>
      <c r="P3703" s="17"/>
      <c r="Q3703" s="17"/>
      <c r="R3703" s="17"/>
      <c r="S3703" s="17"/>
      <c r="T3703" s="17"/>
      <c r="U3703" s="17"/>
      <c r="V3703" s="18">
        <v>0</v>
      </c>
      <c r="W3703" s="17">
        <f t="shared" si="116"/>
        <v>0</v>
      </c>
      <c r="X3703" s="5">
        <f t="shared" si="117"/>
        <v>0</v>
      </c>
    </row>
    <row r="3704" spans="1:24" x14ac:dyDescent="0.25">
      <c r="A3704" s="17"/>
      <c r="B3704" s="17"/>
      <c r="C3704" s="17"/>
      <c r="D3704" s="17"/>
      <c r="E3704" s="17"/>
      <c r="F3704" s="17"/>
      <c r="G3704" s="17"/>
      <c r="H3704" s="17"/>
      <c r="I3704" s="17"/>
      <c r="J3704" s="17"/>
      <c r="K3704" s="17"/>
      <c r="L3704" s="17"/>
      <c r="M3704" s="17"/>
      <c r="N3704" s="17"/>
      <c r="O3704" s="17"/>
      <c r="P3704" s="17"/>
      <c r="Q3704" s="17"/>
      <c r="R3704" s="17"/>
      <c r="S3704" s="17"/>
      <c r="T3704" s="17"/>
      <c r="U3704" s="17"/>
      <c r="V3704" s="18">
        <v>0</v>
      </c>
      <c r="W3704" s="17">
        <f t="shared" si="116"/>
        <v>0</v>
      </c>
      <c r="X3704" s="5">
        <f t="shared" si="117"/>
        <v>0</v>
      </c>
    </row>
    <row r="3705" spans="1:24" x14ac:dyDescent="0.25">
      <c r="A3705" s="17"/>
      <c r="B3705" s="17"/>
      <c r="C3705" s="17"/>
      <c r="D3705" s="17"/>
      <c r="E3705" s="17"/>
      <c r="F3705" s="17"/>
      <c r="G3705" s="17"/>
      <c r="H3705" s="17"/>
      <c r="I3705" s="17"/>
      <c r="J3705" s="17"/>
      <c r="K3705" s="17"/>
      <c r="L3705" s="17"/>
      <c r="M3705" s="17"/>
      <c r="N3705" s="17"/>
      <c r="O3705" s="17"/>
      <c r="P3705" s="17"/>
      <c r="Q3705" s="17"/>
      <c r="R3705" s="17"/>
      <c r="S3705" s="17"/>
      <c r="T3705" s="17"/>
      <c r="U3705" s="17"/>
      <c r="V3705" s="18">
        <v>0</v>
      </c>
      <c r="W3705" s="17">
        <f t="shared" si="116"/>
        <v>0</v>
      </c>
      <c r="X3705" s="5">
        <f t="shared" si="117"/>
        <v>0</v>
      </c>
    </row>
    <row r="3706" spans="1:24" x14ac:dyDescent="0.25">
      <c r="A3706" s="17"/>
      <c r="B3706" s="17"/>
      <c r="C3706" s="17"/>
      <c r="D3706" s="17"/>
      <c r="E3706" s="17"/>
      <c r="F3706" s="17"/>
      <c r="G3706" s="17"/>
      <c r="H3706" s="17"/>
      <c r="I3706" s="17"/>
      <c r="J3706" s="17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8">
        <v>0</v>
      </c>
      <c r="W3706" s="17">
        <f t="shared" si="116"/>
        <v>0</v>
      </c>
      <c r="X3706" s="5">
        <f t="shared" si="117"/>
        <v>0</v>
      </c>
    </row>
    <row r="3707" spans="1:24" x14ac:dyDescent="0.25">
      <c r="A3707" s="17"/>
      <c r="B3707" s="17"/>
      <c r="C3707" s="17"/>
      <c r="D3707" s="17"/>
      <c r="E3707" s="17"/>
      <c r="F3707" s="17"/>
      <c r="G3707" s="17"/>
      <c r="H3707" s="17"/>
      <c r="I3707" s="17"/>
      <c r="J3707" s="17"/>
      <c r="K3707" s="17"/>
      <c r="L3707" s="17"/>
      <c r="M3707" s="17"/>
      <c r="N3707" s="17"/>
      <c r="O3707" s="17"/>
      <c r="P3707" s="17"/>
      <c r="Q3707" s="17"/>
      <c r="R3707" s="17"/>
      <c r="S3707" s="17"/>
      <c r="T3707" s="17"/>
      <c r="U3707" s="17"/>
      <c r="V3707" s="18">
        <v>0</v>
      </c>
      <c r="W3707" s="17">
        <f t="shared" si="116"/>
        <v>0</v>
      </c>
      <c r="X3707" s="5">
        <f t="shared" si="117"/>
        <v>0</v>
      </c>
    </row>
    <row r="3708" spans="1:24" x14ac:dyDescent="0.25">
      <c r="A3708" s="17"/>
      <c r="B3708" s="17"/>
      <c r="C3708" s="17"/>
      <c r="D3708" s="17"/>
      <c r="E3708" s="17"/>
      <c r="F3708" s="17"/>
      <c r="G3708" s="17"/>
      <c r="H3708" s="17"/>
      <c r="I3708" s="17"/>
      <c r="J3708" s="17"/>
      <c r="K3708" s="17"/>
      <c r="L3708" s="17"/>
      <c r="M3708" s="17"/>
      <c r="N3708" s="17"/>
      <c r="O3708" s="17"/>
      <c r="P3708" s="17"/>
      <c r="Q3708" s="17"/>
      <c r="R3708" s="17"/>
      <c r="S3708" s="17"/>
      <c r="T3708" s="17"/>
      <c r="U3708" s="17"/>
      <c r="V3708" s="18">
        <v>0</v>
      </c>
      <c r="W3708" s="17">
        <f t="shared" si="116"/>
        <v>0</v>
      </c>
      <c r="X3708" s="5">
        <f t="shared" si="117"/>
        <v>0</v>
      </c>
    </row>
    <row r="3709" spans="1:24" x14ac:dyDescent="0.25">
      <c r="A3709" s="17"/>
      <c r="B3709" s="17"/>
      <c r="C3709" s="17"/>
      <c r="D3709" s="17"/>
      <c r="E3709" s="17"/>
      <c r="F3709" s="17"/>
      <c r="G3709" s="17"/>
      <c r="H3709" s="17"/>
      <c r="I3709" s="17"/>
      <c r="J3709" s="17"/>
      <c r="K3709" s="17"/>
      <c r="L3709" s="17"/>
      <c r="M3709" s="17"/>
      <c r="N3709" s="17"/>
      <c r="O3709" s="17"/>
      <c r="P3709" s="17"/>
      <c r="Q3709" s="17"/>
      <c r="R3709" s="17"/>
      <c r="S3709" s="17"/>
      <c r="T3709" s="17"/>
      <c r="U3709" s="17"/>
      <c r="V3709" s="18">
        <v>0</v>
      </c>
      <c r="W3709" s="17">
        <f t="shared" si="116"/>
        <v>0</v>
      </c>
      <c r="X3709" s="5">
        <f t="shared" si="117"/>
        <v>0</v>
      </c>
    </row>
    <row r="3710" spans="1:24" x14ac:dyDescent="0.25">
      <c r="A3710" s="17"/>
      <c r="B3710" s="17"/>
      <c r="C3710" s="17"/>
      <c r="D3710" s="17"/>
      <c r="E3710" s="17"/>
      <c r="F3710" s="17"/>
      <c r="G3710" s="17"/>
      <c r="H3710" s="17"/>
      <c r="I3710" s="17"/>
      <c r="J3710" s="17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8">
        <v>0</v>
      </c>
      <c r="W3710" s="17">
        <f t="shared" si="116"/>
        <v>0</v>
      </c>
      <c r="X3710" s="5">
        <f t="shared" si="117"/>
        <v>0</v>
      </c>
    </row>
    <row r="3711" spans="1:24" x14ac:dyDescent="0.25">
      <c r="A3711" s="17"/>
      <c r="B3711" s="17"/>
      <c r="C3711" s="17"/>
      <c r="D3711" s="17"/>
      <c r="E3711" s="17"/>
      <c r="F3711" s="17"/>
      <c r="G3711" s="17"/>
      <c r="H3711" s="17"/>
      <c r="I3711" s="17"/>
      <c r="J3711" s="17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8">
        <v>0</v>
      </c>
      <c r="W3711" s="17">
        <f t="shared" si="116"/>
        <v>0</v>
      </c>
      <c r="X3711" s="5">
        <f t="shared" si="117"/>
        <v>0</v>
      </c>
    </row>
    <row r="3712" spans="1:24" x14ac:dyDescent="0.25">
      <c r="A3712" s="17"/>
      <c r="B3712" s="17"/>
      <c r="C3712" s="17"/>
      <c r="D3712" s="17"/>
      <c r="E3712" s="17"/>
      <c r="F3712" s="17"/>
      <c r="G3712" s="17"/>
      <c r="H3712" s="17"/>
      <c r="I3712" s="17"/>
      <c r="J3712" s="17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8">
        <v>0</v>
      </c>
      <c r="W3712" s="17">
        <f t="shared" si="116"/>
        <v>0</v>
      </c>
      <c r="X3712" s="5">
        <f t="shared" si="117"/>
        <v>0</v>
      </c>
    </row>
    <row r="3713" spans="1:24" x14ac:dyDescent="0.25">
      <c r="A3713" s="17"/>
      <c r="B3713" s="17"/>
      <c r="C3713" s="17"/>
      <c r="D3713" s="17"/>
      <c r="E3713" s="17"/>
      <c r="F3713" s="17"/>
      <c r="G3713" s="17"/>
      <c r="H3713" s="17"/>
      <c r="I3713" s="17"/>
      <c r="J3713" s="17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8">
        <v>0</v>
      </c>
      <c r="W3713" s="17">
        <f t="shared" si="116"/>
        <v>0</v>
      </c>
      <c r="X3713" s="5">
        <f t="shared" si="117"/>
        <v>0</v>
      </c>
    </row>
    <row r="3714" spans="1:24" x14ac:dyDescent="0.25">
      <c r="A3714" s="17"/>
      <c r="B3714" s="17"/>
      <c r="C3714" s="17"/>
      <c r="D3714" s="17"/>
      <c r="E3714" s="17"/>
      <c r="F3714" s="17"/>
      <c r="G3714" s="17"/>
      <c r="H3714" s="17"/>
      <c r="I3714" s="17"/>
      <c r="J3714" s="17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8">
        <v>0</v>
      </c>
      <c r="W3714" s="17">
        <f t="shared" si="116"/>
        <v>0</v>
      </c>
      <c r="X3714" s="5">
        <f t="shared" si="117"/>
        <v>0</v>
      </c>
    </row>
    <row r="3715" spans="1:24" x14ac:dyDescent="0.25">
      <c r="A3715" s="17"/>
      <c r="B3715" s="17"/>
      <c r="C3715" s="17"/>
      <c r="D3715" s="17"/>
      <c r="E3715" s="17"/>
      <c r="F3715" s="17"/>
      <c r="G3715" s="17"/>
      <c r="H3715" s="17"/>
      <c r="I3715" s="17"/>
      <c r="J3715" s="17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/>
      <c r="V3715" s="18">
        <v>0</v>
      </c>
      <c r="W3715" s="17">
        <f t="shared" ref="W3715:W3778" si="118">HOUR(E3715)</f>
        <v>0</v>
      </c>
      <c r="X3715" s="5">
        <f t="shared" ref="X3715:X3778" si="119">IF(D3715=D3714,0,1)</f>
        <v>0</v>
      </c>
    </row>
    <row r="3716" spans="1:24" x14ac:dyDescent="0.25">
      <c r="A3716" s="17"/>
      <c r="B3716" s="17"/>
      <c r="C3716" s="17"/>
      <c r="D3716" s="17"/>
      <c r="E3716" s="17"/>
      <c r="F3716" s="17"/>
      <c r="G3716" s="17"/>
      <c r="H3716" s="17"/>
      <c r="I3716" s="17"/>
      <c r="J3716" s="17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/>
      <c r="U3716" s="17"/>
      <c r="V3716" s="18">
        <v>0</v>
      </c>
      <c r="W3716" s="17">
        <f t="shared" si="118"/>
        <v>0</v>
      </c>
      <c r="X3716" s="5">
        <f t="shared" si="119"/>
        <v>0</v>
      </c>
    </row>
    <row r="3717" spans="1:24" x14ac:dyDescent="0.25">
      <c r="A3717" s="17"/>
      <c r="B3717" s="17"/>
      <c r="C3717" s="17"/>
      <c r="D3717" s="17"/>
      <c r="E3717" s="17"/>
      <c r="F3717" s="17"/>
      <c r="G3717" s="17"/>
      <c r="H3717" s="17"/>
      <c r="I3717" s="17"/>
      <c r="J3717" s="17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8">
        <v>0</v>
      </c>
      <c r="W3717" s="17">
        <f t="shared" si="118"/>
        <v>0</v>
      </c>
      <c r="X3717" s="5">
        <f t="shared" si="119"/>
        <v>0</v>
      </c>
    </row>
    <row r="3718" spans="1:24" x14ac:dyDescent="0.25">
      <c r="A3718" s="17"/>
      <c r="B3718" s="17"/>
      <c r="C3718" s="17"/>
      <c r="D3718" s="17"/>
      <c r="E3718" s="17"/>
      <c r="F3718" s="17"/>
      <c r="G3718" s="17"/>
      <c r="H3718" s="17"/>
      <c r="I3718" s="17"/>
      <c r="J3718" s="17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/>
      <c r="V3718" s="18">
        <v>0</v>
      </c>
      <c r="W3718" s="17">
        <f t="shared" si="118"/>
        <v>0</v>
      </c>
      <c r="X3718" s="5">
        <f t="shared" si="119"/>
        <v>0</v>
      </c>
    </row>
    <row r="3719" spans="1:24" x14ac:dyDescent="0.25">
      <c r="A3719" s="17"/>
      <c r="B3719" s="17"/>
      <c r="C3719" s="17"/>
      <c r="D3719" s="17"/>
      <c r="E3719" s="17"/>
      <c r="F3719" s="17"/>
      <c r="G3719" s="17"/>
      <c r="H3719" s="17"/>
      <c r="I3719" s="17"/>
      <c r="J3719" s="17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8">
        <v>0</v>
      </c>
      <c r="W3719" s="17">
        <f t="shared" si="118"/>
        <v>0</v>
      </c>
      <c r="X3719" s="5">
        <f t="shared" si="119"/>
        <v>0</v>
      </c>
    </row>
    <row r="3720" spans="1:24" x14ac:dyDescent="0.25">
      <c r="A3720" s="17"/>
      <c r="B3720" s="17"/>
      <c r="C3720" s="17"/>
      <c r="D3720" s="17"/>
      <c r="E3720" s="17"/>
      <c r="F3720" s="17"/>
      <c r="G3720" s="17"/>
      <c r="H3720" s="17"/>
      <c r="I3720" s="17"/>
      <c r="J3720" s="17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/>
      <c r="U3720" s="17"/>
      <c r="V3720" s="18">
        <v>0</v>
      </c>
      <c r="W3720" s="17">
        <f t="shared" si="118"/>
        <v>0</v>
      </c>
      <c r="X3720" s="5">
        <f t="shared" si="119"/>
        <v>0</v>
      </c>
    </row>
    <row r="3721" spans="1:24" x14ac:dyDescent="0.25">
      <c r="A3721" s="17"/>
      <c r="B3721" s="17"/>
      <c r="C3721" s="17"/>
      <c r="D3721" s="17"/>
      <c r="E3721" s="17"/>
      <c r="F3721" s="17"/>
      <c r="G3721" s="17"/>
      <c r="H3721" s="17"/>
      <c r="I3721" s="17"/>
      <c r="J3721" s="17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/>
      <c r="U3721" s="17"/>
      <c r="V3721" s="18">
        <v>0</v>
      </c>
      <c r="W3721" s="17">
        <f t="shared" si="118"/>
        <v>0</v>
      </c>
      <c r="X3721" s="5">
        <f t="shared" si="119"/>
        <v>0</v>
      </c>
    </row>
    <row r="3722" spans="1:24" x14ac:dyDescent="0.25">
      <c r="A3722" s="17"/>
      <c r="B3722" s="17"/>
      <c r="C3722" s="17"/>
      <c r="D3722" s="17"/>
      <c r="E3722" s="17"/>
      <c r="F3722" s="17"/>
      <c r="G3722" s="17"/>
      <c r="H3722" s="17"/>
      <c r="I3722" s="17"/>
      <c r="J3722" s="17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8">
        <v>0</v>
      </c>
      <c r="W3722" s="17">
        <f t="shared" si="118"/>
        <v>0</v>
      </c>
      <c r="X3722" s="5">
        <f t="shared" si="119"/>
        <v>0</v>
      </c>
    </row>
    <row r="3723" spans="1:24" x14ac:dyDescent="0.25">
      <c r="A3723" s="17"/>
      <c r="B3723" s="17"/>
      <c r="C3723" s="17"/>
      <c r="D3723" s="17"/>
      <c r="E3723" s="17"/>
      <c r="F3723" s="17"/>
      <c r="G3723" s="17"/>
      <c r="H3723" s="17"/>
      <c r="I3723" s="17"/>
      <c r="J3723" s="17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/>
      <c r="V3723" s="18">
        <v>0</v>
      </c>
      <c r="W3723" s="17">
        <f t="shared" si="118"/>
        <v>0</v>
      </c>
      <c r="X3723" s="5">
        <f t="shared" si="119"/>
        <v>0</v>
      </c>
    </row>
    <row r="3724" spans="1:24" x14ac:dyDescent="0.25">
      <c r="A3724" s="17"/>
      <c r="B3724" s="17"/>
      <c r="C3724" s="17"/>
      <c r="D3724" s="17"/>
      <c r="E3724" s="17"/>
      <c r="F3724" s="17"/>
      <c r="G3724" s="17"/>
      <c r="H3724" s="17"/>
      <c r="I3724" s="17"/>
      <c r="J3724" s="17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/>
      <c r="V3724" s="18">
        <v>0</v>
      </c>
      <c r="W3724" s="17">
        <f t="shared" si="118"/>
        <v>0</v>
      </c>
      <c r="X3724" s="5">
        <f t="shared" si="119"/>
        <v>0</v>
      </c>
    </row>
    <row r="3725" spans="1:24" x14ac:dyDescent="0.25">
      <c r="A3725" s="17"/>
      <c r="B3725" s="17"/>
      <c r="C3725" s="17"/>
      <c r="D3725" s="17"/>
      <c r="E3725" s="17"/>
      <c r="F3725" s="17"/>
      <c r="G3725" s="17"/>
      <c r="H3725" s="17"/>
      <c r="I3725" s="17"/>
      <c r="J3725" s="17"/>
      <c r="K3725" s="17"/>
      <c r="L3725" s="17"/>
      <c r="M3725" s="17"/>
      <c r="N3725" s="17"/>
      <c r="O3725" s="17"/>
      <c r="P3725" s="17"/>
      <c r="Q3725" s="17"/>
      <c r="R3725" s="17"/>
      <c r="S3725" s="17"/>
      <c r="T3725" s="17"/>
      <c r="U3725" s="17"/>
      <c r="V3725" s="18">
        <v>0</v>
      </c>
      <c r="W3725" s="17">
        <f t="shared" si="118"/>
        <v>0</v>
      </c>
      <c r="X3725" s="5">
        <f t="shared" si="119"/>
        <v>0</v>
      </c>
    </row>
    <row r="3726" spans="1:24" x14ac:dyDescent="0.25">
      <c r="A3726" s="17"/>
      <c r="B3726" s="17"/>
      <c r="C3726" s="17"/>
      <c r="D3726" s="17"/>
      <c r="E3726" s="17"/>
      <c r="F3726" s="17"/>
      <c r="G3726" s="17"/>
      <c r="H3726" s="17"/>
      <c r="I3726" s="17"/>
      <c r="J3726" s="17"/>
      <c r="K3726" s="17"/>
      <c r="L3726" s="17"/>
      <c r="M3726" s="17"/>
      <c r="N3726" s="17"/>
      <c r="O3726" s="17"/>
      <c r="P3726" s="17"/>
      <c r="Q3726" s="17"/>
      <c r="R3726" s="17"/>
      <c r="S3726" s="17"/>
      <c r="T3726" s="17"/>
      <c r="U3726" s="17"/>
      <c r="V3726" s="18">
        <v>0</v>
      </c>
      <c r="W3726" s="17">
        <f t="shared" si="118"/>
        <v>0</v>
      </c>
      <c r="X3726" s="5">
        <f t="shared" si="119"/>
        <v>0</v>
      </c>
    </row>
    <row r="3727" spans="1:24" x14ac:dyDescent="0.25">
      <c r="A3727" s="17"/>
      <c r="B3727" s="17"/>
      <c r="C3727" s="17"/>
      <c r="D3727" s="17"/>
      <c r="E3727" s="17"/>
      <c r="F3727" s="17"/>
      <c r="G3727" s="17"/>
      <c r="H3727" s="17"/>
      <c r="I3727" s="17"/>
      <c r="J3727" s="17"/>
      <c r="K3727" s="17"/>
      <c r="L3727" s="17"/>
      <c r="M3727" s="17"/>
      <c r="N3727" s="17"/>
      <c r="O3727" s="17"/>
      <c r="P3727" s="17"/>
      <c r="Q3727" s="17"/>
      <c r="R3727" s="17"/>
      <c r="S3727" s="17"/>
      <c r="T3727" s="17"/>
      <c r="U3727" s="17"/>
      <c r="V3727" s="18">
        <v>0</v>
      </c>
      <c r="W3727" s="17">
        <f t="shared" si="118"/>
        <v>0</v>
      </c>
      <c r="X3727" s="5">
        <f t="shared" si="119"/>
        <v>0</v>
      </c>
    </row>
    <row r="3728" spans="1:24" x14ac:dyDescent="0.25">
      <c r="A3728" s="17"/>
      <c r="B3728" s="17"/>
      <c r="C3728" s="17"/>
      <c r="D3728" s="17"/>
      <c r="E3728" s="17"/>
      <c r="F3728" s="17"/>
      <c r="G3728" s="17"/>
      <c r="H3728" s="17"/>
      <c r="I3728" s="17"/>
      <c r="J3728" s="17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/>
      <c r="U3728" s="17"/>
      <c r="V3728" s="18">
        <v>0</v>
      </c>
      <c r="W3728" s="17">
        <f t="shared" si="118"/>
        <v>0</v>
      </c>
      <c r="X3728" s="5">
        <f t="shared" si="119"/>
        <v>0</v>
      </c>
    </row>
    <row r="3729" spans="1:24" x14ac:dyDescent="0.25">
      <c r="A3729" s="17"/>
      <c r="B3729" s="17"/>
      <c r="C3729" s="17"/>
      <c r="D3729" s="17"/>
      <c r="E3729" s="17"/>
      <c r="F3729" s="17"/>
      <c r="G3729" s="17"/>
      <c r="H3729" s="17"/>
      <c r="I3729" s="17"/>
      <c r="J3729" s="17"/>
      <c r="K3729" s="17"/>
      <c r="L3729" s="17"/>
      <c r="M3729" s="17"/>
      <c r="N3729" s="17"/>
      <c r="O3729" s="17"/>
      <c r="P3729" s="17"/>
      <c r="Q3729" s="17"/>
      <c r="R3729" s="17"/>
      <c r="S3729" s="17"/>
      <c r="T3729" s="17"/>
      <c r="U3729" s="17"/>
      <c r="V3729" s="18">
        <v>0</v>
      </c>
      <c r="W3729" s="17">
        <f t="shared" si="118"/>
        <v>0</v>
      </c>
      <c r="X3729" s="5">
        <f t="shared" si="119"/>
        <v>0</v>
      </c>
    </row>
    <row r="3730" spans="1:24" x14ac:dyDescent="0.25">
      <c r="A3730" s="17"/>
      <c r="B3730" s="17"/>
      <c r="C3730" s="17"/>
      <c r="D3730" s="17"/>
      <c r="E3730" s="17"/>
      <c r="F3730" s="17"/>
      <c r="G3730" s="17"/>
      <c r="H3730" s="17"/>
      <c r="I3730" s="17"/>
      <c r="J3730" s="17"/>
      <c r="K3730" s="17"/>
      <c r="L3730" s="17"/>
      <c r="M3730" s="17"/>
      <c r="N3730" s="17"/>
      <c r="O3730" s="17"/>
      <c r="P3730" s="17"/>
      <c r="Q3730" s="17"/>
      <c r="R3730" s="17"/>
      <c r="S3730" s="17"/>
      <c r="T3730" s="17"/>
      <c r="U3730" s="17"/>
      <c r="V3730" s="18">
        <v>0</v>
      </c>
      <c r="W3730" s="17">
        <f t="shared" si="118"/>
        <v>0</v>
      </c>
      <c r="X3730" s="5">
        <f t="shared" si="119"/>
        <v>0</v>
      </c>
    </row>
    <row r="3731" spans="1:24" x14ac:dyDescent="0.25">
      <c r="A3731" s="17"/>
      <c r="B3731" s="17"/>
      <c r="C3731" s="17"/>
      <c r="D3731" s="17"/>
      <c r="E3731" s="17"/>
      <c r="F3731" s="17"/>
      <c r="G3731" s="17"/>
      <c r="H3731" s="17"/>
      <c r="I3731" s="17"/>
      <c r="J3731" s="17"/>
      <c r="K3731" s="17"/>
      <c r="L3731" s="17"/>
      <c r="M3731" s="17"/>
      <c r="N3731" s="17"/>
      <c r="O3731" s="17"/>
      <c r="P3731" s="17"/>
      <c r="Q3731" s="17"/>
      <c r="R3731" s="17"/>
      <c r="S3731" s="17"/>
      <c r="T3731" s="17"/>
      <c r="U3731" s="17"/>
      <c r="V3731" s="18">
        <v>0</v>
      </c>
      <c r="W3731" s="17">
        <f t="shared" si="118"/>
        <v>0</v>
      </c>
      <c r="X3731" s="5">
        <f t="shared" si="119"/>
        <v>0</v>
      </c>
    </row>
    <row r="3732" spans="1:24" x14ac:dyDescent="0.25">
      <c r="A3732" s="17"/>
      <c r="B3732" s="17"/>
      <c r="C3732" s="17"/>
      <c r="D3732" s="17"/>
      <c r="E3732" s="17"/>
      <c r="F3732" s="17"/>
      <c r="G3732" s="17"/>
      <c r="H3732" s="17"/>
      <c r="I3732" s="17"/>
      <c r="J3732" s="17"/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/>
      <c r="V3732" s="18">
        <v>0</v>
      </c>
      <c r="W3732" s="17">
        <f t="shared" si="118"/>
        <v>0</v>
      </c>
      <c r="X3732" s="5">
        <f t="shared" si="119"/>
        <v>0</v>
      </c>
    </row>
    <row r="3733" spans="1:24" x14ac:dyDescent="0.25">
      <c r="A3733" s="17"/>
      <c r="B3733" s="17"/>
      <c r="C3733" s="17"/>
      <c r="D3733" s="17"/>
      <c r="E3733" s="17"/>
      <c r="F3733" s="17"/>
      <c r="G3733" s="17"/>
      <c r="H3733" s="17"/>
      <c r="I3733" s="17"/>
      <c r="J3733" s="17"/>
      <c r="K3733" s="17"/>
      <c r="L3733" s="17"/>
      <c r="M3733" s="17"/>
      <c r="N3733" s="17"/>
      <c r="O3733" s="17"/>
      <c r="P3733" s="17"/>
      <c r="Q3733" s="17"/>
      <c r="R3733" s="17"/>
      <c r="S3733" s="17"/>
      <c r="T3733" s="17"/>
      <c r="U3733" s="17"/>
      <c r="V3733" s="18">
        <v>0</v>
      </c>
      <c r="W3733" s="17">
        <f t="shared" si="118"/>
        <v>0</v>
      </c>
      <c r="X3733" s="5">
        <f t="shared" si="119"/>
        <v>0</v>
      </c>
    </row>
    <row r="3734" spans="1:24" x14ac:dyDescent="0.25">
      <c r="A3734" s="17"/>
      <c r="B3734" s="17"/>
      <c r="C3734" s="17"/>
      <c r="D3734" s="17"/>
      <c r="E3734" s="17"/>
      <c r="F3734" s="17"/>
      <c r="G3734" s="17"/>
      <c r="H3734" s="17"/>
      <c r="I3734" s="17"/>
      <c r="J3734" s="17"/>
      <c r="K3734" s="17"/>
      <c r="L3734" s="17"/>
      <c r="M3734" s="17"/>
      <c r="N3734" s="17"/>
      <c r="O3734" s="17"/>
      <c r="P3734" s="17"/>
      <c r="Q3734" s="17"/>
      <c r="R3734" s="17"/>
      <c r="S3734" s="17"/>
      <c r="T3734" s="17"/>
      <c r="U3734" s="17"/>
      <c r="V3734" s="18">
        <v>0</v>
      </c>
      <c r="W3734" s="17">
        <f t="shared" si="118"/>
        <v>0</v>
      </c>
      <c r="X3734" s="5">
        <f t="shared" si="119"/>
        <v>0</v>
      </c>
    </row>
    <row r="3735" spans="1:24" x14ac:dyDescent="0.25">
      <c r="A3735" s="17"/>
      <c r="B3735" s="17"/>
      <c r="C3735" s="17"/>
      <c r="D3735" s="17"/>
      <c r="E3735" s="17"/>
      <c r="F3735" s="17"/>
      <c r="G3735" s="17"/>
      <c r="H3735" s="17"/>
      <c r="I3735" s="17"/>
      <c r="J3735" s="17"/>
      <c r="K3735" s="17"/>
      <c r="L3735" s="17"/>
      <c r="M3735" s="17"/>
      <c r="N3735" s="17"/>
      <c r="O3735" s="17"/>
      <c r="P3735" s="17"/>
      <c r="Q3735" s="17"/>
      <c r="R3735" s="17"/>
      <c r="S3735" s="17"/>
      <c r="T3735" s="17"/>
      <c r="U3735" s="17"/>
      <c r="V3735" s="18">
        <v>0</v>
      </c>
      <c r="W3735" s="17">
        <f t="shared" si="118"/>
        <v>0</v>
      </c>
      <c r="X3735" s="5">
        <f t="shared" si="119"/>
        <v>0</v>
      </c>
    </row>
    <row r="3736" spans="1:24" x14ac:dyDescent="0.25">
      <c r="A3736" s="17"/>
      <c r="B3736" s="17"/>
      <c r="C3736" s="17"/>
      <c r="D3736" s="17"/>
      <c r="E3736" s="17"/>
      <c r="F3736" s="17"/>
      <c r="G3736" s="17"/>
      <c r="H3736" s="17"/>
      <c r="I3736" s="17"/>
      <c r="J3736" s="17"/>
      <c r="K3736" s="17"/>
      <c r="L3736" s="17"/>
      <c r="M3736" s="17"/>
      <c r="N3736" s="17"/>
      <c r="O3736" s="17"/>
      <c r="P3736" s="17"/>
      <c r="Q3736" s="17"/>
      <c r="R3736" s="17"/>
      <c r="S3736" s="17"/>
      <c r="T3736" s="17"/>
      <c r="U3736" s="17"/>
      <c r="V3736" s="18">
        <v>0</v>
      </c>
      <c r="W3736" s="17">
        <f t="shared" si="118"/>
        <v>0</v>
      </c>
      <c r="X3736" s="5">
        <f t="shared" si="119"/>
        <v>0</v>
      </c>
    </row>
    <row r="3737" spans="1:24" x14ac:dyDescent="0.25">
      <c r="A3737" s="17"/>
      <c r="B3737" s="17"/>
      <c r="C3737" s="17"/>
      <c r="D3737" s="17"/>
      <c r="E3737" s="17"/>
      <c r="F3737" s="17"/>
      <c r="G3737" s="17"/>
      <c r="H3737" s="17"/>
      <c r="I3737" s="17"/>
      <c r="J3737" s="17"/>
      <c r="K3737" s="17"/>
      <c r="L3737" s="17"/>
      <c r="M3737" s="17"/>
      <c r="N3737" s="17"/>
      <c r="O3737" s="17"/>
      <c r="P3737" s="17"/>
      <c r="Q3737" s="17"/>
      <c r="R3737" s="17"/>
      <c r="S3737" s="17"/>
      <c r="T3737" s="17"/>
      <c r="U3737" s="17"/>
      <c r="V3737" s="18">
        <v>0</v>
      </c>
      <c r="W3737" s="17">
        <f t="shared" si="118"/>
        <v>0</v>
      </c>
      <c r="X3737" s="5">
        <f t="shared" si="119"/>
        <v>0</v>
      </c>
    </row>
    <row r="3738" spans="1:24" x14ac:dyDescent="0.25">
      <c r="A3738" s="17"/>
      <c r="B3738" s="17"/>
      <c r="C3738" s="17"/>
      <c r="D3738" s="17"/>
      <c r="E3738" s="17"/>
      <c r="F3738" s="17"/>
      <c r="G3738" s="17"/>
      <c r="H3738" s="17"/>
      <c r="I3738" s="17"/>
      <c r="J3738" s="17"/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/>
      <c r="V3738" s="18">
        <v>0</v>
      </c>
      <c r="W3738" s="17">
        <f t="shared" si="118"/>
        <v>0</v>
      </c>
      <c r="X3738" s="5">
        <f t="shared" si="119"/>
        <v>0</v>
      </c>
    </row>
    <row r="3739" spans="1:24" x14ac:dyDescent="0.25">
      <c r="A3739" s="17"/>
      <c r="B3739" s="17"/>
      <c r="C3739" s="17"/>
      <c r="D3739" s="17"/>
      <c r="E3739" s="17"/>
      <c r="F3739" s="17"/>
      <c r="G3739" s="17"/>
      <c r="H3739" s="17"/>
      <c r="I3739" s="17"/>
      <c r="J3739" s="17"/>
      <c r="K3739" s="17"/>
      <c r="L3739" s="17"/>
      <c r="M3739" s="17"/>
      <c r="N3739" s="17"/>
      <c r="O3739" s="17"/>
      <c r="P3739" s="17"/>
      <c r="Q3739" s="17"/>
      <c r="R3739" s="17"/>
      <c r="S3739" s="17"/>
      <c r="T3739" s="17"/>
      <c r="U3739" s="17"/>
      <c r="V3739" s="18">
        <v>0</v>
      </c>
      <c r="W3739" s="17">
        <f t="shared" si="118"/>
        <v>0</v>
      </c>
      <c r="X3739" s="5">
        <f t="shared" si="119"/>
        <v>0</v>
      </c>
    </row>
    <row r="3740" spans="1:24" x14ac:dyDescent="0.25">
      <c r="A3740" s="17"/>
      <c r="B3740" s="17"/>
      <c r="C3740" s="17"/>
      <c r="D3740" s="17"/>
      <c r="E3740" s="17"/>
      <c r="F3740" s="17"/>
      <c r="G3740" s="17"/>
      <c r="H3740" s="17"/>
      <c r="I3740" s="17"/>
      <c r="J3740" s="17"/>
      <c r="K3740" s="17"/>
      <c r="L3740" s="17"/>
      <c r="M3740" s="17"/>
      <c r="N3740" s="17"/>
      <c r="O3740" s="17"/>
      <c r="P3740" s="17"/>
      <c r="Q3740" s="17"/>
      <c r="R3740" s="17"/>
      <c r="S3740" s="17"/>
      <c r="T3740" s="17"/>
      <c r="U3740" s="17"/>
      <c r="V3740" s="18">
        <v>0</v>
      </c>
      <c r="W3740" s="17">
        <f t="shared" si="118"/>
        <v>0</v>
      </c>
      <c r="X3740" s="5">
        <f t="shared" si="119"/>
        <v>0</v>
      </c>
    </row>
    <row r="3741" spans="1:24" x14ac:dyDescent="0.25">
      <c r="A3741" s="17"/>
      <c r="B3741" s="17"/>
      <c r="C3741" s="17"/>
      <c r="D3741" s="17"/>
      <c r="E3741" s="17"/>
      <c r="F3741" s="17"/>
      <c r="G3741" s="17"/>
      <c r="H3741" s="17"/>
      <c r="I3741" s="17"/>
      <c r="J3741" s="17"/>
      <c r="K3741" s="17"/>
      <c r="L3741" s="17"/>
      <c r="M3741" s="17"/>
      <c r="N3741" s="17"/>
      <c r="O3741" s="17"/>
      <c r="P3741" s="17"/>
      <c r="Q3741" s="17"/>
      <c r="R3741" s="17"/>
      <c r="S3741" s="17"/>
      <c r="T3741" s="17"/>
      <c r="U3741" s="17"/>
      <c r="V3741" s="18">
        <v>0</v>
      </c>
      <c r="W3741" s="17">
        <f t="shared" si="118"/>
        <v>0</v>
      </c>
      <c r="X3741" s="5">
        <f t="shared" si="119"/>
        <v>0</v>
      </c>
    </row>
    <row r="3742" spans="1:24" x14ac:dyDescent="0.25">
      <c r="A3742" s="17"/>
      <c r="B3742" s="17"/>
      <c r="C3742" s="17"/>
      <c r="D3742" s="17"/>
      <c r="E3742" s="17"/>
      <c r="F3742" s="17"/>
      <c r="G3742" s="17"/>
      <c r="H3742" s="17"/>
      <c r="I3742" s="17"/>
      <c r="J3742" s="17"/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/>
      <c r="V3742" s="18">
        <v>0</v>
      </c>
      <c r="W3742" s="17">
        <f t="shared" si="118"/>
        <v>0</v>
      </c>
      <c r="X3742" s="5">
        <f t="shared" si="119"/>
        <v>0</v>
      </c>
    </row>
    <row r="3743" spans="1:24" x14ac:dyDescent="0.25">
      <c r="A3743" s="17"/>
      <c r="B3743" s="17"/>
      <c r="C3743" s="17"/>
      <c r="D3743" s="17"/>
      <c r="E3743" s="17"/>
      <c r="F3743" s="17"/>
      <c r="G3743" s="17"/>
      <c r="H3743" s="17"/>
      <c r="I3743" s="17"/>
      <c r="J3743" s="17"/>
      <c r="K3743" s="17"/>
      <c r="L3743" s="17"/>
      <c r="M3743" s="17"/>
      <c r="N3743" s="17"/>
      <c r="O3743" s="17"/>
      <c r="P3743" s="17"/>
      <c r="Q3743" s="17"/>
      <c r="R3743" s="17"/>
      <c r="S3743" s="17"/>
      <c r="T3743" s="17"/>
      <c r="U3743" s="17"/>
      <c r="V3743" s="18">
        <v>0</v>
      </c>
      <c r="W3743" s="17">
        <f t="shared" si="118"/>
        <v>0</v>
      </c>
      <c r="X3743" s="5">
        <f t="shared" si="119"/>
        <v>0</v>
      </c>
    </row>
    <row r="3744" spans="1:24" x14ac:dyDescent="0.25">
      <c r="A3744" s="17"/>
      <c r="B3744" s="17"/>
      <c r="C3744" s="17"/>
      <c r="D3744" s="17"/>
      <c r="E3744" s="17"/>
      <c r="F3744" s="17"/>
      <c r="G3744" s="17"/>
      <c r="H3744" s="17"/>
      <c r="I3744" s="17"/>
      <c r="J3744" s="17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8">
        <v>0</v>
      </c>
      <c r="W3744" s="17">
        <f t="shared" si="118"/>
        <v>0</v>
      </c>
      <c r="X3744" s="5">
        <f t="shared" si="119"/>
        <v>0</v>
      </c>
    </row>
    <row r="3745" spans="1:24" x14ac:dyDescent="0.25">
      <c r="A3745" s="17"/>
      <c r="B3745" s="17"/>
      <c r="C3745" s="17"/>
      <c r="D3745" s="17"/>
      <c r="E3745" s="17"/>
      <c r="F3745" s="17"/>
      <c r="G3745" s="17"/>
      <c r="H3745" s="17"/>
      <c r="I3745" s="17"/>
      <c r="J3745" s="17"/>
      <c r="K3745" s="17"/>
      <c r="L3745" s="17"/>
      <c r="M3745" s="17"/>
      <c r="N3745" s="17"/>
      <c r="O3745" s="17"/>
      <c r="P3745" s="17"/>
      <c r="Q3745" s="17"/>
      <c r="R3745" s="17"/>
      <c r="S3745" s="17"/>
      <c r="T3745" s="17"/>
      <c r="U3745" s="17"/>
      <c r="V3745" s="18">
        <v>0</v>
      </c>
      <c r="W3745" s="17">
        <f t="shared" si="118"/>
        <v>0</v>
      </c>
      <c r="X3745" s="5">
        <f t="shared" si="119"/>
        <v>0</v>
      </c>
    </row>
    <row r="3746" spans="1:24" x14ac:dyDescent="0.25">
      <c r="A3746" s="17"/>
      <c r="B3746" s="17"/>
      <c r="C3746" s="17"/>
      <c r="D3746" s="17"/>
      <c r="E3746" s="17"/>
      <c r="F3746" s="17"/>
      <c r="G3746" s="17"/>
      <c r="H3746" s="17"/>
      <c r="I3746" s="17"/>
      <c r="J3746" s="17"/>
      <c r="K3746" s="17"/>
      <c r="L3746" s="17"/>
      <c r="M3746" s="17"/>
      <c r="N3746" s="17"/>
      <c r="O3746" s="17"/>
      <c r="P3746" s="17"/>
      <c r="Q3746" s="17"/>
      <c r="R3746" s="17"/>
      <c r="S3746" s="17"/>
      <c r="T3746" s="17"/>
      <c r="U3746" s="17"/>
      <c r="V3746" s="18">
        <v>0</v>
      </c>
      <c r="W3746" s="17">
        <f t="shared" si="118"/>
        <v>0</v>
      </c>
      <c r="X3746" s="5">
        <f t="shared" si="119"/>
        <v>0</v>
      </c>
    </row>
    <row r="3747" spans="1:24" x14ac:dyDescent="0.25">
      <c r="A3747" s="17"/>
      <c r="B3747" s="17"/>
      <c r="C3747" s="17"/>
      <c r="D3747" s="17"/>
      <c r="E3747" s="17"/>
      <c r="F3747" s="17"/>
      <c r="G3747" s="17"/>
      <c r="H3747" s="17"/>
      <c r="I3747" s="17"/>
      <c r="J3747" s="17"/>
      <c r="K3747" s="17"/>
      <c r="L3747" s="17"/>
      <c r="M3747" s="17"/>
      <c r="N3747" s="17"/>
      <c r="O3747" s="17"/>
      <c r="P3747" s="17"/>
      <c r="Q3747" s="17"/>
      <c r="R3747" s="17"/>
      <c r="S3747" s="17"/>
      <c r="T3747" s="17"/>
      <c r="U3747" s="17"/>
      <c r="V3747" s="18">
        <v>0</v>
      </c>
      <c r="W3747" s="17">
        <f t="shared" si="118"/>
        <v>0</v>
      </c>
      <c r="X3747" s="5">
        <f t="shared" si="119"/>
        <v>0</v>
      </c>
    </row>
    <row r="3748" spans="1:24" x14ac:dyDescent="0.25">
      <c r="A3748" s="17"/>
      <c r="B3748" s="17"/>
      <c r="C3748" s="17"/>
      <c r="D3748" s="17"/>
      <c r="E3748" s="17"/>
      <c r="F3748" s="17"/>
      <c r="G3748" s="17"/>
      <c r="H3748" s="17"/>
      <c r="I3748" s="17"/>
      <c r="J3748" s="17"/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/>
      <c r="V3748" s="18">
        <v>0</v>
      </c>
      <c r="W3748" s="17">
        <f t="shared" si="118"/>
        <v>0</v>
      </c>
      <c r="X3748" s="5">
        <f t="shared" si="119"/>
        <v>0</v>
      </c>
    </row>
    <row r="3749" spans="1:24" x14ac:dyDescent="0.25">
      <c r="A3749" s="17"/>
      <c r="B3749" s="17"/>
      <c r="C3749" s="17"/>
      <c r="D3749" s="17"/>
      <c r="E3749" s="17"/>
      <c r="F3749" s="17"/>
      <c r="G3749" s="17"/>
      <c r="H3749" s="17"/>
      <c r="I3749" s="17"/>
      <c r="J3749" s="17"/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/>
      <c r="V3749" s="18">
        <v>0</v>
      </c>
      <c r="W3749" s="17">
        <f t="shared" si="118"/>
        <v>0</v>
      </c>
      <c r="X3749" s="5">
        <f t="shared" si="119"/>
        <v>0</v>
      </c>
    </row>
    <row r="3750" spans="1:24" x14ac:dyDescent="0.25">
      <c r="A3750" s="17"/>
      <c r="B3750" s="17"/>
      <c r="C3750" s="17"/>
      <c r="D3750" s="17"/>
      <c r="E3750" s="17"/>
      <c r="F3750" s="17"/>
      <c r="G3750" s="17"/>
      <c r="H3750" s="17"/>
      <c r="I3750" s="17"/>
      <c r="J3750" s="17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8">
        <v>0</v>
      </c>
      <c r="W3750" s="17">
        <f t="shared" si="118"/>
        <v>0</v>
      </c>
      <c r="X3750" s="5">
        <f t="shared" si="119"/>
        <v>0</v>
      </c>
    </row>
    <row r="3751" spans="1:24" x14ac:dyDescent="0.25">
      <c r="A3751" s="17"/>
      <c r="B3751" s="17"/>
      <c r="C3751" s="17"/>
      <c r="D3751" s="17"/>
      <c r="E3751" s="17"/>
      <c r="F3751" s="17"/>
      <c r="G3751" s="17"/>
      <c r="H3751" s="17"/>
      <c r="I3751" s="17"/>
      <c r="J3751" s="17"/>
      <c r="K3751" s="17"/>
      <c r="L3751" s="17"/>
      <c r="M3751" s="17"/>
      <c r="N3751" s="17"/>
      <c r="O3751" s="17"/>
      <c r="P3751" s="17"/>
      <c r="Q3751" s="17"/>
      <c r="R3751" s="17"/>
      <c r="S3751" s="17"/>
      <c r="T3751" s="17"/>
      <c r="U3751" s="17"/>
      <c r="V3751" s="18">
        <v>0</v>
      </c>
      <c r="W3751" s="17">
        <f t="shared" si="118"/>
        <v>0</v>
      </c>
      <c r="X3751" s="5">
        <f t="shared" si="119"/>
        <v>0</v>
      </c>
    </row>
    <row r="3752" spans="1:24" x14ac:dyDescent="0.25">
      <c r="A3752" s="17"/>
      <c r="B3752" s="17"/>
      <c r="C3752" s="17"/>
      <c r="D3752" s="17"/>
      <c r="E3752" s="17"/>
      <c r="F3752" s="17"/>
      <c r="G3752" s="17"/>
      <c r="H3752" s="17"/>
      <c r="I3752" s="17"/>
      <c r="J3752" s="17"/>
      <c r="K3752" s="17"/>
      <c r="L3752" s="17"/>
      <c r="M3752" s="17"/>
      <c r="N3752" s="17"/>
      <c r="O3752" s="17"/>
      <c r="P3752" s="17"/>
      <c r="Q3752" s="17"/>
      <c r="R3752" s="17"/>
      <c r="S3752" s="17"/>
      <c r="T3752" s="17"/>
      <c r="U3752" s="17"/>
      <c r="V3752" s="18">
        <v>0</v>
      </c>
      <c r="W3752" s="17">
        <f t="shared" si="118"/>
        <v>0</v>
      </c>
      <c r="X3752" s="5">
        <f t="shared" si="119"/>
        <v>0</v>
      </c>
    </row>
    <row r="3753" spans="1:24" x14ac:dyDescent="0.25">
      <c r="A3753" s="17"/>
      <c r="B3753" s="17"/>
      <c r="C3753" s="17"/>
      <c r="D3753" s="17"/>
      <c r="E3753" s="17"/>
      <c r="F3753" s="17"/>
      <c r="G3753" s="17"/>
      <c r="H3753" s="17"/>
      <c r="I3753" s="17"/>
      <c r="J3753" s="17"/>
      <c r="K3753" s="17"/>
      <c r="L3753" s="17"/>
      <c r="M3753" s="17"/>
      <c r="N3753" s="17"/>
      <c r="O3753" s="17"/>
      <c r="P3753" s="17"/>
      <c r="Q3753" s="17"/>
      <c r="R3753" s="17"/>
      <c r="S3753" s="17"/>
      <c r="T3753" s="17"/>
      <c r="U3753" s="17"/>
      <c r="V3753" s="18">
        <v>0</v>
      </c>
      <c r="W3753" s="17">
        <f t="shared" si="118"/>
        <v>0</v>
      </c>
      <c r="X3753" s="5">
        <f t="shared" si="119"/>
        <v>0</v>
      </c>
    </row>
    <row r="3754" spans="1:24" x14ac:dyDescent="0.25">
      <c r="A3754" s="17"/>
      <c r="B3754" s="17"/>
      <c r="C3754" s="17"/>
      <c r="D3754" s="17"/>
      <c r="E3754" s="17"/>
      <c r="F3754" s="17"/>
      <c r="G3754" s="17"/>
      <c r="H3754" s="17"/>
      <c r="I3754" s="17"/>
      <c r="J3754" s="17"/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/>
      <c r="V3754" s="18">
        <v>0</v>
      </c>
      <c r="W3754" s="17">
        <f t="shared" si="118"/>
        <v>0</v>
      </c>
      <c r="X3754" s="5">
        <f t="shared" si="119"/>
        <v>0</v>
      </c>
    </row>
    <row r="3755" spans="1:24" x14ac:dyDescent="0.25">
      <c r="A3755" s="17"/>
      <c r="B3755" s="17"/>
      <c r="C3755" s="17"/>
      <c r="D3755" s="17"/>
      <c r="E3755" s="17"/>
      <c r="F3755" s="17"/>
      <c r="G3755" s="17"/>
      <c r="H3755" s="17"/>
      <c r="I3755" s="17"/>
      <c r="J3755" s="17"/>
      <c r="K3755" s="17"/>
      <c r="L3755" s="17"/>
      <c r="M3755" s="17"/>
      <c r="N3755" s="17"/>
      <c r="O3755" s="17"/>
      <c r="P3755" s="17"/>
      <c r="Q3755" s="17"/>
      <c r="R3755" s="17"/>
      <c r="S3755" s="17"/>
      <c r="T3755" s="17"/>
      <c r="U3755" s="17"/>
      <c r="V3755" s="18">
        <v>0</v>
      </c>
      <c r="W3755" s="17">
        <f t="shared" si="118"/>
        <v>0</v>
      </c>
      <c r="X3755" s="5">
        <f t="shared" si="119"/>
        <v>0</v>
      </c>
    </row>
    <row r="3756" spans="1:24" x14ac:dyDescent="0.25">
      <c r="A3756" s="17"/>
      <c r="B3756" s="17"/>
      <c r="C3756" s="17"/>
      <c r="D3756" s="17"/>
      <c r="E3756" s="17"/>
      <c r="F3756" s="17"/>
      <c r="G3756" s="17"/>
      <c r="H3756" s="17"/>
      <c r="I3756" s="17"/>
      <c r="J3756" s="17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8">
        <v>0</v>
      </c>
      <c r="W3756" s="17">
        <f t="shared" si="118"/>
        <v>0</v>
      </c>
      <c r="X3756" s="5">
        <f t="shared" si="119"/>
        <v>0</v>
      </c>
    </row>
    <row r="3757" spans="1:24" x14ac:dyDescent="0.25">
      <c r="A3757" s="17"/>
      <c r="B3757" s="17"/>
      <c r="C3757" s="17"/>
      <c r="D3757" s="17"/>
      <c r="E3757" s="17"/>
      <c r="F3757" s="17"/>
      <c r="G3757" s="17"/>
      <c r="H3757" s="17"/>
      <c r="I3757" s="17"/>
      <c r="J3757" s="17"/>
      <c r="K3757" s="17"/>
      <c r="L3757" s="17"/>
      <c r="M3757" s="17"/>
      <c r="N3757" s="17"/>
      <c r="O3757" s="17"/>
      <c r="P3757" s="17"/>
      <c r="Q3757" s="17"/>
      <c r="R3757" s="17"/>
      <c r="S3757" s="17"/>
      <c r="T3757" s="17"/>
      <c r="U3757" s="17"/>
      <c r="V3757" s="18">
        <v>0</v>
      </c>
      <c r="W3757" s="17">
        <f t="shared" si="118"/>
        <v>0</v>
      </c>
      <c r="X3757" s="5">
        <f t="shared" si="119"/>
        <v>0</v>
      </c>
    </row>
    <row r="3758" spans="1:24" x14ac:dyDescent="0.25">
      <c r="A3758" s="17"/>
      <c r="B3758" s="17"/>
      <c r="C3758" s="17"/>
      <c r="D3758" s="17"/>
      <c r="E3758" s="17"/>
      <c r="F3758" s="17"/>
      <c r="G3758" s="17"/>
      <c r="H3758" s="17"/>
      <c r="I3758" s="17"/>
      <c r="J3758" s="17"/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/>
      <c r="V3758" s="18">
        <v>0</v>
      </c>
      <c r="W3758" s="17">
        <f t="shared" si="118"/>
        <v>0</v>
      </c>
      <c r="X3758" s="5">
        <f t="shared" si="119"/>
        <v>0</v>
      </c>
    </row>
    <row r="3759" spans="1:24" x14ac:dyDescent="0.25">
      <c r="A3759" s="17"/>
      <c r="B3759" s="17"/>
      <c r="C3759" s="17"/>
      <c r="D3759" s="17"/>
      <c r="E3759" s="17"/>
      <c r="F3759" s="17"/>
      <c r="G3759" s="17"/>
      <c r="H3759" s="17"/>
      <c r="I3759" s="17"/>
      <c r="J3759" s="17"/>
      <c r="K3759" s="17"/>
      <c r="L3759" s="17"/>
      <c r="M3759" s="17"/>
      <c r="N3759" s="17"/>
      <c r="O3759" s="17"/>
      <c r="P3759" s="17"/>
      <c r="Q3759" s="17"/>
      <c r="R3759" s="17"/>
      <c r="S3759" s="17"/>
      <c r="T3759" s="17"/>
      <c r="U3759" s="17"/>
      <c r="V3759" s="18">
        <v>0</v>
      </c>
      <c r="W3759" s="17">
        <f t="shared" si="118"/>
        <v>0</v>
      </c>
      <c r="X3759" s="5">
        <f t="shared" si="119"/>
        <v>0</v>
      </c>
    </row>
    <row r="3760" spans="1:24" x14ac:dyDescent="0.25">
      <c r="A3760" s="17"/>
      <c r="B3760" s="17"/>
      <c r="C3760" s="17"/>
      <c r="D3760" s="17"/>
      <c r="E3760" s="17"/>
      <c r="F3760" s="17"/>
      <c r="G3760" s="17"/>
      <c r="H3760" s="17"/>
      <c r="I3760" s="17"/>
      <c r="J3760" s="17"/>
      <c r="K3760" s="17"/>
      <c r="L3760" s="17"/>
      <c r="M3760" s="17"/>
      <c r="N3760" s="17"/>
      <c r="O3760" s="17"/>
      <c r="P3760" s="17"/>
      <c r="Q3760" s="17"/>
      <c r="R3760" s="17"/>
      <c r="S3760" s="17"/>
      <c r="T3760" s="17"/>
      <c r="U3760" s="17"/>
      <c r="V3760" s="18">
        <v>0</v>
      </c>
      <c r="W3760" s="17">
        <f t="shared" si="118"/>
        <v>0</v>
      </c>
      <c r="X3760" s="5">
        <f t="shared" si="119"/>
        <v>0</v>
      </c>
    </row>
    <row r="3761" spans="1:24" x14ac:dyDescent="0.25">
      <c r="A3761" s="17"/>
      <c r="B3761" s="17"/>
      <c r="C3761" s="17"/>
      <c r="D3761" s="17"/>
      <c r="E3761" s="17"/>
      <c r="F3761" s="17"/>
      <c r="G3761" s="17"/>
      <c r="H3761" s="17"/>
      <c r="I3761" s="17"/>
      <c r="J3761" s="17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8">
        <v>0</v>
      </c>
      <c r="W3761" s="17">
        <f t="shared" si="118"/>
        <v>0</v>
      </c>
      <c r="X3761" s="5">
        <f t="shared" si="119"/>
        <v>0</v>
      </c>
    </row>
    <row r="3762" spans="1:24" x14ac:dyDescent="0.25">
      <c r="A3762" s="17"/>
      <c r="B3762" s="17"/>
      <c r="C3762" s="17"/>
      <c r="D3762" s="17"/>
      <c r="E3762" s="17"/>
      <c r="F3762" s="17"/>
      <c r="G3762" s="17"/>
      <c r="H3762" s="17"/>
      <c r="I3762" s="17"/>
      <c r="J3762" s="17"/>
      <c r="K3762" s="17"/>
      <c r="L3762" s="17"/>
      <c r="M3762" s="17"/>
      <c r="N3762" s="17"/>
      <c r="O3762" s="17"/>
      <c r="P3762" s="17"/>
      <c r="Q3762" s="17"/>
      <c r="R3762" s="17"/>
      <c r="S3762" s="17"/>
      <c r="T3762" s="17"/>
      <c r="U3762" s="17"/>
      <c r="V3762" s="18">
        <v>0</v>
      </c>
      <c r="W3762" s="17">
        <f t="shared" si="118"/>
        <v>0</v>
      </c>
      <c r="X3762" s="5">
        <f t="shared" si="119"/>
        <v>0</v>
      </c>
    </row>
    <row r="3763" spans="1:24" x14ac:dyDescent="0.25">
      <c r="A3763" s="17"/>
      <c r="B3763" s="17"/>
      <c r="C3763" s="17"/>
      <c r="D3763" s="17"/>
      <c r="E3763" s="17"/>
      <c r="F3763" s="17"/>
      <c r="G3763" s="17"/>
      <c r="H3763" s="17"/>
      <c r="I3763" s="17"/>
      <c r="J3763" s="17"/>
      <c r="K3763" s="17"/>
      <c r="L3763" s="17"/>
      <c r="M3763" s="17"/>
      <c r="N3763" s="17"/>
      <c r="O3763" s="17"/>
      <c r="P3763" s="17"/>
      <c r="Q3763" s="17"/>
      <c r="R3763" s="17"/>
      <c r="S3763" s="17"/>
      <c r="T3763" s="17"/>
      <c r="U3763" s="17"/>
      <c r="V3763" s="18">
        <v>0</v>
      </c>
      <c r="W3763" s="17">
        <f t="shared" si="118"/>
        <v>0</v>
      </c>
      <c r="X3763" s="5">
        <f t="shared" si="119"/>
        <v>0</v>
      </c>
    </row>
    <row r="3764" spans="1:24" x14ac:dyDescent="0.25">
      <c r="A3764" s="17"/>
      <c r="B3764" s="17"/>
      <c r="C3764" s="17"/>
      <c r="D3764" s="17"/>
      <c r="E3764" s="17"/>
      <c r="F3764" s="17"/>
      <c r="G3764" s="17"/>
      <c r="H3764" s="17"/>
      <c r="I3764" s="17"/>
      <c r="J3764" s="17"/>
      <c r="K3764" s="17"/>
      <c r="L3764" s="17"/>
      <c r="M3764" s="17"/>
      <c r="N3764" s="17"/>
      <c r="O3764" s="17"/>
      <c r="P3764" s="17"/>
      <c r="Q3764" s="17"/>
      <c r="R3764" s="17"/>
      <c r="S3764" s="17"/>
      <c r="T3764" s="17"/>
      <c r="U3764" s="17"/>
      <c r="V3764" s="18">
        <v>0</v>
      </c>
      <c r="W3764" s="17">
        <f t="shared" si="118"/>
        <v>0</v>
      </c>
      <c r="X3764" s="5">
        <f t="shared" si="119"/>
        <v>0</v>
      </c>
    </row>
    <row r="3765" spans="1:24" x14ac:dyDescent="0.25">
      <c r="A3765" s="17"/>
      <c r="B3765" s="17"/>
      <c r="C3765" s="17"/>
      <c r="D3765" s="17"/>
      <c r="E3765" s="17"/>
      <c r="F3765" s="17"/>
      <c r="G3765" s="17"/>
      <c r="H3765" s="17"/>
      <c r="I3765" s="17"/>
      <c r="J3765" s="17"/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/>
      <c r="V3765" s="18">
        <v>0</v>
      </c>
      <c r="W3765" s="17">
        <f t="shared" si="118"/>
        <v>0</v>
      </c>
      <c r="X3765" s="5">
        <f t="shared" si="119"/>
        <v>0</v>
      </c>
    </row>
    <row r="3766" spans="1:24" x14ac:dyDescent="0.25">
      <c r="A3766" s="17"/>
      <c r="B3766" s="17"/>
      <c r="C3766" s="17"/>
      <c r="D3766" s="17"/>
      <c r="E3766" s="17"/>
      <c r="F3766" s="17"/>
      <c r="G3766" s="17"/>
      <c r="H3766" s="17"/>
      <c r="I3766" s="17"/>
      <c r="J3766" s="17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8">
        <v>0</v>
      </c>
      <c r="W3766" s="17">
        <f t="shared" si="118"/>
        <v>0</v>
      </c>
      <c r="X3766" s="5">
        <f t="shared" si="119"/>
        <v>0</v>
      </c>
    </row>
    <row r="3767" spans="1:24" x14ac:dyDescent="0.25">
      <c r="A3767" s="17"/>
      <c r="B3767" s="17"/>
      <c r="C3767" s="17"/>
      <c r="D3767" s="17"/>
      <c r="E3767" s="17"/>
      <c r="F3767" s="17"/>
      <c r="G3767" s="17"/>
      <c r="H3767" s="17"/>
      <c r="I3767" s="17"/>
      <c r="J3767" s="17"/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/>
      <c r="V3767" s="18">
        <v>0</v>
      </c>
      <c r="W3767" s="17">
        <f t="shared" si="118"/>
        <v>0</v>
      </c>
      <c r="X3767" s="5">
        <f t="shared" si="119"/>
        <v>0</v>
      </c>
    </row>
    <row r="3768" spans="1:24" x14ac:dyDescent="0.25">
      <c r="A3768" s="17"/>
      <c r="B3768" s="17"/>
      <c r="C3768" s="17"/>
      <c r="D3768" s="17"/>
      <c r="E3768" s="17"/>
      <c r="F3768" s="17"/>
      <c r="G3768" s="17"/>
      <c r="H3768" s="17"/>
      <c r="I3768" s="17"/>
      <c r="J3768" s="17"/>
      <c r="K3768" s="17"/>
      <c r="L3768" s="17"/>
      <c r="M3768" s="17"/>
      <c r="N3768" s="17"/>
      <c r="O3768" s="17"/>
      <c r="P3768" s="17"/>
      <c r="Q3768" s="17"/>
      <c r="R3768" s="17"/>
      <c r="S3768" s="17"/>
      <c r="T3768" s="17"/>
      <c r="U3768" s="17"/>
      <c r="V3768" s="18">
        <v>0</v>
      </c>
      <c r="W3768" s="17">
        <f t="shared" si="118"/>
        <v>0</v>
      </c>
      <c r="X3768" s="5">
        <f t="shared" si="119"/>
        <v>0</v>
      </c>
    </row>
    <row r="3769" spans="1:24" x14ac:dyDescent="0.25">
      <c r="A3769" s="17"/>
      <c r="B3769" s="17"/>
      <c r="C3769" s="17"/>
      <c r="D3769" s="17"/>
      <c r="E3769" s="17"/>
      <c r="F3769" s="17"/>
      <c r="G3769" s="17"/>
      <c r="H3769" s="17"/>
      <c r="I3769" s="17"/>
      <c r="J3769" s="17"/>
      <c r="K3769" s="17"/>
      <c r="L3769" s="17"/>
      <c r="M3769" s="17"/>
      <c r="N3769" s="17"/>
      <c r="O3769" s="17"/>
      <c r="P3769" s="17"/>
      <c r="Q3769" s="17"/>
      <c r="R3769" s="17"/>
      <c r="S3769" s="17"/>
      <c r="T3769" s="17"/>
      <c r="U3769" s="17"/>
      <c r="V3769" s="18">
        <v>0</v>
      </c>
      <c r="W3769" s="17">
        <f t="shared" si="118"/>
        <v>0</v>
      </c>
      <c r="X3769" s="5">
        <f t="shared" si="119"/>
        <v>0</v>
      </c>
    </row>
    <row r="3770" spans="1:24" x14ac:dyDescent="0.25">
      <c r="A3770" s="17"/>
      <c r="B3770" s="17"/>
      <c r="C3770" s="17"/>
      <c r="D3770" s="17"/>
      <c r="E3770" s="17"/>
      <c r="F3770" s="17"/>
      <c r="G3770" s="17"/>
      <c r="H3770" s="17"/>
      <c r="I3770" s="17"/>
      <c r="J3770" s="17"/>
      <c r="K3770" s="17"/>
      <c r="L3770" s="17"/>
      <c r="M3770" s="17"/>
      <c r="N3770" s="17"/>
      <c r="O3770" s="17"/>
      <c r="P3770" s="17"/>
      <c r="Q3770" s="17"/>
      <c r="R3770" s="17"/>
      <c r="S3770" s="17"/>
      <c r="T3770" s="17"/>
      <c r="U3770" s="17"/>
      <c r="V3770" s="18">
        <v>0</v>
      </c>
      <c r="W3770" s="17">
        <f t="shared" si="118"/>
        <v>0</v>
      </c>
      <c r="X3770" s="5">
        <f t="shared" si="119"/>
        <v>0</v>
      </c>
    </row>
    <row r="3771" spans="1:24" x14ac:dyDescent="0.25">
      <c r="A3771" s="17"/>
      <c r="B3771" s="17"/>
      <c r="C3771" s="17"/>
      <c r="D3771" s="17"/>
      <c r="E3771" s="17"/>
      <c r="F3771" s="17"/>
      <c r="G3771" s="17"/>
      <c r="H3771" s="17"/>
      <c r="I3771" s="17"/>
      <c r="J3771" s="17"/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/>
      <c r="V3771" s="18">
        <v>0</v>
      </c>
      <c r="W3771" s="17">
        <f t="shared" si="118"/>
        <v>0</v>
      </c>
      <c r="X3771" s="5">
        <f t="shared" si="119"/>
        <v>0</v>
      </c>
    </row>
    <row r="3772" spans="1:24" x14ac:dyDescent="0.25">
      <c r="A3772" s="17"/>
      <c r="B3772" s="17"/>
      <c r="C3772" s="17"/>
      <c r="D3772" s="17"/>
      <c r="E3772" s="17"/>
      <c r="F3772" s="17"/>
      <c r="G3772" s="17"/>
      <c r="H3772" s="17"/>
      <c r="I3772" s="17"/>
      <c r="J3772" s="17"/>
      <c r="K3772" s="17"/>
      <c r="L3772" s="17"/>
      <c r="M3772" s="17"/>
      <c r="N3772" s="17"/>
      <c r="O3772" s="17"/>
      <c r="P3772" s="17"/>
      <c r="Q3772" s="17"/>
      <c r="R3772" s="17"/>
      <c r="S3772" s="17"/>
      <c r="T3772" s="17"/>
      <c r="U3772" s="17"/>
      <c r="V3772" s="18">
        <v>0</v>
      </c>
      <c r="W3772" s="17">
        <f t="shared" si="118"/>
        <v>0</v>
      </c>
      <c r="X3772" s="5">
        <f t="shared" si="119"/>
        <v>0</v>
      </c>
    </row>
    <row r="3773" spans="1:24" x14ac:dyDescent="0.25">
      <c r="A3773" s="17"/>
      <c r="B3773" s="17"/>
      <c r="C3773" s="17"/>
      <c r="D3773" s="17"/>
      <c r="E3773" s="17"/>
      <c r="F3773" s="17"/>
      <c r="G3773" s="17"/>
      <c r="H3773" s="17"/>
      <c r="I3773" s="17"/>
      <c r="J3773" s="17"/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/>
      <c r="V3773" s="18">
        <v>0</v>
      </c>
      <c r="W3773" s="17">
        <f t="shared" si="118"/>
        <v>0</v>
      </c>
      <c r="X3773" s="5">
        <f t="shared" si="119"/>
        <v>0</v>
      </c>
    </row>
    <row r="3774" spans="1:24" x14ac:dyDescent="0.25">
      <c r="A3774" s="17"/>
      <c r="B3774" s="17"/>
      <c r="C3774" s="17"/>
      <c r="D3774" s="17"/>
      <c r="E3774" s="17"/>
      <c r="F3774" s="17"/>
      <c r="G3774" s="17"/>
      <c r="H3774" s="17"/>
      <c r="I3774" s="17"/>
      <c r="J3774" s="17"/>
      <c r="K3774" s="17"/>
      <c r="L3774" s="17"/>
      <c r="M3774" s="17"/>
      <c r="N3774" s="17"/>
      <c r="O3774" s="17"/>
      <c r="P3774" s="17"/>
      <c r="Q3774" s="17"/>
      <c r="R3774" s="17"/>
      <c r="S3774" s="17"/>
      <c r="T3774" s="17"/>
      <c r="U3774" s="17"/>
      <c r="V3774" s="18">
        <v>0</v>
      </c>
      <c r="W3774" s="17">
        <f t="shared" si="118"/>
        <v>0</v>
      </c>
      <c r="X3774" s="5">
        <f t="shared" si="119"/>
        <v>0</v>
      </c>
    </row>
    <row r="3775" spans="1:24" x14ac:dyDescent="0.25">
      <c r="A3775" s="17"/>
      <c r="B3775" s="17"/>
      <c r="C3775" s="17"/>
      <c r="D3775" s="17"/>
      <c r="E3775" s="17"/>
      <c r="F3775" s="17"/>
      <c r="G3775" s="17"/>
      <c r="H3775" s="17"/>
      <c r="I3775" s="17"/>
      <c r="J3775" s="17"/>
      <c r="K3775" s="17"/>
      <c r="L3775" s="17"/>
      <c r="M3775" s="17"/>
      <c r="N3775" s="17"/>
      <c r="O3775" s="17"/>
      <c r="P3775" s="17"/>
      <c r="Q3775" s="17"/>
      <c r="R3775" s="17"/>
      <c r="S3775" s="17"/>
      <c r="T3775" s="17"/>
      <c r="U3775" s="17"/>
      <c r="V3775" s="18">
        <v>0</v>
      </c>
      <c r="W3775" s="17">
        <f t="shared" si="118"/>
        <v>0</v>
      </c>
      <c r="X3775" s="5">
        <f t="shared" si="119"/>
        <v>0</v>
      </c>
    </row>
    <row r="3776" spans="1:24" x14ac:dyDescent="0.25">
      <c r="A3776" s="17"/>
      <c r="B3776" s="17"/>
      <c r="C3776" s="17"/>
      <c r="D3776" s="17"/>
      <c r="E3776" s="17"/>
      <c r="F3776" s="17"/>
      <c r="G3776" s="17"/>
      <c r="H3776" s="17"/>
      <c r="I3776" s="17"/>
      <c r="J3776" s="17"/>
      <c r="K3776" s="17"/>
      <c r="L3776" s="17"/>
      <c r="M3776" s="17"/>
      <c r="N3776" s="17"/>
      <c r="O3776" s="17"/>
      <c r="P3776" s="17"/>
      <c r="Q3776" s="17"/>
      <c r="R3776" s="17"/>
      <c r="S3776" s="17"/>
      <c r="T3776" s="17"/>
      <c r="U3776" s="17"/>
      <c r="V3776" s="18">
        <v>0</v>
      </c>
      <c r="W3776" s="17">
        <f t="shared" si="118"/>
        <v>0</v>
      </c>
      <c r="X3776" s="5">
        <f t="shared" si="119"/>
        <v>0</v>
      </c>
    </row>
    <row r="3777" spans="1:24" x14ac:dyDescent="0.25">
      <c r="A3777" s="17"/>
      <c r="B3777" s="17"/>
      <c r="C3777" s="17"/>
      <c r="D3777" s="17"/>
      <c r="E3777" s="17"/>
      <c r="F3777" s="17"/>
      <c r="G3777" s="17"/>
      <c r="H3777" s="17"/>
      <c r="I3777" s="17"/>
      <c r="J3777" s="17"/>
      <c r="K3777" s="17"/>
      <c r="L3777" s="17"/>
      <c r="M3777" s="17"/>
      <c r="N3777" s="17"/>
      <c r="O3777" s="17"/>
      <c r="P3777" s="17"/>
      <c r="Q3777" s="17"/>
      <c r="R3777" s="17"/>
      <c r="S3777" s="17"/>
      <c r="T3777" s="17"/>
      <c r="U3777" s="17"/>
      <c r="V3777" s="18">
        <v>0</v>
      </c>
      <c r="W3777" s="17">
        <f t="shared" si="118"/>
        <v>0</v>
      </c>
      <c r="X3777" s="5">
        <f t="shared" si="119"/>
        <v>0</v>
      </c>
    </row>
    <row r="3778" spans="1:24" x14ac:dyDescent="0.25">
      <c r="A3778" s="17"/>
      <c r="B3778" s="17"/>
      <c r="C3778" s="17"/>
      <c r="D3778" s="17"/>
      <c r="E3778" s="17"/>
      <c r="F3778" s="17"/>
      <c r="G3778" s="17"/>
      <c r="H3778" s="17"/>
      <c r="I3778" s="17"/>
      <c r="J3778" s="17"/>
      <c r="K3778" s="17"/>
      <c r="L3778" s="17"/>
      <c r="M3778" s="17"/>
      <c r="N3778" s="17"/>
      <c r="O3778" s="17"/>
      <c r="P3778" s="17"/>
      <c r="Q3778" s="17"/>
      <c r="R3778" s="17"/>
      <c r="S3778" s="17"/>
      <c r="T3778" s="17"/>
      <c r="U3778" s="17"/>
      <c r="V3778" s="18">
        <v>0</v>
      </c>
      <c r="W3778" s="17">
        <f t="shared" si="118"/>
        <v>0</v>
      </c>
      <c r="X3778" s="5">
        <f t="shared" si="119"/>
        <v>0</v>
      </c>
    </row>
    <row r="3779" spans="1:24" x14ac:dyDescent="0.25">
      <c r="A3779" s="17"/>
      <c r="B3779" s="17"/>
      <c r="C3779" s="17"/>
      <c r="D3779" s="17"/>
      <c r="E3779" s="17"/>
      <c r="F3779" s="17"/>
      <c r="G3779" s="17"/>
      <c r="H3779" s="17"/>
      <c r="I3779" s="17"/>
      <c r="J3779" s="17"/>
      <c r="K3779" s="17"/>
      <c r="L3779" s="17"/>
      <c r="M3779" s="17"/>
      <c r="N3779" s="17"/>
      <c r="O3779" s="17"/>
      <c r="P3779" s="17"/>
      <c r="Q3779" s="17"/>
      <c r="R3779" s="17"/>
      <c r="S3779" s="17"/>
      <c r="T3779" s="17"/>
      <c r="U3779" s="17"/>
      <c r="V3779" s="18">
        <v>0</v>
      </c>
      <c r="W3779" s="17">
        <f t="shared" ref="W3779:W3842" si="120">HOUR(E3779)</f>
        <v>0</v>
      </c>
      <c r="X3779" s="5">
        <f t="shared" ref="X3779:X3842" si="121">IF(D3779=D3778,0,1)</f>
        <v>0</v>
      </c>
    </row>
    <row r="3780" spans="1:24" x14ac:dyDescent="0.25">
      <c r="A3780" s="17"/>
      <c r="B3780" s="17"/>
      <c r="C3780" s="17"/>
      <c r="D3780" s="17"/>
      <c r="E3780" s="17"/>
      <c r="F3780" s="17"/>
      <c r="G3780" s="17"/>
      <c r="H3780" s="17"/>
      <c r="I3780" s="17"/>
      <c r="J3780" s="17"/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/>
      <c r="V3780" s="18">
        <v>0</v>
      </c>
      <c r="W3780" s="17">
        <f t="shared" si="120"/>
        <v>0</v>
      </c>
      <c r="X3780" s="5">
        <f t="shared" si="121"/>
        <v>0</v>
      </c>
    </row>
    <row r="3781" spans="1:24" x14ac:dyDescent="0.25">
      <c r="A3781" s="17"/>
      <c r="B3781" s="17"/>
      <c r="C3781" s="17"/>
      <c r="D3781" s="17"/>
      <c r="E3781" s="17"/>
      <c r="F3781" s="17"/>
      <c r="G3781" s="17"/>
      <c r="H3781" s="17"/>
      <c r="I3781" s="17"/>
      <c r="J3781" s="17"/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/>
      <c r="V3781" s="18">
        <v>0</v>
      </c>
      <c r="W3781" s="17">
        <f t="shared" si="120"/>
        <v>0</v>
      </c>
      <c r="X3781" s="5">
        <f t="shared" si="121"/>
        <v>0</v>
      </c>
    </row>
    <row r="3782" spans="1:24" x14ac:dyDescent="0.25">
      <c r="A3782" s="17"/>
      <c r="B3782" s="17"/>
      <c r="C3782" s="17"/>
      <c r="D3782" s="17"/>
      <c r="E3782" s="17"/>
      <c r="F3782" s="17"/>
      <c r="G3782" s="17"/>
      <c r="H3782" s="17"/>
      <c r="I3782" s="17"/>
      <c r="J3782" s="17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8">
        <v>0</v>
      </c>
      <c r="W3782" s="17">
        <f t="shared" si="120"/>
        <v>0</v>
      </c>
      <c r="X3782" s="5">
        <f t="shared" si="121"/>
        <v>0</v>
      </c>
    </row>
    <row r="3783" spans="1:24" x14ac:dyDescent="0.25">
      <c r="A3783" s="17"/>
      <c r="B3783" s="17"/>
      <c r="C3783" s="17"/>
      <c r="D3783" s="17"/>
      <c r="E3783" s="17"/>
      <c r="F3783" s="17"/>
      <c r="G3783" s="17"/>
      <c r="H3783" s="17"/>
      <c r="I3783" s="17"/>
      <c r="J3783" s="17"/>
      <c r="K3783" s="17"/>
      <c r="L3783" s="17"/>
      <c r="M3783" s="17"/>
      <c r="N3783" s="17"/>
      <c r="O3783" s="17"/>
      <c r="P3783" s="17"/>
      <c r="Q3783" s="17"/>
      <c r="R3783" s="17"/>
      <c r="S3783" s="17"/>
      <c r="T3783" s="17"/>
      <c r="U3783" s="17"/>
      <c r="V3783" s="18">
        <v>0</v>
      </c>
      <c r="W3783" s="17">
        <f t="shared" si="120"/>
        <v>0</v>
      </c>
      <c r="X3783" s="5">
        <f t="shared" si="121"/>
        <v>0</v>
      </c>
    </row>
    <row r="3784" spans="1:24" x14ac:dyDescent="0.25">
      <c r="A3784" s="17"/>
      <c r="B3784" s="17"/>
      <c r="C3784" s="17"/>
      <c r="D3784" s="17"/>
      <c r="E3784" s="17"/>
      <c r="F3784" s="17"/>
      <c r="G3784" s="17"/>
      <c r="H3784" s="17"/>
      <c r="I3784" s="17"/>
      <c r="J3784" s="17"/>
      <c r="K3784" s="17"/>
      <c r="L3784" s="17"/>
      <c r="M3784" s="17"/>
      <c r="N3784" s="17"/>
      <c r="O3784" s="17"/>
      <c r="P3784" s="17"/>
      <c r="Q3784" s="17"/>
      <c r="R3784" s="17"/>
      <c r="S3784" s="17"/>
      <c r="T3784" s="17"/>
      <c r="U3784" s="17"/>
      <c r="V3784" s="18">
        <v>0</v>
      </c>
      <c r="W3784" s="17">
        <f t="shared" si="120"/>
        <v>0</v>
      </c>
      <c r="X3784" s="5">
        <f t="shared" si="121"/>
        <v>0</v>
      </c>
    </row>
    <row r="3785" spans="1:24" x14ac:dyDescent="0.25">
      <c r="A3785" s="17"/>
      <c r="B3785" s="17"/>
      <c r="C3785" s="17"/>
      <c r="D3785" s="17"/>
      <c r="E3785" s="17"/>
      <c r="F3785" s="17"/>
      <c r="G3785" s="17"/>
      <c r="H3785" s="17"/>
      <c r="I3785" s="17"/>
      <c r="J3785" s="17"/>
      <c r="K3785" s="17"/>
      <c r="L3785" s="17"/>
      <c r="M3785" s="17"/>
      <c r="N3785" s="17"/>
      <c r="O3785" s="17"/>
      <c r="P3785" s="17"/>
      <c r="Q3785" s="17"/>
      <c r="R3785" s="17"/>
      <c r="S3785" s="17"/>
      <c r="T3785" s="17"/>
      <c r="U3785" s="17"/>
      <c r="V3785" s="18">
        <v>0</v>
      </c>
      <c r="W3785" s="17">
        <f t="shared" si="120"/>
        <v>0</v>
      </c>
      <c r="X3785" s="5">
        <f t="shared" si="121"/>
        <v>0</v>
      </c>
    </row>
    <row r="3786" spans="1:24" x14ac:dyDescent="0.25">
      <c r="A3786" s="17"/>
      <c r="B3786" s="17"/>
      <c r="C3786" s="17"/>
      <c r="D3786" s="17"/>
      <c r="E3786" s="17"/>
      <c r="F3786" s="17"/>
      <c r="G3786" s="17"/>
      <c r="H3786" s="17"/>
      <c r="I3786" s="17"/>
      <c r="J3786" s="17"/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/>
      <c r="V3786" s="18">
        <v>0</v>
      </c>
      <c r="W3786" s="17">
        <f t="shared" si="120"/>
        <v>0</v>
      </c>
      <c r="X3786" s="5">
        <f t="shared" si="121"/>
        <v>0</v>
      </c>
    </row>
    <row r="3787" spans="1:24" x14ac:dyDescent="0.25">
      <c r="A3787" s="17"/>
      <c r="B3787" s="17"/>
      <c r="C3787" s="17"/>
      <c r="D3787" s="17"/>
      <c r="E3787" s="17"/>
      <c r="F3787" s="17"/>
      <c r="G3787" s="17"/>
      <c r="H3787" s="17"/>
      <c r="I3787" s="17"/>
      <c r="J3787" s="17"/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/>
      <c r="V3787" s="18">
        <v>0</v>
      </c>
      <c r="W3787" s="17">
        <f t="shared" si="120"/>
        <v>0</v>
      </c>
      <c r="X3787" s="5">
        <f t="shared" si="121"/>
        <v>0</v>
      </c>
    </row>
    <row r="3788" spans="1:24" x14ac:dyDescent="0.25">
      <c r="A3788" s="17"/>
      <c r="B3788" s="17"/>
      <c r="C3788" s="17"/>
      <c r="D3788" s="17"/>
      <c r="E3788" s="17"/>
      <c r="F3788" s="17"/>
      <c r="G3788" s="17"/>
      <c r="H3788" s="17"/>
      <c r="I3788" s="17"/>
      <c r="J3788" s="17"/>
      <c r="K3788" s="17"/>
      <c r="L3788" s="17"/>
      <c r="M3788" s="17"/>
      <c r="N3788" s="17"/>
      <c r="O3788" s="17"/>
      <c r="P3788" s="17"/>
      <c r="Q3788" s="17"/>
      <c r="R3788" s="17"/>
      <c r="S3788" s="17"/>
      <c r="T3788" s="17"/>
      <c r="U3788" s="17"/>
      <c r="V3788" s="18">
        <v>0</v>
      </c>
      <c r="W3788" s="17">
        <f t="shared" si="120"/>
        <v>0</v>
      </c>
      <c r="X3788" s="5">
        <f t="shared" si="121"/>
        <v>0</v>
      </c>
    </row>
    <row r="3789" spans="1:24" x14ac:dyDescent="0.25">
      <c r="A3789" s="17"/>
      <c r="B3789" s="17"/>
      <c r="C3789" s="17"/>
      <c r="D3789" s="17"/>
      <c r="E3789" s="17"/>
      <c r="F3789" s="17"/>
      <c r="G3789" s="17"/>
      <c r="H3789" s="17"/>
      <c r="I3789" s="17"/>
      <c r="J3789" s="17"/>
      <c r="K3789" s="17"/>
      <c r="L3789" s="17"/>
      <c r="M3789" s="17"/>
      <c r="N3789" s="17"/>
      <c r="O3789" s="17"/>
      <c r="P3789" s="17"/>
      <c r="Q3789" s="17"/>
      <c r="R3789" s="17"/>
      <c r="S3789" s="17"/>
      <c r="T3789" s="17"/>
      <c r="U3789" s="17"/>
      <c r="V3789" s="18">
        <v>0</v>
      </c>
      <c r="W3789" s="17">
        <f t="shared" si="120"/>
        <v>0</v>
      </c>
      <c r="X3789" s="5">
        <f t="shared" si="121"/>
        <v>0</v>
      </c>
    </row>
    <row r="3790" spans="1:24" x14ac:dyDescent="0.25">
      <c r="A3790" s="17"/>
      <c r="B3790" s="17"/>
      <c r="C3790" s="17"/>
      <c r="D3790" s="17"/>
      <c r="E3790" s="17"/>
      <c r="F3790" s="17"/>
      <c r="G3790" s="17"/>
      <c r="H3790" s="17"/>
      <c r="I3790" s="17"/>
      <c r="J3790" s="17"/>
      <c r="K3790" s="17"/>
      <c r="L3790" s="17"/>
      <c r="M3790" s="17"/>
      <c r="N3790" s="17"/>
      <c r="O3790" s="17"/>
      <c r="P3790" s="17"/>
      <c r="Q3790" s="17"/>
      <c r="R3790" s="17"/>
      <c r="S3790" s="17"/>
      <c r="T3790" s="17"/>
      <c r="U3790" s="17"/>
      <c r="V3790" s="18">
        <v>0</v>
      </c>
      <c r="W3790" s="17">
        <f t="shared" si="120"/>
        <v>0</v>
      </c>
      <c r="X3790" s="5">
        <f t="shared" si="121"/>
        <v>0</v>
      </c>
    </row>
    <row r="3791" spans="1:24" x14ac:dyDescent="0.25">
      <c r="A3791" s="17"/>
      <c r="B3791" s="17"/>
      <c r="C3791" s="17"/>
      <c r="D3791" s="17"/>
      <c r="E3791" s="17"/>
      <c r="F3791" s="17"/>
      <c r="G3791" s="17"/>
      <c r="H3791" s="17"/>
      <c r="I3791" s="17"/>
      <c r="J3791" s="17"/>
      <c r="K3791" s="17"/>
      <c r="L3791" s="17"/>
      <c r="M3791" s="17"/>
      <c r="N3791" s="17"/>
      <c r="O3791" s="17"/>
      <c r="P3791" s="17"/>
      <c r="Q3791" s="17"/>
      <c r="R3791" s="17"/>
      <c r="S3791" s="17"/>
      <c r="T3791" s="17"/>
      <c r="U3791" s="17"/>
      <c r="V3791" s="18">
        <v>0</v>
      </c>
      <c r="W3791" s="17">
        <f t="shared" si="120"/>
        <v>0</v>
      </c>
      <c r="X3791" s="5">
        <f t="shared" si="121"/>
        <v>0</v>
      </c>
    </row>
    <row r="3792" spans="1:24" x14ac:dyDescent="0.25">
      <c r="A3792" s="17"/>
      <c r="B3792" s="17"/>
      <c r="C3792" s="17"/>
      <c r="D3792" s="17"/>
      <c r="E3792" s="17"/>
      <c r="F3792" s="17"/>
      <c r="G3792" s="17"/>
      <c r="H3792" s="17"/>
      <c r="I3792" s="17"/>
      <c r="J3792" s="17"/>
      <c r="K3792" s="17"/>
      <c r="L3792" s="17"/>
      <c r="M3792" s="17"/>
      <c r="N3792" s="17"/>
      <c r="O3792" s="17"/>
      <c r="P3792" s="17"/>
      <c r="Q3792" s="17"/>
      <c r="R3792" s="17"/>
      <c r="S3792" s="17"/>
      <c r="T3792" s="17"/>
      <c r="U3792" s="17"/>
      <c r="V3792" s="18">
        <v>0</v>
      </c>
      <c r="W3792" s="17">
        <f t="shared" si="120"/>
        <v>0</v>
      </c>
      <c r="X3792" s="5">
        <f t="shared" si="121"/>
        <v>0</v>
      </c>
    </row>
    <row r="3793" spans="1:24" x14ac:dyDescent="0.25">
      <c r="A3793" s="17"/>
      <c r="B3793" s="17"/>
      <c r="C3793" s="17"/>
      <c r="D3793" s="17"/>
      <c r="E3793" s="17"/>
      <c r="F3793" s="17"/>
      <c r="G3793" s="17"/>
      <c r="H3793" s="17"/>
      <c r="I3793" s="17"/>
      <c r="J3793" s="17"/>
      <c r="K3793" s="17"/>
      <c r="L3793" s="17"/>
      <c r="M3793" s="17"/>
      <c r="N3793" s="17"/>
      <c r="O3793" s="17"/>
      <c r="P3793" s="17"/>
      <c r="Q3793" s="17"/>
      <c r="R3793" s="17"/>
      <c r="S3793" s="17"/>
      <c r="T3793" s="17"/>
      <c r="U3793" s="17"/>
      <c r="V3793" s="18">
        <v>0</v>
      </c>
      <c r="W3793" s="17">
        <f t="shared" si="120"/>
        <v>0</v>
      </c>
      <c r="X3793" s="5">
        <f t="shared" si="121"/>
        <v>0</v>
      </c>
    </row>
    <row r="3794" spans="1:24" x14ac:dyDescent="0.25">
      <c r="A3794" s="17"/>
      <c r="B3794" s="17"/>
      <c r="C3794" s="17"/>
      <c r="D3794" s="17"/>
      <c r="E3794" s="17"/>
      <c r="F3794" s="17"/>
      <c r="G3794" s="17"/>
      <c r="H3794" s="17"/>
      <c r="I3794" s="17"/>
      <c r="J3794" s="17"/>
      <c r="K3794" s="17"/>
      <c r="L3794" s="17"/>
      <c r="M3794" s="17"/>
      <c r="N3794" s="17"/>
      <c r="O3794" s="17"/>
      <c r="P3794" s="17"/>
      <c r="Q3794" s="17"/>
      <c r="R3794" s="17"/>
      <c r="S3794" s="17"/>
      <c r="T3794" s="17"/>
      <c r="U3794" s="17"/>
      <c r="V3794" s="18">
        <v>0</v>
      </c>
      <c r="W3794" s="17">
        <f t="shared" si="120"/>
        <v>0</v>
      </c>
      <c r="X3794" s="5">
        <f t="shared" si="121"/>
        <v>0</v>
      </c>
    </row>
    <row r="3795" spans="1:24" x14ac:dyDescent="0.25">
      <c r="A3795" s="17"/>
      <c r="B3795" s="17"/>
      <c r="C3795" s="17"/>
      <c r="D3795" s="17"/>
      <c r="E3795" s="17"/>
      <c r="F3795" s="17"/>
      <c r="G3795" s="17"/>
      <c r="H3795" s="17"/>
      <c r="I3795" s="17"/>
      <c r="J3795" s="17"/>
      <c r="K3795" s="17"/>
      <c r="L3795" s="17"/>
      <c r="M3795" s="17"/>
      <c r="N3795" s="17"/>
      <c r="O3795" s="17"/>
      <c r="P3795" s="17"/>
      <c r="Q3795" s="17"/>
      <c r="R3795" s="17"/>
      <c r="S3795" s="17"/>
      <c r="T3795" s="17"/>
      <c r="U3795" s="17"/>
      <c r="V3795" s="18">
        <v>0</v>
      </c>
      <c r="W3795" s="17">
        <f t="shared" si="120"/>
        <v>0</v>
      </c>
      <c r="X3795" s="5">
        <f t="shared" si="121"/>
        <v>0</v>
      </c>
    </row>
    <row r="3796" spans="1:24" x14ac:dyDescent="0.25">
      <c r="A3796" s="17"/>
      <c r="B3796" s="17"/>
      <c r="C3796" s="17"/>
      <c r="D3796" s="17"/>
      <c r="E3796" s="17"/>
      <c r="F3796" s="17"/>
      <c r="G3796" s="17"/>
      <c r="H3796" s="17"/>
      <c r="I3796" s="17"/>
      <c r="J3796" s="17"/>
      <c r="K3796" s="17"/>
      <c r="L3796" s="17"/>
      <c r="M3796" s="17"/>
      <c r="N3796" s="17"/>
      <c r="O3796" s="17"/>
      <c r="P3796" s="17"/>
      <c r="Q3796" s="17"/>
      <c r="R3796" s="17"/>
      <c r="S3796" s="17"/>
      <c r="T3796" s="17"/>
      <c r="U3796" s="17"/>
      <c r="V3796" s="18">
        <v>0</v>
      </c>
      <c r="W3796" s="17">
        <f t="shared" si="120"/>
        <v>0</v>
      </c>
      <c r="X3796" s="5">
        <f t="shared" si="121"/>
        <v>0</v>
      </c>
    </row>
    <row r="3797" spans="1:24" x14ac:dyDescent="0.25">
      <c r="A3797" s="17"/>
      <c r="B3797" s="17"/>
      <c r="C3797" s="17"/>
      <c r="D3797" s="17"/>
      <c r="E3797" s="17"/>
      <c r="F3797" s="17"/>
      <c r="G3797" s="17"/>
      <c r="H3797" s="17"/>
      <c r="I3797" s="17"/>
      <c r="J3797" s="17"/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/>
      <c r="V3797" s="18">
        <v>0</v>
      </c>
      <c r="W3797" s="17">
        <f t="shared" si="120"/>
        <v>0</v>
      </c>
      <c r="X3797" s="5">
        <f t="shared" si="121"/>
        <v>0</v>
      </c>
    </row>
    <row r="3798" spans="1:24" x14ac:dyDescent="0.25">
      <c r="A3798" s="17"/>
      <c r="B3798" s="17"/>
      <c r="C3798" s="17"/>
      <c r="D3798" s="17"/>
      <c r="E3798" s="17"/>
      <c r="F3798" s="17"/>
      <c r="G3798" s="17"/>
      <c r="H3798" s="17"/>
      <c r="I3798" s="17"/>
      <c r="J3798" s="17"/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/>
      <c r="V3798" s="18">
        <v>0</v>
      </c>
      <c r="W3798" s="17">
        <f t="shared" si="120"/>
        <v>0</v>
      </c>
      <c r="X3798" s="5">
        <f t="shared" si="121"/>
        <v>0</v>
      </c>
    </row>
    <row r="3799" spans="1:24" x14ac:dyDescent="0.25">
      <c r="A3799" s="17"/>
      <c r="B3799" s="17"/>
      <c r="C3799" s="17"/>
      <c r="D3799" s="17"/>
      <c r="E3799" s="17"/>
      <c r="F3799" s="17"/>
      <c r="G3799" s="17"/>
      <c r="H3799" s="17"/>
      <c r="I3799" s="17"/>
      <c r="J3799" s="17"/>
      <c r="K3799" s="17"/>
      <c r="L3799" s="17"/>
      <c r="M3799" s="17"/>
      <c r="N3799" s="17"/>
      <c r="O3799" s="17"/>
      <c r="P3799" s="17"/>
      <c r="Q3799" s="17"/>
      <c r="R3799" s="17"/>
      <c r="S3799" s="17"/>
      <c r="T3799" s="17"/>
      <c r="U3799" s="17"/>
      <c r="V3799" s="18">
        <v>0</v>
      </c>
      <c r="W3799" s="17">
        <f t="shared" si="120"/>
        <v>0</v>
      </c>
      <c r="X3799" s="5">
        <f t="shared" si="121"/>
        <v>0</v>
      </c>
    </row>
    <row r="3800" spans="1:24" x14ac:dyDescent="0.25">
      <c r="A3800" s="17"/>
      <c r="B3800" s="17"/>
      <c r="C3800" s="17"/>
      <c r="D3800" s="17"/>
      <c r="E3800" s="17"/>
      <c r="F3800" s="17"/>
      <c r="G3800" s="17"/>
      <c r="H3800" s="17"/>
      <c r="I3800" s="17"/>
      <c r="J3800" s="17"/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/>
      <c r="V3800" s="18">
        <v>0</v>
      </c>
      <c r="W3800" s="17">
        <f t="shared" si="120"/>
        <v>0</v>
      </c>
      <c r="X3800" s="5">
        <f t="shared" si="121"/>
        <v>0</v>
      </c>
    </row>
    <row r="3801" spans="1:24" x14ac:dyDescent="0.25">
      <c r="A3801" s="17"/>
      <c r="B3801" s="17"/>
      <c r="C3801" s="17"/>
      <c r="D3801" s="17"/>
      <c r="E3801" s="17"/>
      <c r="F3801" s="17"/>
      <c r="G3801" s="17"/>
      <c r="H3801" s="17"/>
      <c r="I3801" s="17"/>
      <c r="J3801" s="17"/>
      <c r="K3801" s="17"/>
      <c r="L3801" s="17"/>
      <c r="M3801" s="17"/>
      <c r="N3801" s="17"/>
      <c r="O3801" s="17"/>
      <c r="P3801" s="17"/>
      <c r="Q3801" s="17"/>
      <c r="R3801" s="17"/>
      <c r="S3801" s="17"/>
      <c r="T3801" s="17"/>
      <c r="U3801" s="17"/>
      <c r="V3801" s="18">
        <v>0</v>
      </c>
      <c r="W3801" s="17">
        <f t="shared" si="120"/>
        <v>0</v>
      </c>
      <c r="X3801" s="5">
        <f t="shared" si="121"/>
        <v>0</v>
      </c>
    </row>
    <row r="3802" spans="1:24" x14ac:dyDescent="0.25">
      <c r="A3802" s="17"/>
      <c r="B3802" s="17"/>
      <c r="C3802" s="17"/>
      <c r="D3802" s="17"/>
      <c r="E3802" s="17"/>
      <c r="F3802" s="17"/>
      <c r="G3802" s="17"/>
      <c r="H3802" s="17"/>
      <c r="I3802" s="17"/>
      <c r="J3802" s="17"/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/>
      <c r="V3802" s="18">
        <v>0</v>
      </c>
      <c r="W3802" s="17">
        <f t="shared" si="120"/>
        <v>0</v>
      </c>
      <c r="X3802" s="5">
        <f t="shared" si="121"/>
        <v>0</v>
      </c>
    </row>
    <row r="3803" spans="1:24" x14ac:dyDescent="0.25">
      <c r="A3803" s="17"/>
      <c r="B3803" s="17"/>
      <c r="C3803" s="17"/>
      <c r="D3803" s="17"/>
      <c r="E3803" s="17"/>
      <c r="F3803" s="17"/>
      <c r="G3803" s="17"/>
      <c r="H3803" s="17"/>
      <c r="I3803" s="17"/>
      <c r="J3803" s="17"/>
      <c r="K3803" s="17"/>
      <c r="L3803" s="17"/>
      <c r="M3803" s="17"/>
      <c r="N3803" s="17"/>
      <c r="O3803" s="17"/>
      <c r="P3803" s="17"/>
      <c r="Q3803" s="17"/>
      <c r="R3803" s="17"/>
      <c r="S3803" s="17"/>
      <c r="T3803" s="17"/>
      <c r="U3803" s="17"/>
      <c r="V3803" s="18">
        <v>0</v>
      </c>
      <c r="W3803" s="17">
        <f t="shared" si="120"/>
        <v>0</v>
      </c>
      <c r="X3803" s="5">
        <f t="shared" si="121"/>
        <v>0</v>
      </c>
    </row>
    <row r="3804" spans="1:24" x14ac:dyDescent="0.25">
      <c r="A3804" s="17"/>
      <c r="B3804" s="17"/>
      <c r="C3804" s="17"/>
      <c r="D3804" s="17"/>
      <c r="E3804" s="17"/>
      <c r="F3804" s="17"/>
      <c r="G3804" s="17"/>
      <c r="H3804" s="17"/>
      <c r="I3804" s="17"/>
      <c r="J3804" s="17"/>
      <c r="K3804" s="17"/>
      <c r="L3804" s="17"/>
      <c r="M3804" s="17"/>
      <c r="N3804" s="17"/>
      <c r="O3804" s="17"/>
      <c r="P3804" s="17"/>
      <c r="Q3804" s="17"/>
      <c r="R3804" s="17"/>
      <c r="S3804" s="17"/>
      <c r="T3804" s="17"/>
      <c r="U3804" s="17"/>
      <c r="V3804" s="18">
        <v>0</v>
      </c>
      <c r="W3804" s="17">
        <f t="shared" si="120"/>
        <v>0</v>
      </c>
      <c r="X3804" s="5">
        <f t="shared" si="121"/>
        <v>0</v>
      </c>
    </row>
    <row r="3805" spans="1:24" x14ac:dyDescent="0.25">
      <c r="A3805" s="17"/>
      <c r="B3805" s="17"/>
      <c r="C3805" s="17"/>
      <c r="D3805" s="17"/>
      <c r="E3805" s="17"/>
      <c r="F3805" s="17"/>
      <c r="G3805" s="17"/>
      <c r="H3805" s="17"/>
      <c r="I3805" s="17"/>
      <c r="J3805" s="17"/>
      <c r="K3805" s="17"/>
      <c r="L3805" s="17"/>
      <c r="M3805" s="17"/>
      <c r="N3805" s="17"/>
      <c r="O3805" s="17"/>
      <c r="P3805" s="17"/>
      <c r="Q3805" s="17"/>
      <c r="R3805" s="17"/>
      <c r="S3805" s="17"/>
      <c r="T3805" s="17"/>
      <c r="U3805" s="17"/>
      <c r="V3805" s="18">
        <v>0</v>
      </c>
      <c r="W3805" s="17">
        <f t="shared" si="120"/>
        <v>0</v>
      </c>
      <c r="X3805" s="5">
        <f t="shared" si="121"/>
        <v>0</v>
      </c>
    </row>
    <row r="3806" spans="1:24" x14ac:dyDescent="0.25">
      <c r="A3806" s="17"/>
      <c r="B3806" s="17"/>
      <c r="C3806" s="17"/>
      <c r="D3806" s="17"/>
      <c r="E3806" s="17"/>
      <c r="F3806" s="17"/>
      <c r="G3806" s="17"/>
      <c r="H3806" s="17"/>
      <c r="I3806" s="17"/>
      <c r="J3806" s="17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8">
        <v>0</v>
      </c>
      <c r="W3806" s="17">
        <f t="shared" si="120"/>
        <v>0</v>
      </c>
      <c r="X3806" s="5">
        <f t="shared" si="121"/>
        <v>0</v>
      </c>
    </row>
    <row r="3807" spans="1:24" x14ac:dyDescent="0.25">
      <c r="A3807" s="17"/>
      <c r="B3807" s="17"/>
      <c r="C3807" s="17"/>
      <c r="D3807" s="17"/>
      <c r="E3807" s="17"/>
      <c r="F3807" s="17"/>
      <c r="G3807" s="17"/>
      <c r="H3807" s="17"/>
      <c r="I3807" s="17"/>
      <c r="J3807" s="17"/>
      <c r="K3807" s="17"/>
      <c r="L3807" s="17"/>
      <c r="M3807" s="17"/>
      <c r="N3807" s="17"/>
      <c r="O3807" s="17"/>
      <c r="P3807" s="17"/>
      <c r="Q3807" s="17"/>
      <c r="R3807" s="17"/>
      <c r="S3807" s="17"/>
      <c r="T3807" s="17"/>
      <c r="U3807" s="17"/>
      <c r="V3807" s="18">
        <v>0</v>
      </c>
      <c r="W3807" s="17">
        <f t="shared" si="120"/>
        <v>0</v>
      </c>
      <c r="X3807" s="5">
        <f t="shared" si="121"/>
        <v>0</v>
      </c>
    </row>
    <row r="3808" spans="1:24" x14ac:dyDescent="0.25">
      <c r="A3808" s="17"/>
      <c r="B3808" s="17"/>
      <c r="C3808" s="17"/>
      <c r="D3808" s="17"/>
      <c r="E3808" s="17"/>
      <c r="F3808" s="17"/>
      <c r="G3808" s="17"/>
      <c r="H3808" s="17"/>
      <c r="I3808" s="17"/>
      <c r="J3808" s="17"/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/>
      <c r="V3808" s="18">
        <v>0</v>
      </c>
      <c r="W3808" s="17">
        <f t="shared" si="120"/>
        <v>0</v>
      </c>
      <c r="X3808" s="5">
        <f t="shared" si="121"/>
        <v>0</v>
      </c>
    </row>
    <row r="3809" spans="1:24" x14ac:dyDescent="0.25">
      <c r="A3809" s="17"/>
      <c r="B3809" s="17"/>
      <c r="C3809" s="17"/>
      <c r="D3809" s="17"/>
      <c r="E3809" s="17"/>
      <c r="F3809" s="17"/>
      <c r="G3809" s="17"/>
      <c r="H3809" s="17"/>
      <c r="I3809" s="17"/>
      <c r="J3809" s="17"/>
      <c r="K3809" s="17"/>
      <c r="L3809" s="17"/>
      <c r="M3809" s="17"/>
      <c r="N3809" s="17"/>
      <c r="O3809" s="17"/>
      <c r="P3809" s="17"/>
      <c r="Q3809" s="17"/>
      <c r="R3809" s="17"/>
      <c r="S3809" s="17"/>
      <c r="T3809" s="17"/>
      <c r="U3809" s="17"/>
      <c r="V3809" s="18">
        <v>0</v>
      </c>
      <c r="W3809" s="17">
        <f t="shared" si="120"/>
        <v>0</v>
      </c>
      <c r="X3809" s="5">
        <f t="shared" si="121"/>
        <v>0</v>
      </c>
    </row>
    <row r="3810" spans="1:24" x14ac:dyDescent="0.25">
      <c r="A3810" s="17"/>
      <c r="B3810" s="17"/>
      <c r="C3810" s="17"/>
      <c r="D3810" s="17"/>
      <c r="E3810" s="17"/>
      <c r="F3810" s="17"/>
      <c r="G3810" s="17"/>
      <c r="H3810" s="17"/>
      <c r="I3810" s="17"/>
      <c r="J3810" s="17"/>
      <c r="K3810" s="17"/>
      <c r="L3810" s="17"/>
      <c r="M3810" s="17"/>
      <c r="N3810" s="17"/>
      <c r="O3810" s="17"/>
      <c r="P3810" s="17"/>
      <c r="Q3810" s="17"/>
      <c r="R3810" s="17"/>
      <c r="S3810" s="17"/>
      <c r="T3810" s="17"/>
      <c r="U3810" s="17"/>
      <c r="V3810" s="18">
        <v>0</v>
      </c>
      <c r="W3810" s="17">
        <f t="shared" si="120"/>
        <v>0</v>
      </c>
      <c r="X3810" s="5">
        <f t="shared" si="121"/>
        <v>0</v>
      </c>
    </row>
    <row r="3811" spans="1:24" x14ac:dyDescent="0.25">
      <c r="A3811" s="17"/>
      <c r="B3811" s="17"/>
      <c r="C3811" s="17"/>
      <c r="D3811" s="17"/>
      <c r="E3811" s="17"/>
      <c r="F3811" s="17"/>
      <c r="G3811" s="17"/>
      <c r="H3811" s="17"/>
      <c r="I3811" s="17"/>
      <c r="J3811" s="17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8">
        <v>0</v>
      </c>
      <c r="W3811" s="17">
        <f t="shared" si="120"/>
        <v>0</v>
      </c>
      <c r="X3811" s="5">
        <f t="shared" si="121"/>
        <v>0</v>
      </c>
    </row>
    <row r="3812" spans="1:24" x14ac:dyDescent="0.25">
      <c r="A3812" s="17"/>
      <c r="B3812" s="17"/>
      <c r="C3812" s="17"/>
      <c r="D3812" s="17"/>
      <c r="E3812" s="17"/>
      <c r="F3812" s="17"/>
      <c r="G3812" s="17"/>
      <c r="H3812" s="17"/>
      <c r="I3812" s="17"/>
      <c r="J3812" s="17"/>
      <c r="K3812" s="17"/>
      <c r="L3812" s="17"/>
      <c r="M3812" s="17"/>
      <c r="N3812" s="17"/>
      <c r="O3812" s="17"/>
      <c r="P3812" s="17"/>
      <c r="Q3812" s="17"/>
      <c r="R3812" s="17"/>
      <c r="S3812" s="17"/>
      <c r="T3812" s="17"/>
      <c r="U3812" s="17"/>
      <c r="V3812" s="18">
        <v>0</v>
      </c>
      <c r="W3812" s="17">
        <f t="shared" si="120"/>
        <v>0</v>
      </c>
      <c r="X3812" s="5">
        <f t="shared" si="121"/>
        <v>0</v>
      </c>
    </row>
    <row r="3813" spans="1:24" x14ac:dyDescent="0.25">
      <c r="A3813" s="17"/>
      <c r="B3813" s="17"/>
      <c r="C3813" s="17"/>
      <c r="D3813" s="17"/>
      <c r="E3813" s="17"/>
      <c r="F3813" s="17"/>
      <c r="G3813" s="17"/>
      <c r="H3813" s="17"/>
      <c r="I3813" s="17"/>
      <c r="J3813" s="17"/>
      <c r="K3813" s="17"/>
      <c r="L3813" s="17"/>
      <c r="M3813" s="17"/>
      <c r="N3813" s="17"/>
      <c r="O3813" s="17"/>
      <c r="P3813" s="17"/>
      <c r="Q3813" s="17"/>
      <c r="R3813" s="17"/>
      <c r="S3813" s="17"/>
      <c r="T3813" s="17"/>
      <c r="U3813" s="17"/>
      <c r="V3813" s="18">
        <v>0</v>
      </c>
      <c r="W3813" s="17">
        <f t="shared" si="120"/>
        <v>0</v>
      </c>
      <c r="X3813" s="5">
        <f t="shared" si="121"/>
        <v>0</v>
      </c>
    </row>
    <row r="3814" spans="1:24" x14ac:dyDescent="0.25">
      <c r="A3814" s="17"/>
      <c r="B3814" s="17"/>
      <c r="C3814" s="17"/>
      <c r="D3814" s="17"/>
      <c r="E3814" s="17"/>
      <c r="F3814" s="17"/>
      <c r="G3814" s="17"/>
      <c r="H3814" s="17"/>
      <c r="I3814" s="17"/>
      <c r="J3814" s="17"/>
      <c r="K3814" s="17"/>
      <c r="L3814" s="17"/>
      <c r="M3814" s="17"/>
      <c r="N3814" s="17"/>
      <c r="O3814" s="17"/>
      <c r="P3814" s="17"/>
      <c r="Q3814" s="17"/>
      <c r="R3814" s="17"/>
      <c r="S3814" s="17"/>
      <c r="T3814" s="17"/>
      <c r="U3814" s="17"/>
      <c r="V3814" s="18">
        <v>0</v>
      </c>
      <c r="W3814" s="17">
        <f t="shared" si="120"/>
        <v>0</v>
      </c>
      <c r="X3814" s="5">
        <f t="shared" si="121"/>
        <v>0</v>
      </c>
    </row>
    <row r="3815" spans="1:24" x14ac:dyDescent="0.25">
      <c r="A3815" s="17"/>
      <c r="B3815" s="17"/>
      <c r="C3815" s="17"/>
      <c r="D3815" s="17"/>
      <c r="E3815" s="17"/>
      <c r="F3815" s="17"/>
      <c r="G3815" s="17"/>
      <c r="H3815" s="17"/>
      <c r="I3815" s="17"/>
      <c r="J3815" s="17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8">
        <v>0</v>
      </c>
      <c r="W3815" s="17">
        <f t="shared" si="120"/>
        <v>0</v>
      </c>
      <c r="X3815" s="5">
        <f t="shared" si="121"/>
        <v>0</v>
      </c>
    </row>
    <row r="3816" spans="1:24" x14ac:dyDescent="0.25">
      <c r="A3816" s="17"/>
      <c r="B3816" s="17"/>
      <c r="C3816" s="17"/>
      <c r="D3816" s="17"/>
      <c r="E3816" s="17"/>
      <c r="F3816" s="17"/>
      <c r="G3816" s="17"/>
      <c r="H3816" s="17"/>
      <c r="I3816" s="17"/>
      <c r="J3816" s="17"/>
      <c r="K3816" s="17"/>
      <c r="L3816" s="17"/>
      <c r="M3816" s="17"/>
      <c r="N3816" s="17"/>
      <c r="O3816" s="17"/>
      <c r="P3816" s="17"/>
      <c r="Q3816" s="17"/>
      <c r="R3816" s="17"/>
      <c r="S3816" s="17"/>
      <c r="T3816" s="17"/>
      <c r="U3816" s="17"/>
      <c r="V3816" s="18">
        <v>0</v>
      </c>
      <c r="W3816" s="17">
        <f t="shared" si="120"/>
        <v>0</v>
      </c>
      <c r="X3816" s="5">
        <f t="shared" si="121"/>
        <v>0</v>
      </c>
    </row>
    <row r="3817" spans="1:24" x14ac:dyDescent="0.25">
      <c r="A3817" s="17"/>
      <c r="B3817" s="17"/>
      <c r="C3817" s="17"/>
      <c r="D3817" s="17"/>
      <c r="E3817" s="17"/>
      <c r="F3817" s="17"/>
      <c r="G3817" s="17"/>
      <c r="H3817" s="17"/>
      <c r="I3817" s="17"/>
      <c r="J3817" s="17"/>
      <c r="K3817" s="17"/>
      <c r="L3817" s="17"/>
      <c r="M3817" s="17"/>
      <c r="N3817" s="17"/>
      <c r="O3817" s="17"/>
      <c r="P3817" s="17"/>
      <c r="Q3817" s="17"/>
      <c r="R3817" s="17"/>
      <c r="S3817" s="17"/>
      <c r="T3817" s="17"/>
      <c r="U3817" s="17"/>
      <c r="V3817" s="18">
        <v>0</v>
      </c>
      <c r="W3817" s="17">
        <f t="shared" si="120"/>
        <v>0</v>
      </c>
      <c r="X3817" s="5">
        <f t="shared" si="121"/>
        <v>0</v>
      </c>
    </row>
    <row r="3818" spans="1:24" x14ac:dyDescent="0.25">
      <c r="A3818" s="17"/>
      <c r="B3818" s="17"/>
      <c r="C3818" s="17"/>
      <c r="D3818" s="17"/>
      <c r="E3818" s="17"/>
      <c r="F3818" s="17"/>
      <c r="G3818" s="17"/>
      <c r="H3818" s="17"/>
      <c r="I3818" s="17"/>
      <c r="J3818" s="17"/>
      <c r="K3818" s="17"/>
      <c r="L3818" s="17"/>
      <c r="M3818" s="17"/>
      <c r="N3818" s="17"/>
      <c r="O3818" s="17"/>
      <c r="P3818" s="17"/>
      <c r="Q3818" s="17"/>
      <c r="R3818" s="17"/>
      <c r="S3818" s="17"/>
      <c r="T3818" s="17"/>
      <c r="U3818" s="17"/>
      <c r="V3818" s="18">
        <v>0</v>
      </c>
      <c r="W3818" s="17">
        <f t="shared" si="120"/>
        <v>0</v>
      </c>
      <c r="X3818" s="5">
        <f t="shared" si="121"/>
        <v>0</v>
      </c>
    </row>
    <row r="3819" spans="1:24" x14ac:dyDescent="0.25">
      <c r="A3819" s="17"/>
      <c r="B3819" s="17"/>
      <c r="C3819" s="17"/>
      <c r="D3819" s="17"/>
      <c r="E3819" s="17"/>
      <c r="F3819" s="17"/>
      <c r="G3819" s="17"/>
      <c r="H3819" s="17"/>
      <c r="I3819" s="17"/>
      <c r="J3819" s="17"/>
      <c r="K3819" s="17"/>
      <c r="L3819" s="17"/>
      <c r="M3819" s="17"/>
      <c r="N3819" s="17"/>
      <c r="O3819" s="17"/>
      <c r="P3819" s="17"/>
      <c r="Q3819" s="17"/>
      <c r="R3819" s="17"/>
      <c r="S3819" s="17"/>
      <c r="T3819" s="17"/>
      <c r="U3819" s="17"/>
      <c r="V3819" s="18">
        <v>0</v>
      </c>
      <c r="W3819" s="17">
        <f t="shared" si="120"/>
        <v>0</v>
      </c>
      <c r="X3819" s="5">
        <f t="shared" si="121"/>
        <v>0</v>
      </c>
    </row>
    <row r="3820" spans="1:24" x14ac:dyDescent="0.25">
      <c r="A3820" s="17"/>
      <c r="B3820" s="17"/>
      <c r="C3820" s="17"/>
      <c r="D3820" s="17"/>
      <c r="E3820" s="17"/>
      <c r="F3820" s="17"/>
      <c r="G3820" s="17"/>
      <c r="H3820" s="17"/>
      <c r="I3820" s="17"/>
      <c r="J3820" s="17"/>
      <c r="K3820" s="17"/>
      <c r="L3820" s="17"/>
      <c r="M3820" s="17"/>
      <c r="N3820" s="17"/>
      <c r="O3820" s="17"/>
      <c r="P3820" s="17"/>
      <c r="Q3820" s="17"/>
      <c r="R3820" s="17"/>
      <c r="S3820" s="17"/>
      <c r="T3820" s="17"/>
      <c r="U3820" s="17"/>
      <c r="V3820" s="18">
        <v>0</v>
      </c>
      <c r="W3820" s="17">
        <f t="shared" si="120"/>
        <v>0</v>
      </c>
      <c r="X3820" s="5">
        <f t="shared" si="121"/>
        <v>0</v>
      </c>
    </row>
    <row r="3821" spans="1:24" x14ac:dyDescent="0.25">
      <c r="A3821" s="17"/>
      <c r="B3821" s="17"/>
      <c r="C3821" s="17"/>
      <c r="D3821" s="17"/>
      <c r="E3821" s="17"/>
      <c r="F3821" s="17"/>
      <c r="G3821" s="17"/>
      <c r="H3821" s="17"/>
      <c r="I3821" s="17"/>
      <c r="J3821" s="17"/>
      <c r="K3821" s="17"/>
      <c r="L3821" s="17"/>
      <c r="M3821" s="17"/>
      <c r="N3821" s="17"/>
      <c r="O3821" s="17"/>
      <c r="P3821" s="17"/>
      <c r="Q3821" s="17"/>
      <c r="R3821" s="17"/>
      <c r="S3821" s="17"/>
      <c r="T3821" s="17"/>
      <c r="U3821" s="17"/>
      <c r="V3821" s="18">
        <v>0</v>
      </c>
      <c r="W3821" s="17">
        <f t="shared" si="120"/>
        <v>0</v>
      </c>
      <c r="X3821" s="5">
        <f t="shared" si="121"/>
        <v>0</v>
      </c>
    </row>
    <row r="3822" spans="1:24" x14ac:dyDescent="0.25">
      <c r="A3822" s="17"/>
      <c r="B3822" s="17"/>
      <c r="C3822" s="17"/>
      <c r="D3822" s="17"/>
      <c r="E3822" s="17"/>
      <c r="F3822" s="17"/>
      <c r="G3822" s="17"/>
      <c r="H3822" s="17"/>
      <c r="I3822" s="17"/>
      <c r="J3822" s="17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8">
        <v>0</v>
      </c>
      <c r="W3822" s="17">
        <f t="shared" si="120"/>
        <v>0</v>
      </c>
      <c r="X3822" s="5">
        <f t="shared" si="121"/>
        <v>0</v>
      </c>
    </row>
    <row r="3823" spans="1:24" x14ac:dyDescent="0.25">
      <c r="A3823" s="17"/>
      <c r="B3823" s="17"/>
      <c r="C3823" s="17"/>
      <c r="D3823" s="17"/>
      <c r="E3823" s="17"/>
      <c r="F3823" s="17"/>
      <c r="G3823" s="17"/>
      <c r="H3823" s="17"/>
      <c r="I3823" s="17"/>
      <c r="J3823" s="17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8">
        <v>0</v>
      </c>
      <c r="W3823" s="17">
        <f t="shared" si="120"/>
        <v>0</v>
      </c>
      <c r="X3823" s="5">
        <f t="shared" si="121"/>
        <v>0</v>
      </c>
    </row>
    <row r="3824" spans="1:24" x14ac:dyDescent="0.25">
      <c r="A3824" s="17"/>
      <c r="B3824" s="17"/>
      <c r="C3824" s="17"/>
      <c r="D3824" s="17"/>
      <c r="E3824" s="17"/>
      <c r="F3824" s="17"/>
      <c r="G3824" s="17"/>
      <c r="H3824" s="17"/>
      <c r="I3824" s="17"/>
      <c r="J3824" s="17"/>
      <c r="K3824" s="17"/>
      <c r="L3824" s="17"/>
      <c r="M3824" s="17"/>
      <c r="N3824" s="17"/>
      <c r="O3824" s="17"/>
      <c r="P3824" s="17"/>
      <c r="Q3824" s="17"/>
      <c r="R3824" s="17"/>
      <c r="S3824" s="17"/>
      <c r="T3824" s="17"/>
      <c r="U3824" s="17"/>
      <c r="V3824" s="18">
        <v>0</v>
      </c>
      <c r="W3824" s="17">
        <f t="shared" si="120"/>
        <v>0</v>
      </c>
      <c r="X3824" s="5">
        <f t="shared" si="121"/>
        <v>0</v>
      </c>
    </row>
    <row r="3825" spans="1:24" x14ac:dyDescent="0.25">
      <c r="A3825" s="17"/>
      <c r="B3825" s="17"/>
      <c r="C3825" s="17"/>
      <c r="D3825" s="17"/>
      <c r="E3825" s="17"/>
      <c r="F3825" s="17"/>
      <c r="G3825" s="17"/>
      <c r="H3825" s="17"/>
      <c r="I3825" s="17"/>
      <c r="J3825" s="17"/>
      <c r="K3825" s="17"/>
      <c r="L3825" s="17"/>
      <c r="M3825" s="17"/>
      <c r="N3825" s="17"/>
      <c r="O3825" s="17"/>
      <c r="P3825" s="17"/>
      <c r="Q3825" s="17"/>
      <c r="R3825" s="17"/>
      <c r="S3825" s="17"/>
      <c r="T3825" s="17"/>
      <c r="U3825" s="17"/>
      <c r="V3825" s="18">
        <v>0</v>
      </c>
      <c r="W3825" s="17">
        <f t="shared" si="120"/>
        <v>0</v>
      </c>
      <c r="X3825" s="5">
        <f t="shared" si="121"/>
        <v>0</v>
      </c>
    </row>
    <row r="3826" spans="1:24" x14ac:dyDescent="0.25">
      <c r="A3826" s="17"/>
      <c r="B3826" s="17"/>
      <c r="C3826" s="17"/>
      <c r="D3826" s="17"/>
      <c r="E3826" s="17"/>
      <c r="F3826" s="17"/>
      <c r="G3826" s="17"/>
      <c r="H3826" s="17"/>
      <c r="I3826" s="17"/>
      <c r="J3826" s="17"/>
      <c r="K3826" s="17"/>
      <c r="L3826" s="17"/>
      <c r="M3826" s="17"/>
      <c r="N3826" s="17"/>
      <c r="O3826" s="17"/>
      <c r="P3826" s="17"/>
      <c r="Q3826" s="17"/>
      <c r="R3826" s="17"/>
      <c r="S3826" s="17"/>
      <c r="T3826" s="17"/>
      <c r="U3826" s="17"/>
      <c r="V3826" s="18">
        <v>0</v>
      </c>
      <c r="W3826" s="17">
        <f t="shared" si="120"/>
        <v>0</v>
      </c>
      <c r="X3826" s="5">
        <f t="shared" si="121"/>
        <v>0</v>
      </c>
    </row>
    <row r="3827" spans="1:24" x14ac:dyDescent="0.25">
      <c r="A3827" s="17"/>
      <c r="B3827" s="17"/>
      <c r="C3827" s="17"/>
      <c r="D3827" s="17"/>
      <c r="E3827" s="17"/>
      <c r="F3827" s="17"/>
      <c r="G3827" s="17"/>
      <c r="H3827" s="17"/>
      <c r="I3827" s="17"/>
      <c r="J3827" s="17"/>
      <c r="K3827" s="17"/>
      <c r="L3827" s="17"/>
      <c r="M3827" s="17"/>
      <c r="N3827" s="17"/>
      <c r="O3827" s="17"/>
      <c r="P3827" s="17"/>
      <c r="Q3827" s="17"/>
      <c r="R3827" s="17"/>
      <c r="S3827" s="17"/>
      <c r="T3827" s="17"/>
      <c r="U3827" s="17"/>
      <c r="V3827" s="18">
        <v>0</v>
      </c>
      <c r="W3827" s="17">
        <f t="shared" si="120"/>
        <v>0</v>
      </c>
      <c r="X3827" s="5">
        <f t="shared" si="121"/>
        <v>0</v>
      </c>
    </row>
    <row r="3828" spans="1:24" x14ac:dyDescent="0.25">
      <c r="A3828" s="17"/>
      <c r="B3828" s="17"/>
      <c r="C3828" s="17"/>
      <c r="D3828" s="17"/>
      <c r="E3828" s="17"/>
      <c r="F3828" s="17"/>
      <c r="G3828" s="17"/>
      <c r="H3828" s="17"/>
      <c r="I3828" s="17"/>
      <c r="J3828" s="17"/>
      <c r="K3828" s="17"/>
      <c r="L3828" s="17"/>
      <c r="M3828" s="17"/>
      <c r="N3828" s="17"/>
      <c r="O3828" s="17"/>
      <c r="P3828" s="17"/>
      <c r="Q3828" s="17"/>
      <c r="R3828" s="17"/>
      <c r="S3828" s="17"/>
      <c r="T3828" s="17"/>
      <c r="U3828" s="17"/>
      <c r="V3828" s="18">
        <v>0</v>
      </c>
      <c r="W3828" s="17">
        <f t="shared" si="120"/>
        <v>0</v>
      </c>
      <c r="X3828" s="5">
        <f t="shared" si="121"/>
        <v>0</v>
      </c>
    </row>
    <row r="3829" spans="1:24" x14ac:dyDescent="0.25">
      <c r="A3829" s="17"/>
      <c r="B3829" s="17"/>
      <c r="C3829" s="17"/>
      <c r="D3829" s="17"/>
      <c r="E3829" s="17"/>
      <c r="F3829" s="17"/>
      <c r="G3829" s="17"/>
      <c r="H3829" s="17"/>
      <c r="I3829" s="17"/>
      <c r="J3829" s="17"/>
      <c r="K3829" s="17"/>
      <c r="L3829" s="17"/>
      <c r="M3829" s="17"/>
      <c r="N3829" s="17"/>
      <c r="O3829" s="17"/>
      <c r="P3829" s="17"/>
      <c r="Q3829" s="17"/>
      <c r="R3829" s="17"/>
      <c r="S3829" s="17"/>
      <c r="T3829" s="17"/>
      <c r="U3829" s="17"/>
      <c r="V3829" s="18">
        <v>0</v>
      </c>
      <c r="W3829" s="17">
        <f t="shared" si="120"/>
        <v>0</v>
      </c>
      <c r="X3829" s="5">
        <f t="shared" si="121"/>
        <v>0</v>
      </c>
    </row>
    <row r="3830" spans="1:24" x14ac:dyDescent="0.25">
      <c r="A3830" s="17"/>
      <c r="B3830" s="17"/>
      <c r="C3830" s="17"/>
      <c r="D3830" s="17"/>
      <c r="E3830" s="17"/>
      <c r="F3830" s="17"/>
      <c r="G3830" s="17"/>
      <c r="H3830" s="17"/>
      <c r="I3830" s="17"/>
      <c r="J3830" s="17"/>
      <c r="K3830" s="17"/>
      <c r="L3830" s="17"/>
      <c r="M3830" s="17"/>
      <c r="N3830" s="17"/>
      <c r="O3830" s="17"/>
      <c r="P3830" s="17"/>
      <c r="Q3830" s="17"/>
      <c r="R3830" s="17"/>
      <c r="S3830" s="17"/>
      <c r="T3830" s="17"/>
      <c r="U3830" s="17"/>
      <c r="V3830" s="18">
        <v>0</v>
      </c>
      <c r="W3830" s="17">
        <f t="shared" si="120"/>
        <v>0</v>
      </c>
      <c r="X3830" s="5">
        <f t="shared" si="121"/>
        <v>0</v>
      </c>
    </row>
    <row r="3831" spans="1:24" x14ac:dyDescent="0.25">
      <c r="A3831" s="17"/>
      <c r="B3831" s="17"/>
      <c r="C3831" s="17"/>
      <c r="D3831" s="17"/>
      <c r="E3831" s="17"/>
      <c r="F3831" s="17"/>
      <c r="G3831" s="17"/>
      <c r="H3831" s="17"/>
      <c r="I3831" s="17"/>
      <c r="J3831" s="17"/>
      <c r="K3831" s="17"/>
      <c r="L3831" s="17"/>
      <c r="M3831" s="17"/>
      <c r="N3831" s="17"/>
      <c r="O3831" s="17"/>
      <c r="P3831" s="17"/>
      <c r="Q3831" s="17"/>
      <c r="R3831" s="17"/>
      <c r="S3831" s="17"/>
      <c r="T3831" s="17"/>
      <c r="U3831" s="17"/>
      <c r="V3831" s="18">
        <v>0</v>
      </c>
      <c r="W3831" s="17">
        <f t="shared" si="120"/>
        <v>0</v>
      </c>
      <c r="X3831" s="5">
        <f t="shared" si="121"/>
        <v>0</v>
      </c>
    </row>
    <row r="3832" spans="1:24" x14ac:dyDescent="0.25">
      <c r="A3832" s="17"/>
      <c r="B3832" s="17"/>
      <c r="C3832" s="17"/>
      <c r="D3832" s="17"/>
      <c r="E3832" s="17"/>
      <c r="F3832" s="17"/>
      <c r="G3832" s="17"/>
      <c r="H3832" s="17"/>
      <c r="I3832" s="17"/>
      <c r="J3832" s="17"/>
      <c r="K3832" s="17"/>
      <c r="L3832" s="17"/>
      <c r="M3832" s="17"/>
      <c r="N3832" s="17"/>
      <c r="O3832" s="17"/>
      <c r="P3832" s="17"/>
      <c r="Q3832" s="17"/>
      <c r="R3832" s="17"/>
      <c r="S3832" s="17"/>
      <c r="T3832" s="17"/>
      <c r="U3832" s="17"/>
      <c r="V3832" s="18">
        <v>0</v>
      </c>
      <c r="W3832" s="17">
        <f t="shared" si="120"/>
        <v>0</v>
      </c>
      <c r="X3832" s="5">
        <f t="shared" si="121"/>
        <v>0</v>
      </c>
    </row>
    <row r="3833" spans="1:24" x14ac:dyDescent="0.25">
      <c r="A3833" s="17"/>
      <c r="B3833" s="17"/>
      <c r="C3833" s="17"/>
      <c r="D3833" s="17"/>
      <c r="E3833" s="17"/>
      <c r="F3833" s="17"/>
      <c r="G3833" s="17"/>
      <c r="H3833" s="17"/>
      <c r="I3833" s="17"/>
      <c r="J3833" s="17"/>
      <c r="K3833" s="17"/>
      <c r="L3833" s="17"/>
      <c r="M3833" s="17"/>
      <c r="N3833" s="17"/>
      <c r="O3833" s="17"/>
      <c r="P3833" s="17"/>
      <c r="Q3833" s="17"/>
      <c r="R3833" s="17"/>
      <c r="S3833" s="17"/>
      <c r="T3833" s="17"/>
      <c r="U3833" s="17"/>
      <c r="V3833" s="18">
        <v>0</v>
      </c>
      <c r="W3833" s="17">
        <f t="shared" si="120"/>
        <v>0</v>
      </c>
      <c r="X3833" s="5">
        <f t="shared" si="121"/>
        <v>0</v>
      </c>
    </row>
    <row r="3834" spans="1:24" x14ac:dyDescent="0.25">
      <c r="A3834" s="17"/>
      <c r="B3834" s="17"/>
      <c r="C3834" s="17"/>
      <c r="D3834" s="17"/>
      <c r="E3834" s="17"/>
      <c r="F3834" s="17"/>
      <c r="G3834" s="17"/>
      <c r="H3834" s="17"/>
      <c r="I3834" s="17"/>
      <c r="J3834" s="17"/>
      <c r="K3834" s="17"/>
      <c r="L3834" s="17"/>
      <c r="M3834" s="17"/>
      <c r="N3834" s="17"/>
      <c r="O3834" s="17"/>
      <c r="P3834" s="17"/>
      <c r="Q3834" s="17"/>
      <c r="R3834" s="17"/>
      <c r="S3834" s="17"/>
      <c r="T3834" s="17"/>
      <c r="U3834" s="17"/>
      <c r="V3834" s="18">
        <v>0</v>
      </c>
      <c r="W3834" s="17">
        <f t="shared" si="120"/>
        <v>0</v>
      </c>
      <c r="X3834" s="5">
        <f t="shared" si="121"/>
        <v>0</v>
      </c>
    </row>
    <row r="3835" spans="1:24" x14ac:dyDescent="0.25">
      <c r="A3835" s="17"/>
      <c r="B3835" s="17"/>
      <c r="C3835" s="17"/>
      <c r="D3835" s="17"/>
      <c r="E3835" s="17"/>
      <c r="F3835" s="17"/>
      <c r="G3835" s="17"/>
      <c r="H3835" s="17"/>
      <c r="I3835" s="17"/>
      <c r="J3835" s="17"/>
      <c r="K3835" s="17"/>
      <c r="L3835" s="17"/>
      <c r="M3835" s="17"/>
      <c r="N3835" s="17"/>
      <c r="O3835" s="17"/>
      <c r="P3835" s="17"/>
      <c r="Q3835" s="17"/>
      <c r="R3835" s="17"/>
      <c r="S3835" s="17"/>
      <c r="T3835" s="17"/>
      <c r="U3835" s="17"/>
      <c r="V3835" s="18">
        <v>0</v>
      </c>
      <c r="W3835" s="17">
        <f t="shared" si="120"/>
        <v>0</v>
      </c>
      <c r="X3835" s="5">
        <f t="shared" si="121"/>
        <v>0</v>
      </c>
    </row>
    <row r="3836" spans="1:24" x14ac:dyDescent="0.25">
      <c r="A3836" s="17"/>
      <c r="B3836" s="17"/>
      <c r="C3836" s="17"/>
      <c r="D3836" s="17"/>
      <c r="E3836" s="17"/>
      <c r="F3836" s="17"/>
      <c r="G3836" s="17"/>
      <c r="H3836" s="17"/>
      <c r="I3836" s="17"/>
      <c r="J3836" s="17"/>
      <c r="K3836" s="17"/>
      <c r="L3836" s="17"/>
      <c r="M3836" s="17"/>
      <c r="N3836" s="17"/>
      <c r="O3836" s="17"/>
      <c r="P3836" s="17"/>
      <c r="Q3836" s="17"/>
      <c r="R3836" s="17"/>
      <c r="S3836" s="17"/>
      <c r="T3836" s="17"/>
      <c r="U3836" s="17"/>
      <c r="V3836" s="18">
        <v>0</v>
      </c>
      <c r="W3836" s="17">
        <f t="shared" si="120"/>
        <v>0</v>
      </c>
      <c r="X3836" s="5">
        <f t="shared" si="121"/>
        <v>0</v>
      </c>
    </row>
    <row r="3837" spans="1:24" x14ac:dyDescent="0.25">
      <c r="A3837" s="17"/>
      <c r="B3837" s="17"/>
      <c r="C3837" s="17"/>
      <c r="D3837" s="17"/>
      <c r="E3837" s="17"/>
      <c r="F3837" s="17"/>
      <c r="G3837" s="17"/>
      <c r="H3837" s="17"/>
      <c r="I3837" s="17"/>
      <c r="J3837" s="17"/>
      <c r="K3837" s="17"/>
      <c r="L3837" s="17"/>
      <c r="M3837" s="17"/>
      <c r="N3837" s="17"/>
      <c r="O3837" s="17"/>
      <c r="P3837" s="17"/>
      <c r="Q3837" s="17"/>
      <c r="R3837" s="17"/>
      <c r="S3837" s="17"/>
      <c r="T3837" s="17"/>
      <c r="U3837" s="17"/>
      <c r="V3837" s="18">
        <v>0</v>
      </c>
      <c r="W3837" s="17">
        <f t="shared" si="120"/>
        <v>0</v>
      </c>
      <c r="X3837" s="5">
        <f t="shared" si="121"/>
        <v>0</v>
      </c>
    </row>
    <row r="3838" spans="1:24" x14ac:dyDescent="0.25">
      <c r="A3838" s="17"/>
      <c r="B3838" s="17"/>
      <c r="C3838" s="17"/>
      <c r="D3838" s="17"/>
      <c r="E3838" s="17"/>
      <c r="F3838" s="17"/>
      <c r="G3838" s="17"/>
      <c r="H3838" s="17"/>
      <c r="I3838" s="17"/>
      <c r="J3838" s="17"/>
      <c r="K3838" s="17"/>
      <c r="L3838" s="17"/>
      <c r="M3838" s="17"/>
      <c r="N3838" s="17"/>
      <c r="O3838" s="17"/>
      <c r="P3838" s="17"/>
      <c r="Q3838" s="17"/>
      <c r="R3838" s="17"/>
      <c r="S3838" s="17"/>
      <c r="T3838" s="17"/>
      <c r="U3838" s="17"/>
      <c r="V3838" s="18">
        <v>0</v>
      </c>
      <c r="W3838" s="17">
        <f t="shared" si="120"/>
        <v>0</v>
      </c>
      <c r="X3838" s="5">
        <f t="shared" si="121"/>
        <v>0</v>
      </c>
    </row>
    <row r="3839" spans="1:24" x14ac:dyDescent="0.25">
      <c r="A3839" s="17"/>
      <c r="B3839" s="17"/>
      <c r="C3839" s="17"/>
      <c r="D3839" s="17"/>
      <c r="E3839" s="17"/>
      <c r="F3839" s="17"/>
      <c r="G3839" s="17"/>
      <c r="H3839" s="17"/>
      <c r="I3839" s="17"/>
      <c r="J3839" s="17"/>
      <c r="K3839" s="17"/>
      <c r="L3839" s="17"/>
      <c r="M3839" s="17"/>
      <c r="N3839" s="17"/>
      <c r="O3839" s="17"/>
      <c r="P3839" s="17"/>
      <c r="Q3839" s="17"/>
      <c r="R3839" s="17"/>
      <c r="S3839" s="17"/>
      <c r="T3839" s="17"/>
      <c r="U3839" s="17"/>
      <c r="V3839" s="18">
        <v>0</v>
      </c>
      <c r="W3839" s="17">
        <f t="shared" si="120"/>
        <v>0</v>
      </c>
      <c r="X3839" s="5">
        <f t="shared" si="121"/>
        <v>0</v>
      </c>
    </row>
    <row r="3840" spans="1:24" x14ac:dyDescent="0.25">
      <c r="A3840" s="17"/>
      <c r="B3840" s="17"/>
      <c r="C3840" s="17"/>
      <c r="D3840" s="17"/>
      <c r="E3840" s="17"/>
      <c r="F3840" s="17"/>
      <c r="G3840" s="17"/>
      <c r="H3840" s="17"/>
      <c r="I3840" s="17"/>
      <c r="J3840" s="17"/>
      <c r="K3840" s="17"/>
      <c r="L3840" s="17"/>
      <c r="M3840" s="17"/>
      <c r="N3840" s="17"/>
      <c r="O3840" s="17"/>
      <c r="P3840" s="17"/>
      <c r="Q3840" s="17"/>
      <c r="R3840" s="17"/>
      <c r="S3840" s="17"/>
      <c r="T3840" s="17"/>
      <c r="U3840" s="17"/>
      <c r="V3840" s="18">
        <v>0</v>
      </c>
      <c r="W3840" s="17">
        <f t="shared" si="120"/>
        <v>0</v>
      </c>
      <c r="X3840" s="5">
        <f t="shared" si="121"/>
        <v>0</v>
      </c>
    </row>
    <row r="3841" spans="1:24" x14ac:dyDescent="0.25">
      <c r="A3841" s="17"/>
      <c r="B3841" s="17"/>
      <c r="C3841" s="17"/>
      <c r="D3841" s="17"/>
      <c r="E3841" s="17"/>
      <c r="F3841" s="17"/>
      <c r="G3841" s="17"/>
      <c r="H3841" s="17"/>
      <c r="I3841" s="17"/>
      <c r="J3841" s="17"/>
      <c r="K3841" s="17"/>
      <c r="L3841" s="17"/>
      <c r="M3841" s="17"/>
      <c r="N3841" s="17"/>
      <c r="O3841" s="17"/>
      <c r="P3841" s="17"/>
      <c r="Q3841" s="17"/>
      <c r="R3841" s="17"/>
      <c r="S3841" s="17"/>
      <c r="T3841" s="17"/>
      <c r="U3841" s="17"/>
      <c r="V3841" s="18">
        <v>0</v>
      </c>
      <c r="W3841" s="17">
        <f t="shared" si="120"/>
        <v>0</v>
      </c>
      <c r="X3841" s="5">
        <f t="shared" si="121"/>
        <v>0</v>
      </c>
    </row>
    <row r="3842" spans="1:24" x14ac:dyDescent="0.25">
      <c r="A3842" s="17"/>
      <c r="B3842" s="17"/>
      <c r="C3842" s="17"/>
      <c r="D3842" s="17"/>
      <c r="E3842" s="17"/>
      <c r="F3842" s="17"/>
      <c r="G3842" s="17"/>
      <c r="H3842" s="17"/>
      <c r="I3842" s="17"/>
      <c r="J3842" s="17"/>
      <c r="K3842" s="17"/>
      <c r="L3842" s="17"/>
      <c r="M3842" s="17"/>
      <c r="N3842" s="17"/>
      <c r="O3842" s="17"/>
      <c r="P3842" s="17"/>
      <c r="Q3842" s="17"/>
      <c r="R3842" s="17"/>
      <c r="S3842" s="17"/>
      <c r="T3842" s="17"/>
      <c r="U3842" s="17"/>
      <c r="V3842" s="18">
        <v>0</v>
      </c>
      <c r="W3842" s="17">
        <f t="shared" si="120"/>
        <v>0</v>
      </c>
      <c r="X3842" s="5">
        <f t="shared" si="121"/>
        <v>0</v>
      </c>
    </row>
    <row r="3843" spans="1:24" x14ac:dyDescent="0.25">
      <c r="A3843" s="17"/>
      <c r="B3843" s="17"/>
      <c r="C3843" s="17"/>
      <c r="D3843" s="17"/>
      <c r="E3843" s="17"/>
      <c r="F3843" s="17"/>
      <c r="G3843" s="17"/>
      <c r="H3843" s="17"/>
      <c r="I3843" s="17"/>
      <c r="J3843" s="17"/>
      <c r="K3843" s="17"/>
      <c r="L3843" s="17"/>
      <c r="M3843" s="17"/>
      <c r="N3843" s="17"/>
      <c r="O3843" s="17"/>
      <c r="P3843" s="17"/>
      <c r="Q3843" s="17"/>
      <c r="R3843" s="17"/>
      <c r="S3843" s="17"/>
      <c r="T3843" s="17"/>
      <c r="U3843" s="17"/>
      <c r="V3843" s="18">
        <v>0</v>
      </c>
      <c r="W3843" s="17">
        <f t="shared" ref="W3843:W3906" si="122">HOUR(E3843)</f>
        <v>0</v>
      </c>
      <c r="X3843" s="5">
        <f t="shared" ref="X3843:X3906" si="123">IF(D3843=D3842,0,1)</f>
        <v>0</v>
      </c>
    </row>
    <row r="3844" spans="1:24" x14ac:dyDescent="0.25">
      <c r="A3844" s="17"/>
      <c r="B3844" s="17"/>
      <c r="C3844" s="17"/>
      <c r="D3844" s="17"/>
      <c r="E3844" s="17"/>
      <c r="F3844" s="17"/>
      <c r="G3844" s="17"/>
      <c r="H3844" s="17"/>
      <c r="I3844" s="17"/>
      <c r="J3844" s="17"/>
      <c r="K3844" s="17"/>
      <c r="L3844" s="17"/>
      <c r="M3844" s="17"/>
      <c r="N3844" s="17"/>
      <c r="O3844" s="17"/>
      <c r="P3844" s="17"/>
      <c r="Q3844" s="17"/>
      <c r="R3844" s="17"/>
      <c r="S3844" s="17"/>
      <c r="T3844" s="17"/>
      <c r="U3844" s="17"/>
      <c r="V3844" s="18">
        <v>0</v>
      </c>
      <c r="W3844" s="17">
        <f t="shared" si="122"/>
        <v>0</v>
      </c>
      <c r="X3844" s="5">
        <f t="shared" si="123"/>
        <v>0</v>
      </c>
    </row>
    <row r="3845" spans="1:24" x14ac:dyDescent="0.25">
      <c r="A3845" s="17"/>
      <c r="B3845" s="17"/>
      <c r="C3845" s="17"/>
      <c r="D3845" s="17"/>
      <c r="E3845" s="17"/>
      <c r="F3845" s="17"/>
      <c r="G3845" s="17"/>
      <c r="H3845" s="17"/>
      <c r="I3845" s="17"/>
      <c r="J3845" s="17"/>
      <c r="K3845" s="17"/>
      <c r="L3845" s="17"/>
      <c r="M3845" s="17"/>
      <c r="N3845" s="17"/>
      <c r="O3845" s="17"/>
      <c r="P3845" s="17"/>
      <c r="Q3845" s="17"/>
      <c r="R3845" s="17"/>
      <c r="S3845" s="17"/>
      <c r="T3845" s="17"/>
      <c r="U3845" s="17"/>
      <c r="V3845" s="18">
        <v>0</v>
      </c>
      <c r="W3845" s="17">
        <f t="shared" si="122"/>
        <v>0</v>
      </c>
      <c r="X3845" s="5">
        <f t="shared" si="123"/>
        <v>0</v>
      </c>
    </row>
    <row r="3846" spans="1:24" x14ac:dyDescent="0.25">
      <c r="A3846" s="17"/>
      <c r="B3846" s="17"/>
      <c r="C3846" s="17"/>
      <c r="D3846" s="17"/>
      <c r="E3846" s="17"/>
      <c r="F3846" s="17"/>
      <c r="G3846" s="17"/>
      <c r="H3846" s="17"/>
      <c r="I3846" s="17"/>
      <c r="J3846" s="17"/>
      <c r="K3846" s="17"/>
      <c r="L3846" s="17"/>
      <c r="M3846" s="17"/>
      <c r="N3846" s="17"/>
      <c r="O3846" s="17"/>
      <c r="P3846" s="17"/>
      <c r="Q3846" s="17"/>
      <c r="R3846" s="17"/>
      <c r="S3846" s="17"/>
      <c r="T3846" s="17"/>
      <c r="U3846" s="17"/>
      <c r="V3846" s="18">
        <v>0</v>
      </c>
      <c r="W3846" s="17">
        <f t="shared" si="122"/>
        <v>0</v>
      </c>
      <c r="X3846" s="5">
        <f t="shared" si="123"/>
        <v>0</v>
      </c>
    </row>
    <row r="3847" spans="1:24" x14ac:dyDescent="0.25">
      <c r="A3847" s="17"/>
      <c r="B3847" s="17"/>
      <c r="C3847" s="17"/>
      <c r="D3847" s="17"/>
      <c r="E3847" s="17"/>
      <c r="F3847" s="17"/>
      <c r="G3847" s="17"/>
      <c r="H3847" s="17"/>
      <c r="I3847" s="17"/>
      <c r="J3847" s="17"/>
      <c r="K3847" s="17"/>
      <c r="L3847" s="17"/>
      <c r="M3847" s="17"/>
      <c r="N3847" s="17"/>
      <c r="O3847" s="17"/>
      <c r="P3847" s="17"/>
      <c r="Q3847" s="17"/>
      <c r="R3847" s="17"/>
      <c r="S3847" s="17"/>
      <c r="T3847" s="17"/>
      <c r="U3847" s="17"/>
      <c r="V3847" s="18">
        <v>0</v>
      </c>
      <c r="W3847" s="17">
        <f t="shared" si="122"/>
        <v>0</v>
      </c>
      <c r="X3847" s="5">
        <f t="shared" si="123"/>
        <v>0</v>
      </c>
    </row>
    <row r="3848" spans="1:24" x14ac:dyDescent="0.25">
      <c r="A3848" s="17"/>
      <c r="B3848" s="17"/>
      <c r="C3848" s="17"/>
      <c r="D3848" s="17"/>
      <c r="E3848" s="17"/>
      <c r="F3848" s="17"/>
      <c r="G3848" s="17"/>
      <c r="H3848" s="17"/>
      <c r="I3848" s="17"/>
      <c r="J3848" s="17"/>
      <c r="K3848" s="17"/>
      <c r="L3848" s="17"/>
      <c r="M3848" s="17"/>
      <c r="N3848" s="17"/>
      <c r="O3848" s="17"/>
      <c r="P3848" s="17"/>
      <c r="Q3848" s="17"/>
      <c r="R3848" s="17"/>
      <c r="S3848" s="17"/>
      <c r="T3848" s="17"/>
      <c r="U3848" s="17"/>
      <c r="V3848" s="18">
        <v>0</v>
      </c>
      <c r="W3848" s="17">
        <f t="shared" si="122"/>
        <v>0</v>
      </c>
      <c r="X3848" s="5">
        <f t="shared" si="123"/>
        <v>0</v>
      </c>
    </row>
    <row r="3849" spans="1:24" x14ac:dyDescent="0.25">
      <c r="A3849" s="17"/>
      <c r="B3849" s="17"/>
      <c r="C3849" s="17"/>
      <c r="D3849" s="17"/>
      <c r="E3849" s="17"/>
      <c r="F3849" s="17"/>
      <c r="G3849" s="17"/>
      <c r="H3849" s="17"/>
      <c r="I3849" s="17"/>
      <c r="J3849" s="17"/>
      <c r="K3849" s="17"/>
      <c r="L3849" s="17"/>
      <c r="M3849" s="17"/>
      <c r="N3849" s="17"/>
      <c r="O3849" s="17"/>
      <c r="P3849" s="17"/>
      <c r="Q3849" s="17"/>
      <c r="R3849" s="17"/>
      <c r="S3849" s="17"/>
      <c r="T3849" s="17"/>
      <c r="U3849" s="17"/>
      <c r="V3849" s="18">
        <v>0</v>
      </c>
      <c r="W3849" s="17">
        <f t="shared" si="122"/>
        <v>0</v>
      </c>
      <c r="X3849" s="5">
        <f t="shared" si="123"/>
        <v>0</v>
      </c>
    </row>
    <row r="3850" spans="1:24" x14ac:dyDescent="0.25">
      <c r="A3850" s="17"/>
      <c r="B3850" s="17"/>
      <c r="C3850" s="17"/>
      <c r="D3850" s="17"/>
      <c r="E3850" s="17"/>
      <c r="F3850" s="17"/>
      <c r="G3850" s="17"/>
      <c r="H3850" s="17"/>
      <c r="I3850" s="17"/>
      <c r="J3850" s="17"/>
      <c r="K3850" s="17"/>
      <c r="L3850" s="17"/>
      <c r="M3850" s="17"/>
      <c r="N3850" s="17"/>
      <c r="O3850" s="17"/>
      <c r="P3850" s="17"/>
      <c r="Q3850" s="17"/>
      <c r="R3850" s="17"/>
      <c r="S3850" s="17"/>
      <c r="T3850" s="17"/>
      <c r="U3850" s="17"/>
      <c r="V3850" s="18">
        <v>0</v>
      </c>
      <c r="W3850" s="17">
        <f t="shared" si="122"/>
        <v>0</v>
      </c>
      <c r="X3850" s="5">
        <f t="shared" si="123"/>
        <v>0</v>
      </c>
    </row>
    <row r="3851" spans="1:24" x14ac:dyDescent="0.25">
      <c r="A3851" s="17"/>
      <c r="B3851" s="17"/>
      <c r="C3851" s="17"/>
      <c r="D3851" s="17"/>
      <c r="E3851" s="17"/>
      <c r="F3851" s="17"/>
      <c r="G3851" s="17"/>
      <c r="H3851" s="17"/>
      <c r="I3851" s="17"/>
      <c r="J3851" s="17"/>
      <c r="K3851" s="17"/>
      <c r="L3851" s="17"/>
      <c r="M3851" s="17"/>
      <c r="N3851" s="17"/>
      <c r="O3851" s="17"/>
      <c r="P3851" s="17"/>
      <c r="Q3851" s="17"/>
      <c r="R3851" s="17"/>
      <c r="S3851" s="17"/>
      <c r="T3851" s="17"/>
      <c r="U3851" s="17"/>
      <c r="V3851" s="18">
        <v>0</v>
      </c>
      <c r="W3851" s="17">
        <f t="shared" si="122"/>
        <v>0</v>
      </c>
      <c r="X3851" s="5">
        <f t="shared" si="123"/>
        <v>0</v>
      </c>
    </row>
    <row r="3852" spans="1:24" x14ac:dyDescent="0.25">
      <c r="A3852" s="17"/>
      <c r="B3852" s="17"/>
      <c r="C3852" s="17"/>
      <c r="D3852" s="17"/>
      <c r="E3852" s="17"/>
      <c r="F3852" s="17"/>
      <c r="G3852" s="17"/>
      <c r="H3852" s="17"/>
      <c r="I3852" s="17"/>
      <c r="J3852" s="17"/>
      <c r="K3852" s="17"/>
      <c r="L3852" s="17"/>
      <c r="M3852" s="17"/>
      <c r="N3852" s="17"/>
      <c r="O3852" s="17"/>
      <c r="P3852" s="17"/>
      <c r="Q3852" s="17"/>
      <c r="R3852" s="17"/>
      <c r="S3852" s="17"/>
      <c r="T3852" s="17"/>
      <c r="U3852" s="17"/>
      <c r="V3852" s="18">
        <v>0</v>
      </c>
      <c r="W3852" s="17">
        <f t="shared" si="122"/>
        <v>0</v>
      </c>
      <c r="X3852" s="5">
        <f t="shared" si="123"/>
        <v>0</v>
      </c>
    </row>
    <row r="3853" spans="1:24" x14ac:dyDescent="0.25">
      <c r="A3853" s="17"/>
      <c r="B3853" s="17"/>
      <c r="C3853" s="17"/>
      <c r="D3853" s="17"/>
      <c r="E3853" s="17"/>
      <c r="F3853" s="17"/>
      <c r="G3853" s="17"/>
      <c r="H3853" s="17"/>
      <c r="I3853" s="17"/>
      <c r="J3853" s="17"/>
      <c r="K3853" s="17"/>
      <c r="L3853" s="17"/>
      <c r="M3853" s="17"/>
      <c r="N3853" s="17"/>
      <c r="O3853" s="17"/>
      <c r="P3853" s="17"/>
      <c r="Q3853" s="17"/>
      <c r="R3853" s="17"/>
      <c r="S3853" s="17"/>
      <c r="T3853" s="17"/>
      <c r="U3853" s="17"/>
      <c r="V3853" s="18">
        <v>0</v>
      </c>
      <c r="W3853" s="17">
        <f t="shared" si="122"/>
        <v>0</v>
      </c>
      <c r="X3853" s="5">
        <f t="shared" si="123"/>
        <v>0</v>
      </c>
    </row>
    <row r="3854" spans="1:24" x14ac:dyDescent="0.25">
      <c r="A3854" s="17"/>
      <c r="B3854" s="17"/>
      <c r="C3854" s="17"/>
      <c r="D3854" s="17"/>
      <c r="E3854" s="17"/>
      <c r="F3854" s="17"/>
      <c r="G3854" s="17"/>
      <c r="H3854" s="17"/>
      <c r="I3854" s="17"/>
      <c r="J3854" s="17"/>
      <c r="K3854" s="17"/>
      <c r="L3854" s="17"/>
      <c r="M3854" s="17"/>
      <c r="N3854" s="17"/>
      <c r="O3854" s="17"/>
      <c r="P3854" s="17"/>
      <c r="Q3854" s="17"/>
      <c r="R3854" s="17"/>
      <c r="S3854" s="17"/>
      <c r="T3854" s="17"/>
      <c r="U3854" s="17"/>
      <c r="V3854" s="18">
        <v>0</v>
      </c>
      <c r="W3854" s="17">
        <f t="shared" si="122"/>
        <v>0</v>
      </c>
      <c r="X3854" s="5">
        <f t="shared" si="123"/>
        <v>0</v>
      </c>
    </row>
    <row r="3855" spans="1:24" x14ac:dyDescent="0.25">
      <c r="A3855" s="17"/>
      <c r="B3855" s="17"/>
      <c r="C3855" s="17"/>
      <c r="D3855" s="17"/>
      <c r="E3855" s="17"/>
      <c r="F3855" s="17"/>
      <c r="G3855" s="17"/>
      <c r="H3855" s="17"/>
      <c r="I3855" s="17"/>
      <c r="J3855" s="17"/>
      <c r="K3855" s="17"/>
      <c r="L3855" s="17"/>
      <c r="M3855" s="17"/>
      <c r="N3855" s="17"/>
      <c r="O3855" s="17"/>
      <c r="P3855" s="17"/>
      <c r="Q3855" s="17"/>
      <c r="R3855" s="17"/>
      <c r="S3855" s="17"/>
      <c r="T3855" s="17"/>
      <c r="U3855" s="17"/>
      <c r="V3855" s="18">
        <v>0</v>
      </c>
      <c r="W3855" s="17">
        <f t="shared" si="122"/>
        <v>0</v>
      </c>
      <c r="X3855" s="5">
        <f t="shared" si="123"/>
        <v>0</v>
      </c>
    </row>
    <row r="3856" spans="1:24" x14ac:dyDescent="0.25">
      <c r="A3856" s="17"/>
      <c r="B3856" s="17"/>
      <c r="C3856" s="17"/>
      <c r="D3856" s="17"/>
      <c r="E3856" s="17"/>
      <c r="F3856" s="17"/>
      <c r="G3856" s="17"/>
      <c r="H3856" s="17"/>
      <c r="I3856" s="17"/>
      <c r="J3856" s="17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8">
        <v>0</v>
      </c>
      <c r="W3856" s="17">
        <f t="shared" si="122"/>
        <v>0</v>
      </c>
      <c r="X3856" s="5">
        <f t="shared" si="123"/>
        <v>0</v>
      </c>
    </row>
    <row r="3857" spans="1:24" x14ac:dyDescent="0.25">
      <c r="A3857" s="17"/>
      <c r="B3857" s="17"/>
      <c r="C3857" s="17"/>
      <c r="D3857" s="17"/>
      <c r="E3857" s="17"/>
      <c r="F3857" s="17"/>
      <c r="G3857" s="17"/>
      <c r="H3857" s="17"/>
      <c r="I3857" s="17"/>
      <c r="J3857" s="17"/>
      <c r="K3857" s="17"/>
      <c r="L3857" s="17"/>
      <c r="M3857" s="17"/>
      <c r="N3857" s="17"/>
      <c r="O3857" s="17"/>
      <c r="P3857" s="17"/>
      <c r="Q3857" s="17"/>
      <c r="R3857" s="17"/>
      <c r="S3857" s="17"/>
      <c r="T3857" s="17"/>
      <c r="U3857" s="17"/>
      <c r="V3857" s="18">
        <v>0</v>
      </c>
      <c r="W3857" s="17">
        <f t="shared" si="122"/>
        <v>0</v>
      </c>
      <c r="X3857" s="5">
        <f t="shared" si="123"/>
        <v>0</v>
      </c>
    </row>
    <row r="3858" spans="1:24" x14ac:dyDescent="0.25">
      <c r="A3858" s="17"/>
      <c r="B3858" s="17"/>
      <c r="C3858" s="17"/>
      <c r="D3858" s="17"/>
      <c r="E3858" s="17"/>
      <c r="F3858" s="17"/>
      <c r="G3858" s="17"/>
      <c r="H3858" s="17"/>
      <c r="I3858" s="17"/>
      <c r="J3858" s="17"/>
      <c r="K3858" s="17"/>
      <c r="L3858" s="17"/>
      <c r="M3858" s="17"/>
      <c r="N3858" s="17"/>
      <c r="O3858" s="17"/>
      <c r="P3858" s="17"/>
      <c r="Q3858" s="17"/>
      <c r="R3858" s="17"/>
      <c r="S3858" s="17"/>
      <c r="T3858" s="17"/>
      <c r="U3858" s="17"/>
      <c r="V3858" s="18">
        <v>0</v>
      </c>
      <c r="W3858" s="17">
        <f t="shared" si="122"/>
        <v>0</v>
      </c>
      <c r="X3858" s="5">
        <f t="shared" si="123"/>
        <v>0</v>
      </c>
    </row>
    <row r="3859" spans="1:24" x14ac:dyDescent="0.25">
      <c r="A3859" s="17"/>
      <c r="B3859" s="17"/>
      <c r="C3859" s="17"/>
      <c r="D3859" s="17"/>
      <c r="E3859" s="17"/>
      <c r="F3859" s="17"/>
      <c r="G3859" s="17"/>
      <c r="H3859" s="17"/>
      <c r="I3859" s="17"/>
      <c r="J3859" s="17"/>
      <c r="K3859" s="17"/>
      <c r="L3859" s="17"/>
      <c r="M3859" s="17"/>
      <c r="N3859" s="17"/>
      <c r="O3859" s="17"/>
      <c r="P3859" s="17"/>
      <c r="Q3859" s="17"/>
      <c r="R3859" s="17"/>
      <c r="S3859" s="17"/>
      <c r="T3859" s="17"/>
      <c r="U3859" s="17"/>
      <c r="V3859" s="18">
        <v>0</v>
      </c>
      <c r="W3859" s="17">
        <f t="shared" si="122"/>
        <v>0</v>
      </c>
      <c r="X3859" s="5">
        <f t="shared" si="123"/>
        <v>0</v>
      </c>
    </row>
    <row r="3860" spans="1:24" x14ac:dyDescent="0.25">
      <c r="A3860" s="17"/>
      <c r="B3860" s="17"/>
      <c r="C3860" s="17"/>
      <c r="D3860" s="17"/>
      <c r="E3860" s="17"/>
      <c r="F3860" s="17"/>
      <c r="G3860" s="17"/>
      <c r="H3860" s="17"/>
      <c r="I3860" s="17"/>
      <c r="J3860" s="17"/>
      <c r="K3860" s="17"/>
      <c r="L3860" s="17"/>
      <c r="M3860" s="17"/>
      <c r="N3860" s="17"/>
      <c r="O3860" s="17"/>
      <c r="P3860" s="17"/>
      <c r="Q3860" s="17"/>
      <c r="R3860" s="17"/>
      <c r="S3860" s="17"/>
      <c r="T3860" s="17"/>
      <c r="U3860" s="17"/>
      <c r="V3860" s="18">
        <v>0</v>
      </c>
      <c r="W3860" s="17">
        <f t="shared" si="122"/>
        <v>0</v>
      </c>
      <c r="X3860" s="5">
        <f t="shared" si="123"/>
        <v>0</v>
      </c>
    </row>
    <row r="3861" spans="1:24" x14ac:dyDescent="0.25">
      <c r="A3861" s="17"/>
      <c r="B3861" s="17"/>
      <c r="C3861" s="17"/>
      <c r="D3861" s="17"/>
      <c r="E3861" s="17"/>
      <c r="F3861" s="17"/>
      <c r="G3861" s="17"/>
      <c r="H3861" s="17"/>
      <c r="I3861" s="17"/>
      <c r="J3861" s="17"/>
      <c r="K3861" s="17"/>
      <c r="L3861" s="17"/>
      <c r="M3861" s="17"/>
      <c r="N3861" s="17"/>
      <c r="O3861" s="17"/>
      <c r="P3861" s="17"/>
      <c r="Q3861" s="17"/>
      <c r="R3861" s="17"/>
      <c r="S3861" s="17"/>
      <c r="T3861" s="17"/>
      <c r="U3861" s="17"/>
      <c r="V3861" s="18">
        <v>0</v>
      </c>
      <c r="W3861" s="17">
        <f t="shared" si="122"/>
        <v>0</v>
      </c>
      <c r="X3861" s="5">
        <f t="shared" si="123"/>
        <v>0</v>
      </c>
    </row>
    <row r="3862" spans="1:24" x14ac:dyDescent="0.25">
      <c r="A3862" s="17"/>
      <c r="B3862" s="17"/>
      <c r="C3862" s="17"/>
      <c r="D3862" s="17"/>
      <c r="E3862" s="17"/>
      <c r="F3862" s="17"/>
      <c r="G3862" s="17"/>
      <c r="H3862" s="17"/>
      <c r="I3862" s="17"/>
      <c r="J3862" s="17"/>
      <c r="K3862" s="17"/>
      <c r="L3862" s="17"/>
      <c r="M3862" s="17"/>
      <c r="N3862" s="17"/>
      <c r="O3862" s="17"/>
      <c r="P3862" s="17"/>
      <c r="Q3862" s="17"/>
      <c r="R3862" s="17"/>
      <c r="S3862" s="17"/>
      <c r="T3862" s="17"/>
      <c r="U3862" s="17"/>
      <c r="V3862" s="18">
        <v>0</v>
      </c>
      <c r="W3862" s="17">
        <f t="shared" si="122"/>
        <v>0</v>
      </c>
      <c r="X3862" s="5">
        <f t="shared" si="123"/>
        <v>0</v>
      </c>
    </row>
    <row r="3863" spans="1:24" x14ac:dyDescent="0.25">
      <c r="A3863" s="17"/>
      <c r="B3863" s="17"/>
      <c r="C3863" s="17"/>
      <c r="D3863" s="17"/>
      <c r="E3863" s="17"/>
      <c r="F3863" s="17"/>
      <c r="G3863" s="17"/>
      <c r="H3863" s="17"/>
      <c r="I3863" s="17"/>
      <c r="J3863" s="17"/>
      <c r="K3863" s="17"/>
      <c r="L3863" s="17"/>
      <c r="M3863" s="17"/>
      <c r="N3863" s="17"/>
      <c r="O3863" s="17"/>
      <c r="P3863" s="17"/>
      <c r="Q3863" s="17"/>
      <c r="R3863" s="17"/>
      <c r="S3863" s="17"/>
      <c r="T3863" s="17"/>
      <c r="U3863" s="17"/>
      <c r="V3863" s="18">
        <v>0</v>
      </c>
      <c r="W3863" s="17">
        <f t="shared" si="122"/>
        <v>0</v>
      </c>
      <c r="X3863" s="5">
        <f t="shared" si="123"/>
        <v>0</v>
      </c>
    </row>
    <row r="3864" spans="1:24" x14ac:dyDescent="0.25">
      <c r="A3864" s="17"/>
      <c r="B3864" s="17"/>
      <c r="C3864" s="17"/>
      <c r="D3864" s="17"/>
      <c r="E3864" s="17"/>
      <c r="F3864" s="17"/>
      <c r="G3864" s="17"/>
      <c r="H3864" s="17"/>
      <c r="I3864" s="17"/>
      <c r="J3864" s="17"/>
      <c r="K3864" s="17"/>
      <c r="L3864" s="17"/>
      <c r="M3864" s="17"/>
      <c r="N3864" s="17"/>
      <c r="O3864" s="17"/>
      <c r="P3864" s="17"/>
      <c r="Q3864" s="17"/>
      <c r="R3864" s="17"/>
      <c r="S3864" s="17"/>
      <c r="T3864" s="17"/>
      <c r="U3864" s="17"/>
      <c r="V3864" s="18">
        <v>0</v>
      </c>
      <c r="W3864" s="17">
        <f t="shared" si="122"/>
        <v>0</v>
      </c>
      <c r="X3864" s="5">
        <f t="shared" si="123"/>
        <v>0</v>
      </c>
    </row>
    <row r="3865" spans="1:24" x14ac:dyDescent="0.25">
      <c r="A3865" s="17"/>
      <c r="B3865" s="17"/>
      <c r="C3865" s="17"/>
      <c r="D3865" s="17"/>
      <c r="E3865" s="17"/>
      <c r="F3865" s="17"/>
      <c r="G3865" s="17"/>
      <c r="H3865" s="17"/>
      <c r="I3865" s="17"/>
      <c r="J3865" s="17"/>
      <c r="K3865" s="17"/>
      <c r="L3865" s="17"/>
      <c r="M3865" s="17"/>
      <c r="N3865" s="17"/>
      <c r="O3865" s="17"/>
      <c r="P3865" s="17"/>
      <c r="Q3865" s="17"/>
      <c r="R3865" s="17"/>
      <c r="S3865" s="17"/>
      <c r="T3865" s="17"/>
      <c r="U3865" s="17"/>
      <c r="V3865" s="18">
        <v>0</v>
      </c>
      <c r="W3865" s="17">
        <f t="shared" si="122"/>
        <v>0</v>
      </c>
      <c r="X3865" s="5">
        <f t="shared" si="123"/>
        <v>0</v>
      </c>
    </row>
    <row r="3866" spans="1:24" x14ac:dyDescent="0.25">
      <c r="A3866" s="17"/>
      <c r="B3866" s="17"/>
      <c r="C3866" s="17"/>
      <c r="D3866" s="17"/>
      <c r="E3866" s="17"/>
      <c r="F3866" s="17"/>
      <c r="G3866" s="17"/>
      <c r="H3866" s="17"/>
      <c r="I3866" s="17"/>
      <c r="J3866" s="17"/>
      <c r="K3866" s="17"/>
      <c r="L3866" s="17"/>
      <c r="M3866" s="17"/>
      <c r="N3866" s="17"/>
      <c r="O3866" s="17"/>
      <c r="P3866" s="17"/>
      <c r="Q3866" s="17"/>
      <c r="R3866" s="17"/>
      <c r="S3866" s="17"/>
      <c r="T3866" s="17"/>
      <c r="U3866" s="17"/>
      <c r="V3866" s="18">
        <v>0</v>
      </c>
      <c r="W3866" s="17">
        <f t="shared" si="122"/>
        <v>0</v>
      </c>
      <c r="X3866" s="5">
        <f t="shared" si="123"/>
        <v>0</v>
      </c>
    </row>
    <row r="3867" spans="1:24" x14ac:dyDescent="0.25">
      <c r="A3867" s="17"/>
      <c r="B3867" s="17"/>
      <c r="C3867" s="17"/>
      <c r="D3867" s="17"/>
      <c r="E3867" s="17"/>
      <c r="F3867" s="17"/>
      <c r="G3867" s="17"/>
      <c r="H3867" s="17"/>
      <c r="I3867" s="17"/>
      <c r="J3867" s="17"/>
      <c r="K3867" s="17"/>
      <c r="L3867" s="17"/>
      <c r="M3867" s="17"/>
      <c r="N3867" s="17"/>
      <c r="O3867" s="17"/>
      <c r="P3867" s="17"/>
      <c r="Q3867" s="17"/>
      <c r="R3867" s="17"/>
      <c r="S3867" s="17"/>
      <c r="T3867" s="17"/>
      <c r="U3867" s="17"/>
      <c r="V3867" s="18">
        <v>0</v>
      </c>
      <c r="W3867" s="17">
        <f t="shared" si="122"/>
        <v>0</v>
      </c>
      <c r="X3867" s="5">
        <f t="shared" si="123"/>
        <v>0</v>
      </c>
    </row>
    <row r="3868" spans="1:24" x14ac:dyDescent="0.25">
      <c r="A3868" s="17"/>
      <c r="B3868" s="17"/>
      <c r="C3868" s="17"/>
      <c r="D3868" s="17"/>
      <c r="E3868" s="17"/>
      <c r="F3868" s="17"/>
      <c r="G3868" s="17"/>
      <c r="H3868" s="17"/>
      <c r="I3868" s="17"/>
      <c r="J3868" s="17"/>
      <c r="K3868" s="17"/>
      <c r="L3868" s="17"/>
      <c r="M3868" s="17"/>
      <c r="N3868" s="17"/>
      <c r="O3868" s="17"/>
      <c r="P3868" s="17"/>
      <c r="Q3868" s="17"/>
      <c r="R3868" s="17"/>
      <c r="S3868" s="17"/>
      <c r="T3868" s="17"/>
      <c r="U3868" s="17"/>
      <c r="V3868" s="18">
        <v>0</v>
      </c>
      <c r="W3868" s="17">
        <f t="shared" si="122"/>
        <v>0</v>
      </c>
      <c r="X3868" s="5">
        <f t="shared" si="123"/>
        <v>0</v>
      </c>
    </row>
    <row r="3869" spans="1:24" x14ac:dyDescent="0.25">
      <c r="A3869" s="17"/>
      <c r="B3869" s="17"/>
      <c r="C3869" s="17"/>
      <c r="D3869" s="17"/>
      <c r="E3869" s="17"/>
      <c r="F3869" s="17"/>
      <c r="G3869" s="17"/>
      <c r="H3869" s="17"/>
      <c r="I3869" s="17"/>
      <c r="J3869" s="17"/>
      <c r="K3869" s="17"/>
      <c r="L3869" s="17"/>
      <c r="M3869" s="17"/>
      <c r="N3869" s="17"/>
      <c r="O3869" s="17"/>
      <c r="P3869" s="17"/>
      <c r="Q3869" s="17"/>
      <c r="R3869" s="17"/>
      <c r="S3869" s="17"/>
      <c r="T3869" s="17"/>
      <c r="U3869" s="17"/>
      <c r="V3869" s="18">
        <v>0</v>
      </c>
      <c r="W3869" s="17">
        <f t="shared" si="122"/>
        <v>0</v>
      </c>
      <c r="X3869" s="5">
        <f t="shared" si="123"/>
        <v>0</v>
      </c>
    </row>
    <row r="3870" spans="1:24" x14ac:dyDescent="0.25">
      <c r="A3870" s="17"/>
      <c r="B3870" s="17"/>
      <c r="C3870" s="17"/>
      <c r="D3870" s="17"/>
      <c r="E3870" s="17"/>
      <c r="F3870" s="17"/>
      <c r="G3870" s="17"/>
      <c r="H3870" s="17"/>
      <c r="I3870" s="17"/>
      <c r="J3870" s="17"/>
      <c r="K3870" s="17"/>
      <c r="L3870" s="17"/>
      <c r="M3870" s="17"/>
      <c r="N3870" s="17"/>
      <c r="O3870" s="17"/>
      <c r="P3870" s="17"/>
      <c r="Q3870" s="17"/>
      <c r="R3870" s="17"/>
      <c r="S3870" s="17"/>
      <c r="T3870" s="17"/>
      <c r="U3870" s="17"/>
      <c r="V3870" s="18">
        <v>0</v>
      </c>
      <c r="W3870" s="17">
        <f t="shared" si="122"/>
        <v>0</v>
      </c>
      <c r="X3870" s="5">
        <f t="shared" si="123"/>
        <v>0</v>
      </c>
    </row>
    <row r="3871" spans="1:24" x14ac:dyDescent="0.25">
      <c r="A3871" s="17"/>
      <c r="B3871" s="17"/>
      <c r="C3871" s="17"/>
      <c r="D3871" s="17"/>
      <c r="E3871" s="17"/>
      <c r="F3871" s="17"/>
      <c r="G3871" s="17"/>
      <c r="H3871" s="17"/>
      <c r="I3871" s="17"/>
      <c r="J3871" s="17"/>
      <c r="K3871" s="17"/>
      <c r="L3871" s="17"/>
      <c r="M3871" s="17"/>
      <c r="N3871" s="17"/>
      <c r="O3871" s="17"/>
      <c r="P3871" s="17"/>
      <c r="Q3871" s="17"/>
      <c r="R3871" s="17"/>
      <c r="S3871" s="17"/>
      <c r="T3871" s="17"/>
      <c r="U3871" s="17"/>
      <c r="V3871" s="18">
        <v>0</v>
      </c>
      <c r="W3871" s="17">
        <f t="shared" si="122"/>
        <v>0</v>
      </c>
      <c r="X3871" s="5">
        <f t="shared" si="123"/>
        <v>0</v>
      </c>
    </row>
    <row r="3872" spans="1:24" x14ac:dyDescent="0.25">
      <c r="A3872" s="17"/>
      <c r="B3872" s="17"/>
      <c r="C3872" s="17"/>
      <c r="D3872" s="17"/>
      <c r="E3872" s="17"/>
      <c r="F3872" s="17"/>
      <c r="G3872" s="17"/>
      <c r="H3872" s="17"/>
      <c r="I3872" s="17"/>
      <c r="J3872" s="17"/>
      <c r="K3872" s="17"/>
      <c r="L3872" s="17"/>
      <c r="M3872" s="17"/>
      <c r="N3872" s="17"/>
      <c r="O3872" s="17"/>
      <c r="P3872" s="17"/>
      <c r="Q3872" s="17"/>
      <c r="R3872" s="17"/>
      <c r="S3872" s="17"/>
      <c r="T3872" s="17"/>
      <c r="U3872" s="17"/>
      <c r="V3872" s="18">
        <v>0</v>
      </c>
      <c r="W3872" s="17">
        <f t="shared" si="122"/>
        <v>0</v>
      </c>
      <c r="X3872" s="5">
        <f t="shared" si="123"/>
        <v>0</v>
      </c>
    </row>
    <row r="3873" spans="1:24" x14ac:dyDescent="0.25">
      <c r="A3873" s="17"/>
      <c r="B3873" s="17"/>
      <c r="C3873" s="17"/>
      <c r="D3873" s="17"/>
      <c r="E3873" s="17"/>
      <c r="F3873" s="17"/>
      <c r="G3873" s="17"/>
      <c r="H3873" s="17"/>
      <c r="I3873" s="17"/>
      <c r="J3873" s="17"/>
      <c r="K3873" s="17"/>
      <c r="L3873" s="17"/>
      <c r="M3873" s="17"/>
      <c r="N3873" s="17"/>
      <c r="O3873" s="17"/>
      <c r="P3873" s="17"/>
      <c r="Q3873" s="17"/>
      <c r="R3873" s="17"/>
      <c r="S3873" s="17"/>
      <c r="T3873" s="17"/>
      <c r="U3873" s="17"/>
      <c r="V3873" s="18">
        <v>0</v>
      </c>
      <c r="W3873" s="17">
        <f t="shared" si="122"/>
        <v>0</v>
      </c>
      <c r="X3873" s="5">
        <f t="shared" si="123"/>
        <v>0</v>
      </c>
    </row>
    <row r="3874" spans="1:24" x14ac:dyDescent="0.25">
      <c r="A3874" s="17"/>
      <c r="B3874" s="17"/>
      <c r="C3874" s="17"/>
      <c r="D3874" s="17"/>
      <c r="E3874" s="17"/>
      <c r="F3874" s="17"/>
      <c r="G3874" s="17"/>
      <c r="H3874" s="17"/>
      <c r="I3874" s="17"/>
      <c r="J3874" s="17"/>
      <c r="K3874" s="17"/>
      <c r="L3874" s="17"/>
      <c r="M3874" s="17"/>
      <c r="N3874" s="17"/>
      <c r="O3874" s="17"/>
      <c r="P3874" s="17"/>
      <c r="Q3874" s="17"/>
      <c r="R3874" s="17"/>
      <c r="S3874" s="17"/>
      <c r="T3874" s="17"/>
      <c r="U3874" s="17"/>
      <c r="V3874" s="18">
        <v>0</v>
      </c>
      <c r="W3874" s="17">
        <f t="shared" si="122"/>
        <v>0</v>
      </c>
      <c r="X3874" s="5">
        <f t="shared" si="123"/>
        <v>0</v>
      </c>
    </row>
    <row r="3875" spans="1:24" x14ac:dyDescent="0.25">
      <c r="A3875" s="17"/>
      <c r="B3875" s="17"/>
      <c r="C3875" s="17"/>
      <c r="D3875" s="17"/>
      <c r="E3875" s="17"/>
      <c r="F3875" s="17"/>
      <c r="G3875" s="17"/>
      <c r="H3875" s="17"/>
      <c r="I3875" s="17"/>
      <c r="J3875" s="17"/>
      <c r="K3875" s="17"/>
      <c r="L3875" s="17"/>
      <c r="M3875" s="17"/>
      <c r="N3875" s="17"/>
      <c r="O3875" s="17"/>
      <c r="P3875" s="17"/>
      <c r="Q3875" s="17"/>
      <c r="R3875" s="17"/>
      <c r="S3875" s="17"/>
      <c r="T3875" s="17"/>
      <c r="U3875" s="17"/>
      <c r="V3875" s="18">
        <v>0</v>
      </c>
      <c r="W3875" s="17">
        <f t="shared" si="122"/>
        <v>0</v>
      </c>
      <c r="X3875" s="5">
        <f t="shared" si="123"/>
        <v>0</v>
      </c>
    </row>
    <row r="3876" spans="1:24" x14ac:dyDescent="0.25">
      <c r="A3876" s="17"/>
      <c r="B3876" s="17"/>
      <c r="C3876" s="17"/>
      <c r="D3876" s="17"/>
      <c r="E3876" s="17"/>
      <c r="F3876" s="17"/>
      <c r="G3876" s="17"/>
      <c r="H3876" s="17"/>
      <c r="I3876" s="17"/>
      <c r="J3876" s="17"/>
      <c r="K3876" s="17"/>
      <c r="L3876" s="17"/>
      <c r="M3876" s="17"/>
      <c r="N3876" s="17"/>
      <c r="O3876" s="17"/>
      <c r="P3876" s="17"/>
      <c r="Q3876" s="17"/>
      <c r="R3876" s="17"/>
      <c r="S3876" s="17"/>
      <c r="T3876" s="17"/>
      <c r="U3876" s="17"/>
      <c r="V3876" s="18">
        <v>0</v>
      </c>
      <c r="W3876" s="17">
        <f t="shared" si="122"/>
        <v>0</v>
      </c>
      <c r="X3876" s="5">
        <f t="shared" si="123"/>
        <v>0</v>
      </c>
    </row>
    <row r="3877" spans="1:24" x14ac:dyDescent="0.25">
      <c r="A3877" s="17"/>
      <c r="B3877" s="17"/>
      <c r="C3877" s="17"/>
      <c r="D3877" s="17"/>
      <c r="E3877" s="17"/>
      <c r="F3877" s="17"/>
      <c r="G3877" s="17"/>
      <c r="H3877" s="17"/>
      <c r="I3877" s="17"/>
      <c r="J3877" s="17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8">
        <v>0</v>
      </c>
      <c r="W3877" s="17">
        <f t="shared" si="122"/>
        <v>0</v>
      </c>
      <c r="X3877" s="5">
        <f t="shared" si="123"/>
        <v>0</v>
      </c>
    </row>
    <row r="3878" spans="1:24" x14ac:dyDescent="0.25">
      <c r="A3878" s="17"/>
      <c r="B3878" s="17"/>
      <c r="C3878" s="17"/>
      <c r="D3878" s="17"/>
      <c r="E3878" s="17"/>
      <c r="F3878" s="17"/>
      <c r="G3878" s="17"/>
      <c r="H3878" s="17"/>
      <c r="I3878" s="17"/>
      <c r="J3878" s="17"/>
      <c r="K3878" s="17"/>
      <c r="L3878" s="17"/>
      <c r="M3878" s="17"/>
      <c r="N3878" s="17"/>
      <c r="O3878" s="17"/>
      <c r="P3878" s="17"/>
      <c r="Q3878" s="17"/>
      <c r="R3878" s="17"/>
      <c r="S3878" s="17"/>
      <c r="T3878" s="17"/>
      <c r="U3878" s="17"/>
      <c r="V3878" s="18">
        <v>0</v>
      </c>
      <c r="W3878" s="17">
        <f t="shared" si="122"/>
        <v>0</v>
      </c>
      <c r="X3878" s="5">
        <f t="shared" si="123"/>
        <v>0</v>
      </c>
    </row>
    <row r="3879" spans="1:24" x14ac:dyDescent="0.25">
      <c r="A3879" s="17"/>
      <c r="B3879" s="17"/>
      <c r="C3879" s="17"/>
      <c r="D3879" s="17"/>
      <c r="E3879" s="17"/>
      <c r="F3879" s="17"/>
      <c r="G3879" s="17"/>
      <c r="H3879" s="17"/>
      <c r="I3879" s="17"/>
      <c r="J3879" s="17"/>
      <c r="K3879" s="17"/>
      <c r="L3879" s="17"/>
      <c r="M3879" s="17"/>
      <c r="N3879" s="17"/>
      <c r="O3879" s="17"/>
      <c r="P3879" s="17"/>
      <c r="Q3879" s="17"/>
      <c r="R3879" s="17"/>
      <c r="S3879" s="17"/>
      <c r="T3879" s="17"/>
      <c r="U3879" s="17"/>
      <c r="V3879" s="18">
        <v>0</v>
      </c>
      <c r="W3879" s="17">
        <f t="shared" si="122"/>
        <v>0</v>
      </c>
      <c r="X3879" s="5">
        <f t="shared" si="123"/>
        <v>0</v>
      </c>
    </row>
    <row r="3880" spans="1:24" x14ac:dyDescent="0.25">
      <c r="A3880" s="17"/>
      <c r="B3880" s="17"/>
      <c r="C3880" s="17"/>
      <c r="D3880" s="17"/>
      <c r="E3880" s="17"/>
      <c r="F3880" s="17"/>
      <c r="G3880" s="17"/>
      <c r="H3880" s="17"/>
      <c r="I3880" s="17"/>
      <c r="J3880" s="17"/>
      <c r="K3880" s="17"/>
      <c r="L3880" s="17"/>
      <c r="M3880" s="17"/>
      <c r="N3880" s="17"/>
      <c r="O3880" s="17"/>
      <c r="P3880" s="17"/>
      <c r="Q3880" s="17"/>
      <c r="R3880" s="17"/>
      <c r="S3880" s="17"/>
      <c r="T3880" s="17"/>
      <c r="U3880" s="17"/>
      <c r="V3880" s="18">
        <v>0</v>
      </c>
      <c r="W3880" s="17">
        <f t="shared" si="122"/>
        <v>0</v>
      </c>
      <c r="X3880" s="5">
        <f t="shared" si="123"/>
        <v>0</v>
      </c>
    </row>
    <row r="3881" spans="1:24" x14ac:dyDescent="0.25">
      <c r="A3881" s="17"/>
      <c r="B3881" s="17"/>
      <c r="C3881" s="17"/>
      <c r="D3881" s="17"/>
      <c r="E3881" s="17"/>
      <c r="F3881" s="17"/>
      <c r="G3881" s="17"/>
      <c r="H3881" s="17"/>
      <c r="I3881" s="17"/>
      <c r="J3881" s="17"/>
      <c r="K3881" s="17"/>
      <c r="L3881" s="17"/>
      <c r="M3881" s="17"/>
      <c r="N3881" s="17"/>
      <c r="O3881" s="17"/>
      <c r="P3881" s="17"/>
      <c r="Q3881" s="17"/>
      <c r="R3881" s="17"/>
      <c r="S3881" s="17"/>
      <c r="T3881" s="17"/>
      <c r="U3881" s="17"/>
      <c r="V3881" s="18">
        <v>0</v>
      </c>
      <c r="W3881" s="17">
        <f t="shared" si="122"/>
        <v>0</v>
      </c>
      <c r="X3881" s="5">
        <f t="shared" si="123"/>
        <v>0</v>
      </c>
    </row>
    <row r="3882" spans="1:24" x14ac:dyDescent="0.25">
      <c r="A3882" s="17"/>
      <c r="B3882" s="17"/>
      <c r="C3882" s="17"/>
      <c r="D3882" s="17"/>
      <c r="E3882" s="17"/>
      <c r="F3882" s="17"/>
      <c r="G3882" s="17"/>
      <c r="H3882" s="17"/>
      <c r="I3882" s="17"/>
      <c r="J3882" s="17"/>
      <c r="K3882" s="17"/>
      <c r="L3882" s="17"/>
      <c r="M3882" s="17"/>
      <c r="N3882" s="17"/>
      <c r="O3882" s="17"/>
      <c r="P3882" s="17"/>
      <c r="Q3882" s="17"/>
      <c r="R3882" s="17"/>
      <c r="S3882" s="17"/>
      <c r="T3882" s="17"/>
      <c r="U3882" s="17"/>
      <c r="V3882" s="18">
        <v>0</v>
      </c>
      <c r="W3882" s="17">
        <f t="shared" si="122"/>
        <v>0</v>
      </c>
      <c r="X3882" s="5">
        <f t="shared" si="123"/>
        <v>0</v>
      </c>
    </row>
    <row r="3883" spans="1:24" x14ac:dyDescent="0.25">
      <c r="A3883" s="17"/>
      <c r="B3883" s="17"/>
      <c r="C3883" s="17"/>
      <c r="D3883" s="17"/>
      <c r="E3883" s="17"/>
      <c r="F3883" s="17"/>
      <c r="G3883" s="17"/>
      <c r="H3883" s="17"/>
      <c r="I3883" s="17"/>
      <c r="J3883" s="17"/>
      <c r="K3883" s="17"/>
      <c r="L3883" s="17"/>
      <c r="M3883" s="17"/>
      <c r="N3883" s="17"/>
      <c r="O3883" s="17"/>
      <c r="P3883" s="17"/>
      <c r="Q3883" s="17"/>
      <c r="R3883" s="17"/>
      <c r="S3883" s="17"/>
      <c r="T3883" s="17"/>
      <c r="U3883" s="17"/>
      <c r="V3883" s="18">
        <v>0</v>
      </c>
      <c r="W3883" s="17">
        <f t="shared" si="122"/>
        <v>0</v>
      </c>
      <c r="X3883" s="5">
        <f t="shared" si="123"/>
        <v>0</v>
      </c>
    </row>
    <row r="3884" spans="1:24" x14ac:dyDescent="0.25">
      <c r="A3884" s="17"/>
      <c r="B3884" s="17"/>
      <c r="C3884" s="17"/>
      <c r="D3884" s="17"/>
      <c r="E3884" s="17"/>
      <c r="F3884" s="17"/>
      <c r="G3884" s="17"/>
      <c r="H3884" s="17"/>
      <c r="I3884" s="17"/>
      <c r="J3884" s="17"/>
      <c r="K3884" s="17"/>
      <c r="L3884" s="17"/>
      <c r="M3884" s="17"/>
      <c r="N3884" s="17"/>
      <c r="O3884" s="17"/>
      <c r="P3884" s="17"/>
      <c r="Q3884" s="17"/>
      <c r="R3884" s="17"/>
      <c r="S3884" s="17"/>
      <c r="T3884" s="17"/>
      <c r="U3884" s="17"/>
      <c r="V3884" s="18">
        <v>0</v>
      </c>
      <c r="W3884" s="17">
        <f t="shared" si="122"/>
        <v>0</v>
      </c>
      <c r="X3884" s="5">
        <f t="shared" si="123"/>
        <v>0</v>
      </c>
    </row>
    <row r="3885" spans="1:24" x14ac:dyDescent="0.25">
      <c r="A3885" s="17"/>
      <c r="B3885" s="17"/>
      <c r="C3885" s="17"/>
      <c r="D3885" s="17"/>
      <c r="E3885" s="17"/>
      <c r="F3885" s="17"/>
      <c r="G3885" s="17"/>
      <c r="H3885" s="17"/>
      <c r="I3885" s="17"/>
      <c r="J3885" s="17"/>
      <c r="K3885" s="17"/>
      <c r="L3885" s="17"/>
      <c r="M3885" s="17"/>
      <c r="N3885" s="17"/>
      <c r="O3885" s="17"/>
      <c r="P3885" s="17"/>
      <c r="Q3885" s="17"/>
      <c r="R3885" s="17"/>
      <c r="S3885" s="17"/>
      <c r="T3885" s="17"/>
      <c r="U3885" s="17"/>
      <c r="V3885" s="18">
        <v>0</v>
      </c>
      <c r="W3885" s="17">
        <f t="shared" si="122"/>
        <v>0</v>
      </c>
      <c r="X3885" s="5">
        <f t="shared" si="123"/>
        <v>0</v>
      </c>
    </row>
    <row r="3886" spans="1:24" x14ac:dyDescent="0.25">
      <c r="A3886" s="17"/>
      <c r="B3886" s="17"/>
      <c r="C3886" s="17"/>
      <c r="D3886" s="17"/>
      <c r="E3886" s="17"/>
      <c r="F3886" s="17"/>
      <c r="G3886" s="17"/>
      <c r="H3886" s="17"/>
      <c r="I3886" s="17"/>
      <c r="J3886" s="17"/>
      <c r="K3886" s="17"/>
      <c r="L3886" s="17"/>
      <c r="M3886" s="17"/>
      <c r="N3886" s="17"/>
      <c r="O3886" s="17"/>
      <c r="P3886" s="17"/>
      <c r="Q3886" s="17"/>
      <c r="R3886" s="17"/>
      <c r="S3886" s="17"/>
      <c r="T3886" s="17"/>
      <c r="U3886" s="17"/>
      <c r="V3886" s="18">
        <v>0</v>
      </c>
      <c r="W3886" s="17">
        <f t="shared" si="122"/>
        <v>0</v>
      </c>
      <c r="X3886" s="5">
        <f t="shared" si="123"/>
        <v>0</v>
      </c>
    </row>
    <row r="3887" spans="1:24" x14ac:dyDescent="0.25">
      <c r="A3887" s="17"/>
      <c r="B3887" s="17"/>
      <c r="C3887" s="17"/>
      <c r="D3887" s="17"/>
      <c r="E3887" s="17"/>
      <c r="F3887" s="17"/>
      <c r="G3887" s="17"/>
      <c r="H3887" s="17"/>
      <c r="I3887" s="17"/>
      <c r="J3887" s="17"/>
      <c r="K3887" s="17"/>
      <c r="L3887" s="17"/>
      <c r="M3887" s="17"/>
      <c r="N3887" s="17"/>
      <c r="O3887" s="17"/>
      <c r="P3887" s="17"/>
      <c r="Q3887" s="17"/>
      <c r="R3887" s="17"/>
      <c r="S3887" s="17"/>
      <c r="T3887" s="17"/>
      <c r="U3887" s="17"/>
      <c r="V3887" s="18">
        <v>0</v>
      </c>
      <c r="W3887" s="17">
        <f t="shared" si="122"/>
        <v>0</v>
      </c>
      <c r="X3887" s="5">
        <f t="shared" si="123"/>
        <v>0</v>
      </c>
    </row>
    <row r="3888" spans="1:24" x14ac:dyDescent="0.25">
      <c r="A3888" s="17"/>
      <c r="B3888" s="17"/>
      <c r="C3888" s="17"/>
      <c r="D3888" s="17"/>
      <c r="E3888" s="17"/>
      <c r="F3888" s="17"/>
      <c r="G3888" s="17"/>
      <c r="H3888" s="17"/>
      <c r="I3888" s="17"/>
      <c r="J3888" s="17"/>
      <c r="K3888" s="17"/>
      <c r="L3888" s="17"/>
      <c r="M3888" s="17"/>
      <c r="N3888" s="17"/>
      <c r="O3888" s="17"/>
      <c r="P3888" s="17"/>
      <c r="Q3888" s="17"/>
      <c r="R3888" s="17"/>
      <c r="S3888" s="17"/>
      <c r="T3888" s="17"/>
      <c r="U3888" s="17"/>
      <c r="V3888" s="18">
        <v>0</v>
      </c>
      <c r="W3888" s="17">
        <f t="shared" si="122"/>
        <v>0</v>
      </c>
      <c r="X3888" s="5">
        <f t="shared" si="123"/>
        <v>0</v>
      </c>
    </row>
    <row r="3889" spans="1:24" x14ac:dyDescent="0.25">
      <c r="A3889" s="17"/>
      <c r="B3889" s="17"/>
      <c r="C3889" s="17"/>
      <c r="D3889" s="17"/>
      <c r="E3889" s="17"/>
      <c r="F3889" s="17"/>
      <c r="G3889" s="17"/>
      <c r="H3889" s="17"/>
      <c r="I3889" s="17"/>
      <c r="J3889" s="17"/>
      <c r="K3889" s="17"/>
      <c r="L3889" s="17"/>
      <c r="M3889" s="17"/>
      <c r="N3889" s="17"/>
      <c r="O3889" s="17"/>
      <c r="P3889" s="17"/>
      <c r="Q3889" s="17"/>
      <c r="R3889" s="17"/>
      <c r="S3889" s="17"/>
      <c r="T3889" s="17"/>
      <c r="U3889" s="17"/>
      <c r="V3889" s="18">
        <v>0</v>
      </c>
      <c r="W3889" s="17">
        <f t="shared" si="122"/>
        <v>0</v>
      </c>
      <c r="X3889" s="5">
        <f t="shared" si="123"/>
        <v>0</v>
      </c>
    </row>
    <row r="3890" spans="1:24" x14ac:dyDescent="0.25">
      <c r="A3890" s="17"/>
      <c r="B3890" s="17"/>
      <c r="C3890" s="17"/>
      <c r="D3890" s="17"/>
      <c r="E3890" s="17"/>
      <c r="F3890" s="17"/>
      <c r="G3890" s="17"/>
      <c r="H3890" s="17"/>
      <c r="I3890" s="17"/>
      <c r="J3890" s="17"/>
      <c r="K3890" s="17"/>
      <c r="L3890" s="17"/>
      <c r="M3890" s="17"/>
      <c r="N3890" s="17"/>
      <c r="O3890" s="17"/>
      <c r="P3890" s="17"/>
      <c r="Q3890" s="17"/>
      <c r="R3890" s="17"/>
      <c r="S3890" s="17"/>
      <c r="T3890" s="17"/>
      <c r="U3890" s="17"/>
      <c r="V3890" s="18">
        <v>0</v>
      </c>
      <c r="W3890" s="17">
        <f t="shared" si="122"/>
        <v>0</v>
      </c>
      <c r="X3890" s="5">
        <f t="shared" si="123"/>
        <v>0</v>
      </c>
    </row>
    <row r="3891" spans="1:24" x14ac:dyDescent="0.25">
      <c r="A3891" s="17"/>
      <c r="B3891" s="17"/>
      <c r="C3891" s="17"/>
      <c r="D3891" s="17"/>
      <c r="E3891" s="17"/>
      <c r="F3891" s="17"/>
      <c r="G3891" s="17"/>
      <c r="H3891" s="17"/>
      <c r="I3891" s="17"/>
      <c r="J3891" s="17"/>
      <c r="K3891" s="17"/>
      <c r="L3891" s="17"/>
      <c r="M3891" s="17"/>
      <c r="N3891" s="17"/>
      <c r="O3891" s="17"/>
      <c r="P3891" s="17"/>
      <c r="Q3891" s="17"/>
      <c r="R3891" s="17"/>
      <c r="S3891" s="17"/>
      <c r="T3891" s="17"/>
      <c r="U3891" s="17"/>
      <c r="V3891" s="18">
        <v>0</v>
      </c>
      <c r="W3891" s="17">
        <f t="shared" si="122"/>
        <v>0</v>
      </c>
      <c r="X3891" s="5">
        <f t="shared" si="123"/>
        <v>0</v>
      </c>
    </row>
    <row r="3892" spans="1:24" x14ac:dyDescent="0.25">
      <c r="A3892" s="17"/>
      <c r="B3892" s="17"/>
      <c r="C3892" s="17"/>
      <c r="D3892" s="17"/>
      <c r="E3892" s="17"/>
      <c r="F3892" s="17"/>
      <c r="G3892" s="17"/>
      <c r="H3892" s="17"/>
      <c r="I3892" s="17"/>
      <c r="J3892" s="17"/>
      <c r="K3892" s="17"/>
      <c r="L3892" s="17"/>
      <c r="M3892" s="17"/>
      <c r="N3892" s="17"/>
      <c r="O3892" s="17"/>
      <c r="P3892" s="17"/>
      <c r="Q3892" s="17"/>
      <c r="R3892" s="17"/>
      <c r="S3892" s="17"/>
      <c r="T3892" s="17"/>
      <c r="U3892" s="17"/>
      <c r="V3892" s="18">
        <v>0</v>
      </c>
      <c r="W3892" s="17">
        <f t="shared" si="122"/>
        <v>0</v>
      </c>
      <c r="X3892" s="5">
        <f t="shared" si="123"/>
        <v>0</v>
      </c>
    </row>
    <row r="3893" spans="1:24" x14ac:dyDescent="0.25">
      <c r="A3893" s="17"/>
      <c r="B3893" s="17"/>
      <c r="C3893" s="17"/>
      <c r="D3893" s="17"/>
      <c r="E3893" s="17"/>
      <c r="F3893" s="17"/>
      <c r="G3893" s="17"/>
      <c r="H3893" s="17"/>
      <c r="I3893" s="17"/>
      <c r="J3893" s="17"/>
      <c r="K3893" s="17"/>
      <c r="L3893" s="17"/>
      <c r="M3893" s="17"/>
      <c r="N3893" s="17"/>
      <c r="O3893" s="17"/>
      <c r="P3893" s="17"/>
      <c r="Q3893" s="17"/>
      <c r="R3893" s="17"/>
      <c r="S3893" s="17"/>
      <c r="T3893" s="17"/>
      <c r="U3893" s="17"/>
      <c r="V3893" s="18">
        <v>0</v>
      </c>
      <c r="W3893" s="17">
        <f t="shared" si="122"/>
        <v>0</v>
      </c>
      <c r="X3893" s="5">
        <f t="shared" si="123"/>
        <v>0</v>
      </c>
    </row>
    <row r="3894" spans="1:24" x14ac:dyDescent="0.25">
      <c r="A3894" s="17"/>
      <c r="B3894" s="17"/>
      <c r="C3894" s="17"/>
      <c r="D3894" s="17"/>
      <c r="E3894" s="17"/>
      <c r="F3894" s="17"/>
      <c r="G3894" s="17"/>
      <c r="H3894" s="17"/>
      <c r="I3894" s="17"/>
      <c r="J3894" s="17"/>
      <c r="K3894" s="17"/>
      <c r="L3894" s="17"/>
      <c r="M3894" s="17"/>
      <c r="N3894" s="17"/>
      <c r="O3894" s="17"/>
      <c r="P3894" s="17"/>
      <c r="Q3894" s="17"/>
      <c r="R3894" s="17"/>
      <c r="S3894" s="17"/>
      <c r="T3894" s="17"/>
      <c r="U3894" s="17"/>
      <c r="V3894" s="18">
        <v>0</v>
      </c>
      <c r="W3894" s="17">
        <f t="shared" si="122"/>
        <v>0</v>
      </c>
      <c r="X3894" s="5">
        <f t="shared" si="123"/>
        <v>0</v>
      </c>
    </row>
    <row r="3895" spans="1:24" x14ac:dyDescent="0.25">
      <c r="A3895" s="17"/>
      <c r="B3895" s="17"/>
      <c r="C3895" s="17"/>
      <c r="D3895" s="17"/>
      <c r="E3895" s="17"/>
      <c r="F3895" s="17"/>
      <c r="G3895" s="17"/>
      <c r="H3895" s="17"/>
      <c r="I3895" s="17"/>
      <c r="J3895" s="17"/>
      <c r="K3895" s="17"/>
      <c r="L3895" s="17"/>
      <c r="M3895" s="17"/>
      <c r="N3895" s="17"/>
      <c r="O3895" s="17"/>
      <c r="P3895" s="17"/>
      <c r="Q3895" s="17"/>
      <c r="R3895" s="17"/>
      <c r="S3895" s="17"/>
      <c r="T3895" s="17"/>
      <c r="U3895" s="17"/>
      <c r="V3895" s="18">
        <v>0</v>
      </c>
      <c r="W3895" s="17">
        <f t="shared" si="122"/>
        <v>0</v>
      </c>
      <c r="X3895" s="5">
        <f t="shared" si="123"/>
        <v>0</v>
      </c>
    </row>
    <row r="3896" spans="1:24" x14ac:dyDescent="0.25">
      <c r="A3896" s="17"/>
      <c r="B3896" s="17"/>
      <c r="C3896" s="17"/>
      <c r="D3896" s="17"/>
      <c r="E3896" s="17"/>
      <c r="F3896" s="17"/>
      <c r="G3896" s="17"/>
      <c r="H3896" s="17"/>
      <c r="I3896" s="17"/>
      <c r="J3896" s="17"/>
      <c r="K3896" s="17"/>
      <c r="L3896" s="17"/>
      <c r="M3896" s="17"/>
      <c r="N3896" s="17"/>
      <c r="O3896" s="17"/>
      <c r="P3896" s="17"/>
      <c r="Q3896" s="17"/>
      <c r="R3896" s="17"/>
      <c r="S3896" s="17"/>
      <c r="T3896" s="17"/>
      <c r="U3896" s="17"/>
      <c r="V3896" s="18">
        <v>0</v>
      </c>
      <c r="W3896" s="17">
        <f t="shared" si="122"/>
        <v>0</v>
      </c>
      <c r="X3896" s="5">
        <f t="shared" si="123"/>
        <v>0</v>
      </c>
    </row>
    <row r="3897" spans="1:24" x14ac:dyDescent="0.25">
      <c r="A3897" s="17"/>
      <c r="B3897" s="17"/>
      <c r="C3897" s="17"/>
      <c r="D3897" s="17"/>
      <c r="E3897" s="17"/>
      <c r="F3897" s="17"/>
      <c r="G3897" s="17"/>
      <c r="H3897" s="17"/>
      <c r="I3897" s="17"/>
      <c r="J3897" s="17"/>
      <c r="K3897" s="17"/>
      <c r="L3897" s="17"/>
      <c r="M3897" s="17"/>
      <c r="N3897" s="17"/>
      <c r="O3897" s="17"/>
      <c r="P3897" s="17"/>
      <c r="Q3897" s="17"/>
      <c r="R3897" s="17"/>
      <c r="S3897" s="17"/>
      <c r="T3897" s="17"/>
      <c r="U3897" s="17"/>
      <c r="V3897" s="18">
        <v>0</v>
      </c>
      <c r="W3897" s="17">
        <f t="shared" si="122"/>
        <v>0</v>
      </c>
      <c r="X3897" s="5">
        <f t="shared" si="123"/>
        <v>0</v>
      </c>
    </row>
    <row r="3898" spans="1:24" x14ac:dyDescent="0.25">
      <c r="A3898" s="17"/>
      <c r="B3898" s="17"/>
      <c r="C3898" s="17"/>
      <c r="D3898" s="17"/>
      <c r="E3898" s="17"/>
      <c r="F3898" s="17"/>
      <c r="G3898" s="17"/>
      <c r="H3898" s="17"/>
      <c r="I3898" s="17"/>
      <c r="J3898" s="17"/>
      <c r="K3898" s="17"/>
      <c r="L3898" s="17"/>
      <c r="M3898" s="17"/>
      <c r="N3898" s="17"/>
      <c r="O3898" s="17"/>
      <c r="P3898" s="17"/>
      <c r="Q3898" s="17"/>
      <c r="R3898" s="17"/>
      <c r="S3898" s="17"/>
      <c r="T3898" s="17"/>
      <c r="U3898" s="17"/>
      <c r="V3898" s="18">
        <v>0</v>
      </c>
      <c r="W3898" s="17">
        <f t="shared" si="122"/>
        <v>0</v>
      </c>
      <c r="X3898" s="5">
        <f t="shared" si="123"/>
        <v>0</v>
      </c>
    </row>
    <row r="3899" spans="1:24" x14ac:dyDescent="0.25">
      <c r="A3899" s="17"/>
      <c r="B3899" s="17"/>
      <c r="C3899" s="17"/>
      <c r="D3899" s="17"/>
      <c r="E3899" s="17"/>
      <c r="F3899" s="17"/>
      <c r="G3899" s="17"/>
      <c r="H3899" s="17"/>
      <c r="I3899" s="17"/>
      <c r="J3899" s="17"/>
      <c r="K3899" s="17"/>
      <c r="L3899" s="17"/>
      <c r="M3899" s="17"/>
      <c r="N3899" s="17"/>
      <c r="O3899" s="17"/>
      <c r="P3899" s="17"/>
      <c r="Q3899" s="17"/>
      <c r="R3899" s="17"/>
      <c r="S3899" s="17"/>
      <c r="T3899" s="17"/>
      <c r="U3899" s="17"/>
      <c r="V3899" s="18">
        <v>0</v>
      </c>
      <c r="W3899" s="17">
        <f t="shared" si="122"/>
        <v>0</v>
      </c>
      <c r="X3899" s="5">
        <f t="shared" si="123"/>
        <v>0</v>
      </c>
    </row>
    <row r="3900" spans="1:24" x14ac:dyDescent="0.25">
      <c r="A3900" s="17"/>
      <c r="B3900" s="17"/>
      <c r="C3900" s="17"/>
      <c r="D3900" s="17"/>
      <c r="E3900" s="17"/>
      <c r="F3900" s="17"/>
      <c r="G3900" s="17"/>
      <c r="H3900" s="17"/>
      <c r="I3900" s="17"/>
      <c r="J3900" s="17"/>
      <c r="K3900" s="17"/>
      <c r="L3900" s="17"/>
      <c r="M3900" s="17"/>
      <c r="N3900" s="17"/>
      <c r="O3900" s="17"/>
      <c r="P3900" s="17"/>
      <c r="Q3900" s="17"/>
      <c r="R3900" s="17"/>
      <c r="S3900" s="17"/>
      <c r="T3900" s="17"/>
      <c r="U3900" s="17"/>
      <c r="V3900" s="18">
        <v>0</v>
      </c>
      <c r="W3900" s="17">
        <f t="shared" si="122"/>
        <v>0</v>
      </c>
      <c r="X3900" s="5">
        <f t="shared" si="123"/>
        <v>0</v>
      </c>
    </row>
    <row r="3901" spans="1:24" x14ac:dyDescent="0.25">
      <c r="A3901" s="17"/>
      <c r="B3901" s="17"/>
      <c r="C3901" s="17"/>
      <c r="D3901" s="17"/>
      <c r="E3901" s="17"/>
      <c r="F3901" s="17"/>
      <c r="G3901" s="17"/>
      <c r="H3901" s="17"/>
      <c r="I3901" s="17"/>
      <c r="J3901" s="17"/>
      <c r="K3901" s="17"/>
      <c r="L3901" s="17"/>
      <c r="M3901" s="17"/>
      <c r="N3901" s="17"/>
      <c r="O3901" s="17"/>
      <c r="P3901" s="17"/>
      <c r="Q3901" s="17"/>
      <c r="R3901" s="17"/>
      <c r="S3901" s="17"/>
      <c r="T3901" s="17"/>
      <c r="U3901" s="17"/>
      <c r="V3901" s="18">
        <v>0</v>
      </c>
      <c r="W3901" s="17">
        <f t="shared" si="122"/>
        <v>0</v>
      </c>
      <c r="X3901" s="5">
        <f t="shared" si="123"/>
        <v>0</v>
      </c>
    </row>
    <row r="3902" spans="1:24" x14ac:dyDescent="0.25">
      <c r="A3902" s="17"/>
      <c r="B3902" s="17"/>
      <c r="C3902" s="17"/>
      <c r="D3902" s="17"/>
      <c r="E3902" s="17"/>
      <c r="F3902" s="17"/>
      <c r="G3902" s="17"/>
      <c r="H3902" s="17"/>
      <c r="I3902" s="17"/>
      <c r="J3902" s="17"/>
      <c r="K3902" s="17"/>
      <c r="L3902" s="17"/>
      <c r="M3902" s="17"/>
      <c r="N3902" s="17"/>
      <c r="O3902" s="17"/>
      <c r="P3902" s="17"/>
      <c r="Q3902" s="17"/>
      <c r="R3902" s="17"/>
      <c r="S3902" s="17"/>
      <c r="T3902" s="17"/>
      <c r="U3902" s="17"/>
      <c r="V3902" s="18">
        <v>0</v>
      </c>
      <c r="W3902" s="17">
        <f t="shared" si="122"/>
        <v>0</v>
      </c>
      <c r="X3902" s="5">
        <f t="shared" si="123"/>
        <v>0</v>
      </c>
    </row>
    <row r="3903" spans="1:24" x14ac:dyDescent="0.25">
      <c r="A3903" s="17"/>
      <c r="B3903" s="17"/>
      <c r="C3903" s="17"/>
      <c r="D3903" s="17"/>
      <c r="E3903" s="17"/>
      <c r="F3903" s="17"/>
      <c r="G3903" s="17"/>
      <c r="H3903" s="17"/>
      <c r="I3903" s="17"/>
      <c r="J3903" s="17"/>
      <c r="K3903" s="17"/>
      <c r="L3903" s="17"/>
      <c r="M3903" s="17"/>
      <c r="N3903" s="17"/>
      <c r="O3903" s="17"/>
      <c r="P3903" s="17"/>
      <c r="Q3903" s="17"/>
      <c r="R3903" s="17"/>
      <c r="S3903" s="17"/>
      <c r="T3903" s="17"/>
      <c r="U3903" s="17"/>
      <c r="V3903" s="18">
        <v>0</v>
      </c>
      <c r="W3903" s="17">
        <f t="shared" si="122"/>
        <v>0</v>
      </c>
      <c r="X3903" s="5">
        <f t="shared" si="123"/>
        <v>0</v>
      </c>
    </row>
    <row r="3904" spans="1:24" x14ac:dyDescent="0.25">
      <c r="A3904" s="17"/>
      <c r="B3904" s="17"/>
      <c r="C3904" s="17"/>
      <c r="D3904" s="17"/>
      <c r="E3904" s="17"/>
      <c r="F3904" s="17"/>
      <c r="G3904" s="17"/>
      <c r="H3904" s="17"/>
      <c r="I3904" s="17"/>
      <c r="J3904" s="17"/>
      <c r="K3904" s="17"/>
      <c r="L3904" s="17"/>
      <c r="M3904" s="17"/>
      <c r="N3904" s="17"/>
      <c r="O3904" s="17"/>
      <c r="P3904" s="17"/>
      <c r="Q3904" s="17"/>
      <c r="R3904" s="17"/>
      <c r="S3904" s="17"/>
      <c r="T3904" s="17"/>
      <c r="U3904" s="17"/>
      <c r="V3904" s="18">
        <v>0</v>
      </c>
      <c r="W3904" s="17">
        <f t="shared" si="122"/>
        <v>0</v>
      </c>
      <c r="X3904" s="5">
        <f t="shared" si="123"/>
        <v>0</v>
      </c>
    </row>
    <row r="3905" spans="1:24" x14ac:dyDescent="0.25">
      <c r="A3905" s="17"/>
      <c r="B3905" s="17"/>
      <c r="C3905" s="17"/>
      <c r="D3905" s="17"/>
      <c r="E3905" s="17"/>
      <c r="F3905" s="17"/>
      <c r="G3905" s="17"/>
      <c r="H3905" s="17"/>
      <c r="I3905" s="17"/>
      <c r="J3905" s="17"/>
      <c r="K3905" s="17"/>
      <c r="L3905" s="17"/>
      <c r="M3905" s="17"/>
      <c r="N3905" s="17"/>
      <c r="O3905" s="17"/>
      <c r="P3905" s="17"/>
      <c r="Q3905" s="17"/>
      <c r="R3905" s="17"/>
      <c r="S3905" s="17"/>
      <c r="T3905" s="17"/>
      <c r="U3905" s="17"/>
      <c r="V3905" s="18">
        <v>0</v>
      </c>
      <c r="W3905" s="17">
        <f t="shared" si="122"/>
        <v>0</v>
      </c>
      <c r="X3905" s="5">
        <f t="shared" si="123"/>
        <v>0</v>
      </c>
    </row>
    <row r="3906" spans="1:24" x14ac:dyDescent="0.25">
      <c r="A3906" s="17"/>
      <c r="B3906" s="17"/>
      <c r="C3906" s="17"/>
      <c r="D3906" s="17"/>
      <c r="E3906" s="17"/>
      <c r="F3906" s="17"/>
      <c r="G3906" s="17"/>
      <c r="H3906" s="17"/>
      <c r="I3906" s="17"/>
      <c r="J3906" s="17"/>
      <c r="K3906" s="17"/>
      <c r="L3906" s="17"/>
      <c r="M3906" s="17"/>
      <c r="N3906" s="17"/>
      <c r="O3906" s="17"/>
      <c r="P3906" s="17"/>
      <c r="Q3906" s="17"/>
      <c r="R3906" s="17"/>
      <c r="S3906" s="17"/>
      <c r="T3906" s="17"/>
      <c r="U3906" s="17"/>
      <c r="V3906" s="18">
        <v>0</v>
      </c>
      <c r="W3906" s="17">
        <f t="shared" si="122"/>
        <v>0</v>
      </c>
      <c r="X3906" s="5">
        <f t="shared" si="123"/>
        <v>0</v>
      </c>
    </row>
    <row r="3907" spans="1:24" x14ac:dyDescent="0.25">
      <c r="A3907" s="17"/>
      <c r="B3907" s="17"/>
      <c r="C3907" s="17"/>
      <c r="D3907" s="17"/>
      <c r="E3907" s="17"/>
      <c r="F3907" s="17"/>
      <c r="G3907" s="17"/>
      <c r="H3907" s="17"/>
      <c r="I3907" s="17"/>
      <c r="J3907" s="17"/>
      <c r="K3907" s="17"/>
      <c r="L3907" s="17"/>
      <c r="M3907" s="17"/>
      <c r="N3907" s="17"/>
      <c r="O3907" s="17"/>
      <c r="P3907" s="17"/>
      <c r="Q3907" s="17"/>
      <c r="R3907" s="17"/>
      <c r="S3907" s="17"/>
      <c r="T3907" s="17"/>
      <c r="U3907" s="17"/>
      <c r="V3907" s="18">
        <v>0</v>
      </c>
      <c r="W3907" s="17">
        <f t="shared" ref="W3907:W3970" si="124">HOUR(E3907)</f>
        <v>0</v>
      </c>
      <c r="X3907" s="5">
        <f t="shared" ref="X3907:X3970" si="125">IF(D3907=D3906,0,1)</f>
        <v>0</v>
      </c>
    </row>
    <row r="3908" spans="1:24" x14ac:dyDescent="0.25">
      <c r="A3908" s="17"/>
      <c r="B3908" s="17"/>
      <c r="C3908" s="17"/>
      <c r="D3908" s="17"/>
      <c r="E3908" s="17"/>
      <c r="F3908" s="17"/>
      <c r="G3908" s="17"/>
      <c r="H3908" s="17"/>
      <c r="I3908" s="17"/>
      <c r="J3908" s="17"/>
      <c r="K3908" s="17"/>
      <c r="L3908" s="17"/>
      <c r="M3908" s="17"/>
      <c r="N3908" s="17"/>
      <c r="O3908" s="17"/>
      <c r="P3908" s="17"/>
      <c r="Q3908" s="17"/>
      <c r="R3908" s="17"/>
      <c r="S3908" s="17"/>
      <c r="T3908" s="17"/>
      <c r="U3908" s="17"/>
      <c r="V3908" s="18">
        <v>0</v>
      </c>
      <c r="W3908" s="17">
        <f t="shared" si="124"/>
        <v>0</v>
      </c>
      <c r="X3908" s="5">
        <f t="shared" si="125"/>
        <v>0</v>
      </c>
    </row>
    <row r="3909" spans="1:24" x14ac:dyDescent="0.25">
      <c r="A3909" s="17"/>
      <c r="B3909" s="17"/>
      <c r="C3909" s="17"/>
      <c r="D3909" s="17"/>
      <c r="E3909" s="17"/>
      <c r="F3909" s="17"/>
      <c r="G3909" s="17"/>
      <c r="H3909" s="17"/>
      <c r="I3909" s="17"/>
      <c r="J3909" s="17"/>
      <c r="K3909" s="17"/>
      <c r="L3909" s="17"/>
      <c r="M3909" s="17"/>
      <c r="N3909" s="17"/>
      <c r="O3909" s="17"/>
      <c r="P3909" s="17"/>
      <c r="Q3909" s="17"/>
      <c r="R3909" s="17"/>
      <c r="S3909" s="17"/>
      <c r="T3909" s="17"/>
      <c r="U3909" s="17"/>
      <c r="V3909" s="18">
        <v>0</v>
      </c>
      <c r="W3909" s="17">
        <f t="shared" si="124"/>
        <v>0</v>
      </c>
      <c r="X3909" s="5">
        <f t="shared" si="125"/>
        <v>0</v>
      </c>
    </row>
    <row r="3910" spans="1:24" x14ac:dyDescent="0.25">
      <c r="A3910" s="17"/>
      <c r="B3910" s="17"/>
      <c r="C3910" s="17"/>
      <c r="D3910" s="17"/>
      <c r="E3910" s="17"/>
      <c r="F3910" s="17"/>
      <c r="G3910" s="17"/>
      <c r="H3910" s="17"/>
      <c r="I3910" s="17"/>
      <c r="J3910" s="17"/>
      <c r="K3910" s="17"/>
      <c r="L3910" s="17"/>
      <c r="M3910" s="17"/>
      <c r="N3910" s="17"/>
      <c r="O3910" s="17"/>
      <c r="P3910" s="17"/>
      <c r="Q3910" s="17"/>
      <c r="R3910" s="17"/>
      <c r="S3910" s="17"/>
      <c r="T3910" s="17"/>
      <c r="U3910" s="17"/>
      <c r="V3910" s="18">
        <v>0</v>
      </c>
      <c r="W3910" s="17">
        <f t="shared" si="124"/>
        <v>0</v>
      </c>
      <c r="X3910" s="5">
        <f t="shared" si="125"/>
        <v>0</v>
      </c>
    </row>
    <row r="3911" spans="1:24" x14ac:dyDescent="0.25">
      <c r="A3911" s="17"/>
      <c r="B3911" s="17"/>
      <c r="C3911" s="17"/>
      <c r="D3911" s="17"/>
      <c r="E3911" s="17"/>
      <c r="F3911" s="17"/>
      <c r="G3911" s="17"/>
      <c r="H3911" s="17"/>
      <c r="I3911" s="17"/>
      <c r="J3911" s="17"/>
      <c r="K3911" s="17"/>
      <c r="L3911" s="17"/>
      <c r="M3911" s="17"/>
      <c r="N3911" s="17"/>
      <c r="O3911" s="17"/>
      <c r="P3911" s="17"/>
      <c r="Q3911" s="17"/>
      <c r="R3911" s="17"/>
      <c r="S3911" s="17"/>
      <c r="T3911" s="17"/>
      <c r="U3911" s="17"/>
      <c r="V3911" s="18">
        <v>0</v>
      </c>
      <c r="W3911" s="17">
        <f t="shared" si="124"/>
        <v>0</v>
      </c>
      <c r="X3911" s="5">
        <f t="shared" si="125"/>
        <v>0</v>
      </c>
    </row>
    <row r="3912" spans="1:24" x14ac:dyDescent="0.25">
      <c r="A3912" s="17"/>
      <c r="B3912" s="17"/>
      <c r="C3912" s="17"/>
      <c r="D3912" s="17"/>
      <c r="E3912" s="17"/>
      <c r="F3912" s="17"/>
      <c r="G3912" s="17"/>
      <c r="H3912" s="17"/>
      <c r="I3912" s="17"/>
      <c r="J3912" s="17"/>
      <c r="K3912" s="17"/>
      <c r="L3912" s="17"/>
      <c r="M3912" s="17"/>
      <c r="N3912" s="17"/>
      <c r="O3912" s="17"/>
      <c r="P3912" s="17"/>
      <c r="Q3912" s="17"/>
      <c r="R3912" s="17"/>
      <c r="S3912" s="17"/>
      <c r="T3912" s="17"/>
      <c r="U3912" s="17"/>
      <c r="V3912" s="18">
        <v>0</v>
      </c>
      <c r="W3912" s="17">
        <f t="shared" si="124"/>
        <v>0</v>
      </c>
      <c r="X3912" s="5">
        <f t="shared" si="125"/>
        <v>0</v>
      </c>
    </row>
    <row r="3913" spans="1:24" x14ac:dyDescent="0.25">
      <c r="A3913" s="17"/>
      <c r="B3913" s="17"/>
      <c r="C3913" s="17"/>
      <c r="D3913" s="17"/>
      <c r="E3913" s="17"/>
      <c r="F3913" s="17"/>
      <c r="G3913" s="17"/>
      <c r="H3913" s="17"/>
      <c r="I3913" s="17"/>
      <c r="J3913" s="17"/>
      <c r="K3913" s="17"/>
      <c r="L3913" s="17"/>
      <c r="M3913" s="17"/>
      <c r="N3913" s="17"/>
      <c r="O3913" s="17"/>
      <c r="P3913" s="17"/>
      <c r="Q3913" s="17"/>
      <c r="R3913" s="17"/>
      <c r="S3913" s="17"/>
      <c r="T3913" s="17"/>
      <c r="U3913" s="17"/>
      <c r="V3913" s="18">
        <v>0</v>
      </c>
      <c r="W3913" s="17">
        <f t="shared" si="124"/>
        <v>0</v>
      </c>
      <c r="X3913" s="5">
        <f t="shared" si="125"/>
        <v>0</v>
      </c>
    </row>
    <row r="3914" spans="1:24" x14ac:dyDescent="0.25">
      <c r="A3914" s="17"/>
      <c r="B3914" s="17"/>
      <c r="C3914" s="17"/>
      <c r="D3914" s="17"/>
      <c r="E3914" s="17"/>
      <c r="F3914" s="17"/>
      <c r="G3914" s="17"/>
      <c r="H3914" s="17"/>
      <c r="I3914" s="17"/>
      <c r="J3914" s="17"/>
      <c r="K3914" s="17"/>
      <c r="L3914" s="17"/>
      <c r="M3914" s="17"/>
      <c r="N3914" s="17"/>
      <c r="O3914" s="17"/>
      <c r="P3914" s="17"/>
      <c r="Q3914" s="17"/>
      <c r="R3914" s="17"/>
      <c r="S3914" s="17"/>
      <c r="T3914" s="17"/>
      <c r="U3914" s="17"/>
      <c r="V3914" s="18">
        <v>0</v>
      </c>
      <c r="W3914" s="17">
        <f t="shared" si="124"/>
        <v>0</v>
      </c>
      <c r="X3914" s="5">
        <f t="shared" si="125"/>
        <v>0</v>
      </c>
    </row>
    <row r="3915" spans="1:24" x14ac:dyDescent="0.25">
      <c r="A3915" s="17"/>
      <c r="B3915" s="17"/>
      <c r="C3915" s="17"/>
      <c r="D3915" s="17"/>
      <c r="E3915" s="17"/>
      <c r="F3915" s="17"/>
      <c r="G3915" s="17"/>
      <c r="H3915" s="17"/>
      <c r="I3915" s="17"/>
      <c r="J3915" s="17"/>
      <c r="K3915" s="17"/>
      <c r="L3915" s="17"/>
      <c r="M3915" s="17"/>
      <c r="N3915" s="17"/>
      <c r="O3915" s="17"/>
      <c r="P3915" s="17"/>
      <c r="Q3915" s="17"/>
      <c r="R3915" s="17"/>
      <c r="S3915" s="17"/>
      <c r="T3915" s="17"/>
      <c r="U3915" s="17"/>
      <c r="V3915" s="18">
        <v>0</v>
      </c>
      <c r="W3915" s="17">
        <f t="shared" si="124"/>
        <v>0</v>
      </c>
      <c r="X3915" s="5">
        <f t="shared" si="125"/>
        <v>0</v>
      </c>
    </row>
    <row r="3916" spans="1:24" x14ac:dyDescent="0.25">
      <c r="A3916" s="17"/>
      <c r="B3916" s="17"/>
      <c r="C3916" s="17"/>
      <c r="D3916" s="17"/>
      <c r="E3916" s="17"/>
      <c r="F3916" s="17"/>
      <c r="G3916" s="17"/>
      <c r="H3916" s="17"/>
      <c r="I3916" s="17"/>
      <c r="J3916" s="17"/>
      <c r="K3916" s="17"/>
      <c r="L3916" s="17"/>
      <c r="M3916" s="17"/>
      <c r="N3916" s="17"/>
      <c r="O3916" s="17"/>
      <c r="P3916" s="17"/>
      <c r="Q3916" s="17"/>
      <c r="R3916" s="17"/>
      <c r="S3916" s="17"/>
      <c r="T3916" s="17"/>
      <c r="U3916" s="17"/>
      <c r="V3916" s="18">
        <v>0</v>
      </c>
      <c r="W3916" s="17">
        <f t="shared" si="124"/>
        <v>0</v>
      </c>
      <c r="X3916" s="5">
        <f t="shared" si="125"/>
        <v>0</v>
      </c>
    </row>
    <row r="3917" spans="1:24" x14ac:dyDescent="0.25">
      <c r="A3917" s="17"/>
      <c r="B3917" s="17"/>
      <c r="C3917" s="17"/>
      <c r="D3917" s="17"/>
      <c r="E3917" s="17"/>
      <c r="F3917" s="17"/>
      <c r="G3917" s="17"/>
      <c r="H3917" s="17"/>
      <c r="I3917" s="17"/>
      <c r="J3917" s="17"/>
      <c r="K3917" s="17"/>
      <c r="L3917" s="17"/>
      <c r="M3917" s="17"/>
      <c r="N3917" s="17"/>
      <c r="O3917" s="17"/>
      <c r="P3917" s="17"/>
      <c r="Q3917" s="17"/>
      <c r="R3917" s="17"/>
      <c r="S3917" s="17"/>
      <c r="T3917" s="17"/>
      <c r="U3917" s="17"/>
      <c r="V3917" s="18">
        <v>0</v>
      </c>
      <c r="W3917" s="17">
        <f t="shared" si="124"/>
        <v>0</v>
      </c>
      <c r="X3917" s="5">
        <f t="shared" si="125"/>
        <v>0</v>
      </c>
    </row>
    <row r="3918" spans="1:24" x14ac:dyDescent="0.25">
      <c r="A3918" s="17"/>
      <c r="B3918" s="17"/>
      <c r="C3918" s="17"/>
      <c r="D3918" s="17"/>
      <c r="E3918" s="17"/>
      <c r="F3918" s="17"/>
      <c r="G3918" s="17"/>
      <c r="H3918" s="17"/>
      <c r="I3918" s="17"/>
      <c r="J3918" s="17"/>
      <c r="K3918" s="17"/>
      <c r="L3918" s="17"/>
      <c r="M3918" s="17"/>
      <c r="N3918" s="17"/>
      <c r="O3918" s="17"/>
      <c r="P3918" s="17"/>
      <c r="Q3918" s="17"/>
      <c r="R3918" s="17"/>
      <c r="S3918" s="17"/>
      <c r="T3918" s="17"/>
      <c r="U3918" s="17"/>
      <c r="V3918" s="18">
        <v>0</v>
      </c>
      <c r="W3918" s="17">
        <f t="shared" si="124"/>
        <v>0</v>
      </c>
      <c r="X3918" s="5">
        <f t="shared" si="125"/>
        <v>0</v>
      </c>
    </row>
    <row r="3919" spans="1:24" x14ac:dyDescent="0.25">
      <c r="A3919" s="17"/>
      <c r="B3919" s="17"/>
      <c r="C3919" s="17"/>
      <c r="D3919" s="17"/>
      <c r="E3919" s="17"/>
      <c r="F3919" s="17"/>
      <c r="G3919" s="17"/>
      <c r="H3919" s="17"/>
      <c r="I3919" s="17"/>
      <c r="J3919" s="17"/>
      <c r="K3919" s="17"/>
      <c r="L3919" s="17"/>
      <c r="M3919" s="17"/>
      <c r="N3919" s="17"/>
      <c r="O3919" s="17"/>
      <c r="P3919" s="17"/>
      <c r="Q3919" s="17"/>
      <c r="R3919" s="17"/>
      <c r="S3919" s="17"/>
      <c r="T3919" s="17"/>
      <c r="U3919" s="17"/>
      <c r="V3919" s="18">
        <v>0</v>
      </c>
      <c r="W3919" s="17">
        <f t="shared" si="124"/>
        <v>0</v>
      </c>
      <c r="X3919" s="5">
        <f t="shared" si="125"/>
        <v>0</v>
      </c>
    </row>
    <row r="3920" spans="1:24" x14ac:dyDescent="0.25">
      <c r="A3920" s="17"/>
      <c r="B3920" s="17"/>
      <c r="C3920" s="17"/>
      <c r="D3920" s="17"/>
      <c r="E3920" s="17"/>
      <c r="F3920" s="17"/>
      <c r="G3920" s="17"/>
      <c r="H3920" s="17"/>
      <c r="I3920" s="17"/>
      <c r="J3920" s="17"/>
      <c r="K3920" s="17"/>
      <c r="L3920" s="17"/>
      <c r="M3920" s="17"/>
      <c r="N3920" s="17"/>
      <c r="O3920" s="17"/>
      <c r="P3920" s="17"/>
      <c r="Q3920" s="17"/>
      <c r="R3920" s="17"/>
      <c r="S3920" s="17"/>
      <c r="T3920" s="17"/>
      <c r="U3920" s="17"/>
      <c r="V3920" s="18">
        <v>0</v>
      </c>
      <c r="W3920" s="17">
        <f t="shared" si="124"/>
        <v>0</v>
      </c>
      <c r="X3920" s="5">
        <f t="shared" si="125"/>
        <v>0</v>
      </c>
    </row>
    <row r="3921" spans="1:24" x14ac:dyDescent="0.25">
      <c r="A3921" s="17"/>
      <c r="B3921" s="17"/>
      <c r="C3921" s="17"/>
      <c r="D3921" s="17"/>
      <c r="E3921" s="17"/>
      <c r="F3921" s="17"/>
      <c r="G3921" s="17"/>
      <c r="H3921" s="17"/>
      <c r="I3921" s="17"/>
      <c r="J3921" s="17"/>
      <c r="K3921" s="17"/>
      <c r="L3921" s="17"/>
      <c r="M3921" s="17"/>
      <c r="N3921" s="17"/>
      <c r="O3921" s="17"/>
      <c r="P3921" s="17"/>
      <c r="Q3921" s="17"/>
      <c r="R3921" s="17"/>
      <c r="S3921" s="17"/>
      <c r="T3921" s="17"/>
      <c r="U3921" s="17"/>
      <c r="V3921" s="18">
        <v>0</v>
      </c>
      <c r="W3921" s="17">
        <f t="shared" si="124"/>
        <v>0</v>
      </c>
      <c r="X3921" s="5">
        <f t="shared" si="125"/>
        <v>0</v>
      </c>
    </row>
    <row r="3922" spans="1:24" x14ac:dyDescent="0.25">
      <c r="A3922" s="17"/>
      <c r="B3922" s="17"/>
      <c r="C3922" s="17"/>
      <c r="D3922" s="17"/>
      <c r="E3922" s="17"/>
      <c r="F3922" s="17"/>
      <c r="G3922" s="17"/>
      <c r="H3922" s="17"/>
      <c r="I3922" s="17"/>
      <c r="J3922" s="17"/>
      <c r="K3922" s="17"/>
      <c r="L3922" s="17"/>
      <c r="M3922" s="17"/>
      <c r="N3922" s="17"/>
      <c r="O3922" s="17"/>
      <c r="P3922" s="17"/>
      <c r="Q3922" s="17"/>
      <c r="R3922" s="17"/>
      <c r="S3922" s="17"/>
      <c r="T3922" s="17"/>
      <c r="U3922" s="17"/>
      <c r="V3922" s="18">
        <v>0</v>
      </c>
      <c r="W3922" s="17">
        <f t="shared" si="124"/>
        <v>0</v>
      </c>
      <c r="X3922" s="5">
        <f t="shared" si="125"/>
        <v>0</v>
      </c>
    </row>
    <row r="3923" spans="1:24" x14ac:dyDescent="0.25">
      <c r="A3923" s="17"/>
      <c r="B3923" s="17"/>
      <c r="C3923" s="17"/>
      <c r="D3923" s="17"/>
      <c r="E3923" s="17"/>
      <c r="F3923" s="17"/>
      <c r="G3923" s="17"/>
      <c r="H3923" s="17"/>
      <c r="I3923" s="17"/>
      <c r="J3923" s="17"/>
      <c r="K3923" s="17"/>
      <c r="L3923" s="17"/>
      <c r="M3923" s="17"/>
      <c r="N3923" s="17"/>
      <c r="O3923" s="17"/>
      <c r="P3923" s="17"/>
      <c r="Q3923" s="17"/>
      <c r="R3923" s="17"/>
      <c r="S3923" s="17"/>
      <c r="T3923" s="17"/>
      <c r="U3923" s="17"/>
      <c r="V3923" s="18">
        <v>0</v>
      </c>
      <c r="W3923" s="17">
        <f t="shared" si="124"/>
        <v>0</v>
      </c>
      <c r="X3923" s="5">
        <f t="shared" si="125"/>
        <v>0</v>
      </c>
    </row>
    <row r="3924" spans="1:24" x14ac:dyDescent="0.25">
      <c r="A3924" s="17"/>
      <c r="B3924" s="17"/>
      <c r="C3924" s="17"/>
      <c r="D3924" s="17"/>
      <c r="E3924" s="17"/>
      <c r="F3924" s="17"/>
      <c r="G3924" s="17"/>
      <c r="H3924" s="17"/>
      <c r="I3924" s="17"/>
      <c r="J3924" s="17"/>
      <c r="K3924" s="17"/>
      <c r="L3924" s="17"/>
      <c r="M3924" s="17"/>
      <c r="N3924" s="17"/>
      <c r="O3924" s="17"/>
      <c r="P3924" s="17"/>
      <c r="Q3924" s="17"/>
      <c r="R3924" s="17"/>
      <c r="S3924" s="17"/>
      <c r="T3924" s="17"/>
      <c r="U3924" s="17"/>
      <c r="V3924" s="18">
        <v>0</v>
      </c>
      <c r="W3924" s="17">
        <f t="shared" si="124"/>
        <v>0</v>
      </c>
      <c r="X3924" s="5">
        <f t="shared" si="125"/>
        <v>0</v>
      </c>
    </row>
    <row r="3925" spans="1:24" x14ac:dyDescent="0.25">
      <c r="A3925" s="17"/>
      <c r="B3925" s="17"/>
      <c r="C3925" s="17"/>
      <c r="D3925" s="17"/>
      <c r="E3925" s="17"/>
      <c r="F3925" s="17"/>
      <c r="G3925" s="17"/>
      <c r="H3925" s="17"/>
      <c r="I3925" s="17"/>
      <c r="J3925" s="17"/>
      <c r="K3925" s="17"/>
      <c r="L3925" s="17"/>
      <c r="M3925" s="17"/>
      <c r="N3925" s="17"/>
      <c r="O3925" s="17"/>
      <c r="P3925" s="17"/>
      <c r="Q3925" s="17"/>
      <c r="R3925" s="17"/>
      <c r="S3925" s="17"/>
      <c r="T3925" s="17"/>
      <c r="U3925" s="17"/>
      <c r="V3925" s="18">
        <v>0</v>
      </c>
      <c r="W3925" s="17">
        <f t="shared" si="124"/>
        <v>0</v>
      </c>
      <c r="X3925" s="5">
        <f t="shared" si="125"/>
        <v>0</v>
      </c>
    </row>
    <row r="3926" spans="1:24" x14ac:dyDescent="0.25">
      <c r="A3926" s="17"/>
      <c r="B3926" s="17"/>
      <c r="C3926" s="17"/>
      <c r="D3926" s="17"/>
      <c r="E3926" s="17"/>
      <c r="F3926" s="17"/>
      <c r="G3926" s="17"/>
      <c r="H3926" s="17"/>
      <c r="I3926" s="17"/>
      <c r="J3926" s="17"/>
      <c r="K3926" s="17"/>
      <c r="L3926" s="17"/>
      <c r="M3926" s="17"/>
      <c r="N3926" s="17"/>
      <c r="O3926" s="17"/>
      <c r="P3926" s="17"/>
      <c r="Q3926" s="17"/>
      <c r="R3926" s="17"/>
      <c r="S3926" s="17"/>
      <c r="T3926" s="17"/>
      <c r="U3926" s="17"/>
      <c r="V3926" s="18">
        <v>0</v>
      </c>
      <c r="W3926" s="17">
        <f t="shared" si="124"/>
        <v>0</v>
      </c>
      <c r="X3926" s="5">
        <f t="shared" si="125"/>
        <v>0</v>
      </c>
    </row>
    <row r="3927" spans="1:24" x14ac:dyDescent="0.25">
      <c r="A3927" s="17"/>
      <c r="B3927" s="17"/>
      <c r="C3927" s="17"/>
      <c r="D3927" s="17"/>
      <c r="E3927" s="17"/>
      <c r="F3927" s="17"/>
      <c r="G3927" s="17"/>
      <c r="H3927" s="17"/>
      <c r="I3927" s="17"/>
      <c r="J3927" s="17"/>
      <c r="K3927" s="17"/>
      <c r="L3927" s="17"/>
      <c r="M3927" s="17"/>
      <c r="N3927" s="17"/>
      <c r="O3927" s="17"/>
      <c r="P3927" s="17"/>
      <c r="Q3927" s="17"/>
      <c r="R3927" s="17"/>
      <c r="S3927" s="17"/>
      <c r="T3927" s="17"/>
      <c r="U3927" s="17"/>
      <c r="V3927" s="18">
        <v>0</v>
      </c>
      <c r="W3927" s="17">
        <f t="shared" si="124"/>
        <v>0</v>
      </c>
      <c r="X3927" s="5">
        <f t="shared" si="125"/>
        <v>0</v>
      </c>
    </row>
    <row r="3928" spans="1:24" x14ac:dyDescent="0.25">
      <c r="A3928" s="17"/>
      <c r="B3928" s="17"/>
      <c r="C3928" s="17"/>
      <c r="D3928" s="17"/>
      <c r="E3928" s="17"/>
      <c r="F3928" s="17"/>
      <c r="G3928" s="17"/>
      <c r="H3928" s="17"/>
      <c r="I3928" s="17"/>
      <c r="J3928" s="17"/>
      <c r="K3928" s="17"/>
      <c r="L3928" s="17"/>
      <c r="M3928" s="17"/>
      <c r="N3928" s="17"/>
      <c r="O3928" s="17"/>
      <c r="P3928" s="17"/>
      <c r="Q3928" s="17"/>
      <c r="R3928" s="17"/>
      <c r="S3928" s="17"/>
      <c r="T3928" s="17"/>
      <c r="U3928" s="17"/>
      <c r="V3928" s="18">
        <v>0</v>
      </c>
      <c r="W3928" s="17">
        <f t="shared" si="124"/>
        <v>0</v>
      </c>
      <c r="X3928" s="5">
        <f t="shared" si="125"/>
        <v>0</v>
      </c>
    </row>
    <row r="3929" spans="1:24" x14ac:dyDescent="0.25">
      <c r="A3929" s="17"/>
      <c r="B3929" s="17"/>
      <c r="C3929" s="17"/>
      <c r="D3929" s="17"/>
      <c r="E3929" s="17"/>
      <c r="F3929" s="17"/>
      <c r="G3929" s="17"/>
      <c r="H3929" s="17"/>
      <c r="I3929" s="17"/>
      <c r="J3929" s="17"/>
      <c r="K3929" s="17"/>
      <c r="L3929" s="17"/>
      <c r="M3929" s="17"/>
      <c r="N3929" s="17"/>
      <c r="O3929" s="17"/>
      <c r="P3929" s="17"/>
      <c r="Q3929" s="17"/>
      <c r="R3929" s="17"/>
      <c r="S3929" s="17"/>
      <c r="T3929" s="17"/>
      <c r="U3929" s="17"/>
      <c r="V3929" s="18">
        <v>0</v>
      </c>
      <c r="W3929" s="17">
        <f t="shared" si="124"/>
        <v>0</v>
      </c>
      <c r="X3929" s="5">
        <f t="shared" si="125"/>
        <v>0</v>
      </c>
    </row>
    <row r="3930" spans="1:24" x14ac:dyDescent="0.25">
      <c r="A3930" s="17"/>
      <c r="B3930" s="17"/>
      <c r="C3930" s="17"/>
      <c r="D3930" s="17"/>
      <c r="E3930" s="17"/>
      <c r="F3930" s="17"/>
      <c r="G3930" s="17"/>
      <c r="H3930" s="17"/>
      <c r="I3930" s="17"/>
      <c r="J3930" s="17"/>
      <c r="K3930" s="17"/>
      <c r="L3930" s="17"/>
      <c r="M3930" s="17"/>
      <c r="N3930" s="17"/>
      <c r="O3930" s="17"/>
      <c r="P3930" s="17"/>
      <c r="Q3930" s="17"/>
      <c r="R3930" s="17"/>
      <c r="S3930" s="17"/>
      <c r="T3930" s="17"/>
      <c r="U3930" s="17"/>
      <c r="V3930" s="18">
        <v>0</v>
      </c>
      <c r="W3930" s="17">
        <f t="shared" si="124"/>
        <v>0</v>
      </c>
      <c r="X3930" s="5">
        <f t="shared" si="125"/>
        <v>0</v>
      </c>
    </row>
    <row r="3931" spans="1:24" x14ac:dyDescent="0.25">
      <c r="A3931" s="17"/>
      <c r="B3931" s="17"/>
      <c r="C3931" s="17"/>
      <c r="D3931" s="17"/>
      <c r="E3931" s="17"/>
      <c r="F3931" s="17"/>
      <c r="G3931" s="17"/>
      <c r="H3931" s="17"/>
      <c r="I3931" s="17"/>
      <c r="J3931" s="17"/>
      <c r="K3931" s="17"/>
      <c r="L3931" s="17"/>
      <c r="M3931" s="17"/>
      <c r="N3931" s="17"/>
      <c r="O3931" s="17"/>
      <c r="P3931" s="17"/>
      <c r="Q3931" s="17"/>
      <c r="R3931" s="17"/>
      <c r="S3931" s="17"/>
      <c r="T3931" s="17"/>
      <c r="U3931" s="17"/>
      <c r="V3931" s="18">
        <v>0</v>
      </c>
      <c r="W3931" s="17">
        <f t="shared" si="124"/>
        <v>0</v>
      </c>
      <c r="X3931" s="5">
        <f t="shared" si="125"/>
        <v>0</v>
      </c>
    </row>
    <row r="3932" spans="1:24" x14ac:dyDescent="0.25">
      <c r="A3932" s="17"/>
      <c r="B3932" s="17"/>
      <c r="C3932" s="17"/>
      <c r="D3932" s="17"/>
      <c r="E3932" s="17"/>
      <c r="F3932" s="17"/>
      <c r="G3932" s="17"/>
      <c r="H3932" s="17"/>
      <c r="I3932" s="17"/>
      <c r="J3932" s="17"/>
      <c r="K3932" s="17"/>
      <c r="L3932" s="17"/>
      <c r="M3932" s="17"/>
      <c r="N3932" s="17"/>
      <c r="O3932" s="17"/>
      <c r="P3932" s="17"/>
      <c r="Q3932" s="17"/>
      <c r="R3932" s="17"/>
      <c r="S3932" s="17"/>
      <c r="T3932" s="17"/>
      <c r="U3932" s="17"/>
      <c r="V3932" s="18">
        <v>0</v>
      </c>
      <c r="W3932" s="17">
        <f t="shared" si="124"/>
        <v>0</v>
      </c>
      <c r="X3932" s="5">
        <f t="shared" si="125"/>
        <v>0</v>
      </c>
    </row>
    <row r="3933" spans="1:24" x14ac:dyDescent="0.25">
      <c r="A3933" s="17"/>
      <c r="B3933" s="17"/>
      <c r="C3933" s="17"/>
      <c r="D3933" s="17"/>
      <c r="E3933" s="17"/>
      <c r="F3933" s="17"/>
      <c r="G3933" s="17"/>
      <c r="H3933" s="17"/>
      <c r="I3933" s="17"/>
      <c r="J3933" s="17"/>
      <c r="K3933" s="17"/>
      <c r="L3933" s="17"/>
      <c r="M3933" s="17"/>
      <c r="N3933" s="17"/>
      <c r="O3933" s="17"/>
      <c r="P3933" s="17"/>
      <c r="Q3933" s="17"/>
      <c r="R3933" s="17"/>
      <c r="S3933" s="17"/>
      <c r="T3933" s="17"/>
      <c r="U3933" s="17"/>
      <c r="V3933" s="18">
        <v>0</v>
      </c>
      <c r="W3933" s="17">
        <f t="shared" si="124"/>
        <v>0</v>
      </c>
      <c r="X3933" s="5">
        <f t="shared" si="125"/>
        <v>0</v>
      </c>
    </row>
    <row r="3934" spans="1:24" x14ac:dyDescent="0.25">
      <c r="A3934" s="17"/>
      <c r="B3934" s="17"/>
      <c r="C3934" s="17"/>
      <c r="D3934" s="17"/>
      <c r="E3934" s="17"/>
      <c r="F3934" s="17"/>
      <c r="G3934" s="17"/>
      <c r="H3934" s="17"/>
      <c r="I3934" s="17"/>
      <c r="J3934" s="17"/>
      <c r="K3934" s="17"/>
      <c r="L3934" s="17"/>
      <c r="M3934" s="17"/>
      <c r="N3934" s="17"/>
      <c r="O3934" s="17"/>
      <c r="P3934" s="17"/>
      <c r="Q3934" s="17"/>
      <c r="R3934" s="17"/>
      <c r="S3934" s="17"/>
      <c r="T3934" s="17"/>
      <c r="U3934" s="17"/>
      <c r="V3934" s="18">
        <v>0</v>
      </c>
      <c r="W3934" s="17">
        <f t="shared" si="124"/>
        <v>0</v>
      </c>
      <c r="X3934" s="5">
        <f t="shared" si="125"/>
        <v>0</v>
      </c>
    </row>
    <row r="3935" spans="1:24" x14ac:dyDescent="0.25">
      <c r="A3935" s="17"/>
      <c r="B3935" s="17"/>
      <c r="C3935" s="17"/>
      <c r="D3935" s="17"/>
      <c r="E3935" s="17"/>
      <c r="F3935" s="17"/>
      <c r="G3935" s="17"/>
      <c r="H3935" s="17"/>
      <c r="I3935" s="17"/>
      <c r="J3935" s="17"/>
      <c r="K3935" s="17"/>
      <c r="L3935" s="17"/>
      <c r="M3935" s="17"/>
      <c r="N3935" s="17"/>
      <c r="O3935" s="17"/>
      <c r="P3935" s="17"/>
      <c r="Q3935" s="17"/>
      <c r="R3935" s="17"/>
      <c r="S3935" s="17"/>
      <c r="T3935" s="17"/>
      <c r="U3935" s="17"/>
      <c r="V3935" s="18">
        <v>0</v>
      </c>
      <c r="W3935" s="17">
        <f t="shared" si="124"/>
        <v>0</v>
      </c>
      <c r="X3935" s="5">
        <f t="shared" si="125"/>
        <v>0</v>
      </c>
    </row>
    <row r="3936" spans="1:24" x14ac:dyDescent="0.25">
      <c r="A3936" s="17"/>
      <c r="B3936" s="17"/>
      <c r="C3936" s="17"/>
      <c r="D3936" s="17"/>
      <c r="E3936" s="17"/>
      <c r="F3936" s="17"/>
      <c r="G3936" s="17"/>
      <c r="H3936" s="17"/>
      <c r="I3936" s="17"/>
      <c r="J3936" s="17"/>
      <c r="K3936" s="17"/>
      <c r="L3936" s="17"/>
      <c r="M3936" s="17"/>
      <c r="N3936" s="17"/>
      <c r="O3936" s="17"/>
      <c r="P3936" s="17"/>
      <c r="Q3936" s="17"/>
      <c r="R3936" s="17"/>
      <c r="S3936" s="17"/>
      <c r="T3936" s="17"/>
      <c r="U3936" s="17"/>
      <c r="V3936" s="18">
        <v>0</v>
      </c>
      <c r="W3936" s="17">
        <f t="shared" si="124"/>
        <v>0</v>
      </c>
      <c r="X3936" s="5">
        <f t="shared" si="125"/>
        <v>0</v>
      </c>
    </row>
    <row r="3937" spans="1:24" x14ac:dyDescent="0.25">
      <c r="A3937" s="17"/>
      <c r="B3937" s="17"/>
      <c r="C3937" s="17"/>
      <c r="D3937" s="17"/>
      <c r="E3937" s="17"/>
      <c r="F3937" s="17"/>
      <c r="G3937" s="17"/>
      <c r="H3937" s="17"/>
      <c r="I3937" s="17"/>
      <c r="J3937" s="17"/>
      <c r="K3937" s="17"/>
      <c r="L3937" s="17"/>
      <c r="M3937" s="17"/>
      <c r="N3937" s="17"/>
      <c r="O3937" s="17"/>
      <c r="P3937" s="17"/>
      <c r="Q3937" s="17"/>
      <c r="R3937" s="17"/>
      <c r="S3937" s="17"/>
      <c r="T3937" s="17"/>
      <c r="U3937" s="17"/>
      <c r="V3937" s="18">
        <v>0</v>
      </c>
      <c r="W3937" s="17">
        <f t="shared" si="124"/>
        <v>0</v>
      </c>
      <c r="X3937" s="5">
        <f t="shared" si="125"/>
        <v>0</v>
      </c>
    </row>
    <row r="3938" spans="1:24" x14ac:dyDescent="0.25">
      <c r="A3938" s="17"/>
      <c r="B3938" s="17"/>
      <c r="C3938" s="17"/>
      <c r="D3938" s="17"/>
      <c r="E3938" s="17"/>
      <c r="F3938" s="17"/>
      <c r="G3938" s="17"/>
      <c r="H3938" s="17"/>
      <c r="I3938" s="17"/>
      <c r="J3938" s="17"/>
      <c r="K3938" s="17"/>
      <c r="L3938" s="17"/>
      <c r="M3938" s="17"/>
      <c r="N3938" s="17"/>
      <c r="O3938" s="17"/>
      <c r="P3938" s="17"/>
      <c r="Q3938" s="17"/>
      <c r="R3938" s="17"/>
      <c r="S3938" s="17"/>
      <c r="T3938" s="17"/>
      <c r="U3938" s="17"/>
      <c r="V3938" s="18">
        <v>0</v>
      </c>
      <c r="W3938" s="17">
        <f t="shared" si="124"/>
        <v>0</v>
      </c>
      <c r="X3938" s="5">
        <f t="shared" si="125"/>
        <v>0</v>
      </c>
    </row>
    <row r="3939" spans="1:24" x14ac:dyDescent="0.25">
      <c r="A3939" s="17"/>
      <c r="B3939" s="17"/>
      <c r="C3939" s="17"/>
      <c r="D3939" s="17"/>
      <c r="E3939" s="17"/>
      <c r="F3939" s="17"/>
      <c r="G3939" s="17"/>
      <c r="H3939" s="17"/>
      <c r="I3939" s="17"/>
      <c r="J3939" s="17"/>
      <c r="K3939" s="17"/>
      <c r="L3939" s="17"/>
      <c r="M3939" s="17"/>
      <c r="N3939" s="17"/>
      <c r="O3939" s="17"/>
      <c r="P3939" s="17"/>
      <c r="Q3939" s="17"/>
      <c r="R3939" s="17"/>
      <c r="S3939" s="17"/>
      <c r="T3939" s="17"/>
      <c r="U3939" s="17"/>
      <c r="V3939" s="18">
        <v>0</v>
      </c>
      <c r="W3939" s="17">
        <f t="shared" si="124"/>
        <v>0</v>
      </c>
      <c r="X3939" s="5">
        <f t="shared" si="125"/>
        <v>0</v>
      </c>
    </row>
    <row r="3940" spans="1:24" x14ac:dyDescent="0.25">
      <c r="A3940" s="17"/>
      <c r="B3940" s="17"/>
      <c r="C3940" s="17"/>
      <c r="D3940" s="17"/>
      <c r="E3940" s="17"/>
      <c r="F3940" s="17"/>
      <c r="G3940" s="17"/>
      <c r="H3940" s="17"/>
      <c r="I3940" s="17"/>
      <c r="J3940" s="17"/>
      <c r="K3940" s="17"/>
      <c r="L3940" s="17"/>
      <c r="M3940" s="17"/>
      <c r="N3940" s="17"/>
      <c r="O3940" s="17"/>
      <c r="P3940" s="17"/>
      <c r="Q3940" s="17"/>
      <c r="R3940" s="17"/>
      <c r="S3940" s="17"/>
      <c r="T3940" s="17"/>
      <c r="U3940" s="17"/>
      <c r="V3940" s="18">
        <v>0</v>
      </c>
      <c r="W3940" s="17">
        <f t="shared" si="124"/>
        <v>0</v>
      </c>
      <c r="X3940" s="5">
        <f t="shared" si="125"/>
        <v>0</v>
      </c>
    </row>
    <row r="3941" spans="1:24" x14ac:dyDescent="0.25">
      <c r="A3941" s="17"/>
      <c r="B3941" s="17"/>
      <c r="C3941" s="17"/>
      <c r="D3941" s="17"/>
      <c r="E3941" s="17"/>
      <c r="F3941" s="17"/>
      <c r="G3941" s="17"/>
      <c r="H3941" s="17"/>
      <c r="I3941" s="17"/>
      <c r="J3941" s="17"/>
      <c r="K3941" s="17"/>
      <c r="L3941" s="17"/>
      <c r="M3941" s="17"/>
      <c r="N3941" s="17"/>
      <c r="O3941" s="17"/>
      <c r="P3941" s="17"/>
      <c r="Q3941" s="17"/>
      <c r="R3941" s="17"/>
      <c r="S3941" s="17"/>
      <c r="T3941" s="17"/>
      <c r="U3941" s="17"/>
      <c r="V3941" s="18">
        <v>0</v>
      </c>
      <c r="W3941" s="17">
        <f t="shared" si="124"/>
        <v>0</v>
      </c>
      <c r="X3941" s="5">
        <f t="shared" si="125"/>
        <v>0</v>
      </c>
    </row>
    <row r="3942" spans="1:24" x14ac:dyDescent="0.25">
      <c r="A3942" s="17"/>
      <c r="B3942" s="17"/>
      <c r="C3942" s="17"/>
      <c r="D3942" s="17"/>
      <c r="E3942" s="17"/>
      <c r="F3942" s="17"/>
      <c r="G3942" s="17"/>
      <c r="H3942" s="17"/>
      <c r="I3942" s="17"/>
      <c r="J3942" s="17"/>
      <c r="K3942" s="17"/>
      <c r="L3942" s="17"/>
      <c r="M3942" s="17"/>
      <c r="N3942" s="17"/>
      <c r="O3942" s="17"/>
      <c r="P3942" s="17"/>
      <c r="Q3942" s="17"/>
      <c r="R3942" s="17"/>
      <c r="S3942" s="17"/>
      <c r="T3942" s="17"/>
      <c r="U3942" s="17"/>
      <c r="V3942" s="18">
        <v>0</v>
      </c>
      <c r="W3942" s="17">
        <f t="shared" si="124"/>
        <v>0</v>
      </c>
      <c r="X3942" s="5">
        <f t="shared" si="125"/>
        <v>0</v>
      </c>
    </row>
    <row r="3943" spans="1:24" x14ac:dyDescent="0.25">
      <c r="A3943" s="17"/>
      <c r="B3943" s="17"/>
      <c r="C3943" s="17"/>
      <c r="D3943" s="17"/>
      <c r="E3943" s="17"/>
      <c r="F3943" s="17"/>
      <c r="G3943" s="17"/>
      <c r="H3943" s="17"/>
      <c r="I3943" s="17"/>
      <c r="J3943" s="17"/>
      <c r="K3943" s="17"/>
      <c r="L3943" s="17"/>
      <c r="M3943" s="17"/>
      <c r="N3943" s="17"/>
      <c r="O3943" s="17"/>
      <c r="P3943" s="17"/>
      <c r="Q3943" s="17"/>
      <c r="R3943" s="17"/>
      <c r="S3943" s="17"/>
      <c r="T3943" s="17"/>
      <c r="U3943" s="17"/>
      <c r="V3943" s="18">
        <v>0</v>
      </c>
      <c r="W3943" s="17">
        <f t="shared" si="124"/>
        <v>0</v>
      </c>
      <c r="X3943" s="5">
        <f t="shared" si="125"/>
        <v>0</v>
      </c>
    </row>
    <row r="3944" spans="1:24" x14ac:dyDescent="0.25">
      <c r="A3944" s="17"/>
      <c r="B3944" s="17"/>
      <c r="C3944" s="17"/>
      <c r="D3944" s="17"/>
      <c r="E3944" s="17"/>
      <c r="F3944" s="17"/>
      <c r="G3944" s="17"/>
      <c r="H3944" s="17"/>
      <c r="I3944" s="17"/>
      <c r="J3944" s="17"/>
      <c r="K3944" s="17"/>
      <c r="L3944" s="17"/>
      <c r="M3944" s="17"/>
      <c r="N3944" s="17"/>
      <c r="O3944" s="17"/>
      <c r="P3944" s="17"/>
      <c r="Q3944" s="17"/>
      <c r="R3944" s="17"/>
      <c r="S3944" s="17"/>
      <c r="T3944" s="17"/>
      <c r="U3944" s="17"/>
      <c r="V3944" s="18">
        <v>0</v>
      </c>
      <c r="W3944" s="17">
        <f t="shared" si="124"/>
        <v>0</v>
      </c>
      <c r="X3944" s="5">
        <f t="shared" si="125"/>
        <v>0</v>
      </c>
    </row>
    <row r="3945" spans="1:24" x14ac:dyDescent="0.25">
      <c r="A3945" s="17"/>
      <c r="B3945" s="17"/>
      <c r="C3945" s="17"/>
      <c r="D3945" s="17"/>
      <c r="E3945" s="17"/>
      <c r="F3945" s="17"/>
      <c r="G3945" s="17"/>
      <c r="H3945" s="17"/>
      <c r="I3945" s="17"/>
      <c r="J3945" s="17"/>
      <c r="K3945" s="17"/>
      <c r="L3945" s="17"/>
      <c r="M3945" s="17"/>
      <c r="N3945" s="17"/>
      <c r="O3945" s="17"/>
      <c r="P3945" s="17"/>
      <c r="Q3945" s="17"/>
      <c r="R3945" s="17"/>
      <c r="S3945" s="17"/>
      <c r="T3945" s="17"/>
      <c r="U3945" s="17"/>
      <c r="V3945" s="18">
        <v>0</v>
      </c>
      <c r="W3945" s="17">
        <f t="shared" si="124"/>
        <v>0</v>
      </c>
      <c r="X3945" s="5">
        <f t="shared" si="125"/>
        <v>0</v>
      </c>
    </row>
    <row r="3946" spans="1:24" x14ac:dyDescent="0.25">
      <c r="A3946" s="17"/>
      <c r="B3946" s="17"/>
      <c r="C3946" s="17"/>
      <c r="D3946" s="17"/>
      <c r="E3946" s="17"/>
      <c r="F3946" s="17"/>
      <c r="G3946" s="17"/>
      <c r="H3946" s="17"/>
      <c r="I3946" s="17"/>
      <c r="J3946" s="17"/>
      <c r="K3946" s="17"/>
      <c r="L3946" s="17"/>
      <c r="M3946" s="17"/>
      <c r="N3946" s="17"/>
      <c r="O3946" s="17"/>
      <c r="P3946" s="17"/>
      <c r="Q3946" s="17"/>
      <c r="R3946" s="17"/>
      <c r="S3946" s="17"/>
      <c r="T3946" s="17"/>
      <c r="U3946" s="17"/>
      <c r="V3946" s="18">
        <v>0</v>
      </c>
      <c r="W3946" s="17">
        <f t="shared" si="124"/>
        <v>0</v>
      </c>
      <c r="X3946" s="5">
        <f t="shared" si="125"/>
        <v>0</v>
      </c>
    </row>
    <row r="3947" spans="1:24" x14ac:dyDescent="0.25">
      <c r="A3947" s="17"/>
      <c r="B3947" s="17"/>
      <c r="C3947" s="17"/>
      <c r="D3947" s="17"/>
      <c r="E3947" s="17"/>
      <c r="F3947" s="17"/>
      <c r="G3947" s="17"/>
      <c r="H3947" s="17"/>
      <c r="I3947" s="17"/>
      <c r="J3947" s="17"/>
      <c r="K3947" s="17"/>
      <c r="L3947" s="17"/>
      <c r="M3947" s="17"/>
      <c r="N3947" s="17"/>
      <c r="O3947" s="17"/>
      <c r="P3947" s="17"/>
      <c r="Q3947" s="17"/>
      <c r="R3947" s="17"/>
      <c r="S3947" s="17"/>
      <c r="T3947" s="17"/>
      <c r="U3947" s="17"/>
      <c r="V3947" s="18">
        <v>0</v>
      </c>
      <c r="W3947" s="17">
        <f t="shared" si="124"/>
        <v>0</v>
      </c>
      <c r="X3947" s="5">
        <f t="shared" si="125"/>
        <v>0</v>
      </c>
    </row>
    <row r="3948" spans="1:24" x14ac:dyDescent="0.25">
      <c r="A3948" s="17"/>
      <c r="B3948" s="17"/>
      <c r="C3948" s="17"/>
      <c r="D3948" s="17"/>
      <c r="E3948" s="17"/>
      <c r="F3948" s="17"/>
      <c r="G3948" s="17"/>
      <c r="H3948" s="17"/>
      <c r="I3948" s="17"/>
      <c r="J3948" s="17"/>
      <c r="K3948" s="17"/>
      <c r="L3948" s="17"/>
      <c r="M3948" s="17"/>
      <c r="N3948" s="17"/>
      <c r="O3948" s="17"/>
      <c r="P3948" s="17"/>
      <c r="Q3948" s="17"/>
      <c r="R3948" s="17"/>
      <c r="S3948" s="17"/>
      <c r="T3948" s="17"/>
      <c r="U3948" s="17"/>
      <c r="V3948" s="18">
        <v>0</v>
      </c>
      <c r="W3948" s="17">
        <f t="shared" si="124"/>
        <v>0</v>
      </c>
      <c r="X3948" s="5">
        <f t="shared" si="125"/>
        <v>0</v>
      </c>
    </row>
    <row r="3949" spans="1:24" x14ac:dyDescent="0.25">
      <c r="A3949" s="17"/>
      <c r="B3949" s="17"/>
      <c r="C3949" s="17"/>
      <c r="D3949" s="17"/>
      <c r="E3949" s="17"/>
      <c r="F3949" s="17"/>
      <c r="G3949" s="17"/>
      <c r="H3949" s="17"/>
      <c r="I3949" s="17"/>
      <c r="J3949" s="17"/>
      <c r="K3949" s="17"/>
      <c r="L3949" s="17"/>
      <c r="M3949" s="17"/>
      <c r="N3949" s="17"/>
      <c r="O3949" s="17"/>
      <c r="P3949" s="17"/>
      <c r="Q3949" s="17"/>
      <c r="R3949" s="17"/>
      <c r="S3949" s="17"/>
      <c r="T3949" s="17"/>
      <c r="U3949" s="17"/>
      <c r="V3949" s="18">
        <v>0</v>
      </c>
      <c r="W3949" s="17">
        <f t="shared" si="124"/>
        <v>0</v>
      </c>
      <c r="X3949" s="5">
        <f t="shared" si="125"/>
        <v>0</v>
      </c>
    </row>
    <row r="3950" spans="1:24" x14ac:dyDescent="0.25">
      <c r="A3950" s="17"/>
      <c r="B3950" s="17"/>
      <c r="C3950" s="17"/>
      <c r="D3950" s="17"/>
      <c r="E3950" s="17"/>
      <c r="F3950" s="17"/>
      <c r="G3950" s="17"/>
      <c r="H3950" s="17"/>
      <c r="I3950" s="17"/>
      <c r="J3950" s="17"/>
      <c r="K3950" s="17"/>
      <c r="L3950" s="17"/>
      <c r="M3950" s="17"/>
      <c r="N3950" s="17"/>
      <c r="O3950" s="17"/>
      <c r="P3950" s="17"/>
      <c r="Q3950" s="17"/>
      <c r="R3950" s="17"/>
      <c r="S3950" s="17"/>
      <c r="T3950" s="17"/>
      <c r="U3950" s="17"/>
      <c r="V3950" s="18">
        <v>0</v>
      </c>
      <c r="W3950" s="17">
        <f t="shared" si="124"/>
        <v>0</v>
      </c>
      <c r="X3950" s="5">
        <f t="shared" si="125"/>
        <v>0</v>
      </c>
    </row>
    <row r="3951" spans="1:24" x14ac:dyDescent="0.25">
      <c r="A3951" s="17"/>
      <c r="B3951" s="17"/>
      <c r="C3951" s="17"/>
      <c r="D3951" s="17"/>
      <c r="E3951" s="17"/>
      <c r="F3951" s="17"/>
      <c r="G3951" s="17"/>
      <c r="H3951" s="17"/>
      <c r="I3951" s="17"/>
      <c r="J3951" s="17"/>
      <c r="K3951" s="17"/>
      <c r="L3951" s="17"/>
      <c r="M3951" s="17"/>
      <c r="N3951" s="17"/>
      <c r="O3951" s="17"/>
      <c r="P3951" s="17"/>
      <c r="Q3951" s="17"/>
      <c r="R3951" s="17"/>
      <c r="S3951" s="17"/>
      <c r="T3951" s="17"/>
      <c r="U3951" s="17"/>
      <c r="V3951" s="18">
        <v>0</v>
      </c>
      <c r="W3951" s="17">
        <f t="shared" si="124"/>
        <v>0</v>
      </c>
      <c r="X3951" s="5">
        <f t="shared" si="125"/>
        <v>0</v>
      </c>
    </row>
    <row r="3952" spans="1:24" x14ac:dyDescent="0.25">
      <c r="A3952" s="17"/>
      <c r="B3952" s="17"/>
      <c r="C3952" s="17"/>
      <c r="D3952" s="17"/>
      <c r="E3952" s="17"/>
      <c r="F3952" s="17"/>
      <c r="G3952" s="17"/>
      <c r="H3952" s="17"/>
      <c r="I3952" s="17"/>
      <c r="J3952" s="17"/>
      <c r="K3952" s="17"/>
      <c r="L3952" s="17"/>
      <c r="M3952" s="17"/>
      <c r="N3952" s="17"/>
      <c r="O3952" s="17"/>
      <c r="P3952" s="17"/>
      <c r="Q3952" s="17"/>
      <c r="R3952" s="17"/>
      <c r="S3952" s="17"/>
      <c r="T3952" s="17"/>
      <c r="U3952" s="17"/>
      <c r="V3952" s="18">
        <v>0</v>
      </c>
      <c r="W3952" s="17">
        <f t="shared" si="124"/>
        <v>0</v>
      </c>
      <c r="X3952" s="5">
        <f t="shared" si="125"/>
        <v>0</v>
      </c>
    </row>
    <row r="3953" spans="1:24" x14ac:dyDescent="0.25">
      <c r="A3953" s="17"/>
      <c r="B3953" s="17"/>
      <c r="C3953" s="17"/>
      <c r="D3953" s="17"/>
      <c r="E3953" s="17"/>
      <c r="F3953" s="17"/>
      <c r="G3953" s="17"/>
      <c r="H3953" s="17"/>
      <c r="I3953" s="17"/>
      <c r="J3953" s="17"/>
      <c r="K3953" s="17"/>
      <c r="L3953" s="17"/>
      <c r="M3953" s="17"/>
      <c r="N3953" s="17"/>
      <c r="O3953" s="17"/>
      <c r="P3953" s="17"/>
      <c r="Q3953" s="17"/>
      <c r="R3953" s="17"/>
      <c r="S3953" s="17"/>
      <c r="T3953" s="17"/>
      <c r="U3953" s="17"/>
      <c r="V3953" s="18">
        <v>0</v>
      </c>
      <c r="W3953" s="17">
        <f t="shared" si="124"/>
        <v>0</v>
      </c>
      <c r="X3953" s="5">
        <f t="shared" si="125"/>
        <v>0</v>
      </c>
    </row>
    <row r="3954" spans="1:24" x14ac:dyDescent="0.25">
      <c r="A3954" s="17"/>
      <c r="B3954" s="17"/>
      <c r="C3954" s="17"/>
      <c r="D3954" s="17"/>
      <c r="E3954" s="17"/>
      <c r="F3954" s="17"/>
      <c r="G3954" s="17"/>
      <c r="H3954" s="17"/>
      <c r="I3954" s="17"/>
      <c r="J3954" s="17"/>
      <c r="K3954" s="17"/>
      <c r="L3954" s="17"/>
      <c r="M3954" s="17"/>
      <c r="N3954" s="17"/>
      <c r="O3954" s="17"/>
      <c r="P3954" s="17"/>
      <c r="Q3954" s="17"/>
      <c r="R3954" s="17"/>
      <c r="S3954" s="17"/>
      <c r="T3954" s="17"/>
      <c r="U3954" s="17"/>
      <c r="V3954" s="18">
        <v>0</v>
      </c>
      <c r="W3954" s="17">
        <f t="shared" si="124"/>
        <v>0</v>
      </c>
      <c r="X3954" s="5">
        <f t="shared" si="125"/>
        <v>0</v>
      </c>
    </row>
    <row r="3955" spans="1:24" x14ac:dyDescent="0.25">
      <c r="A3955" s="17"/>
      <c r="B3955" s="17"/>
      <c r="C3955" s="17"/>
      <c r="D3955" s="17"/>
      <c r="E3955" s="17"/>
      <c r="F3955" s="17"/>
      <c r="G3955" s="17"/>
      <c r="H3955" s="17"/>
      <c r="I3955" s="17"/>
      <c r="J3955" s="17"/>
      <c r="K3955" s="17"/>
      <c r="L3955" s="17"/>
      <c r="M3955" s="17"/>
      <c r="N3955" s="17"/>
      <c r="O3955" s="17"/>
      <c r="P3955" s="17"/>
      <c r="Q3955" s="17"/>
      <c r="R3955" s="17"/>
      <c r="S3955" s="17"/>
      <c r="T3955" s="17"/>
      <c r="U3955" s="17"/>
      <c r="V3955" s="18">
        <v>0</v>
      </c>
      <c r="W3955" s="17">
        <f t="shared" si="124"/>
        <v>0</v>
      </c>
      <c r="X3955" s="5">
        <f t="shared" si="125"/>
        <v>0</v>
      </c>
    </row>
    <row r="3956" spans="1:24" x14ac:dyDescent="0.25">
      <c r="A3956" s="17"/>
      <c r="B3956" s="17"/>
      <c r="C3956" s="17"/>
      <c r="D3956" s="17"/>
      <c r="E3956" s="17"/>
      <c r="F3956" s="17"/>
      <c r="G3956" s="17"/>
      <c r="H3956" s="17"/>
      <c r="I3956" s="17"/>
      <c r="J3956" s="17"/>
      <c r="K3956" s="17"/>
      <c r="L3956" s="17"/>
      <c r="M3956" s="17"/>
      <c r="N3956" s="17"/>
      <c r="O3956" s="17"/>
      <c r="P3956" s="17"/>
      <c r="Q3956" s="17"/>
      <c r="R3956" s="17"/>
      <c r="S3956" s="17"/>
      <c r="T3956" s="17"/>
      <c r="U3956" s="17"/>
      <c r="V3956" s="18">
        <v>0</v>
      </c>
      <c r="W3956" s="17">
        <f t="shared" si="124"/>
        <v>0</v>
      </c>
      <c r="X3956" s="5">
        <f t="shared" si="125"/>
        <v>0</v>
      </c>
    </row>
    <row r="3957" spans="1:24" x14ac:dyDescent="0.25">
      <c r="A3957" s="17"/>
      <c r="B3957" s="17"/>
      <c r="C3957" s="17"/>
      <c r="D3957" s="17"/>
      <c r="E3957" s="17"/>
      <c r="F3957" s="17"/>
      <c r="G3957" s="17"/>
      <c r="H3957" s="17"/>
      <c r="I3957" s="17"/>
      <c r="J3957" s="17"/>
      <c r="K3957" s="17"/>
      <c r="L3957" s="17"/>
      <c r="M3957" s="17"/>
      <c r="N3957" s="17"/>
      <c r="O3957" s="17"/>
      <c r="P3957" s="17"/>
      <c r="Q3957" s="17"/>
      <c r="R3957" s="17"/>
      <c r="S3957" s="17"/>
      <c r="T3957" s="17"/>
      <c r="U3957" s="17"/>
      <c r="V3957" s="18">
        <v>0</v>
      </c>
      <c r="W3957" s="17">
        <f t="shared" si="124"/>
        <v>0</v>
      </c>
      <c r="X3957" s="5">
        <f t="shared" si="125"/>
        <v>0</v>
      </c>
    </row>
    <row r="3958" spans="1:24" x14ac:dyDescent="0.25">
      <c r="A3958" s="17"/>
      <c r="B3958" s="17"/>
      <c r="C3958" s="17"/>
      <c r="D3958" s="17"/>
      <c r="E3958" s="17"/>
      <c r="F3958" s="17"/>
      <c r="G3958" s="17"/>
      <c r="H3958" s="17"/>
      <c r="I3958" s="17"/>
      <c r="J3958" s="17"/>
      <c r="K3958" s="17"/>
      <c r="L3958" s="17"/>
      <c r="M3958" s="17"/>
      <c r="N3958" s="17"/>
      <c r="O3958" s="17"/>
      <c r="P3958" s="17"/>
      <c r="Q3958" s="17"/>
      <c r="R3958" s="17"/>
      <c r="S3958" s="17"/>
      <c r="T3958" s="17"/>
      <c r="U3958" s="17"/>
      <c r="V3958" s="18">
        <v>0</v>
      </c>
      <c r="W3958" s="17">
        <f t="shared" si="124"/>
        <v>0</v>
      </c>
      <c r="X3958" s="5">
        <f t="shared" si="125"/>
        <v>0</v>
      </c>
    </row>
    <row r="3959" spans="1:24" x14ac:dyDescent="0.25">
      <c r="A3959" s="17"/>
      <c r="B3959" s="17"/>
      <c r="C3959" s="17"/>
      <c r="D3959" s="17"/>
      <c r="E3959" s="17"/>
      <c r="F3959" s="17"/>
      <c r="G3959" s="17"/>
      <c r="H3959" s="17"/>
      <c r="I3959" s="17"/>
      <c r="J3959" s="17"/>
      <c r="K3959" s="17"/>
      <c r="L3959" s="17"/>
      <c r="M3959" s="17"/>
      <c r="N3959" s="17"/>
      <c r="O3959" s="17"/>
      <c r="P3959" s="17"/>
      <c r="Q3959" s="17"/>
      <c r="R3959" s="17"/>
      <c r="S3959" s="17"/>
      <c r="T3959" s="17"/>
      <c r="U3959" s="17"/>
      <c r="V3959" s="18">
        <v>0</v>
      </c>
      <c r="W3959" s="17">
        <f t="shared" si="124"/>
        <v>0</v>
      </c>
      <c r="X3959" s="5">
        <f t="shared" si="125"/>
        <v>0</v>
      </c>
    </row>
    <row r="3960" spans="1:24" x14ac:dyDescent="0.25">
      <c r="A3960" s="17"/>
      <c r="B3960" s="17"/>
      <c r="C3960" s="17"/>
      <c r="D3960" s="17"/>
      <c r="E3960" s="17"/>
      <c r="F3960" s="17"/>
      <c r="G3960" s="17"/>
      <c r="H3960" s="17"/>
      <c r="I3960" s="17"/>
      <c r="J3960" s="17"/>
      <c r="K3960" s="17"/>
      <c r="L3960" s="17"/>
      <c r="M3960" s="17"/>
      <c r="N3960" s="17"/>
      <c r="O3960" s="17"/>
      <c r="P3960" s="17"/>
      <c r="Q3960" s="17"/>
      <c r="R3960" s="17"/>
      <c r="S3960" s="17"/>
      <c r="T3960" s="17"/>
      <c r="U3960" s="17"/>
      <c r="V3960" s="18">
        <v>0</v>
      </c>
      <c r="W3960" s="17">
        <f t="shared" si="124"/>
        <v>0</v>
      </c>
      <c r="X3960" s="5">
        <f t="shared" si="125"/>
        <v>0</v>
      </c>
    </row>
    <row r="3961" spans="1:24" x14ac:dyDescent="0.25">
      <c r="A3961" s="17"/>
      <c r="B3961" s="17"/>
      <c r="C3961" s="17"/>
      <c r="D3961" s="17"/>
      <c r="E3961" s="17"/>
      <c r="F3961" s="17"/>
      <c r="G3961" s="17"/>
      <c r="H3961" s="17"/>
      <c r="I3961" s="17"/>
      <c r="J3961" s="17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18">
        <v>0</v>
      </c>
      <c r="W3961" s="17">
        <f t="shared" si="124"/>
        <v>0</v>
      </c>
      <c r="X3961" s="5">
        <f t="shared" si="125"/>
        <v>0</v>
      </c>
    </row>
    <row r="3962" spans="1:24" x14ac:dyDescent="0.25">
      <c r="A3962" s="17"/>
      <c r="B3962" s="17"/>
      <c r="C3962" s="17"/>
      <c r="D3962" s="17"/>
      <c r="E3962" s="17"/>
      <c r="F3962" s="17"/>
      <c r="G3962" s="17"/>
      <c r="H3962" s="17"/>
      <c r="I3962" s="17"/>
      <c r="J3962" s="17"/>
      <c r="K3962" s="17"/>
      <c r="L3962" s="17"/>
      <c r="M3962" s="17"/>
      <c r="N3962" s="17"/>
      <c r="O3962" s="17"/>
      <c r="P3962" s="17"/>
      <c r="Q3962" s="17"/>
      <c r="R3962" s="17"/>
      <c r="S3962" s="17"/>
      <c r="T3962" s="17"/>
      <c r="U3962" s="17"/>
      <c r="V3962" s="18">
        <v>0</v>
      </c>
      <c r="W3962" s="17">
        <f t="shared" si="124"/>
        <v>0</v>
      </c>
      <c r="X3962" s="5">
        <f t="shared" si="125"/>
        <v>0</v>
      </c>
    </row>
    <row r="3963" spans="1:24" x14ac:dyDescent="0.25">
      <c r="A3963" s="17"/>
      <c r="B3963" s="17"/>
      <c r="C3963" s="17"/>
      <c r="D3963" s="17"/>
      <c r="E3963" s="17"/>
      <c r="F3963" s="17"/>
      <c r="G3963" s="17"/>
      <c r="H3963" s="17"/>
      <c r="I3963" s="17"/>
      <c r="J3963" s="17"/>
      <c r="K3963" s="17"/>
      <c r="L3963" s="17"/>
      <c r="M3963" s="17"/>
      <c r="N3963" s="17"/>
      <c r="O3963" s="17"/>
      <c r="P3963" s="17"/>
      <c r="Q3963" s="17"/>
      <c r="R3963" s="17"/>
      <c r="S3963" s="17"/>
      <c r="T3963" s="17"/>
      <c r="U3963" s="17"/>
      <c r="V3963" s="18">
        <v>0</v>
      </c>
      <c r="W3963" s="17">
        <f t="shared" si="124"/>
        <v>0</v>
      </c>
      <c r="X3963" s="5">
        <f t="shared" si="125"/>
        <v>0</v>
      </c>
    </row>
    <row r="3964" spans="1:24" x14ac:dyDescent="0.25">
      <c r="A3964" s="17"/>
      <c r="B3964" s="17"/>
      <c r="C3964" s="17"/>
      <c r="D3964" s="17"/>
      <c r="E3964" s="17"/>
      <c r="F3964" s="17"/>
      <c r="G3964" s="17"/>
      <c r="H3964" s="17"/>
      <c r="I3964" s="17"/>
      <c r="J3964" s="17"/>
      <c r="K3964" s="17"/>
      <c r="L3964" s="17"/>
      <c r="M3964" s="17"/>
      <c r="N3964" s="17"/>
      <c r="O3964" s="17"/>
      <c r="P3964" s="17"/>
      <c r="Q3964" s="17"/>
      <c r="R3964" s="17"/>
      <c r="S3964" s="17"/>
      <c r="T3964" s="17"/>
      <c r="U3964" s="17"/>
      <c r="V3964" s="18">
        <v>0</v>
      </c>
      <c r="W3964" s="17">
        <f t="shared" si="124"/>
        <v>0</v>
      </c>
      <c r="X3964" s="5">
        <f t="shared" si="125"/>
        <v>0</v>
      </c>
    </row>
    <row r="3965" spans="1:24" x14ac:dyDescent="0.25">
      <c r="A3965" s="17"/>
      <c r="B3965" s="17"/>
      <c r="C3965" s="17"/>
      <c r="D3965" s="17"/>
      <c r="E3965" s="17"/>
      <c r="F3965" s="17"/>
      <c r="G3965" s="17"/>
      <c r="H3965" s="17"/>
      <c r="I3965" s="17"/>
      <c r="J3965" s="17"/>
      <c r="K3965" s="17"/>
      <c r="L3965" s="17"/>
      <c r="M3965" s="17"/>
      <c r="N3965" s="17"/>
      <c r="O3965" s="17"/>
      <c r="P3965" s="17"/>
      <c r="Q3965" s="17"/>
      <c r="R3965" s="17"/>
      <c r="S3965" s="17"/>
      <c r="T3965" s="17"/>
      <c r="U3965" s="17"/>
      <c r="V3965" s="18">
        <v>0</v>
      </c>
      <c r="W3965" s="17">
        <f t="shared" si="124"/>
        <v>0</v>
      </c>
      <c r="X3965" s="5">
        <f t="shared" si="125"/>
        <v>0</v>
      </c>
    </row>
    <row r="3966" spans="1:24" x14ac:dyDescent="0.25">
      <c r="A3966" s="17"/>
      <c r="B3966" s="17"/>
      <c r="C3966" s="17"/>
      <c r="D3966" s="17"/>
      <c r="E3966" s="17"/>
      <c r="F3966" s="17"/>
      <c r="G3966" s="17"/>
      <c r="H3966" s="17"/>
      <c r="I3966" s="17"/>
      <c r="J3966" s="17"/>
      <c r="K3966" s="17"/>
      <c r="L3966" s="17"/>
      <c r="M3966" s="17"/>
      <c r="N3966" s="17"/>
      <c r="O3966" s="17"/>
      <c r="P3966" s="17"/>
      <c r="Q3966" s="17"/>
      <c r="R3966" s="17"/>
      <c r="S3966" s="17"/>
      <c r="T3966" s="17"/>
      <c r="U3966" s="17"/>
      <c r="V3966" s="18">
        <v>0</v>
      </c>
      <c r="W3966" s="17">
        <f t="shared" si="124"/>
        <v>0</v>
      </c>
      <c r="X3966" s="5">
        <f t="shared" si="125"/>
        <v>0</v>
      </c>
    </row>
    <row r="3967" spans="1:24" x14ac:dyDescent="0.25">
      <c r="A3967" s="17"/>
      <c r="B3967" s="17"/>
      <c r="C3967" s="17"/>
      <c r="D3967" s="17"/>
      <c r="E3967" s="17"/>
      <c r="F3967" s="17"/>
      <c r="G3967" s="17"/>
      <c r="H3967" s="17"/>
      <c r="I3967" s="17"/>
      <c r="J3967" s="17"/>
      <c r="K3967" s="17"/>
      <c r="L3967" s="17"/>
      <c r="M3967" s="17"/>
      <c r="N3967" s="17"/>
      <c r="O3967" s="17"/>
      <c r="P3967" s="17"/>
      <c r="Q3967" s="17"/>
      <c r="R3967" s="17"/>
      <c r="S3967" s="17"/>
      <c r="T3967" s="17"/>
      <c r="U3967" s="17"/>
      <c r="V3967" s="18">
        <v>0</v>
      </c>
      <c r="W3967" s="17">
        <f t="shared" si="124"/>
        <v>0</v>
      </c>
      <c r="X3967" s="5">
        <f t="shared" si="125"/>
        <v>0</v>
      </c>
    </row>
    <row r="3968" spans="1:24" x14ac:dyDescent="0.25">
      <c r="A3968" s="17"/>
      <c r="B3968" s="17"/>
      <c r="C3968" s="17"/>
      <c r="D3968" s="17"/>
      <c r="E3968" s="17"/>
      <c r="F3968" s="17"/>
      <c r="G3968" s="17"/>
      <c r="H3968" s="17"/>
      <c r="I3968" s="17"/>
      <c r="J3968" s="17"/>
      <c r="K3968" s="17"/>
      <c r="L3968" s="17"/>
      <c r="M3968" s="17"/>
      <c r="N3968" s="17"/>
      <c r="O3968" s="17"/>
      <c r="P3968" s="17"/>
      <c r="Q3968" s="17"/>
      <c r="R3968" s="17"/>
      <c r="S3968" s="17"/>
      <c r="T3968" s="17"/>
      <c r="U3968" s="17"/>
      <c r="V3968" s="18">
        <v>0</v>
      </c>
      <c r="W3968" s="17">
        <f t="shared" si="124"/>
        <v>0</v>
      </c>
      <c r="X3968" s="5">
        <f t="shared" si="125"/>
        <v>0</v>
      </c>
    </row>
    <row r="3969" spans="1:24" x14ac:dyDescent="0.25">
      <c r="A3969" s="17"/>
      <c r="B3969" s="17"/>
      <c r="C3969" s="17"/>
      <c r="D3969" s="17"/>
      <c r="E3969" s="17"/>
      <c r="F3969" s="17"/>
      <c r="G3969" s="17"/>
      <c r="H3969" s="17"/>
      <c r="I3969" s="17"/>
      <c r="J3969" s="17"/>
      <c r="K3969" s="17"/>
      <c r="L3969" s="17"/>
      <c r="M3969" s="17"/>
      <c r="N3969" s="17"/>
      <c r="O3969" s="17"/>
      <c r="P3969" s="17"/>
      <c r="Q3969" s="17"/>
      <c r="R3969" s="17"/>
      <c r="S3969" s="17"/>
      <c r="T3969" s="17"/>
      <c r="U3969" s="17"/>
      <c r="V3969" s="18">
        <v>0</v>
      </c>
      <c r="W3969" s="17">
        <f t="shared" si="124"/>
        <v>0</v>
      </c>
      <c r="X3969" s="5">
        <f t="shared" si="125"/>
        <v>0</v>
      </c>
    </row>
    <row r="3970" spans="1:24" x14ac:dyDescent="0.25">
      <c r="A3970" s="17"/>
      <c r="B3970" s="17"/>
      <c r="C3970" s="17"/>
      <c r="D3970" s="17"/>
      <c r="E3970" s="17"/>
      <c r="F3970" s="17"/>
      <c r="G3970" s="17"/>
      <c r="H3970" s="17"/>
      <c r="I3970" s="17"/>
      <c r="J3970" s="17"/>
      <c r="K3970" s="17"/>
      <c r="L3970" s="17"/>
      <c r="M3970" s="17"/>
      <c r="N3970" s="17"/>
      <c r="O3970" s="17"/>
      <c r="P3970" s="17"/>
      <c r="Q3970" s="17"/>
      <c r="R3970" s="17"/>
      <c r="S3970" s="17"/>
      <c r="T3970" s="17"/>
      <c r="U3970" s="17"/>
      <c r="V3970" s="18">
        <v>0</v>
      </c>
      <c r="W3970" s="17">
        <f t="shared" si="124"/>
        <v>0</v>
      </c>
      <c r="X3970" s="5">
        <f t="shared" si="125"/>
        <v>0</v>
      </c>
    </row>
    <row r="3971" spans="1:24" x14ac:dyDescent="0.25">
      <c r="A3971" s="17"/>
      <c r="B3971" s="17"/>
      <c r="C3971" s="17"/>
      <c r="D3971" s="17"/>
      <c r="E3971" s="17"/>
      <c r="F3971" s="17"/>
      <c r="G3971" s="17"/>
      <c r="H3971" s="17"/>
      <c r="I3971" s="17"/>
      <c r="J3971" s="17"/>
      <c r="K3971" s="17"/>
      <c r="L3971" s="17"/>
      <c r="M3971" s="17"/>
      <c r="N3971" s="17"/>
      <c r="O3971" s="17"/>
      <c r="P3971" s="17"/>
      <c r="Q3971" s="17"/>
      <c r="R3971" s="17"/>
      <c r="S3971" s="17"/>
      <c r="T3971" s="17"/>
      <c r="U3971" s="17"/>
      <c r="V3971" s="18">
        <v>0</v>
      </c>
      <c r="W3971" s="17">
        <f t="shared" ref="W3971:W4034" si="126">HOUR(E3971)</f>
        <v>0</v>
      </c>
      <c r="X3971" s="5">
        <f t="shared" ref="X3971:X4034" si="127">IF(D3971=D3970,0,1)</f>
        <v>0</v>
      </c>
    </row>
    <row r="3972" spans="1:24" x14ac:dyDescent="0.25">
      <c r="A3972" s="17"/>
      <c r="B3972" s="17"/>
      <c r="C3972" s="17"/>
      <c r="D3972" s="17"/>
      <c r="E3972" s="17"/>
      <c r="F3972" s="17"/>
      <c r="G3972" s="17"/>
      <c r="H3972" s="17"/>
      <c r="I3972" s="17"/>
      <c r="J3972" s="17"/>
      <c r="K3972" s="17"/>
      <c r="L3972" s="17"/>
      <c r="M3972" s="17"/>
      <c r="N3972" s="17"/>
      <c r="O3972" s="17"/>
      <c r="P3972" s="17"/>
      <c r="Q3972" s="17"/>
      <c r="R3972" s="17"/>
      <c r="S3972" s="17"/>
      <c r="T3972" s="17"/>
      <c r="U3972" s="17"/>
      <c r="V3972" s="18">
        <v>0</v>
      </c>
      <c r="W3972" s="17">
        <f t="shared" si="126"/>
        <v>0</v>
      </c>
      <c r="X3972" s="5">
        <f t="shared" si="127"/>
        <v>0</v>
      </c>
    </row>
    <row r="3973" spans="1:24" x14ac:dyDescent="0.25">
      <c r="A3973" s="17"/>
      <c r="B3973" s="17"/>
      <c r="C3973" s="17"/>
      <c r="D3973" s="17"/>
      <c r="E3973" s="17"/>
      <c r="F3973" s="17"/>
      <c r="G3973" s="17"/>
      <c r="H3973" s="17"/>
      <c r="I3973" s="17"/>
      <c r="J3973" s="17"/>
      <c r="K3973" s="17"/>
      <c r="L3973" s="17"/>
      <c r="M3973" s="17"/>
      <c r="N3973" s="17"/>
      <c r="O3973" s="17"/>
      <c r="P3973" s="17"/>
      <c r="Q3973" s="17"/>
      <c r="R3973" s="17"/>
      <c r="S3973" s="17"/>
      <c r="T3973" s="17"/>
      <c r="U3973" s="17"/>
      <c r="V3973" s="18">
        <v>0</v>
      </c>
      <c r="W3973" s="17">
        <f t="shared" si="126"/>
        <v>0</v>
      </c>
      <c r="X3973" s="5">
        <f t="shared" si="127"/>
        <v>0</v>
      </c>
    </row>
    <row r="3974" spans="1:24" x14ac:dyDescent="0.25">
      <c r="A3974" s="17"/>
      <c r="B3974" s="17"/>
      <c r="C3974" s="17"/>
      <c r="D3974" s="17"/>
      <c r="E3974" s="17"/>
      <c r="F3974" s="17"/>
      <c r="G3974" s="17"/>
      <c r="H3974" s="17"/>
      <c r="I3974" s="17"/>
      <c r="J3974" s="17"/>
      <c r="K3974" s="17"/>
      <c r="L3974" s="17"/>
      <c r="M3974" s="17"/>
      <c r="N3974" s="17"/>
      <c r="O3974" s="17"/>
      <c r="P3974" s="17"/>
      <c r="Q3974" s="17"/>
      <c r="R3974" s="17"/>
      <c r="S3974" s="17"/>
      <c r="T3974" s="17"/>
      <c r="U3974" s="17"/>
      <c r="V3974" s="18">
        <v>0</v>
      </c>
      <c r="W3974" s="17">
        <f t="shared" si="126"/>
        <v>0</v>
      </c>
      <c r="X3974" s="5">
        <f t="shared" si="127"/>
        <v>0</v>
      </c>
    </row>
    <row r="3975" spans="1:24" x14ac:dyDescent="0.25">
      <c r="A3975" s="17"/>
      <c r="B3975" s="17"/>
      <c r="C3975" s="17"/>
      <c r="D3975" s="17"/>
      <c r="E3975" s="17"/>
      <c r="F3975" s="17"/>
      <c r="G3975" s="17"/>
      <c r="H3975" s="17"/>
      <c r="I3975" s="17"/>
      <c r="J3975" s="17"/>
      <c r="K3975" s="17"/>
      <c r="L3975" s="17"/>
      <c r="M3975" s="17"/>
      <c r="N3975" s="17"/>
      <c r="O3975" s="17"/>
      <c r="P3975" s="17"/>
      <c r="Q3975" s="17"/>
      <c r="R3975" s="17"/>
      <c r="S3975" s="17"/>
      <c r="T3975" s="17"/>
      <c r="U3975" s="17"/>
      <c r="V3975" s="18">
        <v>0</v>
      </c>
      <c r="W3975" s="17">
        <f t="shared" si="126"/>
        <v>0</v>
      </c>
      <c r="X3975" s="5">
        <f t="shared" si="127"/>
        <v>0</v>
      </c>
    </row>
    <row r="3976" spans="1:24" x14ac:dyDescent="0.25">
      <c r="A3976" s="17"/>
      <c r="B3976" s="17"/>
      <c r="C3976" s="17"/>
      <c r="D3976" s="17"/>
      <c r="E3976" s="17"/>
      <c r="F3976" s="17"/>
      <c r="G3976" s="17"/>
      <c r="H3976" s="17"/>
      <c r="I3976" s="17"/>
      <c r="J3976" s="17"/>
      <c r="K3976" s="17"/>
      <c r="L3976" s="17"/>
      <c r="M3976" s="17"/>
      <c r="N3976" s="17"/>
      <c r="O3976" s="17"/>
      <c r="P3976" s="17"/>
      <c r="Q3976" s="17"/>
      <c r="R3976" s="17"/>
      <c r="S3976" s="17"/>
      <c r="T3976" s="17"/>
      <c r="U3976" s="17"/>
      <c r="V3976" s="18">
        <v>0</v>
      </c>
      <c r="W3976" s="17">
        <f t="shared" si="126"/>
        <v>0</v>
      </c>
      <c r="X3976" s="5">
        <f t="shared" si="127"/>
        <v>0</v>
      </c>
    </row>
    <row r="3977" spans="1:24" x14ac:dyDescent="0.25">
      <c r="A3977" s="17"/>
      <c r="B3977" s="17"/>
      <c r="C3977" s="17"/>
      <c r="D3977" s="17"/>
      <c r="E3977" s="17"/>
      <c r="F3977" s="17"/>
      <c r="G3977" s="17"/>
      <c r="H3977" s="17"/>
      <c r="I3977" s="17"/>
      <c r="J3977" s="17"/>
      <c r="K3977" s="17"/>
      <c r="L3977" s="17"/>
      <c r="M3977" s="17"/>
      <c r="N3977" s="17"/>
      <c r="O3977" s="17"/>
      <c r="P3977" s="17"/>
      <c r="Q3977" s="17"/>
      <c r="R3977" s="17"/>
      <c r="S3977" s="17"/>
      <c r="T3977" s="17"/>
      <c r="U3977" s="17"/>
      <c r="V3977" s="18">
        <v>0</v>
      </c>
      <c r="W3977" s="17">
        <f t="shared" si="126"/>
        <v>0</v>
      </c>
      <c r="X3977" s="5">
        <f t="shared" si="127"/>
        <v>0</v>
      </c>
    </row>
    <row r="3978" spans="1:24" x14ac:dyDescent="0.25">
      <c r="A3978" s="17"/>
      <c r="B3978" s="17"/>
      <c r="C3978" s="17"/>
      <c r="D3978" s="17"/>
      <c r="E3978" s="17"/>
      <c r="F3978" s="17"/>
      <c r="G3978" s="17"/>
      <c r="H3978" s="17"/>
      <c r="I3978" s="17"/>
      <c r="J3978" s="17"/>
      <c r="K3978" s="17"/>
      <c r="L3978" s="17"/>
      <c r="M3978" s="17"/>
      <c r="N3978" s="17"/>
      <c r="O3978" s="17"/>
      <c r="P3978" s="17"/>
      <c r="Q3978" s="17"/>
      <c r="R3978" s="17"/>
      <c r="S3978" s="17"/>
      <c r="T3978" s="17"/>
      <c r="U3978" s="17"/>
      <c r="V3978" s="18">
        <v>0</v>
      </c>
      <c r="W3978" s="17">
        <f t="shared" si="126"/>
        <v>0</v>
      </c>
      <c r="X3978" s="5">
        <f t="shared" si="127"/>
        <v>0</v>
      </c>
    </row>
    <row r="3979" spans="1:24" x14ac:dyDescent="0.25">
      <c r="A3979" s="17"/>
      <c r="B3979" s="17"/>
      <c r="C3979" s="17"/>
      <c r="D3979" s="17"/>
      <c r="E3979" s="17"/>
      <c r="F3979" s="17"/>
      <c r="G3979" s="17"/>
      <c r="H3979" s="17"/>
      <c r="I3979" s="17"/>
      <c r="J3979" s="17"/>
      <c r="K3979" s="17"/>
      <c r="L3979" s="17"/>
      <c r="M3979" s="17"/>
      <c r="N3979" s="17"/>
      <c r="O3979" s="17"/>
      <c r="P3979" s="17"/>
      <c r="Q3979" s="17"/>
      <c r="R3979" s="17"/>
      <c r="S3979" s="17"/>
      <c r="T3979" s="17"/>
      <c r="U3979" s="17"/>
      <c r="V3979" s="18">
        <v>0</v>
      </c>
      <c r="W3979" s="17">
        <f t="shared" si="126"/>
        <v>0</v>
      </c>
      <c r="X3979" s="5">
        <f t="shared" si="127"/>
        <v>0</v>
      </c>
    </row>
    <row r="3980" spans="1:24" x14ac:dyDescent="0.25">
      <c r="A3980" s="17"/>
      <c r="B3980" s="17"/>
      <c r="C3980" s="17"/>
      <c r="D3980" s="17"/>
      <c r="E3980" s="17"/>
      <c r="F3980" s="17"/>
      <c r="G3980" s="17"/>
      <c r="H3980" s="17"/>
      <c r="I3980" s="17"/>
      <c r="J3980" s="17"/>
      <c r="K3980" s="17"/>
      <c r="L3980" s="17"/>
      <c r="M3980" s="17"/>
      <c r="N3980" s="17"/>
      <c r="O3980" s="17"/>
      <c r="P3980" s="17"/>
      <c r="Q3980" s="17"/>
      <c r="R3980" s="17"/>
      <c r="S3980" s="17"/>
      <c r="T3980" s="17"/>
      <c r="U3980" s="17"/>
      <c r="V3980" s="18">
        <v>0</v>
      </c>
      <c r="W3980" s="17">
        <f t="shared" si="126"/>
        <v>0</v>
      </c>
      <c r="X3980" s="5">
        <f t="shared" si="127"/>
        <v>0</v>
      </c>
    </row>
    <row r="3981" spans="1:24" x14ac:dyDescent="0.25">
      <c r="A3981" s="17"/>
      <c r="B3981" s="17"/>
      <c r="C3981" s="17"/>
      <c r="D3981" s="17"/>
      <c r="E3981" s="17"/>
      <c r="F3981" s="17"/>
      <c r="G3981" s="17"/>
      <c r="H3981" s="17"/>
      <c r="I3981" s="17"/>
      <c r="J3981" s="17"/>
      <c r="K3981" s="17"/>
      <c r="L3981" s="17"/>
      <c r="M3981" s="17"/>
      <c r="N3981" s="17"/>
      <c r="O3981" s="17"/>
      <c r="P3981" s="17"/>
      <c r="Q3981" s="17"/>
      <c r="R3981" s="17"/>
      <c r="S3981" s="17"/>
      <c r="T3981" s="17"/>
      <c r="U3981" s="17"/>
      <c r="V3981" s="18">
        <v>0</v>
      </c>
      <c r="W3981" s="17">
        <f t="shared" si="126"/>
        <v>0</v>
      </c>
      <c r="X3981" s="5">
        <f t="shared" si="127"/>
        <v>0</v>
      </c>
    </row>
    <row r="3982" spans="1:24" x14ac:dyDescent="0.25">
      <c r="A3982" s="17"/>
      <c r="B3982" s="17"/>
      <c r="C3982" s="17"/>
      <c r="D3982" s="17"/>
      <c r="E3982" s="17"/>
      <c r="F3982" s="17"/>
      <c r="G3982" s="17"/>
      <c r="H3982" s="17"/>
      <c r="I3982" s="17"/>
      <c r="J3982" s="17"/>
      <c r="K3982" s="17"/>
      <c r="L3982" s="17"/>
      <c r="M3982" s="17"/>
      <c r="N3982" s="17"/>
      <c r="O3982" s="17"/>
      <c r="P3982" s="17"/>
      <c r="Q3982" s="17"/>
      <c r="R3982" s="17"/>
      <c r="S3982" s="17"/>
      <c r="T3982" s="17"/>
      <c r="U3982" s="17"/>
      <c r="V3982" s="18">
        <v>0</v>
      </c>
      <c r="W3982" s="17">
        <f t="shared" si="126"/>
        <v>0</v>
      </c>
      <c r="X3982" s="5">
        <f t="shared" si="127"/>
        <v>0</v>
      </c>
    </row>
    <row r="3983" spans="1:24" x14ac:dyDescent="0.25">
      <c r="A3983" s="17"/>
      <c r="B3983" s="17"/>
      <c r="C3983" s="17"/>
      <c r="D3983" s="17"/>
      <c r="E3983" s="17"/>
      <c r="F3983" s="17"/>
      <c r="G3983" s="17"/>
      <c r="H3983" s="17"/>
      <c r="I3983" s="17"/>
      <c r="J3983" s="17"/>
      <c r="K3983" s="17"/>
      <c r="L3983" s="17"/>
      <c r="M3983" s="17"/>
      <c r="N3983" s="17"/>
      <c r="O3983" s="17"/>
      <c r="P3983" s="17"/>
      <c r="Q3983" s="17"/>
      <c r="R3983" s="17"/>
      <c r="S3983" s="17"/>
      <c r="T3983" s="17"/>
      <c r="U3983" s="17"/>
      <c r="V3983" s="18">
        <v>0</v>
      </c>
      <c r="W3983" s="17">
        <f t="shared" si="126"/>
        <v>0</v>
      </c>
      <c r="X3983" s="5">
        <f t="shared" si="127"/>
        <v>0</v>
      </c>
    </row>
    <row r="3984" spans="1:24" x14ac:dyDescent="0.25">
      <c r="A3984" s="17"/>
      <c r="B3984" s="17"/>
      <c r="C3984" s="17"/>
      <c r="D3984" s="17"/>
      <c r="E3984" s="17"/>
      <c r="F3984" s="17"/>
      <c r="G3984" s="17"/>
      <c r="H3984" s="17"/>
      <c r="I3984" s="17"/>
      <c r="J3984" s="17"/>
      <c r="K3984" s="17"/>
      <c r="L3984" s="17"/>
      <c r="M3984" s="17"/>
      <c r="N3984" s="17"/>
      <c r="O3984" s="17"/>
      <c r="P3984" s="17"/>
      <c r="Q3984" s="17"/>
      <c r="R3984" s="17"/>
      <c r="S3984" s="17"/>
      <c r="T3984" s="17"/>
      <c r="U3984" s="17"/>
      <c r="V3984" s="18">
        <v>0</v>
      </c>
      <c r="W3984" s="17">
        <f t="shared" si="126"/>
        <v>0</v>
      </c>
      <c r="X3984" s="5">
        <f t="shared" si="127"/>
        <v>0</v>
      </c>
    </row>
    <row r="3985" spans="1:24" x14ac:dyDescent="0.25">
      <c r="A3985" s="17"/>
      <c r="B3985" s="17"/>
      <c r="C3985" s="17"/>
      <c r="D3985" s="17"/>
      <c r="E3985" s="17"/>
      <c r="F3985" s="17"/>
      <c r="G3985" s="17"/>
      <c r="H3985" s="17"/>
      <c r="I3985" s="17"/>
      <c r="J3985" s="17"/>
      <c r="K3985" s="17"/>
      <c r="L3985" s="17"/>
      <c r="M3985" s="17"/>
      <c r="N3985" s="17"/>
      <c r="O3985" s="17"/>
      <c r="P3985" s="17"/>
      <c r="Q3985" s="17"/>
      <c r="R3985" s="17"/>
      <c r="S3985" s="17"/>
      <c r="T3985" s="17"/>
      <c r="U3985" s="17"/>
      <c r="V3985" s="18">
        <v>0</v>
      </c>
      <c r="W3985" s="17">
        <f t="shared" si="126"/>
        <v>0</v>
      </c>
      <c r="X3985" s="5">
        <f t="shared" si="127"/>
        <v>0</v>
      </c>
    </row>
    <row r="3986" spans="1:24" x14ac:dyDescent="0.25">
      <c r="A3986" s="17"/>
      <c r="B3986" s="17"/>
      <c r="C3986" s="17"/>
      <c r="D3986" s="17"/>
      <c r="E3986" s="17"/>
      <c r="F3986" s="17"/>
      <c r="G3986" s="17"/>
      <c r="H3986" s="17"/>
      <c r="I3986" s="17"/>
      <c r="J3986" s="17"/>
      <c r="K3986" s="17"/>
      <c r="L3986" s="17"/>
      <c r="M3986" s="17"/>
      <c r="N3986" s="17"/>
      <c r="O3986" s="17"/>
      <c r="P3986" s="17"/>
      <c r="Q3986" s="17"/>
      <c r="R3986" s="17"/>
      <c r="S3986" s="17"/>
      <c r="T3986" s="17"/>
      <c r="U3986" s="17"/>
      <c r="V3986" s="18">
        <v>0</v>
      </c>
      <c r="W3986" s="17">
        <f t="shared" si="126"/>
        <v>0</v>
      </c>
      <c r="X3986" s="5">
        <f t="shared" si="127"/>
        <v>0</v>
      </c>
    </row>
    <row r="3987" spans="1:24" x14ac:dyDescent="0.25">
      <c r="A3987" s="17"/>
      <c r="B3987" s="17"/>
      <c r="C3987" s="17"/>
      <c r="D3987" s="17"/>
      <c r="E3987" s="17"/>
      <c r="F3987" s="17"/>
      <c r="G3987" s="17"/>
      <c r="H3987" s="17"/>
      <c r="I3987" s="17"/>
      <c r="J3987" s="17"/>
      <c r="K3987" s="17"/>
      <c r="L3987" s="17"/>
      <c r="M3987" s="17"/>
      <c r="N3987" s="17"/>
      <c r="O3987" s="17"/>
      <c r="P3987" s="17"/>
      <c r="Q3987" s="17"/>
      <c r="R3987" s="17"/>
      <c r="S3987" s="17"/>
      <c r="T3987" s="17"/>
      <c r="U3987" s="17"/>
      <c r="V3987" s="18">
        <v>0</v>
      </c>
      <c r="W3987" s="17">
        <f t="shared" si="126"/>
        <v>0</v>
      </c>
      <c r="X3987" s="5">
        <f t="shared" si="127"/>
        <v>0</v>
      </c>
    </row>
    <row r="3988" spans="1:24" x14ac:dyDescent="0.25">
      <c r="A3988" s="17"/>
      <c r="B3988" s="17"/>
      <c r="C3988" s="17"/>
      <c r="D3988" s="17"/>
      <c r="E3988" s="17"/>
      <c r="F3988" s="17"/>
      <c r="G3988" s="17"/>
      <c r="H3988" s="17"/>
      <c r="I3988" s="17"/>
      <c r="J3988" s="17"/>
      <c r="K3988" s="17"/>
      <c r="L3988" s="17"/>
      <c r="M3988" s="17"/>
      <c r="N3988" s="17"/>
      <c r="O3988" s="17"/>
      <c r="P3988" s="17"/>
      <c r="Q3988" s="17"/>
      <c r="R3988" s="17"/>
      <c r="S3988" s="17"/>
      <c r="T3988" s="17"/>
      <c r="U3988" s="17"/>
      <c r="V3988" s="18">
        <v>0</v>
      </c>
      <c r="W3988" s="17">
        <f t="shared" si="126"/>
        <v>0</v>
      </c>
      <c r="X3988" s="5">
        <f t="shared" si="127"/>
        <v>0</v>
      </c>
    </row>
    <row r="3989" spans="1:24" x14ac:dyDescent="0.25">
      <c r="A3989" s="17"/>
      <c r="B3989" s="17"/>
      <c r="C3989" s="17"/>
      <c r="D3989" s="17"/>
      <c r="E3989" s="17"/>
      <c r="F3989" s="17"/>
      <c r="G3989" s="17"/>
      <c r="H3989" s="17"/>
      <c r="I3989" s="17"/>
      <c r="J3989" s="17"/>
      <c r="K3989" s="17"/>
      <c r="L3989" s="17"/>
      <c r="M3989" s="17"/>
      <c r="N3989" s="17"/>
      <c r="O3989" s="17"/>
      <c r="P3989" s="17"/>
      <c r="Q3989" s="17"/>
      <c r="R3989" s="17"/>
      <c r="S3989" s="17"/>
      <c r="T3989" s="17"/>
      <c r="U3989" s="17"/>
      <c r="V3989" s="18">
        <v>0</v>
      </c>
      <c r="W3989" s="17">
        <f t="shared" si="126"/>
        <v>0</v>
      </c>
      <c r="X3989" s="5">
        <f t="shared" si="127"/>
        <v>0</v>
      </c>
    </row>
    <row r="3990" spans="1:24" x14ac:dyDescent="0.25">
      <c r="A3990" s="17"/>
      <c r="B3990" s="17"/>
      <c r="C3990" s="17"/>
      <c r="D3990" s="17"/>
      <c r="E3990" s="17"/>
      <c r="F3990" s="17"/>
      <c r="G3990" s="17"/>
      <c r="H3990" s="17"/>
      <c r="I3990" s="17"/>
      <c r="J3990" s="17"/>
      <c r="K3990" s="17"/>
      <c r="L3990" s="17"/>
      <c r="M3990" s="17"/>
      <c r="N3990" s="17"/>
      <c r="O3990" s="17"/>
      <c r="P3990" s="17"/>
      <c r="Q3990" s="17"/>
      <c r="R3990" s="17"/>
      <c r="S3990" s="17"/>
      <c r="T3990" s="17"/>
      <c r="U3990" s="17"/>
      <c r="V3990" s="18">
        <v>0</v>
      </c>
      <c r="W3990" s="17">
        <f t="shared" si="126"/>
        <v>0</v>
      </c>
      <c r="X3990" s="5">
        <f t="shared" si="127"/>
        <v>0</v>
      </c>
    </row>
    <row r="3991" spans="1:24" x14ac:dyDescent="0.25">
      <c r="A3991" s="17"/>
      <c r="B3991" s="17"/>
      <c r="C3991" s="17"/>
      <c r="D3991" s="17"/>
      <c r="E3991" s="17"/>
      <c r="F3991" s="17"/>
      <c r="G3991" s="17"/>
      <c r="H3991" s="17"/>
      <c r="I3991" s="17"/>
      <c r="J3991" s="17"/>
      <c r="K3991" s="17"/>
      <c r="L3991" s="17"/>
      <c r="M3991" s="17"/>
      <c r="N3991" s="17"/>
      <c r="O3991" s="17"/>
      <c r="P3991" s="17"/>
      <c r="Q3991" s="17"/>
      <c r="R3991" s="17"/>
      <c r="S3991" s="17"/>
      <c r="T3991" s="17"/>
      <c r="U3991" s="17"/>
      <c r="V3991" s="18">
        <v>0</v>
      </c>
      <c r="W3991" s="17">
        <f t="shared" si="126"/>
        <v>0</v>
      </c>
      <c r="X3991" s="5">
        <f t="shared" si="127"/>
        <v>0</v>
      </c>
    </row>
    <row r="3992" spans="1:24" x14ac:dyDescent="0.25">
      <c r="A3992" s="17"/>
      <c r="B3992" s="17"/>
      <c r="C3992" s="17"/>
      <c r="D3992" s="17"/>
      <c r="E3992" s="17"/>
      <c r="F3992" s="17"/>
      <c r="G3992" s="17"/>
      <c r="H3992" s="17"/>
      <c r="I3992" s="17"/>
      <c r="J3992" s="17"/>
      <c r="K3992" s="17"/>
      <c r="L3992" s="17"/>
      <c r="M3992" s="17"/>
      <c r="N3992" s="17"/>
      <c r="O3992" s="17"/>
      <c r="P3992" s="17"/>
      <c r="Q3992" s="17"/>
      <c r="R3992" s="17"/>
      <c r="S3992" s="17"/>
      <c r="T3992" s="17"/>
      <c r="U3992" s="17"/>
      <c r="V3992" s="18">
        <v>0</v>
      </c>
      <c r="W3992" s="17">
        <f t="shared" si="126"/>
        <v>0</v>
      </c>
      <c r="X3992" s="5">
        <f t="shared" si="127"/>
        <v>0</v>
      </c>
    </row>
    <row r="3993" spans="1:24" x14ac:dyDescent="0.25">
      <c r="A3993" s="17"/>
      <c r="B3993" s="17"/>
      <c r="C3993" s="17"/>
      <c r="D3993" s="17"/>
      <c r="E3993" s="17"/>
      <c r="F3993" s="17"/>
      <c r="G3993" s="17"/>
      <c r="H3993" s="17"/>
      <c r="I3993" s="17"/>
      <c r="J3993" s="17"/>
      <c r="K3993" s="17"/>
      <c r="L3993" s="17"/>
      <c r="M3993" s="17"/>
      <c r="N3993" s="17"/>
      <c r="O3993" s="17"/>
      <c r="P3993" s="17"/>
      <c r="Q3993" s="17"/>
      <c r="R3993" s="17"/>
      <c r="S3993" s="17"/>
      <c r="T3993" s="17"/>
      <c r="U3993" s="17"/>
      <c r="V3993" s="18">
        <v>0</v>
      </c>
      <c r="W3993" s="17">
        <f t="shared" si="126"/>
        <v>0</v>
      </c>
      <c r="X3993" s="5">
        <f t="shared" si="127"/>
        <v>0</v>
      </c>
    </row>
    <row r="3994" spans="1:24" x14ac:dyDescent="0.25">
      <c r="A3994" s="17"/>
      <c r="B3994" s="17"/>
      <c r="C3994" s="17"/>
      <c r="D3994" s="17"/>
      <c r="E3994" s="17"/>
      <c r="F3994" s="17"/>
      <c r="G3994" s="17"/>
      <c r="H3994" s="17"/>
      <c r="I3994" s="17"/>
      <c r="J3994" s="17"/>
      <c r="K3994" s="17"/>
      <c r="L3994" s="17"/>
      <c r="M3994" s="17"/>
      <c r="N3994" s="17"/>
      <c r="O3994" s="17"/>
      <c r="P3994" s="17"/>
      <c r="Q3994" s="17"/>
      <c r="R3994" s="17"/>
      <c r="S3994" s="17"/>
      <c r="T3994" s="17"/>
      <c r="U3994" s="17"/>
      <c r="V3994" s="18">
        <v>0</v>
      </c>
      <c r="W3994" s="17">
        <f t="shared" si="126"/>
        <v>0</v>
      </c>
      <c r="X3994" s="5">
        <f t="shared" si="127"/>
        <v>0</v>
      </c>
    </row>
    <row r="3995" spans="1:24" x14ac:dyDescent="0.25">
      <c r="A3995" s="17"/>
      <c r="B3995" s="17"/>
      <c r="C3995" s="17"/>
      <c r="D3995" s="17"/>
      <c r="E3995" s="17"/>
      <c r="F3995" s="17"/>
      <c r="G3995" s="17"/>
      <c r="H3995" s="17"/>
      <c r="I3995" s="17"/>
      <c r="J3995" s="17"/>
      <c r="K3995" s="17"/>
      <c r="L3995" s="17"/>
      <c r="M3995" s="17"/>
      <c r="N3995" s="17"/>
      <c r="O3995" s="17"/>
      <c r="P3995" s="17"/>
      <c r="Q3995" s="17"/>
      <c r="R3995" s="17"/>
      <c r="S3995" s="17"/>
      <c r="T3995" s="17"/>
      <c r="U3995" s="17"/>
      <c r="V3995" s="18">
        <v>0</v>
      </c>
      <c r="W3995" s="17">
        <f t="shared" si="126"/>
        <v>0</v>
      </c>
      <c r="X3995" s="5">
        <f t="shared" si="127"/>
        <v>0</v>
      </c>
    </row>
    <row r="3996" spans="1:24" x14ac:dyDescent="0.25">
      <c r="A3996" s="17"/>
      <c r="B3996" s="17"/>
      <c r="C3996" s="17"/>
      <c r="D3996" s="17"/>
      <c r="E3996" s="17"/>
      <c r="F3996" s="17"/>
      <c r="G3996" s="17"/>
      <c r="H3996" s="17"/>
      <c r="I3996" s="17"/>
      <c r="J3996" s="17"/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8">
        <v>0</v>
      </c>
      <c r="W3996" s="17">
        <f t="shared" si="126"/>
        <v>0</v>
      </c>
      <c r="X3996" s="5">
        <f t="shared" si="127"/>
        <v>0</v>
      </c>
    </row>
    <row r="3997" spans="1:24" x14ac:dyDescent="0.25">
      <c r="A3997" s="17"/>
      <c r="B3997" s="17"/>
      <c r="C3997" s="17"/>
      <c r="D3997" s="17"/>
      <c r="E3997" s="17"/>
      <c r="F3997" s="17"/>
      <c r="G3997" s="17"/>
      <c r="H3997" s="17"/>
      <c r="I3997" s="17"/>
      <c r="J3997" s="17"/>
      <c r="K3997" s="17"/>
      <c r="L3997" s="17"/>
      <c r="M3997" s="17"/>
      <c r="N3997" s="17"/>
      <c r="O3997" s="17"/>
      <c r="P3997" s="17"/>
      <c r="Q3997" s="17"/>
      <c r="R3997" s="17"/>
      <c r="S3997" s="17"/>
      <c r="T3997" s="17"/>
      <c r="U3997" s="17"/>
      <c r="V3997" s="18">
        <v>0</v>
      </c>
      <c r="W3997" s="17">
        <f t="shared" si="126"/>
        <v>0</v>
      </c>
      <c r="X3997" s="5">
        <f t="shared" si="127"/>
        <v>0</v>
      </c>
    </row>
    <row r="3998" spans="1:24" x14ac:dyDescent="0.25">
      <c r="A3998" s="17"/>
      <c r="B3998" s="17"/>
      <c r="C3998" s="17"/>
      <c r="D3998" s="17"/>
      <c r="E3998" s="17"/>
      <c r="F3998" s="17"/>
      <c r="G3998" s="17"/>
      <c r="H3998" s="17"/>
      <c r="I3998" s="17"/>
      <c r="J3998" s="17"/>
      <c r="K3998" s="17"/>
      <c r="L3998" s="17"/>
      <c r="M3998" s="17"/>
      <c r="N3998" s="17"/>
      <c r="O3998" s="17"/>
      <c r="P3998" s="17"/>
      <c r="Q3998" s="17"/>
      <c r="R3998" s="17"/>
      <c r="S3998" s="17"/>
      <c r="T3998" s="17"/>
      <c r="U3998" s="17"/>
      <c r="V3998" s="18">
        <v>0</v>
      </c>
      <c r="W3998" s="17">
        <f t="shared" si="126"/>
        <v>0</v>
      </c>
      <c r="X3998" s="5">
        <f t="shared" si="127"/>
        <v>0</v>
      </c>
    </row>
    <row r="3999" spans="1:24" x14ac:dyDescent="0.25">
      <c r="A3999" s="17"/>
      <c r="B3999" s="17"/>
      <c r="C3999" s="17"/>
      <c r="D3999" s="17"/>
      <c r="E3999" s="17"/>
      <c r="F3999" s="17"/>
      <c r="G3999" s="17"/>
      <c r="H3999" s="17"/>
      <c r="I3999" s="17"/>
      <c r="J3999" s="17"/>
      <c r="K3999" s="17"/>
      <c r="L3999" s="17"/>
      <c r="M3999" s="17"/>
      <c r="N3999" s="17"/>
      <c r="O3999" s="17"/>
      <c r="P3999" s="17"/>
      <c r="Q3999" s="17"/>
      <c r="R3999" s="17"/>
      <c r="S3999" s="17"/>
      <c r="T3999" s="17"/>
      <c r="U3999" s="17"/>
      <c r="V3999" s="18">
        <v>0</v>
      </c>
      <c r="W3999" s="17">
        <f t="shared" si="126"/>
        <v>0</v>
      </c>
      <c r="X3999" s="5">
        <f t="shared" si="127"/>
        <v>0</v>
      </c>
    </row>
    <row r="4000" spans="1:24" x14ac:dyDescent="0.25">
      <c r="A4000" s="17"/>
      <c r="B4000" s="17"/>
      <c r="C4000" s="17"/>
      <c r="D4000" s="17"/>
      <c r="E4000" s="17"/>
      <c r="F4000" s="17"/>
      <c r="G4000" s="17"/>
      <c r="H4000" s="17"/>
      <c r="I4000" s="17"/>
      <c r="J4000" s="17"/>
      <c r="K4000" s="17"/>
      <c r="L4000" s="17"/>
      <c r="M4000" s="17"/>
      <c r="N4000" s="17"/>
      <c r="O4000" s="17"/>
      <c r="P4000" s="17"/>
      <c r="Q4000" s="17"/>
      <c r="R4000" s="17"/>
      <c r="S4000" s="17"/>
      <c r="T4000" s="17"/>
      <c r="U4000" s="17"/>
      <c r="V4000" s="18">
        <v>0</v>
      </c>
      <c r="W4000" s="17">
        <f t="shared" si="126"/>
        <v>0</v>
      </c>
      <c r="X4000" s="5">
        <f t="shared" si="127"/>
        <v>0</v>
      </c>
    </row>
    <row r="4001" spans="1:24" x14ac:dyDescent="0.25">
      <c r="A4001" s="17"/>
      <c r="B4001" s="17"/>
      <c r="C4001" s="17"/>
      <c r="D4001" s="17"/>
      <c r="E4001" s="17"/>
      <c r="F4001" s="17"/>
      <c r="G4001" s="17"/>
      <c r="H4001" s="17"/>
      <c r="I4001" s="17"/>
      <c r="J4001" s="17"/>
      <c r="K4001" s="17"/>
      <c r="L4001" s="17"/>
      <c r="M4001" s="17"/>
      <c r="N4001" s="17"/>
      <c r="O4001" s="17"/>
      <c r="P4001" s="17"/>
      <c r="Q4001" s="17"/>
      <c r="R4001" s="17"/>
      <c r="S4001" s="17"/>
      <c r="T4001" s="17"/>
      <c r="U4001" s="17"/>
      <c r="V4001" s="18">
        <v>0</v>
      </c>
      <c r="W4001" s="17">
        <f t="shared" si="126"/>
        <v>0</v>
      </c>
      <c r="X4001" s="5">
        <f t="shared" si="127"/>
        <v>0</v>
      </c>
    </row>
    <row r="4002" spans="1:24" x14ac:dyDescent="0.25">
      <c r="A4002" s="17"/>
      <c r="B4002" s="17"/>
      <c r="C4002" s="17"/>
      <c r="D4002" s="17"/>
      <c r="E4002" s="17"/>
      <c r="F4002" s="17"/>
      <c r="G4002" s="17"/>
      <c r="H4002" s="17"/>
      <c r="I4002" s="17"/>
      <c r="J4002" s="17"/>
      <c r="K4002" s="17"/>
      <c r="L4002" s="17"/>
      <c r="M4002" s="17"/>
      <c r="N4002" s="17"/>
      <c r="O4002" s="17"/>
      <c r="P4002" s="17"/>
      <c r="Q4002" s="17"/>
      <c r="R4002" s="17"/>
      <c r="S4002" s="17"/>
      <c r="T4002" s="17"/>
      <c r="U4002" s="17"/>
      <c r="V4002" s="18">
        <v>0</v>
      </c>
      <c r="W4002" s="17">
        <f t="shared" si="126"/>
        <v>0</v>
      </c>
      <c r="X4002" s="5">
        <f t="shared" si="127"/>
        <v>0</v>
      </c>
    </row>
    <row r="4003" spans="1:24" x14ac:dyDescent="0.25">
      <c r="A4003" s="17"/>
      <c r="B4003" s="17"/>
      <c r="C4003" s="17"/>
      <c r="D4003" s="17"/>
      <c r="E4003" s="17"/>
      <c r="F4003" s="17"/>
      <c r="G4003" s="17"/>
      <c r="H4003" s="17"/>
      <c r="I4003" s="17"/>
      <c r="J4003" s="17"/>
      <c r="K4003" s="17"/>
      <c r="L4003" s="17"/>
      <c r="M4003" s="17"/>
      <c r="N4003" s="17"/>
      <c r="O4003" s="17"/>
      <c r="P4003" s="17"/>
      <c r="Q4003" s="17"/>
      <c r="R4003" s="17"/>
      <c r="S4003" s="17"/>
      <c r="T4003" s="17"/>
      <c r="U4003" s="17"/>
      <c r="V4003" s="18">
        <v>0</v>
      </c>
      <c r="W4003" s="17">
        <f t="shared" si="126"/>
        <v>0</v>
      </c>
      <c r="X4003" s="5">
        <f t="shared" si="127"/>
        <v>0</v>
      </c>
    </row>
    <row r="4004" spans="1:24" x14ac:dyDescent="0.25">
      <c r="A4004" s="17"/>
      <c r="B4004" s="17"/>
      <c r="C4004" s="17"/>
      <c r="D4004" s="17"/>
      <c r="E4004" s="17"/>
      <c r="F4004" s="17"/>
      <c r="G4004" s="17"/>
      <c r="H4004" s="17"/>
      <c r="I4004" s="17"/>
      <c r="J4004" s="17"/>
      <c r="K4004" s="17"/>
      <c r="L4004" s="17"/>
      <c r="M4004" s="17"/>
      <c r="N4004" s="17"/>
      <c r="O4004" s="17"/>
      <c r="P4004" s="17"/>
      <c r="Q4004" s="17"/>
      <c r="R4004" s="17"/>
      <c r="S4004" s="17"/>
      <c r="T4004" s="17"/>
      <c r="U4004" s="17"/>
      <c r="V4004" s="18">
        <v>0</v>
      </c>
      <c r="W4004" s="17">
        <f t="shared" si="126"/>
        <v>0</v>
      </c>
      <c r="X4004" s="5">
        <f t="shared" si="127"/>
        <v>0</v>
      </c>
    </row>
    <row r="4005" spans="1:24" x14ac:dyDescent="0.25">
      <c r="A4005" s="17"/>
      <c r="B4005" s="17"/>
      <c r="C4005" s="17"/>
      <c r="D4005" s="17"/>
      <c r="E4005" s="17"/>
      <c r="F4005" s="17"/>
      <c r="G4005" s="17"/>
      <c r="H4005" s="17"/>
      <c r="I4005" s="17"/>
      <c r="J4005" s="17"/>
      <c r="K4005" s="17"/>
      <c r="L4005" s="17"/>
      <c r="M4005" s="17"/>
      <c r="N4005" s="17"/>
      <c r="O4005" s="17"/>
      <c r="P4005" s="17"/>
      <c r="Q4005" s="17"/>
      <c r="R4005" s="17"/>
      <c r="S4005" s="17"/>
      <c r="T4005" s="17"/>
      <c r="U4005" s="17"/>
      <c r="V4005" s="18">
        <v>0</v>
      </c>
      <c r="W4005" s="17">
        <f t="shared" si="126"/>
        <v>0</v>
      </c>
      <c r="X4005" s="5">
        <f t="shared" si="127"/>
        <v>0</v>
      </c>
    </row>
    <row r="4006" spans="1:24" x14ac:dyDescent="0.25">
      <c r="A4006" s="17"/>
      <c r="B4006" s="17"/>
      <c r="C4006" s="17"/>
      <c r="D4006" s="17"/>
      <c r="E4006" s="17"/>
      <c r="F4006" s="17"/>
      <c r="G4006" s="17"/>
      <c r="H4006" s="17"/>
      <c r="I4006" s="17"/>
      <c r="J4006" s="17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8">
        <v>0</v>
      </c>
      <c r="W4006" s="17">
        <f t="shared" si="126"/>
        <v>0</v>
      </c>
      <c r="X4006" s="5">
        <f t="shared" si="127"/>
        <v>0</v>
      </c>
    </row>
    <row r="4007" spans="1:24" x14ac:dyDescent="0.25">
      <c r="A4007" s="17"/>
      <c r="B4007" s="17"/>
      <c r="C4007" s="17"/>
      <c r="D4007" s="17"/>
      <c r="E4007" s="17"/>
      <c r="F4007" s="17"/>
      <c r="G4007" s="17"/>
      <c r="H4007" s="17"/>
      <c r="I4007" s="17"/>
      <c r="J4007" s="17"/>
      <c r="K4007" s="17"/>
      <c r="L4007" s="17"/>
      <c r="M4007" s="17"/>
      <c r="N4007" s="17"/>
      <c r="O4007" s="17"/>
      <c r="P4007" s="17"/>
      <c r="Q4007" s="17"/>
      <c r="R4007" s="17"/>
      <c r="S4007" s="17"/>
      <c r="T4007" s="17"/>
      <c r="U4007" s="17"/>
      <c r="V4007" s="18">
        <v>0</v>
      </c>
      <c r="W4007" s="17">
        <f t="shared" si="126"/>
        <v>0</v>
      </c>
      <c r="X4007" s="5">
        <f t="shared" si="127"/>
        <v>0</v>
      </c>
    </row>
    <row r="4008" spans="1:24" x14ac:dyDescent="0.25">
      <c r="A4008" s="17"/>
      <c r="B4008" s="17"/>
      <c r="C4008" s="17"/>
      <c r="D4008" s="17"/>
      <c r="E4008" s="17"/>
      <c r="F4008" s="17"/>
      <c r="G4008" s="17"/>
      <c r="H4008" s="17"/>
      <c r="I4008" s="17"/>
      <c r="J4008" s="17"/>
      <c r="K4008" s="17"/>
      <c r="L4008" s="17"/>
      <c r="M4008" s="17"/>
      <c r="N4008" s="17"/>
      <c r="O4008" s="17"/>
      <c r="P4008" s="17"/>
      <c r="Q4008" s="17"/>
      <c r="R4008" s="17"/>
      <c r="S4008" s="17"/>
      <c r="T4008" s="17"/>
      <c r="U4008" s="17"/>
      <c r="V4008" s="18">
        <v>0</v>
      </c>
      <c r="W4008" s="17">
        <f t="shared" si="126"/>
        <v>0</v>
      </c>
      <c r="X4008" s="5">
        <f t="shared" si="127"/>
        <v>0</v>
      </c>
    </row>
    <row r="4009" spans="1:24" x14ac:dyDescent="0.25">
      <c r="A4009" s="17"/>
      <c r="B4009" s="17"/>
      <c r="C4009" s="17"/>
      <c r="D4009" s="17"/>
      <c r="E4009" s="17"/>
      <c r="F4009" s="17"/>
      <c r="G4009" s="17"/>
      <c r="H4009" s="17"/>
      <c r="I4009" s="17"/>
      <c r="J4009" s="17"/>
      <c r="K4009" s="17"/>
      <c r="L4009" s="17"/>
      <c r="M4009" s="17"/>
      <c r="N4009" s="17"/>
      <c r="O4009" s="17"/>
      <c r="P4009" s="17"/>
      <c r="Q4009" s="17"/>
      <c r="R4009" s="17"/>
      <c r="S4009" s="17"/>
      <c r="T4009" s="17"/>
      <c r="U4009" s="17"/>
      <c r="V4009" s="18">
        <v>0</v>
      </c>
      <c r="W4009" s="17">
        <f t="shared" si="126"/>
        <v>0</v>
      </c>
      <c r="X4009" s="5">
        <f t="shared" si="127"/>
        <v>0</v>
      </c>
    </row>
    <row r="4010" spans="1:24" x14ac:dyDescent="0.25">
      <c r="A4010" s="17"/>
      <c r="B4010" s="17"/>
      <c r="C4010" s="17"/>
      <c r="D4010" s="17"/>
      <c r="E4010" s="17"/>
      <c r="F4010" s="17"/>
      <c r="G4010" s="17"/>
      <c r="H4010" s="17"/>
      <c r="I4010" s="17"/>
      <c r="J4010" s="17"/>
      <c r="K4010" s="17"/>
      <c r="L4010" s="17"/>
      <c r="M4010" s="17"/>
      <c r="N4010" s="17"/>
      <c r="O4010" s="17"/>
      <c r="P4010" s="17"/>
      <c r="Q4010" s="17"/>
      <c r="R4010" s="17"/>
      <c r="S4010" s="17"/>
      <c r="T4010" s="17"/>
      <c r="U4010" s="17"/>
      <c r="V4010" s="18">
        <v>0</v>
      </c>
      <c r="W4010" s="17">
        <f t="shared" si="126"/>
        <v>0</v>
      </c>
      <c r="X4010" s="5">
        <f t="shared" si="127"/>
        <v>0</v>
      </c>
    </row>
    <row r="4011" spans="1:24" x14ac:dyDescent="0.25">
      <c r="A4011" s="17"/>
      <c r="B4011" s="17"/>
      <c r="C4011" s="17"/>
      <c r="D4011" s="17"/>
      <c r="E4011" s="17"/>
      <c r="F4011" s="17"/>
      <c r="G4011" s="17"/>
      <c r="H4011" s="17"/>
      <c r="I4011" s="17"/>
      <c r="J4011" s="17"/>
      <c r="K4011" s="17"/>
      <c r="L4011" s="17"/>
      <c r="M4011" s="17"/>
      <c r="N4011" s="17"/>
      <c r="O4011" s="17"/>
      <c r="P4011" s="17"/>
      <c r="Q4011" s="17"/>
      <c r="R4011" s="17"/>
      <c r="S4011" s="17"/>
      <c r="T4011" s="17"/>
      <c r="U4011" s="17"/>
      <c r="V4011" s="18">
        <v>0</v>
      </c>
      <c r="W4011" s="17">
        <f t="shared" si="126"/>
        <v>0</v>
      </c>
      <c r="X4011" s="5">
        <f t="shared" si="127"/>
        <v>0</v>
      </c>
    </row>
    <row r="4012" spans="1:24" x14ac:dyDescent="0.25">
      <c r="A4012" s="17"/>
      <c r="B4012" s="17"/>
      <c r="C4012" s="17"/>
      <c r="D4012" s="17"/>
      <c r="E4012" s="17"/>
      <c r="F4012" s="17"/>
      <c r="G4012" s="17"/>
      <c r="H4012" s="17"/>
      <c r="I4012" s="17"/>
      <c r="J4012" s="17"/>
      <c r="K4012" s="17"/>
      <c r="L4012" s="17"/>
      <c r="M4012" s="17"/>
      <c r="N4012" s="17"/>
      <c r="O4012" s="17"/>
      <c r="P4012" s="17"/>
      <c r="Q4012" s="17"/>
      <c r="R4012" s="17"/>
      <c r="S4012" s="17"/>
      <c r="T4012" s="17"/>
      <c r="U4012" s="17"/>
      <c r="V4012" s="18">
        <v>0</v>
      </c>
      <c r="W4012" s="17">
        <f t="shared" si="126"/>
        <v>0</v>
      </c>
      <c r="X4012" s="5">
        <f t="shared" si="127"/>
        <v>0</v>
      </c>
    </row>
    <row r="4013" spans="1:24" x14ac:dyDescent="0.25">
      <c r="A4013" s="17"/>
      <c r="B4013" s="17"/>
      <c r="C4013" s="17"/>
      <c r="D4013" s="17"/>
      <c r="E4013" s="17"/>
      <c r="F4013" s="17"/>
      <c r="G4013" s="17"/>
      <c r="H4013" s="17"/>
      <c r="I4013" s="17"/>
      <c r="J4013" s="17"/>
      <c r="K4013" s="17"/>
      <c r="L4013" s="17"/>
      <c r="M4013" s="17"/>
      <c r="N4013" s="17"/>
      <c r="O4013" s="17"/>
      <c r="P4013" s="17"/>
      <c r="Q4013" s="17"/>
      <c r="R4013" s="17"/>
      <c r="S4013" s="17"/>
      <c r="T4013" s="17"/>
      <c r="U4013" s="17"/>
      <c r="V4013" s="18">
        <v>0</v>
      </c>
      <c r="W4013" s="17">
        <f t="shared" si="126"/>
        <v>0</v>
      </c>
      <c r="X4013" s="5">
        <f t="shared" si="127"/>
        <v>0</v>
      </c>
    </row>
    <row r="4014" spans="1:24" x14ac:dyDescent="0.25">
      <c r="A4014" s="17"/>
      <c r="B4014" s="17"/>
      <c r="C4014" s="17"/>
      <c r="D4014" s="17"/>
      <c r="E4014" s="17"/>
      <c r="F4014" s="17"/>
      <c r="G4014" s="17"/>
      <c r="H4014" s="17"/>
      <c r="I4014" s="17"/>
      <c r="J4014" s="17"/>
      <c r="K4014" s="17"/>
      <c r="L4014" s="17"/>
      <c r="M4014" s="17"/>
      <c r="N4014" s="17"/>
      <c r="O4014" s="17"/>
      <c r="P4014" s="17"/>
      <c r="Q4014" s="17"/>
      <c r="R4014" s="17"/>
      <c r="S4014" s="17"/>
      <c r="T4014" s="17"/>
      <c r="U4014" s="17"/>
      <c r="V4014" s="18">
        <v>0</v>
      </c>
      <c r="W4014" s="17">
        <f t="shared" si="126"/>
        <v>0</v>
      </c>
      <c r="X4014" s="5">
        <f t="shared" si="127"/>
        <v>0</v>
      </c>
    </row>
    <row r="4015" spans="1:24" x14ac:dyDescent="0.25">
      <c r="A4015" s="17"/>
      <c r="B4015" s="17"/>
      <c r="C4015" s="17"/>
      <c r="D4015" s="17"/>
      <c r="E4015" s="17"/>
      <c r="F4015" s="17"/>
      <c r="G4015" s="17"/>
      <c r="H4015" s="17"/>
      <c r="I4015" s="17"/>
      <c r="J4015" s="17"/>
      <c r="K4015" s="17"/>
      <c r="L4015" s="17"/>
      <c r="M4015" s="17"/>
      <c r="N4015" s="17"/>
      <c r="O4015" s="17"/>
      <c r="P4015" s="17"/>
      <c r="Q4015" s="17"/>
      <c r="R4015" s="17"/>
      <c r="S4015" s="17"/>
      <c r="T4015" s="17"/>
      <c r="U4015" s="17"/>
      <c r="V4015" s="18">
        <v>0</v>
      </c>
      <c r="W4015" s="17">
        <f t="shared" si="126"/>
        <v>0</v>
      </c>
      <c r="X4015" s="5">
        <f t="shared" si="127"/>
        <v>0</v>
      </c>
    </row>
    <row r="4016" spans="1:24" x14ac:dyDescent="0.25">
      <c r="A4016" s="17"/>
      <c r="B4016" s="17"/>
      <c r="C4016" s="17"/>
      <c r="D4016" s="17"/>
      <c r="E4016" s="17"/>
      <c r="F4016" s="17"/>
      <c r="G4016" s="17"/>
      <c r="H4016" s="17"/>
      <c r="I4016" s="17"/>
      <c r="J4016" s="17"/>
      <c r="K4016" s="17"/>
      <c r="L4016" s="17"/>
      <c r="M4016" s="17"/>
      <c r="N4016" s="17"/>
      <c r="O4016" s="17"/>
      <c r="P4016" s="17"/>
      <c r="Q4016" s="17"/>
      <c r="R4016" s="17"/>
      <c r="S4016" s="17"/>
      <c r="T4016" s="17"/>
      <c r="U4016" s="17"/>
      <c r="V4016" s="18">
        <v>0</v>
      </c>
      <c r="W4016" s="17">
        <f t="shared" si="126"/>
        <v>0</v>
      </c>
      <c r="X4016" s="5">
        <f t="shared" si="127"/>
        <v>0</v>
      </c>
    </row>
    <row r="4017" spans="1:24" x14ac:dyDescent="0.25">
      <c r="A4017" s="17"/>
      <c r="B4017" s="17"/>
      <c r="C4017" s="17"/>
      <c r="D4017" s="17"/>
      <c r="E4017" s="17"/>
      <c r="F4017" s="17"/>
      <c r="G4017" s="17"/>
      <c r="H4017" s="17"/>
      <c r="I4017" s="17"/>
      <c r="J4017" s="17"/>
      <c r="K4017" s="17"/>
      <c r="L4017" s="17"/>
      <c r="M4017" s="17"/>
      <c r="N4017" s="17"/>
      <c r="O4017" s="17"/>
      <c r="P4017" s="17"/>
      <c r="Q4017" s="17"/>
      <c r="R4017" s="17"/>
      <c r="S4017" s="17"/>
      <c r="T4017" s="17"/>
      <c r="U4017" s="17"/>
      <c r="V4017" s="18">
        <v>0</v>
      </c>
      <c r="W4017" s="17">
        <f t="shared" si="126"/>
        <v>0</v>
      </c>
      <c r="X4017" s="5">
        <f t="shared" si="127"/>
        <v>0</v>
      </c>
    </row>
    <row r="4018" spans="1:24" x14ac:dyDescent="0.25">
      <c r="A4018" s="17"/>
      <c r="B4018" s="17"/>
      <c r="C4018" s="17"/>
      <c r="D4018" s="17"/>
      <c r="E4018" s="17"/>
      <c r="F4018" s="17"/>
      <c r="G4018" s="17"/>
      <c r="H4018" s="17"/>
      <c r="I4018" s="17"/>
      <c r="J4018" s="17"/>
      <c r="K4018" s="17"/>
      <c r="L4018" s="17"/>
      <c r="M4018" s="17"/>
      <c r="N4018" s="17"/>
      <c r="O4018" s="17"/>
      <c r="P4018" s="17"/>
      <c r="Q4018" s="17"/>
      <c r="R4018" s="17"/>
      <c r="S4018" s="17"/>
      <c r="T4018" s="17"/>
      <c r="U4018" s="17"/>
      <c r="V4018" s="18">
        <v>0</v>
      </c>
      <c r="W4018" s="17">
        <f t="shared" si="126"/>
        <v>0</v>
      </c>
      <c r="X4018" s="5">
        <f t="shared" si="127"/>
        <v>0</v>
      </c>
    </row>
    <row r="4019" spans="1:24" x14ac:dyDescent="0.25">
      <c r="A4019" s="17"/>
      <c r="B4019" s="17"/>
      <c r="C4019" s="17"/>
      <c r="D4019" s="17"/>
      <c r="E4019" s="17"/>
      <c r="F4019" s="17"/>
      <c r="G4019" s="17"/>
      <c r="H4019" s="17"/>
      <c r="I4019" s="17"/>
      <c r="J4019" s="17"/>
      <c r="K4019" s="17"/>
      <c r="L4019" s="17"/>
      <c r="M4019" s="17"/>
      <c r="N4019" s="17"/>
      <c r="O4019" s="17"/>
      <c r="P4019" s="17"/>
      <c r="Q4019" s="17"/>
      <c r="R4019" s="17"/>
      <c r="S4019" s="17"/>
      <c r="T4019" s="17"/>
      <c r="U4019" s="17"/>
      <c r="V4019" s="18">
        <v>0</v>
      </c>
      <c r="W4019" s="17">
        <f t="shared" si="126"/>
        <v>0</v>
      </c>
      <c r="X4019" s="5">
        <f t="shared" si="127"/>
        <v>0</v>
      </c>
    </row>
    <row r="4020" spans="1:24" x14ac:dyDescent="0.25">
      <c r="A4020" s="17"/>
      <c r="B4020" s="17"/>
      <c r="C4020" s="17"/>
      <c r="D4020" s="17"/>
      <c r="E4020" s="17"/>
      <c r="F4020" s="17"/>
      <c r="G4020" s="17"/>
      <c r="H4020" s="17"/>
      <c r="I4020" s="17"/>
      <c r="J4020" s="17"/>
      <c r="K4020" s="17"/>
      <c r="L4020" s="17"/>
      <c r="M4020" s="17"/>
      <c r="N4020" s="17"/>
      <c r="O4020" s="17"/>
      <c r="P4020" s="17"/>
      <c r="Q4020" s="17"/>
      <c r="R4020" s="17"/>
      <c r="S4020" s="17"/>
      <c r="T4020" s="17"/>
      <c r="U4020" s="17"/>
      <c r="V4020" s="18">
        <v>0</v>
      </c>
      <c r="W4020" s="17">
        <f t="shared" si="126"/>
        <v>0</v>
      </c>
      <c r="X4020" s="5">
        <f t="shared" si="127"/>
        <v>0</v>
      </c>
    </row>
    <row r="4021" spans="1:24" x14ac:dyDescent="0.25">
      <c r="A4021" s="17"/>
      <c r="B4021" s="17"/>
      <c r="C4021" s="17"/>
      <c r="D4021" s="17"/>
      <c r="E4021" s="17"/>
      <c r="F4021" s="17"/>
      <c r="G4021" s="17"/>
      <c r="H4021" s="17"/>
      <c r="I4021" s="17"/>
      <c r="J4021" s="17"/>
      <c r="K4021" s="17"/>
      <c r="L4021" s="17"/>
      <c r="M4021" s="17"/>
      <c r="N4021" s="17"/>
      <c r="O4021" s="17"/>
      <c r="P4021" s="17"/>
      <c r="Q4021" s="17"/>
      <c r="R4021" s="17"/>
      <c r="S4021" s="17"/>
      <c r="T4021" s="17"/>
      <c r="U4021" s="17"/>
      <c r="V4021" s="18">
        <v>0</v>
      </c>
      <c r="W4021" s="17">
        <f t="shared" si="126"/>
        <v>0</v>
      </c>
      <c r="X4021" s="5">
        <f t="shared" si="127"/>
        <v>0</v>
      </c>
    </row>
    <row r="4022" spans="1:24" x14ac:dyDescent="0.25">
      <c r="A4022" s="17"/>
      <c r="B4022" s="17"/>
      <c r="C4022" s="17"/>
      <c r="D4022" s="17"/>
      <c r="E4022" s="17"/>
      <c r="F4022" s="17"/>
      <c r="G4022" s="17"/>
      <c r="H4022" s="17"/>
      <c r="I4022" s="17"/>
      <c r="J4022" s="17"/>
      <c r="K4022" s="17"/>
      <c r="L4022" s="17"/>
      <c r="M4022" s="17"/>
      <c r="N4022" s="17"/>
      <c r="O4022" s="17"/>
      <c r="P4022" s="17"/>
      <c r="Q4022" s="17"/>
      <c r="R4022" s="17"/>
      <c r="S4022" s="17"/>
      <c r="T4022" s="17"/>
      <c r="U4022" s="17"/>
      <c r="V4022" s="18">
        <v>0</v>
      </c>
      <c r="W4022" s="17">
        <f t="shared" si="126"/>
        <v>0</v>
      </c>
      <c r="X4022" s="5">
        <f t="shared" si="127"/>
        <v>0</v>
      </c>
    </row>
    <row r="4023" spans="1:24" x14ac:dyDescent="0.25">
      <c r="A4023" s="17"/>
      <c r="B4023" s="17"/>
      <c r="C4023" s="17"/>
      <c r="D4023" s="17"/>
      <c r="E4023" s="17"/>
      <c r="F4023" s="17"/>
      <c r="G4023" s="17"/>
      <c r="H4023" s="17"/>
      <c r="I4023" s="17"/>
      <c r="J4023" s="17"/>
      <c r="K4023" s="17"/>
      <c r="L4023" s="17"/>
      <c r="M4023" s="17"/>
      <c r="N4023" s="17"/>
      <c r="O4023" s="17"/>
      <c r="P4023" s="17"/>
      <c r="Q4023" s="17"/>
      <c r="R4023" s="17"/>
      <c r="S4023" s="17"/>
      <c r="T4023" s="17"/>
      <c r="U4023" s="17"/>
      <c r="V4023" s="18">
        <v>0</v>
      </c>
      <c r="W4023" s="17">
        <f t="shared" si="126"/>
        <v>0</v>
      </c>
      <c r="X4023" s="5">
        <f t="shared" si="127"/>
        <v>0</v>
      </c>
    </row>
    <row r="4024" spans="1:24" x14ac:dyDescent="0.25">
      <c r="A4024" s="17"/>
      <c r="B4024" s="17"/>
      <c r="C4024" s="17"/>
      <c r="D4024" s="17"/>
      <c r="E4024" s="17"/>
      <c r="F4024" s="17"/>
      <c r="G4024" s="17"/>
      <c r="H4024" s="17"/>
      <c r="I4024" s="17"/>
      <c r="J4024" s="17"/>
      <c r="K4024" s="17"/>
      <c r="L4024" s="17"/>
      <c r="M4024" s="17"/>
      <c r="N4024" s="17"/>
      <c r="O4024" s="17"/>
      <c r="P4024" s="17"/>
      <c r="Q4024" s="17"/>
      <c r="R4024" s="17"/>
      <c r="S4024" s="17"/>
      <c r="T4024" s="17"/>
      <c r="U4024" s="17"/>
      <c r="V4024" s="18">
        <v>0</v>
      </c>
      <c r="W4024" s="17">
        <f t="shared" si="126"/>
        <v>0</v>
      </c>
      <c r="X4024" s="5">
        <f t="shared" si="127"/>
        <v>0</v>
      </c>
    </row>
    <row r="4025" spans="1:24" x14ac:dyDescent="0.25">
      <c r="A4025" s="17"/>
      <c r="B4025" s="17"/>
      <c r="C4025" s="17"/>
      <c r="D4025" s="17"/>
      <c r="E4025" s="17"/>
      <c r="F4025" s="17"/>
      <c r="G4025" s="17"/>
      <c r="H4025" s="17"/>
      <c r="I4025" s="17"/>
      <c r="J4025" s="17"/>
      <c r="K4025" s="17"/>
      <c r="L4025" s="17"/>
      <c r="M4025" s="17"/>
      <c r="N4025" s="17"/>
      <c r="O4025" s="17"/>
      <c r="P4025" s="17"/>
      <c r="Q4025" s="17"/>
      <c r="R4025" s="17"/>
      <c r="S4025" s="17"/>
      <c r="T4025" s="17"/>
      <c r="U4025" s="17"/>
      <c r="V4025" s="18">
        <v>0</v>
      </c>
      <c r="W4025" s="17">
        <f t="shared" si="126"/>
        <v>0</v>
      </c>
      <c r="X4025" s="5">
        <f t="shared" si="127"/>
        <v>0</v>
      </c>
    </row>
    <row r="4026" spans="1:24" x14ac:dyDescent="0.25">
      <c r="A4026" s="17"/>
      <c r="B4026" s="17"/>
      <c r="C4026" s="17"/>
      <c r="D4026" s="17"/>
      <c r="E4026" s="17"/>
      <c r="F4026" s="17"/>
      <c r="G4026" s="17"/>
      <c r="H4026" s="17"/>
      <c r="I4026" s="17"/>
      <c r="J4026" s="17"/>
      <c r="K4026" s="17"/>
      <c r="L4026" s="17"/>
      <c r="M4026" s="17"/>
      <c r="N4026" s="17"/>
      <c r="O4026" s="17"/>
      <c r="P4026" s="17"/>
      <c r="Q4026" s="17"/>
      <c r="R4026" s="17"/>
      <c r="S4026" s="17"/>
      <c r="T4026" s="17"/>
      <c r="U4026" s="17"/>
      <c r="V4026" s="18">
        <v>0</v>
      </c>
      <c r="W4026" s="17">
        <f t="shared" si="126"/>
        <v>0</v>
      </c>
      <c r="X4026" s="5">
        <f t="shared" si="127"/>
        <v>0</v>
      </c>
    </row>
    <row r="4027" spans="1:24" x14ac:dyDescent="0.25">
      <c r="A4027" s="17"/>
      <c r="B4027" s="17"/>
      <c r="C4027" s="17"/>
      <c r="D4027" s="17"/>
      <c r="E4027" s="17"/>
      <c r="F4027" s="17"/>
      <c r="G4027" s="17"/>
      <c r="H4027" s="17"/>
      <c r="I4027" s="17"/>
      <c r="J4027" s="17"/>
      <c r="K4027" s="17"/>
      <c r="L4027" s="17"/>
      <c r="M4027" s="17"/>
      <c r="N4027" s="17"/>
      <c r="O4027" s="17"/>
      <c r="P4027" s="17"/>
      <c r="Q4027" s="17"/>
      <c r="R4027" s="17"/>
      <c r="S4027" s="17"/>
      <c r="T4027" s="17"/>
      <c r="U4027" s="17"/>
      <c r="V4027" s="18">
        <v>0</v>
      </c>
      <c r="W4027" s="17">
        <f t="shared" si="126"/>
        <v>0</v>
      </c>
      <c r="X4027" s="5">
        <f t="shared" si="127"/>
        <v>0</v>
      </c>
    </row>
    <row r="4028" spans="1:24" x14ac:dyDescent="0.25">
      <c r="A4028" s="17"/>
      <c r="B4028" s="17"/>
      <c r="C4028" s="17"/>
      <c r="D4028" s="17"/>
      <c r="E4028" s="17"/>
      <c r="F4028" s="17"/>
      <c r="G4028" s="17"/>
      <c r="H4028" s="17"/>
      <c r="I4028" s="17"/>
      <c r="J4028" s="17"/>
      <c r="K4028" s="17"/>
      <c r="L4028" s="17"/>
      <c r="M4028" s="17"/>
      <c r="N4028" s="17"/>
      <c r="O4028" s="17"/>
      <c r="P4028" s="17"/>
      <c r="Q4028" s="17"/>
      <c r="R4028" s="17"/>
      <c r="S4028" s="17"/>
      <c r="T4028" s="17"/>
      <c r="U4028" s="17"/>
      <c r="V4028" s="18">
        <v>0</v>
      </c>
      <c r="W4028" s="17">
        <f t="shared" si="126"/>
        <v>0</v>
      </c>
      <c r="X4028" s="5">
        <f t="shared" si="127"/>
        <v>0</v>
      </c>
    </row>
    <row r="4029" spans="1:24" x14ac:dyDescent="0.25">
      <c r="A4029" s="17"/>
      <c r="B4029" s="17"/>
      <c r="C4029" s="17"/>
      <c r="D4029" s="17"/>
      <c r="E4029" s="17"/>
      <c r="F4029" s="17"/>
      <c r="G4029" s="17"/>
      <c r="H4029" s="17"/>
      <c r="I4029" s="17"/>
      <c r="J4029" s="17"/>
      <c r="K4029" s="17"/>
      <c r="L4029" s="17"/>
      <c r="M4029" s="17"/>
      <c r="N4029" s="17"/>
      <c r="O4029" s="17"/>
      <c r="P4029" s="17"/>
      <c r="Q4029" s="17"/>
      <c r="R4029" s="17"/>
      <c r="S4029" s="17"/>
      <c r="T4029" s="17"/>
      <c r="U4029" s="17"/>
      <c r="V4029" s="18">
        <v>0</v>
      </c>
      <c r="W4029" s="17">
        <f t="shared" si="126"/>
        <v>0</v>
      </c>
      <c r="X4029" s="5">
        <f t="shared" si="127"/>
        <v>0</v>
      </c>
    </row>
    <row r="4030" spans="1:24" x14ac:dyDescent="0.25">
      <c r="A4030" s="17"/>
      <c r="B4030" s="17"/>
      <c r="C4030" s="17"/>
      <c r="D4030" s="17"/>
      <c r="E4030" s="17"/>
      <c r="F4030" s="17"/>
      <c r="G4030" s="17"/>
      <c r="H4030" s="17"/>
      <c r="I4030" s="17"/>
      <c r="J4030" s="17"/>
      <c r="K4030" s="17"/>
      <c r="L4030" s="17"/>
      <c r="M4030" s="17"/>
      <c r="N4030" s="17"/>
      <c r="O4030" s="17"/>
      <c r="P4030" s="17"/>
      <c r="Q4030" s="17"/>
      <c r="R4030" s="17"/>
      <c r="S4030" s="17"/>
      <c r="T4030" s="17"/>
      <c r="U4030" s="17"/>
      <c r="V4030" s="18">
        <v>0</v>
      </c>
      <c r="W4030" s="17">
        <f t="shared" si="126"/>
        <v>0</v>
      </c>
      <c r="X4030" s="5">
        <f t="shared" si="127"/>
        <v>0</v>
      </c>
    </row>
    <row r="4031" spans="1:24" x14ac:dyDescent="0.25">
      <c r="A4031" s="17"/>
      <c r="B4031" s="17"/>
      <c r="C4031" s="17"/>
      <c r="D4031" s="17"/>
      <c r="E4031" s="17"/>
      <c r="F4031" s="17"/>
      <c r="G4031" s="17"/>
      <c r="H4031" s="17"/>
      <c r="I4031" s="17"/>
      <c r="J4031" s="17"/>
      <c r="K4031" s="17"/>
      <c r="L4031" s="17"/>
      <c r="M4031" s="17"/>
      <c r="N4031" s="17"/>
      <c r="O4031" s="17"/>
      <c r="P4031" s="17"/>
      <c r="Q4031" s="17"/>
      <c r="R4031" s="17"/>
      <c r="S4031" s="17"/>
      <c r="T4031" s="17"/>
      <c r="U4031" s="17"/>
      <c r="V4031" s="18">
        <v>0</v>
      </c>
      <c r="W4031" s="17">
        <f t="shared" si="126"/>
        <v>0</v>
      </c>
      <c r="X4031" s="5">
        <f t="shared" si="127"/>
        <v>0</v>
      </c>
    </row>
    <row r="4032" spans="1:24" x14ac:dyDescent="0.25">
      <c r="A4032" s="17"/>
      <c r="B4032" s="17"/>
      <c r="C4032" s="17"/>
      <c r="D4032" s="17"/>
      <c r="E4032" s="17"/>
      <c r="F4032" s="17"/>
      <c r="G4032" s="17"/>
      <c r="H4032" s="17"/>
      <c r="I4032" s="17"/>
      <c r="J4032" s="17"/>
      <c r="K4032" s="17"/>
      <c r="L4032" s="17"/>
      <c r="M4032" s="17"/>
      <c r="N4032" s="17"/>
      <c r="O4032" s="17"/>
      <c r="P4032" s="17"/>
      <c r="Q4032" s="17"/>
      <c r="R4032" s="17"/>
      <c r="S4032" s="17"/>
      <c r="T4032" s="17"/>
      <c r="U4032" s="17"/>
      <c r="V4032" s="18">
        <v>0</v>
      </c>
      <c r="W4032" s="17">
        <f t="shared" si="126"/>
        <v>0</v>
      </c>
      <c r="X4032" s="5">
        <f t="shared" si="127"/>
        <v>0</v>
      </c>
    </row>
    <row r="4033" spans="1:24" x14ac:dyDescent="0.25">
      <c r="A4033" s="17"/>
      <c r="B4033" s="17"/>
      <c r="C4033" s="17"/>
      <c r="D4033" s="17"/>
      <c r="E4033" s="17"/>
      <c r="F4033" s="17"/>
      <c r="G4033" s="17"/>
      <c r="H4033" s="17"/>
      <c r="I4033" s="17"/>
      <c r="J4033" s="17"/>
      <c r="K4033" s="17"/>
      <c r="L4033" s="17"/>
      <c r="M4033" s="17"/>
      <c r="N4033" s="17"/>
      <c r="O4033" s="17"/>
      <c r="P4033" s="17"/>
      <c r="Q4033" s="17"/>
      <c r="R4033" s="17"/>
      <c r="S4033" s="17"/>
      <c r="T4033" s="17"/>
      <c r="U4033" s="17"/>
      <c r="V4033" s="18">
        <v>0</v>
      </c>
      <c r="W4033" s="17">
        <f t="shared" si="126"/>
        <v>0</v>
      </c>
      <c r="X4033" s="5">
        <f t="shared" si="127"/>
        <v>0</v>
      </c>
    </row>
    <row r="4034" spans="1:24" x14ac:dyDescent="0.25">
      <c r="A4034" s="17"/>
      <c r="B4034" s="17"/>
      <c r="C4034" s="17"/>
      <c r="D4034" s="17"/>
      <c r="E4034" s="17"/>
      <c r="F4034" s="17"/>
      <c r="G4034" s="17"/>
      <c r="H4034" s="17"/>
      <c r="I4034" s="17"/>
      <c r="J4034" s="17"/>
      <c r="K4034" s="17"/>
      <c r="L4034" s="17"/>
      <c r="M4034" s="17"/>
      <c r="N4034" s="17"/>
      <c r="O4034" s="17"/>
      <c r="P4034" s="17"/>
      <c r="Q4034" s="17"/>
      <c r="R4034" s="17"/>
      <c r="S4034" s="17"/>
      <c r="T4034" s="17"/>
      <c r="U4034" s="17"/>
      <c r="V4034" s="18">
        <v>0</v>
      </c>
      <c r="W4034" s="17">
        <f t="shared" si="126"/>
        <v>0</v>
      </c>
      <c r="X4034" s="5">
        <f t="shared" si="127"/>
        <v>0</v>
      </c>
    </row>
    <row r="4035" spans="1:24" x14ac:dyDescent="0.25">
      <c r="A4035" s="17"/>
      <c r="B4035" s="17"/>
      <c r="C4035" s="17"/>
      <c r="D4035" s="17"/>
      <c r="E4035" s="17"/>
      <c r="F4035" s="17"/>
      <c r="G4035" s="17"/>
      <c r="H4035" s="17"/>
      <c r="I4035" s="17"/>
      <c r="J4035" s="17"/>
      <c r="K4035" s="17"/>
      <c r="L4035" s="17"/>
      <c r="M4035" s="17"/>
      <c r="N4035" s="17"/>
      <c r="O4035" s="17"/>
      <c r="P4035" s="17"/>
      <c r="Q4035" s="17"/>
      <c r="R4035" s="17"/>
      <c r="S4035" s="17"/>
      <c r="T4035" s="17"/>
      <c r="U4035" s="17"/>
      <c r="V4035" s="18">
        <v>0</v>
      </c>
      <c r="W4035" s="17">
        <f t="shared" ref="W4035:W4098" si="128">HOUR(E4035)</f>
        <v>0</v>
      </c>
      <c r="X4035" s="5">
        <f t="shared" ref="X4035:X4098" si="129">IF(D4035=D4034,0,1)</f>
        <v>0</v>
      </c>
    </row>
    <row r="4036" spans="1:24" x14ac:dyDescent="0.25">
      <c r="A4036" s="17"/>
      <c r="B4036" s="17"/>
      <c r="C4036" s="17"/>
      <c r="D4036" s="17"/>
      <c r="E4036" s="17"/>
      <c r="F4036" s="17"/>
      <c r="G4036" s="17"/>
      <c r="H4036" s="17"/>
      <c r="I4036" s="17"/>
      <c r="J4036" s="17"/>
      <c r="K4036" s="17"/>
      <c r="L4036" s="17"/>
      <c r="M4036" s="17"/>
      <c r="N4036" s="17"/>
      <c r="O4036" s="17"/>
      <c r="P4036" s="17"/>
      <c r="Q4036" s="17"/>
      <c r="R4036" s="17"/>
      <c r="S4036" s="17"/>
      <c r="T4036" s="17"/>
      <c r="U4036" s="17"/>
      <c r="V4036" s="18">
        <v>0</v>
      </c>
      <c r="W4036" s="17">
        <f t="shared" si="128"/>
        <v>0</v>
      </c>
      <c r="X4036" s="5">
        <f t="shared" si="129"/>
        <v>0</v>
      </c>
    </row>
    <row r="4037" spans="1:24" x14ac:dyDescent="0.25">
      <c r="A4037" s="17"/>
      <c r="B4037" s="17"/>
      <c r="C4037" s="17"/>
      <c r="D4037" s="17"/>
      <c r="E4037" s="17"/>
      <c r="F4037" s="17"/>
      <c r="G4037" s="17"/>
      <c r="H4037" s="17"/>
      <c r="I4037" s="17"/>
      <c r="J4037" s="17"/>
      <c r="K4037" s="17"/>
      <c r="L4037" s="17"/>
      <c r="M4037" s="17"/>
      <c r="N4037" s="17"/>
      <c r="O4037" s="17"/>
      <c r="P4037" s="17"/>
      <c r="Q4037" s="17"/>
      <c r="R4037" s="17"/>
      <c r="S4037" s="17"/>
      <c r="T4037" s="17"/>
      <c r="U4037" s="17"/>
      <c r="V4037" s="18">
        <v>0</v>
      </c>
      <c r="W4037" s="17">
        <f t="shared" si="128"/>
        <v>0</v>
      </c>
      <c r="X4037" s="5">
        <f t="shared" si="129"/>
        <v>0</v>
      </c>
    </row>
    <row r="4038" spans="1:24" x14ac:dyDescent="0.25">
      <c r="A4038" s="17"/>
      <c r="B4038" s="17"/>
      <c r="C4038" s="17"/>
      <c r="D4038" s="17"/>
      <c r="E4038" s="17"/>
      <c r="F4038" s="17"/>
      <c r="G4038" s="17"/>
      <c r="H4038" s="17"/>
      <c r="I4038" s="17"/>
      <c r="J4038" s="17"/>
      <c r="K4038" s="17"/>
      <c r="L4038" s="17"/>
      <c r="M4038" s="17"/>
      <c r="N4038" s="17"/>
      <c r="O4038" s="17"/>
      <c r="P4038" s="17"/>
      <c r="Q4038" s="17"/>
      <c r="R4038" s="17"/>
      <c r="S4038" s="17"/>
      <c r="T4038" s="17"/>
      <c r="U4038" s="17"/>
      <c r="V4038" s="18">
        <v>0</v>
      </c>
      <c r="W4038" s="17">
        <f t="shared" si="128"/>
        <v>0</v>
      </c>
      <c r="X4038" s="5">
        <f t="shared" si="129"/>
        <v>0</v>
      </c>
    </row>
    <row r="4039" spans="1:24" x14ac:dyDescent="0.25">
      <c r="A4039" s="17"/>
      <c r="B4039" s="17"/>
      <c r="C4039" s="17"/>
      <c r="D4039" s="17"/>
      <c r="E4039" s="17"/>
      <c r="F4039" s="17"/>
      <c r="G4039" s="17"/>
      <c r="H4039" s="17"/>
      <c r="I4039" s="17"/>
      <c r="J4039" s="17"/>
      <c r="K4039" s="17"/>
      <c r="L4039" s="17"/>
      <c r="M4039" s="17"/>
      <c r="N4039" s="17"/>
      <c r="O4039" s="17"/>
      <c r="P4039" s="17"/>
      <c r="Q4039" s="17"/>
      <c r="R4039" s="17"/>
      <c r="S4039" s="17"/>
      <c r="T4039" s="17"/>
      <c r="U4039" s="17"/>
      <c r="V4039" s="18">
        <v>0</v>
      </c>
      <c r="W4039" s="17">
        <f t="shared" si="128"/>
        <v>0</v>
      </c>
      <c r="X4039" s="5">
        <f t="shared" si="129"/>
        <v>0</v>
      </c>
    </row>
    <row r="4040" spans="1:24" x14ac:dyDescent="0.25">
      <c r="A4040" s="17"/>
      <c r="B4040" s="17"/>
      <c r="C4040" s="17"/>
      <c r="D4040" s="17"/>
      <c r="E4040" s="17"/>
      <c r="F4040" s="17"/>
      <c r="G4040" s="17"/>
      <c r="H4040" s="17"/>
      <c r="I4040" s="17"/>
      <c r="J4040" s="17"/>
      <c r="K4040" s="17"/>
      <c r="L4040" s="17"/>
      <c r="M4040" s="17"/>
      <c r="N4040" s="17"/>
      <c r="O4040" s="17"/>
      <c r="P4040" s="17"/>
      <c r="Q4040" s="17"/>
      <c r="R4040" s="17"/>
      <c r="S4040" s="17"/>
      <c r="T4040" s="17"/>
      <c r="U4040" s="17"/>
      <c r="V4040" s="18">
        <v>0</v>
      </c>
      <c r="W4040" s="17">
        <f t="shared" si="128"/>
        <v>0</v>
      </c>
      <c r="X4040" s="5">
        <f t="shared" si="129"/>
        <v>0</v>
      </c>
    </row>
    <row r="4041" spans="1:24" x14ac:dyDescent="0.25">
      <c r="A4041" s="17"/>
      <c r="B4041" s="17"/>
      <c r="C4041" s="17"/>
      <c r="D4041" s="17"/>
      <c r="E4041" s="17"/>
      <c r="F4041" s="17"/>
      <c r="G4041" s="17"/>
      <c r="H4041" s="17"/>
      <c r="I4041" s="17"/>
      <c r="J4041" s="17"/>
      <c r="K4041" s="17"/>
      <c r="L4041" s="17"/>
      <c r="M4041" s="17"/>
      <c r="N4041" s="17"/>
      <c r="O4041" s="17"/>
      <c r="P4041" s="17"/>
      <c r="Q4041" s="17"/>
      <c r="R4041" s="17"/>
      <c r="S4041" s="17"/>
      <c r="T4041" s="17"/>
      <c r="U4041" s="17"/>
      <c r="V4041" s="18">
        <v>0</v>
      </c>
      <c r="W4041" s="17">
        <f t="shared" si="128"/>
        <v>0</v>
      </c>
      <c r="X4041" s="5">
        <f t="shared" si="129"/>
        <v>0</v>
      </c>
    </row>
    <row r="4042" spans="1:24" x14ac:dyDescent="0.25">
      <c r="A4042" s="17"/>
      <c r="B4042" s="17"/>
      <c r="C4042" s="17"/>
      <c r="D4042" s="17"/>
      <c r="E4042" s="17"/>
      <c r="F4042" s="17"/>
      <c r="G4042" s="17"/>
      <c r="H4042" s="17"/>
      <c r="I4042" s="17"/>
      <c r="J4042" s="17"/>
      <c r="K4042" s="17"/>
      <c r="L4042" s="17"/>
      <c r="M4042" s="17"/>
      <c r="N4042" s="17"/>
      <c r="O4042" s="17"/>
      <c r="P4042" s="17"/>
      <c r="Q4042" s="17"/>
      <c r="R4042" s="17"/>
      <c r="S4042" s="17"/>
      <c r="T4042" s="17"/>
      <c r="U4042" s="17"/>
      <c r="V4042" s="18">
        <v>0</v>
      </c>
      <c r="W4042" s="17">
        <f t="shared" si="128"/>
        <v>0</v>
      </c>
      <c r="X4042" s="5">
        <f t="shared" si="129"/>
        <v>0</v>
      </c>
    </row>
    <row r="4043" spans="1:24" x14ac:dyDescent="0.25">
      <c r="A4043" s="17"/>
      <c r="B4043" s="17"/>
      <c r="C4043" s="17"/>
      <c r="D4043" s="17"/>
      <c r="E4043" s="17"/>
      <c r="F4043" s="17"/>
      <c r="G4043" s="17"/>
      <c r="H4043" s="17"/>
      <c r="I4043" s="17"/>
      <c r="J4043" s="17"/>
      <c r="K4043" s="17"/>
      <c r="L4043" s="17"/>
      <c r="M4043" s="17"/>
      <c r="N4043" s="17"/>
      <c r="O4043" s="17"/>
      <c r="P4043" s="17"/>
      <c r="Q4043" s="17"/>
      <c r="R4043" s="17"/>
      <c r="S4043" s="17"/>
      <c r="T4043" s="17"/>
      <c r="U4043" s="17"/>
      <c r="V4043" s="18">
        <v>0</v>
      </c>
      <c r="W4043" s="17">
        <f t="shared" si="128"/>
        <v>0</v>
      </c>
      <c r="X4043" s="5">
        <f t="shared" si="129"/>
        <v>0</v>
      </c>
    </row>
    <row r="4044" spans="1:24" x14ac:dyDescent="0.25">
      <c r="A4044" s="17"/>
      <c r="B4044" s="17"/>
      <c r="C4044" s="17"/>
      <c r="D4044" s="17"/>
      <c r="E4044" s="17"/>
      <c r="F4044" s="17"/>
      <c r="G4044" s="17"/>
      <c r="H4044" s="17"/>
      <c r="I4044" s="17"/>
      <c r="J4044" s="17"/>
      <c r="K4044" s="17"/>
      <c r="L4044" s="17"/>
      <c r="M4044" s="17"/>
      <c r="N4044" s="17"/>
      <c r="O4044" s="17"/>
      <c r="P4044" s="17"/>
      <c r="Q4044" s="17"/>
      <c r="R4044" s="17"/>
      <c r="S4044" s="17"/>
      <c r="T4044" s="17"/>
      <c r="U4044" s="17"/>
      <c r="V4044" s="18">
        <v>0</v>
      </c>
      <c r="W4044" s="17">
        <f t="shared" si="128"/>
        <v>0</v>
      </c>
      <c r="X4044" s="5">
        <f t="shared" si="129"/>
        <v>0</v>
      </c>
    </row>
    <row r="4045" spans="1:24" x14ac:dyDescent="0.25">
      <c r="A4045" s="17"/>
      <c r="B4045" s="17"/>
      <c r="C4045" s="17"/>
      <c r="D4045" s="17"/>
      <c r="E4045" s="17"/>
      <c r="F4045" s="17"/>
      <c r="G4045" s="17"/>
      <c r="H4045" s="17"/>
      <c r="I4045" s="17"/>
      <c r="J4045" s="17"/>
      <c r="K4045" s="17"/>
      <c r="L4045" s="17"/>
      <c r="M4045" s="17"/>
      <c r="N4045" s="17"/>
      <c r="O4045" s="17"/>
      <c r="P4045" s="17"/>
      <c r="Q4045" s="17"/>
      <c r="R4045" s="17"/>
      <c r="S4045" s="17"/>
      <c r="T4045" s="17"/>
      <c r="U4045" s="17"/>
      <c r="V4045" s="18">
        <v>0</v>
      </c>
      <c r="W4045" s="17">
        <f t="shared" si="128"/>
        <v>0</v>
      </c>
      <c r="X4045" s="5">
        <f t="shared" si="129"/>
        <v>0</v>
      </c>
    </row>
    <row r="4046" spans="1:24" x14ac:dyDescent="0.25">
      <c r="A4046" s="17"/>
      <c r="B4046" s="17"/>
      <c r="C4046" s="17"/>
      <c r="D4046" s="17"/>
      <c r="E4046" s="17"/>
      <c r="F4046" s="17"/>
      <c r="G4046" s="17"/>
      <c r="H4046" s="17"/>
      <c r="I4046" s="17"/>
      <c r="J4046" s="17"/>
      <c r="K4046" s="17"/>
      <c r="L4046" s="17"/>
      <c r="M4046" s="17"/>
      <c r="N4046" s="17"/>
      <c r="O4046" s="17"/>
      <c r="P4046" s="17"/>
      <c r="Q4046" s="17"/>
      <c r="R4046" s="17"/>
      <c r="S4046" s="17"/>
      <c r="T4046" s="17"/>
      <c r="U4046" s="17"/>
      <c r="V4046" s="18">
        <v>0</v>
      </c>
      <c r="W4046" s="17">
        <f t="shared" si="128"/>
        <v>0</v>
      </c>
      <c r="X4046" s="5">
        <f t="shared" si="129"/>
        <v>0</v>
      </c>
    </row>
    <row r="4047" spans="1:24" x14ac:dyDescent="0.25">
      <c r="A4047" s="17"/>
      <c r="B4047" s="17"/>
      <c r="C4047" s="17"/>
      <c r="D4047" s="17"/>
      <c r="E4047" s="17"/>
      <c r="F4047" s="17"/>
      <c r="G4047" s="17"/>
      <c r="H4047" s="17"/>
      <c r="I4047" s="17"/>
      <c r="J4047" s="17"/>
      <c r="K4047" s="17"/>
      <c r="L4047" s="17"/>
      <c r="M4047" s="17"/>
      <c r="N4047" s="17"/>
      <c r="O4047" s="17"/>
      <c r="P4047" s="17"/>
      <c r="Q4047" s="17"/>
      <c r="R4047" s="17"/>
      <c r="S4047" s="17"/>
      <c r="T4047" s="17"/>
      <c r="U4047" s="17"/>
      <c r="V4047" s="18">
        <v>0</v>
      </c>
      <c r="W4047" s="17">
        <f t="shared" si="128"/>
        <v>0</v>
      </c>
      <c r="X4047" s="5">
        <f t="shared" si="129"/>
        <v>0</v>
      </c>
    </row>
    <row r="4048" spans="1:24" x14ac:dyDescent="0.25">
      <c r="A4048" s="17"/>
      <c r="B4048" s="17"/>
      <c r="C4048" s="17"/>
      <c r="D4048" s="17"/>
      <c r="E4048" s="17"/>
      <c r="F4048" s="17"/>
      <c r="G4048" s="17"/>
      <c r="H4048" s="17"/>
      <c r="I4048" s="17"/>
      <c r="J4048" s="17"/>
      <c r="K4048" s="17"/>
      <c r="L4048" s="17"/>
      <c r="M4048" s="17"/>
      <c r="N4048" s="17"/>
      <c r="O4048" s="17"/>
      <c r="P4048" s="17"/>
      <c r="Q4048" s="17"/>
      <c r="R4048" s="17"/>
      <c r="S4048" s="17"/>
      <c r="T4048" s="17"/>
      <c r="U4048" s="17"/>
      <c r="V4048" s="18">
        <v>0</v>
      </c>
      <c r="W4048" s="17">
        <f t="shared" si="128"/>
        <v>0</v>
      </c>
      <c r="X4048" s="5">
        <f t="shared" si="129"/>
        <v>0</v>
      </c>
    </row>
    <row r="4049" spans="1:24" x14ac:dyDescent="0.25">
      <c r="A4049" s="17"/>
      <c r="B4049" s="17"/>
      <c r="C4049" s="17"/>
      <c r="D4049" s="17"/>
      <c r="E4049" s="17"/>
      <c r="F4049" s="17"/>
      <c r="G4049" s="17"/>
      <c r="H4049" s="17"/>
      <c r="I4049" s="17"/>
      <c r="J4049" s="17"/>
      <c r="K4049" s="17"/>
      <c r="L4049" s="17"/>
      <c r="M4049" s="17"/>
      <c r="N4049" s="17"/>
      <c r="O4049" s="17"/>
      <c r="P4049" s="17"/>
      <c r="Q4049" s="17"/>
      <c r="R4049" s="17"/>
      <c r="S4049" s="17"/>
      <c r="T4049" s="17"/>
      <c r="U4049" s="17"/>
      <c r="V4049" s="18">
        <v>0</v>
      </c>
      <c r="W4049" s="17">
        <f t="shared" si="128"/>
        <v>0</v>
      </c>
      <c r="X4049" s="5">
        <f t="shared" si="129"/>
        <v>0</v>
      </c>
    </row>
    <row r="4050" spans="1:24" x14ac:dyDescent="0.25">
      <c r="A4050" s="17"/>
      <c r="B4050" s="17"/>
      <c r="C4050" s="17"/>
      <c r="D4050" s="17"/>
      <c r="E4050" s="17"/>
      <c r="F4050" s="17"/>
      <c r="G4050" s="17"/>
      <c r="H4050" s="17"/>
      <c r="I4050" s="17"/>
      <c r="J4050" s="17"/>
      <c r="K4050" s="17"/>
      <c r="L4050" s="17"/>
      <c r="M4050" s="17"/>
      <c r="N4050" s="17"/>
      <c r="O4050" s="17"/>
      <c r="P4050" s="17"/>
      <c r="Q4050" s="17"/>
      <c r="R4050" s="17"/>
      <c r="S4050" s="17"/>
      <c r="T4050" s="17"/>
      <c r="U4050" s="17"/>
      <c r="V4050" s="18">
        <v>0</v>
      </c>
      <c r="W4050" s="17">
        <f t="shared" si="128"/>
        <v>0</v>
      </c>
      <c r="X4050" s="5">
        <f t="shared" si="129"/>
        <v>0</v>
      </c>
    </row>
    <row r="4051" spans="1:24" x14ac:dyDescent="0.25">
      <c r="A4051" s="17"/>
      <c r="B4051" s="17"/>
      <c r="C4051" s="17"/>
      <c r="D4051" s="17"/>
      <c r="E4051" s="17"/>
      <c r="F4051" s="17"/>
      <c r="G4051" s="17"/>
      <c r="H4051" s="17"/>
      <c r="I4051" s="17"/>
      <c r="J4051" s="17"/>
      <c r="K4051" s="17"/>
      <c r="L4051" s="17"/>
      <c r="M4051" s="17"/>
      <c r="N4051" s="17"/>
      <c r="O4051" s="17"/>
      <c r="P4051" s="17"/>
      <c r="Q4051" s="17"/>
      <c r="R4051" s="17"/>
      <c r="S4051" s="17"/>
      <c r="T4051" s="17"/>
      <c r="U4051" s="17"/>
      <c r="V4051" s="18">
        <v>0</v>
      </c>
      <c r="W4051" s="17">
        <f t="shared" si="128"/>
        <v>0</v>
      </c>
      <c r="X4051" s="5">
        <f t="shared" si="129"/>
        <v>0</v>
      </c>
    </row>
    <row r="4052" spans="1:24" x14ac:dyDescent="0.25">
      <c r="A4052" s="17"/>
      <c r="B4052" s="17"/>
      <c r="C4052" s="17"/>
      <c r="D4052" s="17"/>
      <c r="E4052" s="17"/>
      <c r="F4052" s="17"/>
      <c r="G4052" s="17"/>
      <c r="H4052" s="17"/>
      <c r="I4052" s="17"/>
      <c r="J4052" s="17"/>
      <c r="K4052" s="17"/>
      <c r="L4052" s="17"/>
      <c r="M4052" s="17"/>
      <c r="N4052" s="17"/>
      <c r="O4052" s="17"/>
      <c r="P4052" s="17"/>
      <c r="Q4052" s="17"/>
      <c r="R4052" s="17"/>
      <c r="S4052" s="17"/>
      <c r="T4052" s="17"/>
      <c r="U4052" s="17"/>
      <c r="V4052" s="18">
        <v>0</v>
      </c>
      <c r="W4052" s="17">
        <f t="shared" si="128"/>
        <v>0</v>
      </c>
      <c r="X4052" s="5">
        <f t="shared" si="129"/>
        <v>0</v>
      </c>
    </row>
    <row r="4053" spans="1:24" x14ac:dyDescent="0.25">
      <c r="A4053" s="17"/>
      <c r="B4053" s="17"/>
      <c r="C4053" s="17"/>
      <c r="D4053" s="17"/>
      <c r="E4053" s="17"/>
      <c r="F4053" s="17"/>
      <c r="G4053" s="17"/>
      <c r="H4053" s="17"/>
      <c r="I4053" s="17"/>
      <c r="J4053" s="17"/>
      <c r="K4053" s="17"/>
      <c r="L4053" s="17"/>
      <c r="M4053" s="17"/>
      <c r="N4053" s="17"/>
      <c r="O4053" s="17"/>
      <c r="P4053" s="17"/>
      <c r="Q4053" s="17"/>
      <c r="R4053" s="17"/>
      <c r="S4053" s="17"/>
      <c r="T4053" s="17"/>
      <c r="U4053" s="17"/>
      <c r="V4053" s="18">
        <v>0</v>
      </c>
      <c r="W4053" s="17">
        <f t="shared" si="128"/>
        <v>0</v>
      </c>
      <c r="X4053" s="5">
        <f t="shared" si="129"/>
        <v>0</v>
      </c>
    </row>
    <row r="4054" spans="1:24" x14ac:dyDescent="0.25">
      <c r="A4054" s="17"/>
      <c r="B4054" s="17"/>
      <c r="C4054" s="17"/>
      <c r="D4054" s="17"/>
      <c r="E4054" s="17"/>
      <c r="F4054" s="17"/>
      <c r="G4054" s="17"/>
      <c r="H4054" s="17"/>
      <c r="I4054" s="17"/>
      <c r="J4054" s="17"/>
      <c r="K4054" s="17"/>
      <c r="L4054" s="17"/>
      <c r="M4054" s="17"/>
      <c r="N4054" s="17"/>
      <c r="O4054" s="17"/>
      <c r="P4054" s="17"/>
      <c r="Q4054" s="17"/>
      <c r="R4054" s="17"/>
      <c r="S4054" s="17"/>
      <c r="T4054" s="17"/>
      <c r="U4054" s="17"/>
      <c r="V4054" s="18">
        <v>0</v>
      </c>
      <c r="W4054" s="17">
        <f t="shared" si="128"/>
        <v>0</v>
      </c>
      <c r="X4054" s="5">
        <f t="shared" si="129"/>
        <v>0</v>
      </c>
    </row>
    <row r="4055" spans="1:24" x14ac:dyDescent="0.25">
      <c r="A4055" s="17"/>
      <c r="B4055" s="17"/>
      <c r="C4055" s="17"/>
      <c r="D4055" s="17"/>
      <c r="E4055" s="17"/>
      <c r="F4055" s="17"/>
      <c r="G4055" s="17"/>
      <c r="H4055" s="17"/>
      <c r="I4055" s="17"/>
      <c r="J4055" s="17"/>
      <c r="K4055" s="17"/>
      <c r="L4055" s="17"/>
      <c r="M4055" s="17"/>
      <c r="N4055" s="17"/>
      <c r="O4055" s="17"/>
      <c r="P4055" s="17"/>
      <c r="Q4055" s="17"/>
      <c r="R4055" s="17"/>
      <c r="S4055" s="17"/>
      <c r="T4055" s="17"/>
      <c r="U4055" s="17"/>
      <c r="V4055" s="18">
        <v>0</v>
      </c>
      <c r="W4055" s="17">
        <f t="shared" si="128"/>
        <v>0</v>
      </c>
      <c r="X4055" s="5">
        <f t="shared" si="129"/>
        <v>0</v>
      </c>
    </row>
    <row r="4056" spans="1:24" x14ac:dyDescent="0.25">
      <c r="A4056" s="17"/>
      <c r="B4056" s="17"/>
      <c r="C4056" s="17"/>
      <c r="D4056" s="17"/>
      <c r="E4056" s="17"/>
      <c r="F4056" s="17"/>
      <c r="G4056" s="17"/>
      <c r="H4056" s="17"/>
      <c r="I4056" s="17"/>
      <c r="J4056" s="17"/>
      <c r="K4056" s="17"/>
      <c r="L4056" s="17"/>
      <c r="M4056" s="17"/>
      <c r="N4056" s="17"/>
      <c r="O4056" s="17"/>
      <c r="P4056" s="17"/>
      <c r="Q4056" s="17"/>
      <c r="R4056" s="17"/>
      <c r="S4056" s="17"/>
      <c r="T4056" s="17"/>
      <c r="U4056" s="17"/>
      <c r="V4056" s="18">
        <v>0</v>
      </c>
      <c r="W4056" s="17">
        <f t="shared" si="128"/>
        <v>0</v>
      </c>
      <c r="X4056" s="5">
        <f t="shared" si="129"/>
        <v>0</v>
      </c>
    </row>
    <row r="4057" spans="1:24" x14ac:dyDescent="0.25">
      <c r="A4057" s="17"/>
      <c r="B4057" s="17"/>
      <c r="C4057" s="17"/>
      <c r="D4057" s="17"/>
      <c r="E4057" s="17"/>
      <c r="F4057" s="17"/>
      <c r="G4057" s="17"/>
      <c r="H4057" s="17"/>
      <c r="I4057" s="17"/>
      <c r="J4057" s="17"/>
      <c r="K4057" s="17"/>
      <c r="L4057" s="17"/>
      <c r="M4057" s="17"/>
      <c r="N4057" s="17"/>
      <c r="O4057" s="17"/>
      <c r="P4057" s="17"/>
      <c r="Q4057" s="17"/>
      <c r="R4057" s="17"/>
      <c r="S4057" s="17"/>
      <c r="T4057" s="17"/>
      <c r="U4057" s="17"/>
      <c r="V4057" s="18">
        <v>0</v>
      </c>
      <c r="W4057" s="17">
        <f t="shared" si="128"/>
        <v>0</v>
      </c>
      <c r="X4057" s="5">
        <f t="shared" si="129"/>
        <v>0</v>
      </c>
    </row>
    <row r="4058" spans="1:24" x14ac:dyDescent="0.25">
      <c r="A4058" s="17"/>
      <c r="B4058" s="17"/>
      <c r="C4058" s="17"/>
      <c r="D4058" s="17"/>
      <c r="E4058" s="17"/>
      <c r="F4058" s="17"/>
      <c r="G4058" s="17"/>
      <c r="H4058" s="17"/>
      <c r="I4058" s="17"/>
      <c r="J4058" s="17"/>
      <c r="K4058" s="17"/>
      <c r="L4058" s="17"/>
      <c r="M4058" s="17"/>
      <c r="N4058" s="17"/>
      <c r="O4058" s="17"/>
      <c r="P4058" s="17"/>
      <c r="Q4058" s="17"/>
      <c r="R4058" s="17"/>
      <c r="S4058" s="17"/>
      <c r="T4058" s="17"/>
      <c r="U4058" s="17"/>
      <c r="V4058" s="18">
        <v>0</v>
      </c>
      <c r="W4058" s="17">
        <f t="shared" si="128"/>
        <v>0</v>
      </c>
      <c r="X4058" s="5">
        <f t="shared" si="129"/>
        <v>0</v>
      </c>
    </row>
    <row r="4059" spans="1:24" x14ac:dyDescent="0.25">
      <c r="A4059" s="17"/>
      <c r="B4059" s="17"/>
      <c r="C4059" s="17"/>
      <c r="D4059" s="17"/>
      <c r="E4059" s="17"/>
      <c r="F4059" s="17"/>
      <c r="G4059" s="17"/>
      <c r="H4059" s="17"/>
      <c r="I4059" s="17"/>
      <c r="J4059" s="17"/>
      <c r="K4059" s="17"/>
      <c r="L4059" s="17"/>
      <c r="M4059" s="17"/>
      <c r="N4059" s="17"/>
      <c r="O4059" s="17"/>
      <c r="P4059" s="17"/>
      <c r="Q4059" s="17"/>
      <c r="R4059" s="17"/>
      <c r="S4059" s="17"/>
      <c r="T4059" s="17"/>
      <c r="U4059" s="17"/>
      <c r="V4059" s="18">
        <v>0</v>
      </c>
      <c r="W4059" s="17">
        <f t="shared" si="128"/>
        <v>0</v>
      </c>
      <c r="X4059" s="5">
        <f t="shared" si="129"/>
        <v>0</v>
      </c>
    </row>
    <row r="4060" spans="1:24" x14ac:dyDescent="0.25">
      <c r="A4060" s="17"/>
      <c r="B4060" s="17"/>
      <c r="C4060" s="17"/>
      <c r="D4060" s="17"/>
      <c r="E4060" s="17"/>
      <c r="F4060" s="17"/>
      <c r="G4060" s="17"/>
      <c r="H4060" s="17"/>
      <c r="I4060" s="17"/>
      <c r="J4060" s="17"/>
      <c r="K4060" s="17"/>
      <c r="L4060" s="17"/>
      <c r="M4060" s="17"/>
      <c r="N4060" s="17"/>
      <c r="O4060" s="17"/>
      <c r="P4060" s="17"/>
      <c r="Q4060" s="17"/>
      <c r="R4060" s="17"/>
      <c r="S4060" s="17"/>
      <c r="T4060" s="17"/>
      <c r="U4060" s="17"/>
      <c r="V4060" s="18">
        <v>0</v>
      </c>
      <c r="W4060" s="17">
        <f t="shared" si="128"/>
        <v>0</v>
      </c>
      <c r="X4060" s="5">
        <f t="shared" si="129"/>
        <v>0</v>
      </c>
    </row>
    <row r="4061" spans="1:24" x14ac:dyDescent="0.25">
      <c r="A4061" s="17"/>
      <c r="B4061" s="17"/>
      <c r="C4061" s="17"/>
      <c r="D4061" s="17"/>
      <c r="E4061" s="17"/>
      <c r="F4061" s="17"/>
      <c r="G4061" s="17"/>
      <c r="H4061" s="17"/>
      <c r="I4061" s="17"/>
      <c r="J4061" s="17"/>
      <c r="K4061" s="17"/>
      <c r="L4061" s="17"/>
      <c r="M4061" s="17"/>
      <c r="N4061" s="17"/>
      <c r="O4061" s="17"/>
      <c r="P4061" s="17"/>
      <c r="Q4061" s="17"/>
      <c r="R4061" s="17"/>
      <c r="S4061" s="17"/>
      <c r="T4061" s="17"/>
      <c r="U4061" s="17"/>
      <c r="V4061" s="18">
        <v>0</v>
      </c>
      <c r="W4061" s="17">
        <f t="shared" si="128"/>
        <v>0</v>
      </c>
      <c r="X4061" s="5">
        <f t="shared" si="129"/>
        <v>0</v>
      </c>
    </row>
    <row r="4062" spans="1:24" x14ac:dyDescent="0.25">
      <c r="A4062" s="17"/>
      <c r="B4062" s="17"/>
      <c r="C4062" s="17"/>
      <c r="D4062" s="17"/>
      <c r="E4062" s="17"/>
      <c r="F4062" s="17"/>
      <c r="G4062" s="17"/>
      <c r="H4062" s="17"/>
      <c r="I4062" s="17"/>
      <c r="J4062" s="17"/>
      <c r="K4062" s="17"/>
      <c r="L4062" s="17"/>
      <c r="M4062" s="17"/>
      <c r="N4062" s="17"/>
      <c r="O4062" s="17"/>
      <c r="P4062" s="17"/>
      <c r="Q4062" s="17"/>
      <c r="R4062" s="17"/>
      <c r="S4062" s="17"/>
      <c r="T4062" s="17"/>
      <c r="U4062" s="17"/>
      <c r="V4062" s="18">
        <v>0</v>
      </c>
      <c r="W4062" s="17">
        <f t="shared" si="128"/>
        <v>0</v>
      </c>
      <c r="X4062" s="5">
        <f t="shared" si="129"/>
        <v>0</v>
      </c>
    </row>
    <row r="4063" spans="1:24" x14ac:dyDescent="0.25">
      <c r="A4063" s="17"/>
      <c r="B4063" s="17"/>
      <c r="C4063" s="17"/>
      <c r="D4063" s="17"/>
      <c r="E4063" s="17"/>
      <c r="F4063" s="17"/>
      <c r="G4063" s="17"/>
      <c r="H4063" s="17"/>
      <c r="I4063" s="17"/>
      <c r="J4063" s="17"/>
      <c r="K4063" s="17"/>
      <c r="L4063" s="17"/>
      <c r="M4063" s="17"/>
      <c r="N4063" s="17"/>
      <c r="O4063" s="17"/>
      <c r="P4063" s="17"/>
      <c r="Q4063" s="17"/>
      <c r="R4063" s="17"/>
      <c r="S4063" s="17"/>
      <c r="T4063" s="17"/>
      <c r="U4063" s="17"/>
      <c r="V4063" s="18">
        <v>0</v>
      </c>
      <c r="W4063" s="17">
        <f t="shared" si="128"/>
        <v>0</v>
      </c>
      <c r="X4063" s="5">
        <f t="shared" si="129"/>
        <v>0</v>
      </c>
    </row>
    <row r="4064" spans="1:24" x14ac:dyDescent="0.25">
      <c r="A4064" s="17"/>
      <c r="B4064" s="17"/>
      <c r="C4064" s="17"/>
      <c r="D4064" s="17"/>
      <c r="E4064" s="17"/>
      <c r="F4064" s="17"/>
      <c r="G4064" s="17"/>
      <c r="H4064" s="17"/>
      <c r="I4064" s="17"/>
      <c r="J4064" s="17"/>
      <c r="K4064" s="17"/>
      <c r="L4064" s="17"/>
      <c r="M4064" s="17"/>
      <c r="N4064" s="17"/>
      <c r="O4064" s="17"/>
      <c r="P4064" s="17"/>
      <c r="Q4064" s="17"/>
      <c r="R4064" s="17"/>
      <c r="S4064" s="17"/>
      <c r="T4064" s="17"/>
      <c r="U4064" s="17"/>
      <c r="V4064" s="18">
        <v>0</v>
      </c>
      <c r="W4064" s="17">
        <f t="shared" si="128"/>
        <v>0</v>
      </c>
      <c r="X4064" s="5">
        <f t="shared" si="129"/>
        <v>0</v>
      </c>
    </row>
    <row r="4065" spans="1:24" x14ac:dyDescent="0.25">
      <c r="A4065" s="17"/>
      <c r="B4065" s="17"/>
      <c r="C4065" s="17"/>
      <c r="D4065" s="17"/>
      <c r="E4065" s="17"/>
      <c r="F4065" s="17"/>
      <c r="G4065" s="17"/>
      <c r="H4065" s="17"/>
      <c r="I4065" s="17"/>
      <c r="J4065" s="17"/>
      <c r="K4065" s="17"/>
      <c r="L4065" s="17"/>
      <c r="M4065" s="17"/>
      <c r="N4065" s="17"/>
      <c r="O4065" s="17"/>
      <c r="P4065" s="17"/>
      <c r="Q4065" s="17"/>
      <c r="R4065" s="17"/>
      <c r="S4065" s="17"/>
      <c r="T4065" s="17"/>
      <c r="U4065" s="17"/>
      <c r="V4065" s="18">
        <v>0</v>
      </c>
      <c r="W4065" s="17">
        <f t="shared" si="128"/>
        <v>0</v>
      </c>
      <c r="X4065" s="5">
        <f t="shared" si="129"/>
        <v>0</v>
      </c>
    </row>
    <row r="4066" spans="1:24" x14ac:dyDescent="0.25">
      <c r="A4066" s="17"/>
      <c r="B4066" s="17"/>
      <c r="C4066" s="17"/>
      <c r="D4066" s="17"/>
      <c r="E4066" s="17"/>
      <c r="F4066" s="17"/>
      <c r="G4066" s="17"/>
      <c r="H4066" s="17"/>
      <c r="I4066" s="17"/>
      <c r="J4066" s="17"/>
      <c r="K4066" s="17"/>
      <c r="L4066" s="17"/>
      <c r="M4066" s="17"/>
      <c r="N4066" s="17"/>
      <c r="O4066" s="17"/>
      <c r="P4066" s="17"/>
      <c r="Q4066" s="17"/>
      <c r="R4066" s="17"/>
      <c r="S4066" s="17"/>
      <c r="T4066" s="17"/>
      <c r="U4066" s="17"/>
      <c r="V4066" s="18">
        <v>0</v>
      </c>
      <c r="W4066" s="17">
        <f t="shared" si="128"/>
        <v>0</v>
      </c>
      <c r="X4066" s="5">
        <f t="shared" si="129"/>
        <v>0</v>
      </c>
    </row>
    <row r="4067" spans="1:24" x14ac:dyDescent="0.25">
      <c r="A4067" s="17"/>
      <c r="B4067" s="17"/>
      <c r="C4067" s="17"/>
      <c r="D4067" s="17"/>
      <c r="E4067" s="17"/>
      <c r="F4067" s="17"/>
      <c r="G4067" s="17"/>
      <c r="H4067" s="17"/>
      <c r="I4067" s="17"/>
      <c r="J4067" s="17"/>
      <c r="K4067" s="17"/>
      <c r="L4067" s="17"/>
      <c r="M4067" s="17"/>
      <c r="N4067" s="17"/>
      <c r="O4067" s="17"/>
      <c r="P4067" s="17"/>
      <c r="Q4067" s="17"/>
      <c r="R4067" s="17"/>
      <c r="S4067" s="17"/>
      <c r="T4067" s="17"/>
      <c r="U4067" s="17"/>
      <c r="V4067" s="18">
        <v>0</v>
      </c>
      <c r="W4067" s="17">
        <f t="shared" si="128"/>
        <v>0</v>
      </c>
      <c r="X4067" s="5">
        <f t="shared" si="129"/>
        <v>0</v>
      </c>
    </row>
    <row r="4068" spans="1:24" x14ac:dyDescent="0.25">
      <c r="A4068" s="17"/>
      <c r="B4068" s="17"/>
      <c r="C4068" s="17"/>
      <c r="D4068" s="17"/>
      <c r="E4068" s="17"/>
      <c r="F4068" s="17"/>
      <c r="G4068" s="17"/>
      <c r="H4068" s="17"/>
      <c r="I4068" s="17"/>
      <c r="J4068" s="17"/>
      <c r="K4068" s="17"/>
      <c r="L4068" s="17"/>
      <c r="M4068" s="17"/>
      <c r="N4068" s="17"/>
      <c r="O4068" s="17"/>
      <c r="P4068" s="17"/>
      <c r="Q4068" s="17"/>
      <c r="R4068" s="17"/>
      <c r="S4068" s="17"/>
      <c r="T4068" s="17"/>
      <c r="U4068" s="17"/>
      <c r="V4068" s="18">
        <v>0</v>
      </c>
      <c r="W4068" s="17">
        <f t="shared" si="128"/>
        <v>0</v>
      </c>
      <c r="X4068" s="5">
        <f t="shared" si="129"/>
        <v>0</v>
      </c>
    </row>
    <row r="4069" spans="1:24" x14ac:dyDescent="0.25">
      <c r="A4069" s="17"/>
      <c r="B4069" s="17"/>
      <c r="C4069" s="17"/>
      <c r="D4069" s="17"/>
      <c r="E4069" s="17"/>
      <c r="F4069" s="17"/>
      <c r="G4069" s="17"/>
      <c r="H4069" s="17"/>
      <c r="I4069" s="17"/>
      <c r="J4069" s="17"/>
      <c r="K4069" s="17"/>
      <c r="L4069" s="17"/>
      <c r="M4069" s="17"/>
      <c r="N4069" s="17"/>
      <c r="O4069" s="17"/>
      <c r="P4069" s="17"/>
      <c r="Q4069" s="17"/>
      <c r="R4069" s="17"/>
      <c r="S4069" s="17"/>
      <c r="T4069" s="17"/>
      <c r="U4069" s="17"/>
      <c r="V4069" s="18">
        <v>0</v>
      </c>
      <c r="W4069" s="17">
        <f t="shared" si="128"/>
        <v>0</v>
      </c>
      <c r="X4069" s="5">
        <f t="shared" si="129"/>
        <v>0</v>
      </c>
    </row>
    <row r="4070" spans="1:24" x14ac:dyDescent="0.25">
      <c r="A4070" s="17"/>
      <c r="B4070" s="17"/>
      <c r="C4070" s="17"/>
      <c r="D4070" s="17"/>
      <c r="E4070" s="17"/>
      <c r="F4070" s="17"/>
      <c r="G4070" s="17"/>
      <c r="H4070" s="17"/>
      <c r="I4070" s="17"/>
      <c r="J4070" s="17"/>
      <c r="K4070" s="17"/>
      <c r="L4070" s="17"/>
      <c r="M4070" s="17"/>
      <c r="N4070" s="17"/>
      <c r="O4070" s="17"/>
      <c r="P4070" s="17"/>
      <c r="Q4070" s="17"/>
      <c r="R4070" s="17"/>
      <c r="S4070" s="17"/>
      <c r="T4070" s="17"/>
      <c r="U4070" s="17"/>
      <c r="V4070" s="18">
        <v>0</v>
      </c>
      <c r="W4070" s="17">
        <f t="shared" si="128"/>
        <v>0</v>
      </c>
      <c r="X4070" s="5">
        <f t="shared" si="129"/>
        <v>0</v>
      </c>
    </row>
    <row r="4071" spans="1:24" x14ac:dyDescent="0.25">
      <c r="A4071" s="17"/>
      <c r="B4071" s="17"/>
      <c r="C4071" s="17"/>
      <c r="D4071" s="17"/>
      <c r="E4071" s="17"/>
      <c r="F4071" s="17"/>
      <c r="G4071" s="17"/>
      <c r="H4071" s="17"/>
      <c r="I4071" s="17"/>
      <c r="J4071" s="17"/>
      <c r="K4071" s="17"/>
      <c r="L4071" s="17"/>
      <c r="M4071" s="17"/>
      <c r="N4071" s="17"/>
      <c r="O4071" s="17"/>
      <c r="P4071" s="17"/>
      <c r="Q4071" s="17"/>
      <c r="R4071" s="17"/>
      <c r="S4071" s="17"/>
      <c r="T4071" s="17"/>
      <c r="U4071" s="17"/>
      <c r="V4071" s="18">
        <v>0</v>
      </c>
      <c r="W4071" s="17">
        <f t="shared" si="128"/>
        <v>0</v>
      </c>
      <c r="X4071" s="5">
        <f t="shared" si="129"/>
        <v>0</v>
      </c>
    </row>
    <row r="4072" spans="1:24" x14ac:dyDescent="0.25">
      <c r="A4072" s="17"/>
      <c r="B4072" s="17"/>
      <c r="C4072" s="17"/>
      <c r="D4072" s="17"/>
      <c r="E4072" s="17"/>
      <c r="F4072" s="17"/>
      <c r="G4072" s="17"/>
      <c r="H4072" s="17"/>
      <c r="I4072" s="17"/>
      <c r="J4072" s="17"/>
      <c r="K4072" s="17"/>
      <c r="L4072" s="17"/>
      <c r="M4072" s="17"/>
      <c r="N4072" s="17"/>
      <c r="O4072" s="17"/>
      <c r="P4072" s="17"/>
      <c r="Q4072" s="17"/>
      <c r="R4072" s="17"/>
      <c r="S4072" s="17"/>
      <c r="T4072" s="17"/>
      <c r="U4072" s="17"/>
      <c r="V4072" s="18">
        <v>0</v>
      </c>
      <c r="W4072" s="17">
        <f t="shared" si="128"/>
        <v>0</v>
      </c>
      <c r="X4072" s="5">
        <f t="shared" si="129"/>
        <v>0</v>
      </c>
    </row>
    <row r="4073" spans="1:24" x14ac:dyDescent="0.25">
      <c r="A4073" s="17"/>
      <c r="B4073" s="17"/>
      <c r="C4073" s="17"/>
      <c r="D4073" s="17"/>
      <c r="E4073" s="17"/>
      <c r="F4073" s="17"/>
      <c r="G4073" s="17"/>
      <c r="H4073" s="17"/>
      <c r="I4073" s="17"/>
      <c r="J4073" s="17"/>
      <c r="K4073" s="17"/>
      <c r="L4073" s="17"/>
      <c r="M4073" s="17"/>
      <c r="N4073" s="17"/>
      <c r="O4073" s="17"/>
      <c r="P4073" s="17"/>
      <c r="Q4073" s="17"/>
      <c r="R4073" s="17"/>
      <c r="S4073" s="17"/>
      <c r="T4073" s="17"/>
      <c r="U4073" s="17"/>
      <c r="V4073" s="18">
        <v>0</v>
      </c>
      <c r="W4073" s="17">
        <f t="shared" si="128"/>
        <v>0</v>
      </c>
      <c r="X4073" s="5">
        <f t="shared" si="129"/>
        <v>0</v>
      </c>
    </row>
    <row r="4074" spans="1:24" x14ac:dyDescent="0.25">
      <c r="A4074" s="17"/>
      <c r="B4074" s="17"/>
      <c r="C4074" s="17"/>
      <c r="D4074" s="17"/>
      <c r="E4074" s="17"/>
      <c r="F4074" s="17"/>
      <c r="G4074" s="17"/>
      <c r="H4074" s="17"/>
      <c r="I4074" s="17"/>
      <c r="J4074" s="17"/>
      <c r="K4074" s="17"/>
      <c r="L4074" s="17"/>
      <c r="M4074" s="17"/>
      <c r="N4074" s="17"/>
      <c r="O4074" s="17"/>
      <c r="P4074" s="17"/>
      <c r="Q4074" s="17"/>
      <c r="R4074" s="17"/>
      <c r="S4074" s="17"/>
      <c r="T4074" s="17"/>
      <c r="U4074" s="17"/>
      <c r="V4074" s="18">
        <v>0</v>
      </c>
      <c r="W4074" s="17">
        <f t="shared" si="128"/>
        <v>0</v>
      </c>
      <c r="X4074" s="5">
        <f t="shared" si="129"/>
        <v>0</v>
      </c>
    </row>
    <row r="4075" spans="1:24" x14ac:dyDescent="0.25">
      <c r="A4075" s="17"/>
      <c r="B4075" s="17"/>
      <c r="C4075" s="17"/>
      <c r="D4075" s="17"/>
      <c r="E4075" s="17"/>
      <c r="F4075" s="17"/>
      <c r="G4075" s="17"/>
      <c r="H4075" s="17"/>
      <c r="I4075" s="17"/>
      <c r="J4075" s="17"/>
      <c r="K4075" s="17"/>
      <c r="L4075" s="17"/>
      <c r="M4075" s="17"/>
      <c r="N4075" s="17"/>
      <c r="O4075" s="17"/>
      <c r="P4075" s="17"/>
      <c r="Q4075" s="17"/>
      <c r="R4075" s="17"/>
      <c r="S4075" s="17"/>
      <c r="T4075" s="17"/>
      <c r="U4075" s="17"/>
      <c r="V4075" s="18">
        <v>0</v>
      </c>
      <c r="W4075" s="17">
        <f t="shared" si="128"/>
        <v>0</v>
      </c>
      <c r="X4075" s="5">
        <f t="shared" si="129"/>
        <v>0</v>
      </c>
    </row>
    <row r="4076" spans="1:24" x14ac:dyDescent="0.25">
      <c r="A4076" s="17"/>
      <c r="B4076" s="17"/>
      <c r="C4076" s="17"/>
      <c r="D4076" s="17"/>
      <c r="E4076" s="17"/>
      <c r="F4076" s="17"/>
      <c r="G4076" s="17"/>
      <c r="H4076" s="17"/>
      <c r="I4076" s="17"/>
      <c r="J4076" s="17"/>
      <c r="K4076" s="17"/>
      <c r="L4076" s="17"/>
      <c r="M4076" s="17"/>
      <c r="N4076" s="17"/>
      <c r="O4076" s="17"/>
      <c r="P4076" s="17"/>
      <c r="Q4076" s="17"/>
      <c r="R4076" s="17"/>
      <c r="S4076" s="17"/>
      <c r="T4076" s="17"/>
      <c r="U4076" s="17"/>
      <c r="V4076" s="18">
        <v>0</v>
      </c>
      <c r="W4076" s="17">
        <f t="shared" si="128"/>
        <v>0</v>
      </c>
      <c r="X4076" s="5">
        <f t="shared" si="129"/>
        <v>0</v>
      </c>
    </row>
    <row r="4077" spans="1:24" x14ac:dyDescent="0.25">
      <c r="A4077" s="17"/>
      <c r="B4077" s="17"/>
      <c r="C4077" s="17"/>
      <c r="D4077" s="17"/>
      <c r="E4077" s="17"/>
      <c r="F4077" s="17"/>
      <c r="G4077" s="17"/>
      <c r="H4077" s="17"/>
      <c r="I4077" s="17"/>
      <c r="J4077" s="17"/>
      <c r="K4077" s="17"/>
      <c r="L4077" s="17"/>
      <c r="M4077" s="17"/>
      <c r="N4077" s="17"/>
      <c r="O4077" s="17"/>
      <c r="P4077" s="17"/>
      <c r="Q4077" s="17"/>
      <c r="R4077" s="17"/>
      <c r="S4077" s="17"/>
      <c r="T4077" s="17"/>
      <c r="U4077" s="17"/>
      <c r="V4077" s="18">
        <v>0</v>
      </c>
      <c r="W4077" s="17">
        <f t="shared" si="128"/>
        <v>0</v>
      </c>
      <c r="X4077" s="5">
        <f t="shared" si="129"/>
        <v>0</v>
      </c>
    </row>
    <row r="4078" spans="1:24" x14ac:dyDescent="0.25">
      <c r="A4078" s="17"/>
      <c r="B4078" s="17"/>
      <c r="C4078" s="17"/>
      <c r="D4078" s="17"/>
      <c r="E4078" s="17"/>
      <c r="F4078" s="17"/>
      <c r="G4078" s="17"/>
      <c r="H4078" s="17"/>
      <c r="I4078" s="17"/>
      <c r="J4078" s="17"/>
      <c r="K4078" s="17"/>
      <c r="L4078" s="17"/>
      <c r="M4078" s="17"/>
      <c r="N4078" s="17"/>
      <c r="O4078" s="17"/>
      <c r="P4078" s="17"/>
      <c r="Q4078" s="17"/>
      <c r="R4078" s="17"/>
      <c r="S4078" s="17"/>
      <c r="T4078" s="17"/>
      <c r="U4078" s="17"/>
      <c r="V4078" s="18">
        <v>0</v>
      </c>
      <c r="W4078" s="17">
        <f t="shared" si="128"/>
        <v>0</v>
      </c>
      <c r="X4078" s="5">
        <f t="shared" si="129"/>
        <v>0</v>
      </c>
    </row>
    <row r="4079" spans="1:24" x14ac:dyDescent="0.25">
      <c r="A4079" s="17"/>
      <c r="B4079" s="17"/>
      <c r="C4079" s="17"/>
      <c r="D4079" s="17"/>
      <c r="E4079" s="17"/>
      <c r="F4079" s="17"/>
      <c r="G4079" s="17"/>
      <c r="H4079" s="17"/>
      <c r="I4079" s="17"/>
      <c r="J4079" s="17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8">
        <v>0</v>
      </c>
      <c r="W4079" s="17">
        <f t="shared" si="128"/>
        <v>0</v>
      </c>
      <c r="X4079" s="5">
        <f t="shared" si="129"/>
        <v>0</v>
      </c>
    </row>
    <row r="4080" spans="1:24" x14ac:dyDescent="0.25">
      <c r="A4080" s="17"/>
      <c r="B4080" s="17"/>
      <c r="C4080" s="17"/>
      <c r="D4080" s="17"/>
      <c r="E4080" s="17"/>
      <c r="F4080" s="17"/>
      <c r="G4080" s="17"/>
      <c r="H4080" s="17"/>
      <c r="I4080" s="17"/>
      <c r="J4080" s="17"/>
      <c r="K4080" s="17"/>
      <c r="L4080" s="17"/>
      <c r="M4080" s="17"/>
      <c r="N4080" s="17"/>
      <c r="O4080" s="17"/>
      <c r="P4080" s="17"/>
      <c r="Q4080" s="17"/>
      <c r="R4080" s="17"/>
      <c r="S4080" s="17"/>
      <c r="T4080" s="17"/>
      <c r="U4080" s="17"/>
      <c r="V4080" s="18">
        <v>0</v>
      </c>
      <c r="W4080" s="17">
        <f t="shared" si="128"/>
        <v>0</v>
      </c>
      <c r="X4080" s="5">
        <f t="shared" si="129"/>
        <v>0</v>
      </c>
    </row>
    <row r="4081" spans="1:24" x14ac:dyDescent="0.25">
      <c r="A4081" s="17"/>
      <c r="B4081" s="17"/>
      <c r="C4081" s="17"/>
      <c r="D4081" s="17"/>
      <c r="E4081" s="17"/>
      <c r="F4081" s="17"/>
      <c r="G4081" s="17"/>
      <c r="H4081" s="17"/>
      <c r="I4081" s="17"/>
      <c r="J4081" s="17"/>
      <c r="K4081" s="17"/>
      <c r="L4081" s="17"/>
      <c r="M4081" s="17"/>
      <c r="N4081" s="17"/>
      <c r="O4081" s="17"/>
      <c r="P4081" s="17"/>
      <c r="Q4081" s="17"/>
      <c r="R4081" s="17"/>
      <c r="S4081" s="17"/>
      <c r="T4081" s="17"/>
      <c r="U4081" s="17"/>
      <c r="V4081" s="18">
        <v>0</v>
      </c>
      <c r="W4081" s="17">
        <f t="shared" si="128"/>
        <v>0</v>
      </c>
      <c r="X4081" s="5">
        <f t="shared" si="129"/>
        <v>0</v>
      </c>
    </row>
    <row r="4082" spans="1:24" x14ac:dyDescent="0.25">
      <c r="A4082" s="17"/>
      <c r="B4082" s="17"/>
      <c r="C4082" s="17"/>
      <c r="D4082" s="17"/>
      <c r="E4082" s="17"/>
      <c r="F4082" s="17"/>
      <c r="G4082" s="17"/>
      <c r="H4082" s="17"/>
      <c r="I4082" s="17"/>
      <c r="J4082" s="17"/>
      <c r="K4082" s="17"/>
      <c r="L4082" s="17"/>
      <c r="M4082" s="17"/>
      <c r="N4082" s="17"/>
      <c r="O4082" s="17"/>
      <c r="P4082" s="17"/>
      <c r="Q4082" s="17"/>
      <c r="R4082" s="17"/>
      <c r="S4082" s="17"/>
      <c r="T4082" s="17"/>
      <c r="U4082" s="17"/>
      <c r="V4082" s="18">
        <v>0</v>
      </c>
      <c r="W4082" s="17">
        <f t="shared" si="128"/>
        <v>0</v>
      </c>
      <c r="X4082" s="5">
        <f t="shared" si="129"/>
        <v>0</v>
      </c>
    </row>
    <row r="4083" spans="1:24" x14ac:dyDescent="0.25">
      <c r="A4083" s="17"/>
      <c r="B4083" s="17"/>
      <c r="C4083" s="17"/>
      <c r="D4083" s="17"/>
      <c r="E4083" s="17"/>
      <c r="F4083" s="17"/>
      <c r="G4083" s="17"/>
      <c r="H4083" s="17"/>
      <c r="I4083" s="17"/>
      <c r="J4083" s="17"/>
      <c r="K4083" s="17"/>
      <c r="L4083" s="17"/>
      <c r="M4083" s="17"/>
      <c r="N4083" s="17"/>
      <c r="O4083" s="17"/>
      <c r="P4083" s="17"/>
      <c r="Q4083" s="17"/>
      <c r="R4083" s="17"/>
      <c r="S4083" s="17"/>
      <c r="T4083" s="17"/>
      <c r="U4083" s="17"/>
      <c r="V4083" s="18">
        <v>0</v>
      </c>
      <c r="W4083" s="17">
        <f t="shared" si="128"/>
        <v>0</v>
      </c>
      <c r="X4083" s="5">
        <f t="shared" si="129"/>
        <v>0</v>
      </c>
    </row>
    <row r="4084" spans="1:24" x14ac:dyDescent="0.25">
      <c r="A4084" s="17"/>
      <c r="B4084" s="17"/>
      <c r="C4084" s="17"/>
      <c r="D4084" s="17"/>
      <c r="E4084" s="17"/>
      <c r="F4084" s="17"/>
      <c r="G4084" s="17"/>
      <c r="H4084" s="17"/>
      <c r="I4084" s="17"/>
      <c r="J4084" s="17"/>
      <c r="K4084" s="17"/>
      <c r="L4084" s="17"/>
      <c r="M4084" s="17"/>
      <c r="N4084" s="17"/>
      <c r="O4084" s="17"/>
      <c r="P4084" s="17"/>
      <c r="Q4084" s="17"/>
      <c r="R4084" s="17"/>
      <c r="S4084" s="17"/>
      <c r="T4084" s="17"/>
      <c r="U4084" s="17"/>
      <c r="V4084" s="18">
        <v>0</v>
      </c>
      <c r="W4084" s="17">
        <f t="shared" si="128"/>
        <v>0</v>
      </c>
      <c r="X4084" s="5">
        <f t="shared" si="129"/>
        <v>0</v>
      </c>
    </row>
    <row r="4085" spans="1:24" x14ac:dyDescent="0.25">
      <c r="A4085" s="17"/>
      <c r="B4085" s="17"/>
      <c r="C4085" s="17"/>
      <c r="D4085" s="17"/>
      <c r="E4085" s="17"/>
      <c r="F4085" s="17"/>
      <c r="G4085" s="17"/>
      <c r="H4085" s="17"/>
      <c r="I4085" s="17"/>
      <c r="J4085" s="17"/>
      <c r="K4085" s="17"/>
      <c r="L4085" s="17"/>
      <c r="M4085" s="17"/>
      <c r="N4085" s="17"/>
      <c r="O4085" s="17"/>
      <c r="P4085" s="17"/>
      <c r="Q4085" s="17"/>
      <c r="R4085" s="17"/>
      <c r="S4085" s="17"/>
      <c r="T4085" s="17"/>
      <c r="U4085" s="17"/>
      <c r="V4085" s="18">
        <v>0</v>
      </c>
      <c r="W4085" s="17">
        <f t="shared" si="128"/>
        <v>0</v>
      </c>
      <c r="X4085" s="5">
        <f t="shared" si="129"/>
        <v>0</v>
      </c>
    </row>
    <row r="4086" spans="1:24" x14ac:dyDescent="0.25">
      <c r="A4086" s="17"/>
      <c r="B4086" s="17"/>
      <c r="C4086" s="17"/>
      <c r="D4086" s="17"/>
      <c r="E4086" s="17"/>
      <c r="F4086" s="17"/>
      <c r="G4086" s="17"/>
      <c r="H4086" s="17"/>
      <c r="I4086" s="17"/>
      <c r="J4086" s="17"/>
      <c r="K4086" s="17"/>
      <c r="L4086" s="17"/>
      <c r="M4086" s="17"/>
      <c r="N4086" s="17"/>
      <c r="O4086" s="17"/>
      <c r="P4086" s="17"/>
      <c r="Q4086" s="17"/>
      <c r="R4086" s="17"/>
      <c r="S4086" s="17"/>
      <c r="T4086" s="17"/>
      <c r="U4086" s="17"/>
      <c r="V4086" s="18">
        <v>0</v>
      </c>
      <c r="W4086" s="17">
        <f t="shared" si="128"/>
        <v>0</v>
      </c>
      <c r="X4086" s="5">
        <f t="shared" si="129"/>
        <v>0</v>
      </c>
    </row>
    <row r="4087" spans="1:24" x14ac:dyDescent="0.25">
      <c r="A4087" s="17"/>
      <c r="B4087" s="17"/>
      <c r="C4087" s="17"/>
      <c r="D4087" s="17"/>
      <c r="E4087" s="17"/>
      <c r="F4087" s="17"/>
      <c r="G4087" s="17"/>
      <c r="H4087" s="17"/>
      <c r="I4087" s="17"/>
      <c r="J4087" s="17"/>
      <c r="K4087" s="17"/>
      <c r="L4087" s="17"/>
      <c r="M4087" s="17"/>
      <c r="N4087" s="17"/>
      <c r="O4087" s="17"/>
      <c r="P4087" s="17"/>
      <c r="Q4087" s="17"/>
      <c r="R4087" s="17"/>
      <c r="S4087" s="17"/>
      <c r="T4087" s="17"/>
      <c r="U4087" s="17"/>
      <c r="V4087" s="18">
        <v>0</v>
      </c>
      <c r="W4087" s="17">
        <f t="shared" si="128"/>
        <v>0</v>
      </c>
      <c r="X4087" s="5">
        <f t="shared" si="129"/>
        <v>0</v>
      </c>
    </row>
    <row r="4088" spans="1:24" x14ac:dyDescent="0.25">
      <c r="A4088" s="17"/>
      <c r="B4088" s="17"/>
      <c r="C4088" s="17"/>
      <c r="D4088" s="17"/>
      <c r="E4088" s="17"/>
      <c r="F4088" s="17"/>
      <c r="G4088" s="17"/>
      <c r="H4088" s="17"/>
      <c r="I4088" s="17"/>
      <c r="J4088" s="17"/>
      <c r="K4088" s="17"/>
      <c r="L4088" s="17"/>
      <c r="M4088" s="17"/>
      <c r="N4088" s="17"/>
      <c r="O4088" s="17"/>
      <c r="P4088" s="17"/>
      <c r="Q4088" s="17"/>
      <c r="R4088" s="17"/>
      <c r="S4088" s="17"/>
      <c r="T4088" s="17"/>
      <c r="U4088" s="17"/>
      <c r="V4088" s="18">
        <v>0</v>
      </c>
      <c r="W4088" s="17">
        <f t="shared" si="128"/>
        <v>0</v>
      </c>
      <c r="X4088" s="5">
        <f t="shared" si="129"/>
        <v>0</v>
      </c>
    </row>
    <row r="4089" spans="1:24" x14ac:dyDescent="0.25">
      <c r="A4089" s="17"/>
      <c r="B4089" s="17"/>
      <c r="C4089" s="17"/>
      <c r="D4089" s="17"/>
      <c r="E4089" s="17"/>
      <c r="F4089" s="17"/>
      <c r="G4089" s="17"/>
      <c r="H4089" s="17"/>
      <c r="I4089" s="17"/>
      <c r="J4089" s="17"/>
      <c r="K4089" s="17"/>
      <c r="L4089" s="17"/>
      <c r="M4089" s="17"/>
      <c r="N4089" s="17"/>
      <c r="O4089" s="17"/>
      <c r="P4089" s="17"/>
      <c r="Q4089" s="17"/>
      <c r="R4089" s="17"/>
      <c r="S4089" s="17"/>
      <c r="T4089" s="17"/>
      <c r="U4089" s="17"/>
      <c r="V4089" s="18">
        <v>0</v>
      </c>
      <c r="W4089" s="17">
        <f t="shared" si="128"/>
        <v>0</v>
      </c>
      <c r="X4089" s="5">
        <f t="shared" si="129"/>
        <v>0</v>
      </c>
    </row>
    <row r="4090" spans="1:24" x14ac:dyDescent="0.25">
      <c r="A4090" s="17"/>
      <c r="B4090" s="17"/>
      <c r="C4090" s="17"/>
      <c r="D4090" s="17"/>
      <c r="E4090" s="17"/>
      <c r="F4090" s="17"/>
      <c r="G4090" s="17"/>
      <c r="H4090" s="17"/>
      <c r="I4090" s="17"/>
      <c r="J4090" s="17"/>
      <c r="K4090" s="17"/>
      <c r="L4090" s="17"/>
      <c r="M4090" s="17"/>
      <c r="N4090" s="17"/>
      <c r="O4090" s="17"/>
      <c r="P4090" s="17"/>
      <c r="Q4090" s="17"/>
      <c r="R4090" s="17"/>
      <c r="S4090" s="17"/>
      <c r="T4090" s="17"/>
      <c r="U4090" s="17"/>
      <c r="V4090" s="18">
        <v>0</v>
      </c>
      <c r="W4090" s="17">
        <f t="shared" si="128"/>
        <v>0</v>
      </c>
      <c r="X4090" s="5">
        <f t="shared" si="129"/>
        <v>0</v>
      </c>
    </row>
    <row r="4091" spans="1:24" x14ac:dyDescent="0.25">
      <c r="A4091" s="17"/>
      <c r="B4091" s="17"/>
      <c r="C4091" s="17"/>
      <c r="D4091" s="17"/>
      <c r="E4091" s="17"/>
      <c r="F4091" s="17"/>
      <c r="G4091" s="17"/>
      <c r="H4091" s="17"/>
      <c r="I4091" s="17"/>
      <c r="J4091" s="17"/>
      <c r="K4091" s="17"/>
      <c r="L4091" s="17"/>
      <c r="M4091" s="17"/>
      <c r="N4091" s="17"/>
      <c r="O4091" s="17"/>
      <c r="P4091" s="17"/>
      <c r="Q4091" s="17"/>
      <c r="R4091" s="17"/>
      <c r="S4091" s="17"/>
      <c r="T4091" s="17"/>
      <c r="U4091" s="17"/>
      <c r="V4091" s="18">
        <v>0</v>
      </c>
      <c r="W4091" s="17">
        <f t="shared" si="128"/>
        <v>0</v>
      </c>
      <c r="X4091" s="5">
        <f t="shared" si="129"/>
        <v>0</v>
      </c>
    </row>
    <row r="4092" spans="1:24" x14ac:dyDescent="0.25">
      <c r="A4092" s="17"/>
      <c r="B4092" s="17"/>
      <c r="C4092" s="17"/>
      <c r="D4092" s="17"/>
      <c r="E4092" s="17"/>
      <c r="F4092" s="17"/>
      <c r="G4092" s="17"/>
      <c r="H4092" s="17"/>
      <c r="I4092" s="17"/>
      <c r="J4092" s="17"/>
      <c r="K4092" s="17"/>
      <c r="L4092" s="17"/>
      <c r="M4092" s="17"/>
      <c r="N4092" s="17"/>
      <c r="O4092" s="17"/>
      <c r="P4092" s="17"/>
      <c r="Q4092" s="17"/>
      <c r="R4092" s="17"/>
      <c r="S4092" s="17"/>
      <c r="T4092" s="17"/>
      <c r="U4092" s="17"/>
      <c r="V4092" s="18">
        <v>0</v>
      </c>
      <c r="W4092" s="17">
        <f t="shared" si="128"/>
        <v>0</v>
      </c>
      <c r="X4092" s="5">
        <f t="shared" si="129"/>
        <v>0</v>
      </c>
    </row>
    <row r="4093" spans="1:24" x14ac:dyDescent="0.25">
      <c r="A4093" s="17"/>
      <c r="B4093" s="17"/>
      <c r="C4093" s="17"/>
      <c r="D4093" s="17"/>
      <c r="E4093" s="17"/>
      <c r="F4093" s="17"/>
      <c r="G4093" s="17"/>
      <c r="H4093" s="17"/>
      <c r="I4093" s="17"/>
      <c r="J4093" s="17"/>
      <c r="K4093" s="17"/>
      <c r="L4093" s="17"/>
      <c r="M4093" s="17"/>
      <c r="N4093" s="17"/>
      <c r="O4093" s="17"/>
      <c r="P4093" s="17"/>
      <c r="Q4093" s="17"/>
      <c r="R4093" s="17"/>
      <c r="S4093" s="17"/>
      <c r="T4093" s="17"/>
      <c r="U4093" s="17"/>
      <c r="V4093" s="18">
        <v>0</v>
      </c>
      <c r="W4093" s="17">
        <f t="shared" si="128"/>
        <v>0</v>
      </c>
      <c r="X4093" s="5">
        <f t="shared" si="129"/>
        <v>0</v>
      </c>
    </row>
    <row r="4094" spans="1:24" x14ac:dyDescent="0.25">
      <c r="A4094" s="17"/>
      <c r="B4094" s="17"/>
      <c r="C4094" s="17"/>
      <c r="D4094" s="17"/>
      <c r="E4094" s="17"/>
      <c r="F4094" s="17"/>
      <c r="G4094" s="17"/>
      <c r="H4094" s="17"/>
      <c r="I4094" s="17"/>
      <c r="J4094" s="17"/>
      <c r="K4094" s="17"/>
      <c r="L4094" s="17"/>
      <c r="M4094" s="17"/>
      <c r="N4094" s="17"/>
      <c r="O4094" s="17"/>
      <c r="P4094" s="17"/>
      <c r="Q4094" s="17"/>
      <c r="R4094" s="17"/>
      <c r="S4094" s="17"/>
      <c r="T4094" s="17"/>
      <c r="U4094" s="17"/>
      <c r="V4094" s="18">
        <v>0</v>
      </c>
      <c r="W4094" s="17">
        <f t="shared" si="128"/>
        <v>0</v>
      </c>
      <c r="X4094" s="5">
        <f t="shared" si="129"/>
        <v>0</v>
      </c>
    </row>
    <row r="4095" spans="1:24" x14ac:dyDescent="0.25">
      <c r="A4095" s="17"/>
      <c r="B4095" s="17"/>
      <c r="C4095" s="17"/>
      <c r="D4095" s="17"/>
      <c r="E4095" s="17"/>
      <c r="F4095" s="17"/>
      <c r="G4095" s="17"/>
      <c r="H4095" s="17"/>
      <c r="I4095" s="17"/>
      <c r="J4095" s="17"/>
      <c r="K4095" s="17"/>
      <c r="L4095" s="17"/>
      <c r="M4095" s="17"/>
      <c r="N4095" s="17"/>
      <c r="O4095" s="17"/>
      <c r="P4095" s="17"/>
      <c r="Q4095" s="17"/>
      <c r="R4095" s="17"/>
      <c r="S4095" s="17"/>
      <c r="T4095" s="17"/>
      <c r="U4095" s="17"/>
      <c r="V4095" s="18">
        <v>0</v>
      </c>
      <c r="W4095" s="17">
        <f t="shared" si="128"/>
        <v>0</v>
      </c>
      <c r="X4095" s="5">
        <f t="shared" si="129"/>
        <v>0</v>
      </c>
    </row>
    <row r="4096" spans="1:24" x14ac:dyDescent="0.25">
      <c r="A4096" s="17"/>
      <c r="B4096" s="17"/>
      <c r="C4096" s="17"/>
      <c r="D4096" s="17"/>
      <c r="E4096" s="17"/>
      <c r="F4096" s="17"/>
      <c r="G4096" s="17"/>
      <c r="H4096" s="17"/>
      <c r="I4096" s="17"/>
      <c r="J4096" s="17"/>
      <c r="K4096" s="17"/>
      <c r="L4096" s="17"/>
      <c r="M4096" s="17"/>
      <c r="N4096" s="17"/>
      <c r="O4096" s="17"/>
      <c r="P4096" s="17"/>
      <c r="Q4096" s="17"/>
      <c r="R4096" s="17"/>
      <c r="S4096" s="17"/>
      <c r="T4096" s="17"/>
      <c r="U4096" s="17"/>
      <c r="V4096" s="18">
        <v>0</v>
      </c>
      <c r="W4096" s="17">
        <f t="shared" si="128"/>
        <v>0</v>
      </c>
      <c r="X4096" s="5">
        <f t="shared" si="129"/>
        <v>0</v>
      </c>
    </row>
    <row r="4097" spans="1:24" x14ac:dyDescent="0.25">
      <c r="A4097" s="17"/>
      <c r="B4097" s="17"/>
      <c r="C4097" s="17"/>
      <c r="D4097" s="17"/>
      <c r="E4097" s="17"/>
      <c r="F4097" s="17"/>
      <c r="G4097" s="17"/>
      <c r="H4097" s="17"/>
      <c r="I4097" s="17"/>
      <c r="J4097" s="17"/>
      <c r="K4097" s="17"/>
      <c r="L4097" s="17"/>
      <c r="M4097" s="17"/>
      <c r="N4097" s="17"/>
      <c r="O4097" s="17"/>
      <c r="P4097" s="17"/>
      <c r="Q4097" s="17"/>
      <c r="R4097" s="17"/>
      <c r="S4097" s="17"/>
      <c r="T4097" s="17"/>
      <c r="U4097" s="17"/>
      <c r="V4097" s="18">
        <v>0</v>
      </c>
      <c r="W4097" s="17">
        <f t="shared" si="128"/>
        <v>0</v>
      </c>
      <c r="X4097" s="5">
        <f t="shared" si="129"/>
        <v>0</v>
      </c>
    </row>
    <row r="4098" spans="1:24" x14ac:dyDescent="0.25">
      <c r="A4098" s="17"/>
      <c r="B4098" s="17"/>
      <c r="C4098" s="17"/>
      <c r="D4098" s="17"/>
      <c r="E4098" s="17"/>
      <c r="F4098" s="17"/>
      <c r="G4098" s="17"/>
      <c r="H4098" s="17"/>
      <c r="I4098" s="17"/>
      <c r="J4098" s="17"/>
      <c r="K4098" s="17"/>
      <c r="L4098" s="17"/>
      <c r="M4098" s="17"/>
      <c r="N4098" s="17"/>
      <c r="O4098" s="17"/>
      <c r="P4098" s="17"/>
      <c r="Q4098" s="17"/>
      <c r="R4098" s="17"/>
      <c r="S4098" s="17"/>
      <c r="T4098" s="17"/>
      <c r="U4098" s="17"/>
      <c r="V4098" s="18">
        <v>0</v>
      </c>
      <c r="W4098" s="17">
        <f t="shared" si="128"/>
        <v>0</v>
      </c>
      <c r="X4098" s="5">
        <f t="shared" si="129"/>
        <v>0</v>
      </c>
    </row>
    <row r="4099" spans="1:24" x14ac:dyDescent="0.25">
      <c r="A4099" s="17"/>
      <c r="B4099" s="17"/>
      <c r="C4099" s="17"/>
      <c r="D4099" s="17"/>
      <c r="E4099" s="17"/>
      <c r="F4099" s="17"/>
      <c r="G4099" s="17"/>
      <c r="H4099" s="17"/>
      <c r="I4099" s="17"/>
      <c r="J4099" s="17"/>
      <c r="K4099" s="17"/>
      <c r="L4099" s="17"/>
      <c r="M4099" s="17"/>
      <c r="N4099" s="17"/>
      <c r="O4099" s="17"/>
      <c r="P4099" s="17"/>
      <c r="Q4099" s="17"/>
      <c r="R4099" s="17"/>
      <c r="S4099" s="17"/>
      <c r="T4099" s="17"/>
      <c r="U4099" s="17"/>
      <c r="V4099" s="18">
        <v>0</v>
      </c>
      <c r="W4099" s="17">
        <f t="shared" ref="W4099:W4162" si="130">HOUR(E4099)</f>
        <v>0</v>
      </c>
      <c r="X4099" s="5">
        <f t="shared" ref="X4099:X4162" si="131">IF(D4099=D4098,0,1)</f>
        <v>0</v>
      </c>
    </row>
    <row r="4100" spans="1:24" x14ac:dyDescent="0.25">
      <c r="A4100" s="17"/>
      <c r="B4100" s="17"/>
      <c r="C4100" s="17"/>
      <c r="D4100" s="17"/>
      <c r="E4100" s="17"/>
      <c r="F4100" s="17"/>
      <c r="G4100" s="17"/>
      <c r="H4100" s="17"/>
      <c r="I4100" s="17"/>
      <c r="J4100" s="17"/>
      <c r="K4100" s="17"/>
      <c r="L4100" s="17"/>
      <c r="M4100" s="17"/>
      <c r="N4100" s="17"/>
      <c r="O4100" s="17"/>
      <c r="P4100" s="17"/>
      <c r="Q4100" s="17"/>
      <c r="R4100" s="17"/>
      <c r="S4100" s="17"/>
      <c r="T4100" s="17"/>
      <c r="U4100" s="17"/>
      <c r="V4100" s="18">
        <v>0</v>
      </c>
      <c r="W4100" s="17">
        <f t="shared" si="130"/>
        <v>0</v>
      </c>
      <c r="X4100" s="5">
        <f t="shared" si="131"/>
        <v>0</v>
      </c>
    </row>
    <row r="4101" spans="1:24" x14ac:dyDescent="0.25">
      <c r="A4101" s="17"/>
      <c r="B4101" s="17"/>
      <c r="C4101" s="17"/>
      <c r="D4101" s="17"/>
      <c r="E4101" s="17"/>
      <c r="F4101" s="17"/>
      <c r="G4101" s="17"/>
      <c r="H4101" s="17"/>
      <c r="I4101" s="17"/>
      <c r="J4101" s="17"/>
      <c r="K4101" s="17"/>
      <c r="L4101" s="17"/>
      <c r="M4101" s="17"/>
      <c r="N4101" s="17"/>
      <c r="O4101" s="17"/>
      <c r="P4101" s="17"/>
      <c r="Q4101" s="17"/>
      <c r="R4101" s="17"/>
      <c r="S4101" s="17"/>
      <c r="T4101" s="17"/>
      <c r="U4101" s="17"/>
      <c r="V4101" s="18">
        <v>0</v>
      </c>
      <c r="W4101" s="17">
        <f t="shared" si="130"/>
        <v>0</v>
      </c>
      <c r="X4101" s="5">
        <f t="shared" si="131"/>
        <v>0</v>
      </c>
    </row>
    <row r="4102" spans="1:24" x14ac:dyDescent="0.25">
      <c r="A4102" s="17"/>
      <c r="B4102" s="17"/>
      <c r="C4102" s="17"/>
      <c r="D4102" s="17"/>
      <c r="E4102" s="17"/>
      <c r="F4102" s="17"/>
      <c r="G4102" s="17"/>
      <c r="H4102" s="17"/>
      <c r="I4102" s="17"/>
      <c r="J4102" s="17"/>
      <c r="K4102" s="17"/>
      <c r="L4102" s="17"/>
      <c r="M4102" s="17"/>
      <c r="N4102" s="17"/>
      <c r="O4102" s="17"/>
      <c r="P4102" s="17"/>
      <c r="Q4102" s="17"/>
      <c r="R4102" s="17"/>
      <c r="S4102" s="17"/>
      <c r="T4102" s="17"/>
      <c r="U4102" s="17"/>
      <c r="V4102" s="18">
        <v>0</v>
      </c>
      <c r="W4102" s="17">
        <f t="shared" si="130"/>
        <v>0</v>
      </c>
      <c r="X4102" s="5">
        <f t="shared" si="131"/>
        <v>0</v>
      </c>
    </row>
    <row r="4103" spans="1:24" x14ac:dyDescent="0.25">
      <c r="A4103" s="17"/>
      <c r="B4103" s="17"/>
      <c r="C4103" s="17"/>
      <c r="D4103" s="17"/>
      <c r="E4103" s="17"/>
      <c r="F4103" s="17"/>
      <c r="G4103" s="17"/>
      <c r="H4103" s="17"/>
      <c r="I4103" s="17"/>
      <c r="J4103" s="17"/>
      <c r="K4103" s="17"/>
      <c r="L4103" s="17"/>
      <c r="M4103" s="17"/>
      <c r="N4103" s="17"/>
      <c r="O4103" s="17"/>
      <c r="P4103" s="17"/>
      <c r="Q4103" s="17"/>
      <c r="R4103" s="17"/>
      <c r="S4103" s="17"/>
      <c r="T4103" s="17"/>
      <c r="U4103" s="17"/>
      <c r="V4103" s="18">
        <v>0</v>
      </c>
      <c r="W4103" s="17">
        <f t="shared" si="130"/>
        <v>0</v>
      </c>
      <c r="X4103" s="5">
        <f t="shared" si="131"/>
        <v>0</v>
      </c>
    </row>
    <row r="4104" spans="1:24" x14ac:dyDescent="0.25">
      <c r="A4104" s="17"/>
      <c r="B4104" s="17"/>
      <c r="C4104" s="17"/>
      <c r="D4104" s="17"/>
      <c r="E4104" s="17"/>
      <c r="F4104" s="17"/>
      <c r="G4104" s="17"/>
      <c r="H4104" s="17"/>
      <c r="I4104" s="17"/>
      <c r="J4104" s="17"/>
      <c r="K4104" s="17"/>
      <c r="L4104" s="17"/>
      <c r="M4104" s="17"/>
      <c r="N4104" s="17"/>
      <c r="O4104" s="17"/>
      <c r="P4104" s="17"/>
      <c r="Q4104" s="17"/>
      <c r="R4104" s="17"/>
      <c r="S4104" s="17"/>
      <c r="T4104" s="17"/>
      <c r="U4104" s="17"/>
      <c r="V4104" s="18">
        <v>0</v>
      </c>
      <c r="W4104" s="17">
        <f t="shared" si="130"/>
        <v>0</v>
      </c>
      <c r="X4104" s="5">
        <f t="shared" si="131"/>
        <v>0</v>
      </c>
    </row>
    <row r="4105" spans="1:24" x14ac:dyDescent="0.25">
      <c r="A4105" s="17"/>
      <c r="B4105" s="17"/>
      <c r="C4105" s="17"/>
      <c r="D4105" s="17"/>
      <c r="E4105" s="17"/>
      <c r="F4105" s="17"/>
      <c r="G4105" s="17"/>
      <c r="H4105" s="17"/>
      <c r="I4105" s="17"/>
      <c r="J4105" s="17"/>
      <c r="K4105" s="17"/>
      <c r="L4105" s="17"/>
      <c r="M4105" s="17"/>
      <c r="N4105" s="17"/>
      <c r="O4105" s="17"/>
      <c r="P4105" s="17"/>
      <c r="Q4105" s="17"/>
      <c r="R4105" s="17"/>
      <c r="S4105" s="17"/>
      <c r="T4105" s="17"/>
      <c r="U4105" s="17"/>
      <c r="V4105" s="18">
        <v>0</v>
      </c>
      <c r="W4105" s="17">
        <f t="shared" si="130"/>
        <v>0</v>
      </c>
      <c r="X4105" s="5">
        <f t="shared" si="131"/>
        <v>0</v>
      </c>
    </row>
    <row r="4106" spans="1:24" x14ac:dyDescent="0.25">
      <c r="A4106" s="17"/>
      <c r="B4106" s="17"/>
      <c r="C4106" s="17"/>
      <c r="D4106" s="17"/>
      <c r="E4106" s="17"/>
      <c r="F4106" s="17"/>
      <c r="G4106" s="17"/>
      <c r="H4106" s="17"/>
      <c r="I4106" s="17"/>
      <c r="J4106" s="17"/>
      <c r="K4106" s="17"/>
      <c r="L4106" s="17"/>
      <c r="M4106" s="17"/>
      <c r="N4106" s="17"/>
      <c r="O4106" s="17"/>
      <c r="P4106" s="17"/>
      <c r="Q4106" s="17"/>
      <c r="R4106" s="17"/>
      <c r="S4106" s="17"/>
      <c r="T4106" s="17"/>
      <c r="U4106" s="17"/>
      <c r="V4106" s="18">
        <v>0</v>
      </c>
      <c r="W4106" s="17">
        <f t="shared" si="130"/>
        <v>0</v>
      </c>
      <c r="X4106" s="5">
        <f t="shared" si="131"/>
        <v>0</v>
      </c>
    </row>
    <row r="4107" spans="1:24" x14ac:dyDescent="0.25">
      <c r="A4107" s="17"/>
      <c r="B4107" s="17"/>
      <c r="C4107" s="17"/>
      <c r="D4107" s="17"/>
      <c r="E4107" s="17"/>
      <c r="F4107" s="17"/>
      <c r="G4107" s="17"/>
      <c r="H4107" s="17"/>
      <c r="I4107" s="17"/>
      <c r="J4107" s="17"/>
      <c r="K4107" s="17"/>
      <c r="L4107" s="17"/>
      <c r="M4107" s="17"/>
      <c r="N4107" s="17"/>
      <c r="O4107" s="17"/>
      <c r="P4107" s="17"/>
      <c r="Q4107" s="17"/>
      <c r="R4107" s="17"/>
      <c r="S4107" s="17"/>
      <c r="T4107" s="17"/>
      <c r="U4107" s="17"/>
      <c r="V4107" s="18">
        <v>0</v>
      </c>
      <c r="W4107" s="17">
        <f t="shared" si="130"/>
        <v>0</v>
      </c>
      <c r="X4107" s="5">
        <f t="shared" si="131"/>
        <v>0</v>
      </c>
    </row>
    <row r="4108" spans="1:24" x14ac:dyDescent="0.25">
      <c r="A4108" s="17"/>
      <c r="B4108" s="17"/>
      <c r="C4108" s="17"/>
      <c r="D4108" s="17"/>
      <c r="E4108" s="17"/>
      <c r="F4108" s="17"/>
      <c r="G4108" s="17"/>
      <c r="H4108" s="17"/>
      <c r="I4108" s="17"/>
      <c r="J4108" s="17"/>
      <c r="K4108" s="17"/>
      <c r="L4108" s="17"/>
      <c r="M4108" s="17"/>
      <c r="N4108" s="17"/>
      <c r="O4108" s="17"/>
      <c r="P4108" s="17"/>
      <c r="Q4108" s="17"/>
      <c r="R4108" s="17"/>
      <c r="S4108" s="17"/>
      <c r="T4108" s="17"/>
      <c r="U4108" s="17"/>
      <c r="V4108" s="18">
        <v>0</v>
      </c>
      <c r="W4108" s="17">
        <f t="shared" si="130"/>
        <v>0</v>
      </c>
      <c r="X4108" s="5">
        <f t="shared" si="131"/>
        <v>0</v>
      </c>
    </row>
    <row r="4109" spans="1:24" x14ac:dyDescent="0.25">
      <c r="A4109" s="17"/>
      <c r="B4109" s="17"/>
      <c r="C4109" s="17"/>
      <c r="D4109" s="17"/>
      <c r="E4109" s="17"/>
      <c r="F4109" s="17"/>
      <c r="G4109" s="17"/>
      <c r="H4109" s="17"/>
      <c r="I4109" s="17"/>
      <c r="J4109" s="17"/>
      <c r="K4109" s="17"/>
      <c r="L4109" s="17"/>
      <c r="M4109" s="17"/>
      <c r="N4109" s="17"/>
      <c r="O4109" s="17"/>
      <c r="P4109" s="17"/>
      <c r="Q4109" s="17"/>
      <c r="R4109" s="17"/>
      <c r="S4109" s="17"/>
      <c r="T4109" s="17"/>
      <c r="U4109" s="17"/>
      <c r="V4109" s="18">
        <v>0</v>
      </c>
      <c r="W4109" s="17">
        <f t="shared" si="130"/>
        <v>0</v>
      </c>
      <c r="X4109" s="5">
        <f t="shared" si="131"/>
        <v>0</v>
      </c>
    </row>
    <row r="4110" spans="1:24" x14ac:dyDescent="0.25">
      <c r="A4110" s="17"/>
      <c r="B4110" s="17"/>
      <c r="C4110" s="17"/>
      <c r="D4110" s="17"/>
      <c r="E4110" s="17"/>
      <c r="F4110" s="17"/>
      <c r="G4110" s="17"/>
      <c r="H4110" s="17"/>
      <c r="I4110" s="17"/>
      <c r="J4110" s="17"/>
      <c r="K4110" s="17"/>
      <c r="L4110" s="17"/>
      <c r="M4110" s="17"/>
      <c r="N4110" s="17"/>
      <c r="O4110" s="17"/>
      <c r="P4110" s="17"/>
      <c r="Q4110" s="17"/>
      <c r="R4110" s="17"/>
      <c r="S4110" s="17"/>
      <c r="T4110" s="17"/>
      <c r="U4110" s="17"/>
      <c r="V4110" s="18">
        <v>0</v>
      </c>
      <c r="W4110" s="17">
        <f t="shared" si="130"/>
        <v>0</v>
      </c>
      <c r="X4110" s="5">
        <f t="shared" si="131"/>
        <v>0</v>
      </c>
    </row>
    <row r="4111" spans="1:24" x14ac:dyDescent="0.25">
      <c r="A4111" s="17"/>
      <c r="B4111" s="17"/>
      <c r="C4111" s="17"/>
      <c r="D4111" s="17"/>
      <c r="E4111" s="17"/>
      <c r="F4111" s="17"/>
      <c r="G4111" s="17"/>
      <c r="H4111" s="17"/>
      <c r="I4111" s="17"/>
      <c r="J4111" s="17"/>
      <c r="K4111" s="17"/>
      <c r="L4111" s="17"/>
      <c r="M4111" s="17"/>
      <c r="N4111" s="17"/>
      <c r="O4111" s="17"/>
      <c r="P4111" s="17"/>
      <c r="Q4111" s="17"/>
      <c r="R4111" s="17"/>
      <c r="S4111" s="17"/>
      <c r="T4111" s="17"/>
      <c r="U4111" s="17"/>
      <c r="V4111" s="18">
        <v>0</v>
      </c>
      <c r="W4111" s="17">
        <f t="shared" si="130"/>
        <v>0</v>
      </c>
      <c r="X4111" s="5">
        <f t="shared" si="131"/>
        <v>0</v>
      </c>
    </row>
    <row r="4112" spans="1:24" x14ac:dyDescent="0.25">
      <c r="A4112" s="17"/>
      <c r="B4112" s="17"/>
      <c r="C4112" s="17"/>
      <c r="D4112" s="17"/>
      <c r="E4112" s="17"/>
      <c r="F4112" s="17"/>
      <c r="G4112" s="17"/>
      <c r="H4112" s="17"/>
      <c r="I4112" s="17"/>
      <c r="J4112" s="17"/>
      <c r="K4112" s="17"/>
      <c r="L4112" s="17"/>
      <c r="M4112" s="17"/>
      <c r="N4112" s="17"/>
      <c r="O4112" s="17"/>
      <c r="P4112" s="17"/>
      <c r="Q4112" s="17"/>
      <c r="R4112" s="17"/>
      <c r="S4112" s="17"/>
      <c r="T4112" s="17"/>
      <c r="U4112" s="17"/>
      <c r="V4112" s="18">
        <v>0</v>
      </c>
      <c r="W4112" s="17">
        <f t="shared" si="130"/>
        <v>0</v>
      </c>
      <c r="X4112" s="5">
        <f t="shared" si="131"/>
        <v>0</v>
      </c>
    </row>
    <row r="4113" spans="1:24" x14ac:dyDescent="0.25">
      <c r="A4113" s="17"/>
      <c r="B4113" s="17"/>
      <c r="C4113" s="17"/>
      <c r="D4113" s="17"/>
      <c r="E4113" s="17"/>
      <c r="F4113" s="17"/>
      <c r="G4113" s="17"/>
      <c r="H4113" s="17"/>
      <c r="I4113" s="17"/>
      <c r="J4113" s="17"/>
      <c r="K4113" s="17"/>
      <c r="L4113" s="17"/>
      <c r="M4113" s="17"/>
      <c r="N4113" s="17"/>
      <c r="O4113" s="17"/>
      <c r="P4113" s="17"/>
      <c r="Q4113" s="17"/>
      <c r="R4113" s="17"/>
      <c r="S4113" s="17"/>
      <c r="T4113" s="17"/>
      <c r="U4113" s="17"/>
      <c r="V4113" s="18">
        <v>0</v>
      </c>
      <c r="W4113" s="17">
        <f t="shared" si="130"/>
        <v>0</v>
      </c>
      <c r="X4113" s="5">
        <f t="shared" si="131"/>
        <v>0</v>
      </c>
    </row>
    <row r="4114" spans="1:24" x14ac:dyDescent="0.25">
      <c r="A4114" s="17"/>
      <c r="B4114" s="17"/>
      <c r="C4114" s="17"/>
      <c r="D4114" s="17"/>
      <c r="E4114" s="17"/>
      <c r="F4114" s="17"/>
      <c r="G4114" s="17"/>
      <c r="H4114" s="17"/>
      <c r="I4114" s="17"/>
      <c r="J4114" s="17"/>
      <c r="K4114" s="17"/>
      <c r="L4114" s="17"/>
      <c r="M4114" s="17"/>
      <c r="N4114" s="17"/>
      <c r="O4114" s="17"/>
      <c r="P4114" s="17"/>
      <c r="Q4114" s="17"/>
      <c r="R4114" s="17"/>
      <c r="S4114" s="17"/>
      <c r="T4114" s="17"/>
      <c r="U4114" s="17"/>
      <c r="V4114" s="18">
        <v>0</v>
      </c>
      <c r="W4114" s="17">
        <f t="shared" si="130"/>
        <v>0</v>
      </c>
      <c r="X4114" s="5">
        <f t="shared" si="131"/>
        <v>0</v>
      </c>
    </row>
    <row r="4115" spans="1:24" x14ac:dyDescent="0.25">
      <c r="A4115" s="17"/>
      <c r="B4115" s="17"/>
      <c r="C4115" s="17"/>
      <c r="D4115" s="17"/>
      <c r="E4115" s="17"/>
      <c r="F4115" s="17"/>
      <c r="G4115" s="17"/>
      <c r="H4115" s="17"/>
      <c r="I4115" s="17"/>
      <c r="J4115" s="17"/>
      <c r="K4115" s="17"/>
      <c r="L4115" s="17"/>
      <c r="M4115" s="17"/>
      <c r="N4115" s="17"/>
      <c r="O4115" s="17"/>
      <c r="P4115" s="17"/>
      <c r="Q4115" s="17"/>
      <c r="R4115" s="17"/>
      <c r="S4115" s="17"/>
      <c r="T4115" s="17"/>
      <c r="U4115" s="17"/>
      <c r="V4115" s="18">
        <v>0</v>
      </c>
      <c r="W4115" s="17">
        <f t="shared" si="130"/>
        <v>0</v>
      </c>
      <c r="X4115" s="5">
        <f t="shared" si="131"/>
        <v>0</v>
      </c>
    </row>
    <row r="4116" spans="1:24" x14ac:dyDescent="0.25">
      <c r="A4116" s="17"/>
      <c r="B4116" s="17"/>
      <c r="C4116" s="17"/>
      <c r="D4116" s="17"/>
      <c r="E4116" s="17"/>
      <c r="F4116" s="17"/>
      <c r="G4116" s="17"/>
      <c r="H4116" s="17"/>
      <c r="I4116" s="17"/>
      <c r="J4116" s="17"/>
      <c r="K4116" s="17"/>
      <c r="L4116" s="17"/>
      <c r="M4116" s="17"/>
      <c r="N4116" s="17"/>
      <c r="O4116" s="17"/>
      <c r="P4116" s="17"/>
      <c r="Q4116" s="17"/>
      <c r="R4116" s="17"/>
      <c r="S4116" s="17"/>
      <c r="T4116" s="17"/>
      <c r="U4116" s="17"/>
      <c r="V4116" s="18">
        <v>0</v>
      </c>
      <c r="W4116" s="17">
        <f t="shared" si="130"/>
        <v>0</v>
      </c>
      <c r="X4116" s="5">
        <f t="shared" si="131"/>
        <v>0</v>
      </c>
    </row>
    <row r="4117" spans="1:24" x14ac:dyDescent="0.25">
      <c r="A4117" s="17"/>
      <c r="B4117" s="17"/>
      <c r="C4117" s="17"/>
      <c r="D4117" s="17"/>
      <c r="E4117" s="17"/>
      <c r="F4117" s="17"/>
      <c r="G4117" s="17"/>
      <c r="H4117" s="17"/>
      <c r="I4117" s="17"/>
      <c r="J4117" s="17"/>
      <c r="K4117" s="17"/>
      <c r="L4117" s="17"/>
      <c r="M4117" s="17"/>
      <c r="N4117" s="17"/>
      <c r="O4117" s="17"/>
      <c r="P4117" s="17"/>
      <c r="Q4117" s="17"/>
      <c r="R4117" s="17"/>
      <c r="S4117" s="17"/>
      <c r="T4117" s="17"/>
      <c r="U4117" s="17"/>
      <c r="V4117" s="18">
        <v>0</v>
      </c>
      <c r="W4117" s="17">
        <f t="shared" si="130"/>
        <v>0</v>
      </c>
      <c r="X4117" s="5">
        <f t="shared" si="131"/>
        <v>0</v>
      </c>
    </row>
    <row r="4118" spans="1:24" x14ac:dyDescent="0.25">
      <c r="A4118" s="17"/>
      <c r="B4118" s="17"/>
      <c r="C4118" s="17"/>
      <c r="D4118" s="17"/>
      <c r="E4118" s="17"/>
      <c r="F4118" s="17"/>
      <c r="G4118" s="17"/>
      <c r="H4118" s="17"/>
      <c r="I4118" s="17"/>
      <c r="J4118" s="17"/>
      <c r="K4118" s="17"/>
      <c r="L4118" s="17"/>
      <c r="M4118" s="17"/>
      <c r="N4118" s="17"/>
      <c r="O4118" s="17"/>
      <c r="P4118" s="17"/>
      <c r="Q4118" s="17"/>
      <c r="R4118" s="17"/>
      <c r="S4118" s="17"/>
      <c r="T4118" s="17"/>
      <c r="U4118" s="17"/>
      <c r="V4118" s="18">
        <v>0</v>
      </c>
      <c r="W4118" s="17">
        <f t="shared" si="130"/>
        <v>0</v>
      </c>
      <c r="X4118" s="5">
        <f t="shared" si="131"/>
        <v>0</v>
      </c>
    </row>
    <row r="4119" spans="1:24" x14ac:dyDescent="0.25">
      <c r="A4119" s="17"/>
      <c r="B4119" s="17"/>
      <c r="C4119" s="17"/>
      <c r="D4119" s="17"/>
      <c r="E4119" s="17"/>
      <c r="F4119" s="17"/>
      <c r="G4119" s="17"/>
      <c r="H4119" s="17"/>
      <c r="I4119" s="17"/>
      <c r="J4119" s="17"/>
      <c r="K4119" s="17"/>
      <c r="L4119" s="17"/>
      <c r="M4119" s="17"/>
      <c r="N4119" s="17"/>
      <c r="O4119" s="17"/>
      <c r="P4119" s="17"/>
      <c r="Q4119" s="17"/>
      <c r="R4119" s="17"/>
      <c r="S4119" s="17"/>
      <c r="T4119" s="17"/>
      <c r="U4119" s="17"/>
      <c r="V4119" s="18">
        <v>0</v>
      </c>
      <c r="W4119" s="17">
        <f t="shared" si="130"/>
        <v>0</v>
      </c>
      <c r="X4119" s="5">
        <f t="shared" si="131"/>
        <v>0</v>
      </c>
    </row>
    <row r="4120" spans="1:24" x14ac:dyDescent="0.25">
      <c r="A4120" s="17"/>
      <c r="B4120" s="17"/>
      <c r="C4120" s="17"/>
      <c r="D4120" s="17"/>
      <c r="E4120" s="17"/>
      <c r="F4120" s="17"/>
      <c r="G4120" s="17"/>
      <c r="H4120" s="17"/>
      <c r="I4120" s="17"/>
      <c r="J4120" s="17"/>
      <c r="K4120" s="17"/>
      <c r="L4120" s="17"/>
      <c r="M4120" s="17"/>
      <c r="N4120" s="17"/>
      <c r="O4120" s="17"/>
      <c r="P4120" s="17"/>
      <c r="Q4120" s="17"/>
      <c r="R4120" s="17"/>
      <c r="S4120" s="17"/>
      <c r="T4120" s="17"/>
      <c r="U4120" s="17"/>
      <c r="V4120" s="18">
        <v>0</v>
      </c>
      <c r="W4120" s="17">
        <f t="shared" si="130"/>
        <v>0</v>
      </c>
      <c r="X4120" s="5">
        <f t="shared" si="131"/>
        <v>0</v>
      </c>
    </row>
    <row r="4121" spans="1:24" x14ac:dyDescent="0.25">
      <c r="A4121" s="17"/>
      <c r="B4121" s="17"/>
      <c r="C4121" s="17"/>
      <c r="D4121" s="17"/>
      <c r="E4121" s="17"/>
      <c r="F4121" s="17"/>
      <c r="G4121" s="17"/>
      <c r="H4121" s="17"/>
      <c r="I4121" s="17"/>
      <c r="J4121" s="17"/>
      <c r="K4121" s="17"/>
      <c r="L4121" s="17"/>
      <c r="M4121" s="17"/>
      <c r="N4121" s="17"/>
      <c r="O4121" s="17"/>
      <c r="P4121" s="17"/>
      <c r="Q4121" s="17"/>
      <c r="R4121" s="17"/>
      <c r="S4121" s="17"/>
      <c r="T4121" s="17"/>
      <c r="U4121" s="17"/>
      <c r="V4121" s="18">
        <v>0</v>
      </c>
      <c r="W4121" s="17">
        <f t="shared" si="130"/>
        <v>0</v>
      </c>
      <c r="X4121" s="5">
        <f t="shared" si="131"/>
        <v>0</v>
      </c>
    </row>
    <row r="4122" spans="1:24" x14ac:dyDescent="0.25">
      <c r="A4122" s="17"/>
      <c r="B4122" s="17"/>
      <c r="C4122" s="17"/>
      <c r="D4122" s="17"/>
      <c r="E4122" s="17"/>
      <c r="F4122" s="17"/>
      <c r="G4122" s="17"/>
      <c r="H4122" s="17"/>
      <c r="I4122" s="17"/>
      <c r="J4122" s="17"/>
      <c r="K4122" s="17"/>
      <c r="L4122" s="17"/>
      <c r="M4122" s="17"/>
      <c r="N4122" s="17"/>
      <c r="O4122" s="17"/>
      <c r="P4122" s="17"/>
      <c r="Q4122" s="17"/>
      <c r="R4122" s="17"/>
      <c r="S4122" s="17"/>
      <c r="T4122" s="17"/>
      <c r="U4122" s="17"/>
      <c r="V4122" s="18">
        <v>0</v>
      </c>
      <c r="W4122" s="17">
        <f t="shared" si="130"/>
        <v>0</v>
      </c>
      <c r="X4122" s="5">
        <f t="shared" si="131"/>
        <v>0</v>
      </c>
    </row>
    <row r="4123" spans="1:24" x14ac:dyDescent="0.25">
      <c r="A4123" s="17"/>
      <c r="B4123" s="17"/>
      <c r="C4123" s="17"/>
      <c r="D4123" s="17"/>
      <c r="E4123" s="17"/>
      <c r="F4123" s="17"/>
      <c r="G4123" s="17"/>
      <c r="H4123" s="17"/>
      <c r="I4123" s="17"/>
      <c r="J4123" s="17"/>
      <c r="K4123" s="17"/>
      <c r="L4123" s="17"/>
      <c r="M4123" s="17"/>
      <c r="N4123" s="17"/>
      <c r="O4123" s="17"/>
      <c r="P4123" s="17"/>
      <c r="Q4123" s="17"/>
      <c r="R4123" s="17"/>
      <c r="S4123" s="17"/>
      <c r="T4123" s="17"/>
      <c r="U4123" s="17"/>
      <c r="V4123" s="18">
        <v>0</v>
      </c>
      <c r="W4123" s="17">
        <f t="shared" si="130"/>
        <v>0</v>
      </c>
      <c r="X4123" s="5">
        <f t="shared" si="131"/>
        <v>0</v>
      </c>
    </row>
    <row r="4124" spans="1:24" x14ac:dyDescent="0.25">
      <c r="A4124" s="17"/>
      <c r="B4124" s="17"/>
      <c r="C4124" s="17"/>
      <c r="D4124" s="17"/>
      <c r="E4124" s="17"/>
      <c r="F4124" s="17"/>
      <c r="G4124" s="17"/>
      <c r="H4124" s="17"/>
      <c r="I4124" s="17"/>
      <c r="J4124" s="17"/>
      <c r="K4124" s="17"/>
      <c r="L4124" s="17"/>
      <c r="M4124" s="17"/>
      <c r="N4124" s="17"/>
      <c r="O4124" s="17"/>
      <c r="P4124" s="17"/>
      <c r="Q4124" s="17"/>
      <c r="R4124" s="17"/>
      <c r="S4124" s="17"/>
      <c r="T4124" s="17"/>
      <c r="U4124" s="17"/>
      <c r="V4124" s="18">
        <v>0</v>
      </c>
      <c r="W4124" s="17">
        <f t="shared" si="130"/>
        <v>0</v>
      </c>
      <c r="X4124" s="5">
        <f t="shared" si="131"/>
        <v>0</v>
      </c>
    </row>
    <row r="4125" spans="1:24" x14ac:dyDescent="0.25">
      <c r="A4125" s="17"/>
      <c r="B4125" s="17"/>
      <c r="C4125" s="17"/>
      <c r="D4125" s="17"/>
      <c r="E4125" s="17"/>
      <c r="F4125" s="17"/>
      <c r="G4125" s="17"/>
      <c r="H4125" s="17"/>
      <c r="I4125" s="17"/>
      <c r="J4125" s="17"/>
      <c r="K4125" s="17"/>
      <c r="L4125" s="17"/>
      <c r="M4125" s="17"/>
      <c r="N4125" s="17"/>
      <c r="O4125" s="17"/>
      <c r="P4125" s="17"/>
      <c r="Q4125" s="17"/>
      <c r="R4125" s="17"/>
      <c r="S4125" s="17"/>
      <c r="T4125" s="17"/>
      <c r="U4125" s="17"/>
      <c r="V4125" s="18">
        <v>0</v>
      </c>
      <c r="W4125" s="17">
        <f t="shared" si="130"/>
        <v>0</v>
      </c>
      <c r="X4125" s="5">
        <f t="shared" si="131"/>
        <v>0</v>
      </c>
    </row>
    <row r="4126" spans="1:24" x14ac:dyDescent="0.25">
      <c r="A4126" s="17"/>
      <c r="B4126" s="17"/>
      <c r="C4126" s="17"/>
      <c r="D4126" s="17"/>
      <c r="E4126" s="17"/>
      <c r="F4126" s="17"/>
      <c r="G4126" s="17"/>
      <c r="H4126" s="17"/>
      <c r="I4126" s="17"/>
      <c r="J4126" s="17"/>
      <c r="K4126" s="17"/>
      <c r="L4126" s="17"/>
      <c r="M4126" s="17"/>
      <c r="N4126" s="17"/>
      <c r="O4126" s="17"/>
      <c r="P4126" s="17"/>
      <c r="Q4126" s="17"/>
      <c r="R4126" s="17"/>
      <c r="S4126" s="17"/>
      <c r="T4126" s="17"/>
      <c r="U4126" s="17"/>
      <c r="V4126" s="18">
        <v>0</v>
      </c>
      <c r="W4126" s="17">
        <f t="shared" si="130"/>
        <v>0</v>
      </c>
      <c r="X4126" s="5">
        <f t="shared" si="131"/>
        <v>0</v>
      </c>
    </row>
    <row r="4127" spans="1:24" x14ac:dyDescent="0.25">
      <c r="A4127" s="17"/>
      <c r="B4127" s="17"/>
      <c r="C4127" s="17"/>
      <c r="D4127" s="17"/>
      <c r="E4127" s="17"/>
      <c r="F4127" s="17"/>
      <c r="G4127" s="17"/>
      <c r="H4127" s="17"/>
      <c r="I4127" s="17"/>
      <c r="J4127" s="17"/>
      <c r="K4127" s="17"/>
      <c r="L4127" s="17"/>
      <c r="M4127" s="17"/>
      <c r="N4127" s="17"/>
      <c r="O4127" s="17"/>
      <c r="P4127" s="17"/>
      <c r="Q4127" s="17"/>
      <c r="R4127" s="17"/>
      <c r="S4127" s="17"/>
      <c r="T4127" s="17"/>
      <c r="U4127" s="17"/>
      <c r="V4127" s="18">
        <v>0</v>
      </c>
      <c r="W4127" s="17">
        <f t="shared" si="130"/>
        <v>0</v>
      </c>
      <c r="X4127" s="5">
        <f t="shared" si="131"/>
        <v>0</v>
      </c>
    </row>
    <row r="4128" spans="1:24" x14ac:dyDescent="0.25">
      <c r="A4128" s="17"/>
      <c r="B4128" s="17"/>
      <c r="C4128" s="17"/>
      <c r="D4128" s="17"/>
      <c r="E4128" s="17"/>
      <c r="F4128" s="17"/>
      <c r="G4128" s="17"/>
      <c r="H4128" s="17"/>
      <c r="I4128" s="17"/>
      <c r="J4128" s="17"/>
      <c r="K4128" s="17"/>
      <c r="L4128" s="17"/>
      <c r="M4128" s="17"/>
      <c r="N4128" s="17"/>
      <c r="O4128" s="17"/>
      <c r="P4128" s="17"/>
      <c r="Q4128" s="17"/>
      <c r="R4128" s="17"/>
      <c r="S4128" s="17"/>
      <c r="T4128" s="17"/>
      <c r="U4128" s="17"/>
      <c r="V4128" s="18">
        <v>0</v>
      </c>
      <c r="W4128" s="17">
        <f t="shared" si="130"/>
        <v>0</v>
      </c>
      <c r="X4128" s="5">
        <f t="shared" si="131"/>
        <v>0</v>
      </c>
    </row>
    <row r="4129" spans="1:24" x14ac:dyDescent="0.25">
      <c r="A4129" s="17"/>
      <c r="B4129" s="17"/>
      <c r="C4129" s="17"/>
      <c r="D4129" s="17"/>
      <c r="E4129" s="17"/>
      <c r="F4129" s="17"/>
      <c r="G4129" s="17"/>
      <c r="H4129" s="17"/>
      <c r="I4129" s="17"/>
      <c r="J4129" s="17"/>
      <c r="K4129" s="17"/>
      <c r="L4129" s="17"/>
      <c r="M4129" s="17"/>
      <c r="N4129" s="17"/>
      <c r="O4129" s="17"/>
      <c r="P4129" s="17"/>
      <c r="Q4129" s="17"/>
      <c r="R4129" s="17"/>
      <c r="S4129" s="17"/>
      <c r="T4129" s="17"/>
      <c r="U4129" s="17"/>
      <c r="V4129" s="18">
        <v>0</v>
      </c>
      <c r="W4129" s="17">
        <f t="shared" si="130"/>
        <v>0</v>
      </c>
      <c r="X4129" s="5">
        <f t="shared" si="131"/>
        <v>0</v>
      </c>
    </row>
    <row r="4130" spans="1:24" x14ac:dyDescent="0.25">
      <c r="A4130" s="17"/>
      <c r="B4130" s="17"/>
      <c r="C4130" s="17"/>
      <c r="D4130" s="17"/>
      <c r="E4130" s="17"/>
      <c r="F4130" s="17"/>
      <c r="G4130" s="17"/>
      <c r="H4130" s="17"/>
      <c r="I4130" s="17"/>
      <c r="J4130" s="17"/>
      <c r="K4130" s="17"/>
      <c r="L4130" s="17"/>
      <c r="M4130" s="17"/>
      <c r="N4130" s="17"/>
      <c r="O4130" s="17"/>
      <c r="P4130" s="17"/>
      <c r="Q4130" s="17"/>
      <c r="R4130" s="17"/>
      <c r="S4130" s="17"/>
      <c r="T4130" s="17"/>
      <c r="U4130" s="17"/>
      <c r="V4130" s="18">
        <v>0</v>
      </c>
      <c r="W4130" s="17">
        <f t="shared" si="130"/>
        <v>0</v>
      </c>
      <c r="X4130" s="5">
        <f t="shared" si="131"/>
        <v>0</v>
      </c>
    </row>
    <row r="4131" spans="1:24" x14ac:dyDescent="0.25">
      <c r="A4131" s="17"/>
      <c r="B4131" s="17"/>
      <c r="C4131" s="17"/>
      <c r="D4131" s="17"/>
      <c r="E4131" s="17"/>
      <c r="F4131" s="17"/>
      <c r="G4131" s="17"/>
      <c r="H4131" s="17"/>
      <c r="I4131" s="17"/>
      <c r="J4131" s="17"/>
      <c r="K4131" s="17"/>
      <c r="L4131" s="17"/>
      <c r="M4131" s="17"/>
      <c r="N4131" s="17"/>
      <c r="O4131" s="17"/>
      <c r="P4131" s="17"/>
      <c r="Q4131" s="17"/>
      <c r="R4131" s="17"/>
      <c r="S4131" s="17"/>
      <c r="T4131" s="17"/>
      <c r="U4131" s="17"/>
      <c r="V4131" s="18">
        <v>0</v>
      </c>
      <c r="W4131" s="17">
        <f t="shared" si="130"/>
        <v>0</v>
      </c>
      <c r="X4131" s="5">
        <f t="shared" si="131"/>
        <v>0</v>
      </c>
    </row>
    <row r="4132" spans="1:24" x14ac:dyDescent="0.25">
      <c r="A4132" s="17"/>
      <c r="B4132" s="17"/>
      <c r="C4132" s="17"/>
      <c r="D4132" s="17"/>
      <c r="E4132" s="17"/>
      <c r="F4132" s="17"/>
      <c r="G4132" s="17"/>
      <c r="H4132" s="17"/>
      <c r="I4132" s="17"/>
      <c r="J4132" s="17"/>
      <c r="K4132" s="17"/>
      <c r="L4132" s="17"/>
      <c r="M4132" s="17"/>
      <c r="N4132" s="17"/>
      <c r="O4132" s="17"/>
      <c r="P4132" s="17"/>
      <c r="Q4132" s="17"/>
      <c r="R4132" s="17"/>
      <c r="S4132" s="17"/>
      <c r="T4132" s="17"/>
      <c r="U4132" s="17"/>
      <c r="V4132" s="18">
        <v>0</v>
      </c>
      <c r="W4132" s="17">
        <f t="shared" si="130"/>
        <v>0</v>
      </c>
      <c r="X4132" s="5">
        <f t="shared" si="131"/>
        <v>0</v>
      </c>
    </row>
    <row r="4133" spans="1:24" x14ac:dyDescent="0.25">
      <c r="A4133" s="17"/>
      <c r="B4133" s="17"/>
      <c r="C4133" s="17"/>
      <c r="D4133" s="17"/>
      <c r="E4133" s="17"/>
      <c r="F4133" s="17"/>
      <c r="G4133" s="17"/>
      <c r="H4133" s="17"/>
      <c r="I4133" s="17"/>
      <c r="J4133" s="17"/>
      <c r="K4133" s="17"/>
      <c r="L4133" s="17"/>
      <c r="M4133" s="17"/>
      <c r="N4133" s="17"/>
      <c r="O4133" s="17"/>
      <c r="P4133" s="17"/>
      <c r="Q4133" s="17"/>
      <c r="R4133" s="17"/>
      <c r="S4133" s="17"/>
      <c r="T4133" s="17"/>
      <c r="U4133" s="17"/>
      <c r="V4133" s="18">
        <v>0</v>
      </c>
      <c r="W4133" s="17">
        <f t="shared" si="130"/>
        <v>0</v>
      </c>
      <c r="X4133" s="5">
        <f t="shared" si="131"/>
        <v>0</v>
      </c>
    </row>
    <row r="4134" spans="1:24" x14ac:dyDescent="0.25">
      <c r="A4134" s="17"/>
      <c r="B4134" s="17"/>
      <c r="C4134" s="17"/>
      <c r="D4134" s="17"/>
      <c r="E4134" s="17"/>
      <c r="F4134" s="17"/>
      <c r="G4134" s="17"/>
      <c r="H4134" s="17"/>
      <c r="I4134" s="17"/>
      <c r="J4134" s="17"/>
      <c r="K4134" s="17"/>
      <c r="L4134" s="17"/>
      <c r="M4134" s="17"/>
      <c r="N4134" s="17"/>
      <c r="O4134" s="17"/>
      <c r="P4134" s="17"/>
      <c r="Q4134" s="17"/>
      <c r="R4134" s="17"/>
      <c r="S4134" s="17"/>
      <c r="T4134" s="17"/>
      <c r="U4134" s="17"/>
      <c r="V4134" s="18">
        <v>0</v>
      </c>
      <c r="W4134" s="17">
        <f t="shared" si="130"/>
        <v>0</v>
      </c>
      <c r="X4134" s="5">
        <f t="shared" si="131"/>
        <v>0</v>
      </c>
    </row>
    <row r="4135" spans="1:24" x14ac:dyDescent="0.25">
      <c r="A4135" s="17"/>
      <c r="B4135" s="17"/>
      <c r="C4135" s="17"/>
      <c r="D4135" s="17"/>
      <c r="E4135" s="17"/>
      <c r="F4135" s="17"/>
      <c r="G4135" s="17"/>
      <c r="H4135" s="17"/>
      <c r="I4135" s="17"/>
      <c r="J4135" s="17"/>
      <c r="K4135" s="17"/>
      <c r="L4135" s="17"/>
      <c r="M4135" s="17"/>
      <c r="N4135" s="17"/>
      <c r="O4135" s="17"/>
      <c r="P4135" s="17"/>
      <c r="Q4135" s="17"/>
      <c r="R4135" s="17"/>
      <c r="S4135" s="17"/>
      <c r="T4135" s="17"/>
      <c r="U4135" s="17"/>
      <c r="V4135" s="18">
        <v>0</v>
      </c>
      <c r="W4135" s="17">
        <f t="shared" si="130"/>
        <v>0</v>
      </c>
      <c r="X4135" s="5">
        <f t="shared" si="131"/>
        <v>0</v>
      </c>
    </row>
    <row r="4136" spans="1:24" x14ac:dyDescent="0.25">
      <c r="A4136" s="17"/>
      <c r="B4136" s="17"/>
      <c r="C4136" s="17"/>
      <c r="D4136" s="17"/>
      <c r="E4136" s="17"/>
      <c r="F4136" s="17"/>
      <c r="G4136" s="17"/>
      <c r="H4136" s="17"/>
      <c r="I4136" s="17"/>
      <c r="J4136" s="17"/>
      <c r="K4136" s="17"/>
      <c r="L4136" s="17"/>
      <c r="M4136" s="17"/>
      <c r="N4136" s="17"/>
      <c r="O4136" s="17"/>
      <c r="P4136" s="17"/>
      <c r="Q4136" s="17"/>
      <c r="R4136" s="17"/>
      <c r="S4136" s="17"/>
      <c r="T4136" s="17"/>
      <c r="U4136" s="17"/>
      <c r="V4136" s="18">
        <v>0</v>
      </c>
      <c r="W4136" s="17">
        <f t="shared" si="130"/>
        <v>0</v>
      </c>
      <c r="X4136" s="5">
        <f t="shared" si="131"/>
        <v>0</v>
      </c>
    </row>
    <row r="4137" spans="1:24" x14ac:dyDescent="0.25">
      <c r="A4137" s="17"/>
      <c r="B4137" s="17"/>
      <c r="C4137" s="17"/>
      <c r="D4137" s="17"/>
      <c r="E4137" s="17"/>
      <c r="F4137" s="17"/>
      <c r="G4137" s="17"/>
      <c r="H4137" s="17"/>
      <c r="I4137" s="17"/>
      <c r="J4137" s="17"/>
      <c r="K4137" s="17"/>
      <c r="L4137" s="17"/>
      <c r="M4137" s="17"/>
      <c r="N4137" s="17"/>
      <c r="O4137" s="17"/>
      <c r="P4137" s="17"/>
      <c r="Q4137" s="17"/>
      <c r="R4137" s="17"/>
      <c r="S4137" s="17"/>
      <c r="T4137" s="17"/>
      <c r="U4137" s="17"/>
      <c r="V4137" s="18">
        <v>0</v>
      </c>
      <c r="W4137" s="17">
        <f t="shared" si="130"/>
        <v>0</v>
      </c>
      <c r="X4137" s="5">
        <f t="shared" si="131"/>
        <v>0</v>
      </c>
    </row>
    <row r="4138" spans="1:24" x14ac:dyDescent="0.25">
      <c r="A4138" s="17"/>
      <c r="B4138" s="17"/>
      <c r="C4138" s="17"/>
      <c r="D4138" s="17"/>
      <c r="E4138" s="17"/>
      <c r="F4138" s="17"/>
      <c r="G4138" s="17"/>
      <c r="H4138" s="17"/>
      <c r="I4138" s="17"/>
      <c r="J4138" s="17"/>
      <c r="K4138" s="17"/>
      <c r="L4138" s="17"/>
      <c r="M4138" s="17"/>
      <c r="N4138" s="17"/>
      <c r="O4138" s="17"/>
      <c r="P4138" s="17"/>
      <c r="Q4138" s="17"/>
      <c r="R4138" s="17"/>
      <c r="S4138" s="17"/>
      <c r="T4138" s="17"/>
      <c r="U4138" s="17"/>
      <c r="V4138" s="18">
        <v>0</v>
      </c>
      <c r="W4138" s="17">
        <f t="shared" si="130"/>
        <v>0</v>
      </c>
      <c r="X4138" s="5">
        <f t="shared" si="131"/>
        <v>0</v>
      </c>
    </row>
    <row r="4139" spans="1:24" x14ac:dyDescent="0.25">
      <c r="A4139" s="17"/>
      <c r="B4139" s="17"/>
      <c r="C4139" s="17"/>
      <c r="D4139" s="17"/>
      <c r="E4139" s="17"/>
      <c r="F4139" s="17"/>
      <c r="G4139" s="17"/>
      <c r="H4139" s="17"/>
      <c r="I4139" s="17"/>
      <c r="J4139" s="17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8">
        <v>0</v>
      </c>
      <c r="W4139" s="17">
        <f t="shared" si="130"/>
        <v>0</v>
      </c>
      <c r="X4139" s="5">
        <f t="shared" si="131"/>
        <v>0</v>
      </c>
    </row>
    <row r="4140" spans="1:24" x14ac:dyDescent="0.25">
      <c r="A4140" s="17"/>
      <c r="B4140" s="17"/>
      <c r="C4140" s="17"/>
      <c r="D4140" s="17"/>
      <c r="E4140" s="17"/>
      <c r="F4140" s="17"/>
      <c r="G4140" s="17"/>
      <c r="H4140" s="17"/>
      <c r="I4140" s="17"/>
      <c r="J4140" s="17"/>
      <c r="K4140" s="17"/>
      <c r="L4140" s="17"/>
      <c r="M4140" s="17"/>
      <c r="N4140" s="17"/>
      <c r="O4140" s="17"/>
      <c r="P4140" s="17"/>
      <c r="Q4140" s="17"/>
      <c r="R4140" s="17"/>
      <c r="S4140" s="17"/>
      <c r="T4140" s="17"/>
      <c r="U4140" s="17"/>
      <c r="V4140" s="18">
        <v>0</v>
      </c>
      <c r="W4140" s="17">
        <f t="shared" si="130"/>
        <v>0</v>
      </c>
      <c r="X4140" s="5">
        <f t="shared" si="131"/>
        <v>0</v>
      </c>
    </row>
    <row r="4141" spans="1:24" x14ac:dyDescent="0.25">
      <c r="A4141" s="17"/>
      <c r="B4141" s="17"/>
      <c r="C4141" s="17"/>
      <c r="D4141" s="17"/>
      <c r="E4141" s="17"/>
      <c r="F4141" s="17"/>
      <c r="G4141" s="17"/>
      <c r="H4141" s="17"/>
      <c r="I4141" s="17"/>
      <c r="J4141" s="17"/>
      <c r="K4141" s="17"/>
      <c r="L4141" s="17"/>
      <c r="M4141" s="17"/>
      <c r="N4141" s="17"/>
      <c r="O4141" s="17"/>
      <c r="P4141" s="17"/>
      <c r="Q4141" s="17"/>
      <c r="R4141" s="17"/>
      <c r="S4141" s="17"/>
      <c r="T4141" s="17"/>
      <c r="U4141" s="17"/>
      <c r="V4141" s="18">
        <v>0</v>
      </c>
      <c r="W4141" s="17">
        <f t="shared" si="130"/>
        <v>0</v>
      </c>
      <c r="X4141" s="5">
        <f t="shared" si="131"/>
        <v>0</v>
      </c>
    </row>
    <row r="4142" spans="1:24" x14ac:dyDescent="0.25">
      <c r="A4142" s="17"/>
      <c r="B4142" s="17"/>
      <c r="C4142" s="17"/>
      <c r="D4142" s="17"/>
      <c r="E4142" s="17"/>
      <c r="F4142" s="17"/>
      <c r="G4142" s="17"/>
      <c r="H4142" s="17"/>
      <c r="I4142" s="17"/>
      <c r="J4142" s="17"/>
      <c r="K4142" s="17"/>
      <c r="L4142" s="17"/>
      <c r="M4142" s="17"/>
      <c r="N4142" s="17"/>
      <c r="O4142" s="17"/>
      <c r="P4142" s="17"/>
      <c r="Q4142" s="17"/>
      <c r="R4142" s="17"/>
      <c r="S4142" s="17"/>
      <c r="T4142" s="17"/>
      <c r="U4142" s="17"/>
      <c r="V4142" s="18">
        <v>0</v>
      </c>
      <c r="W4142" s="17">
        <f t="shared" si="130"/>
        <v>0</v>
      </c>
      <c r="X4142" s="5">
        <f t="shared" si="131"/>
        <v>0</v>
      </c>
    </row>
    <row r="4143" spans="1:24" x14ac:dyDescent="0.25">
      <c r="A4143" s="17"/>
      <c r="B4143" s="17"/>
      <c r="C4143" s="17"/>
      <c r="D4143" s="17"/>
      <c r="E4143" s="17"/>
      <c r="F4143" s="17"/>
      <c r="G4143" s="17"/>
      <c r="H4143" s="17"/>
      <c r="I4143" s="17"/>
      <c r="J4143" s="17"/>
      <c r="K4143" s="17"/>
      <c r="L4143" s="17"/>
      <c r="M4143" s="17"/>
      <c r="N4143" s="17"/>
      <c r="O4143" s="17"/>
      <c r="P4143" s="17"/>
      <c r="Q4143" s="17"/>
      <c r="R4143" s="17"/>
      <c r="S4143" s="17"/>
      <c r="T4143" s="17"/>
      <c r="U4143" s="17"/>
      <c r="V4143" s="18">
        <v>0</v>
      </c>
      <c r="W4143" s="17">
        <f t="shared" si="130"/>
        <v>0</v>
      </c>
      <c r="X4143" s="5">
        <f t="shared" si="131"/>
        <v>0</v>
      </c>
    </row>
    <row r="4144" spans="1:24" x14ac:dyDescent="0.25">
      <c r="A4144" s="17"/>
      <c r="B4144" s="17"/>
      <c r="C4144" s="17"/>
      <c r="D4144" s="17"/>
      <c r="E4144" s="17"/>
      <c r="F4144" s="17"/>
      <c r="G4144" s="17"/>
      <c r="H4144" s="17"/>
      <c r="I4144" s="17"/>
      <c r="J4144" s="17"/>
      <c r="K4144" s="17"/>
      <c r="L4144" s="17"/>
      <c r="M4144" s="17"/>
      <c r="N4144" s="17"/>
      <c r="O4144" s="17"/>
      <c r="P4144" s="17"/>
      <c r="Q4144" s="17"/>
      <c r="R4144" s="17"/>
      <c r="S4144" s="17"/>
      <c r="T4144" s="17"/>
      <c r="U4144" s="17"/>
      <c r="V4144" s="18">
        <v>0</v>
      </c>
      <c r="W4144" s="17">
        <f t="shared" si="130"/>
        <v>0</v>
      </c>
      <c r="X4144" s="5">
        <f t="shared" si="131"/>
        <v>0</v>
      </c>
    </row>
    <row r="4145" spans="1:24" x14ac:dyDescent="0.25">
      <c r="A4145" s="17"/>
      <c r="B4145" s="17"/>
      <c r="C4145" s="17"/>
      <c r="D4145" s="17"/>
      <c r="E4145" s="17"/>
      <c r="F4145" s="17"/>
      <c r="G4145" s="17"/>
      <c r="H4145" s="17"/>
      <c r="I4145" s="17"/>
      <c r="J4145" s="17"/>
      <c r="K4145" s="17"/>
      <c r="L4145" s="17"/>
      <c r="M4145" s="17"/>
      <c r="N4145" s="17"/>
      <c r="O4145" s="17"/>
      <c r="P4145" s="17"/>
      <c r="Q4145" s="17"/>
      <c r="R4145" s="17"/>
      <c r="S4145" s="17"/>
      <c r="T4145" s="17"/>
      <c r="U4145" s="17"/>
      <c r="V4145" s="18">
        <v>0</v>
      </c>
      <c r="W4145" s="17">
        <f t="shared" si="130"/>
        <v>0</v>
      </c>
      <c r="X4145" s="5">
        <f t="shared" si="131"/>
        <v>0</v>
      </c>
    </row>
    <row r="4146" spans="1:24" x14ac:dyDescent="0.25">
      <c r="A4146" s="17"/>
      <c r="B4146" s="17"/>
      <c r="C4146" s="17"/>
      <c r="D4146" s="17"/>
      <c r="E4146" s="17"/>
      <c r="F4146" s="17"/>
      <c r="G4146" s="17"/>
      <c r="H4146" s="17"/>
      <c r="I4146" s="17"/>
      <c r="J4146" s="17"/>
      <c r="K4146" s="17"/>
      <c r="L4146" s="17"/>
      <c r="M4146" s="17"/>
      <c r="N4146" s="17"/>
      <c r="O4146" s="17"/>
      <c r="P4146" s="17"/>
      <c r="Q4146" s="17"/>
      <c r="R4146" s="17"/>
      <c r="S4146" s="17"/>
      <c r="T4146" s="17"/>
      <c r="U4146" s="17"/>
      <c r="V4146" s="18">
        <v>0</v>
      </c>
      <c r="W4146" s="17">
        <f t="shared" si="130"/>
        <v>0</v>
      </c>
      <c r="X4146" s="5">
        <f t="shared" si="131"/>
        <v>0</v>
      </c>
    </row>
    <row r="4147" spans="1:24" x14ac:dyDescent="0.25">
      <c r="A4147" s="17"/>
      <c r="B4147" s="17"/>
      <c r="C4147" s="17"/>
      <c r="D4147" s="17"/>
      <c r="E4147" s="17"/>
      <c r="F4147" s="17"/>
      <c r="G4147" s="17"/>
      <c r="H4147" s="17"/>
      <c r="I4147" s="17"/>
      <c r="J4147" s="17"/>
      <c r="K4147" s="17"/>
      <c r="L4147" s="17"/>
      <c r="M4147" s="17"/>
      <c r="N4147" s="17"/>
      <c r="O4147" s="17"/>
      <c r="P4147" s="17"/>
      <c r="Q4147" s="17"/>
      <c r="R4147" s="17"/>
      <c r="S4147" s="17"/>
      <c r="T4147" s="17"/>
      <c r="U4147" s="17"/>
      <c r="V4147" s="18">
        <v>0</v>
      </c>
      <c r="W4147" s="17">
        <f t="shared" si="130"/>
        <v>0</v>
      </c>
      <c r="X4147" s="5">
        <f t="shared" si="131"/>
        <v>0</v>
      </c>
    </row>
    <row r="4148" spans="1:24" x14ac:dyDescent="0.25">
      <c r="A4148" s="17"/>
      <c r="B4148" s="17"/>
      <c r="C4148" s="17"/>
      <c r="D4148" s="17"/>
      <c r="E4148" s="17"/>
      <c r="F4148" s="17"/>
      <c r="G4148" s="17"/>
      <c r="H4148" s="17"/>
      <c r="I4148" s="17"/>
      <c r="J4148" s="17"/>
      <c r="K4148" s="17"/>
      <c r="L4148" s="17"/>
      <c r="M4148" s="17"/>
      <c r="N4148" s="17"/>
      <c r="O4148" s="17"/>
      <c r="P4148" s="17"/>
      <c r="Q4148" s="17"/>
      <c r="R4148" s="17"/>
      <c r="S4148" s="17"/>
      <c r="T4148" s="17"/>
      <c r="U4148" s="17"/>
      <c r="V4148" s="18">
        <v>0</v>
      </c>
      <c r="W4148" s="17">
        <f t="shared" si="130"/>
        <v>0</v>
      </c>
      <c r="X4148" s="5">
        <f t="shared" si="131"/>
        <v>0</v>
      </c>
    </row>
    <row r="4149" spans="1:24" x14ac:dyDescent="0.25">
      <c r="A4149" s="17"/>
      <c r="B4149" s="17"/>
      <c r="C4149" s="17"/>
      <c r="D4149" s="17"/>
      <c r="E4149" s="17"/>
      <c r="F4149" s="17"/>
      <c r="G4149" s="17"/>
      <c r="H4149" s="17"/>
      <c r="I4149" s="17"/>
      <c r="J4149" s="17"/>
      <c r="K4149" s="17"/>
      <c r="L4149" s="17"/>
      <c r="M4149" s="17"/>
      <c r="N4149" s="17"/>
      <c r="O4149" s="17"/>
      <c r="P4149" s="17"/>
      <c r="Q4149" s="17"/>
      <c r="R4149" s="17"/>
      <c r="S4149" s="17"/>
      <c r="T4149" s="17"/>
      <c r="U4149" s="17"/>
      <c r="V4149" s="18">
        <v>0</v>
      </c>
      <c r="W4149" s="17">
        <f t="shared" si="130"/>
        <v>0</v>
      </c>
      <c r="X4149" s="5">
        <f t="shared" si="131"/>
        <v>0</v>
      </c>
    </row>
    <row r="4150" spans="1:24" x14ac:dyDescent="0.25">
      <c r="A4150" s="17"/>
      <c r="B4150" s="17"/>
      <c r="C4150" s="17"/>
      <c r="D4150" s="17"/>
      <c r="E4150" s="17"/>
      <c r="F4150" s="17"/>
      <c r="G4150" s="17"/>
      <c r="H4150" s="17"/>
      <c r="I4150" s="17"/>
      <c r="J4150" s="17"/>
      <c r="K4150" s="17"/>
      <c r="L4150" s="17"/>
      <c r="M4150" s="17"/>
      <c r="N4150" s="17"/>
      <c r="O4150" s="17"/>
      <c r="P4150" s="17"/>
      <c r="Q4150" s="17"/>
      <c r="R4150" s="17"/>
      <c r="S4150" s="17"/>
      <c r="T4150" s="17"/>
      <c r="U4150" s="17"/>
      <c r="V4150" s="18">
        <v>0</v>
      </c>
      <c r="W4150" s="17">
        <f t="shared" si="130"/>
        <v>0</v>
      </c>
      <c r="X4150" s="5">
        <f t="shared" si="131"/>
        <v>0</v>
      </c>
    </row>
    <row r="4151" spans="1:24" x14ac:dyDescent="0.25">
      <c r="A4151" s="17"/>
      <c r="B4151" s="17"/>
      <c r="C4151" s="17"/>
      <c r="D4151" s="17"/>
      <c r="E4151" s="17"/>
      <c r="F4151" s="17"/>
      <c r="G4151" s="17"/>
      <c r="H4151" s="17"/>
      <c r="I4151" s="17"/>
      <c r="J4151" s="17"/>
      <c r="K4151" s="17"/>
      <c r="L4151" s="17"/>
      <c r="M4151" s="17"/>
      <c r="N4151" s="17"/>
      <c r="O4151" s="17"/>
      <c r="P4151" s="17"/>
      <c r="Q4151" s="17"/>
      <c r="R4151" s="17"/>
      <c r="S4151" s="17"/>
      <c r="T4151" s="17"/>
      <c r="U4151" s="17"/>
      <c r="V4151" s="18">
        <v>0</v>
      </c>
      <c r="W4151" s="17">
        <f t="shared" si="130"/>
        <v>0</v>
      </c>
      <c r="X4151" s="5">
        <f t="shared" si="131"/>
        <v>0</v>
      </c>
    </row>
    <row r="4152" spans="1:24" x14ac:dyDescent="0.25">
      <c r="A4152" s="17"/>
      <c r="B4152" s="17"/>
      <c r="C4152" s="17"/>
      <c r="D4152" s="17"/>
      <c r="E4152" s="17"/>
      <c r="F4152" s="17"/>
      <c r="G4152" s="17"/>
      <c r="H4152" s="17"/>
      <c r="I4152" s="17"/>
      <c r="J4152" s="17"/>
      <c r="K4152" s="17"/>
      <c r="L4152" s="17"/>
      <c r="M4152" s="17"/>
      <c r="N4152" s="17"/>
      <c r="O4152" s="17"/>
      <c r="P4152" s="17"/>
      <c r="Q4152" s="17"/>
      <c r="R4152" s="17"/>
      <c r="S4152" s="17"/>
      <c r="T4152" s="17"/>
      <c r="U4152" s="17"/>
      <c r="V4152" s="18">
        <v>0</v>
      </c>
      <c r="W4152" s="17">
        <f t="shared" si="130"/>
        <v>0</v>
      </c>
      <c r="X4152" s="5">
        <f t="shared" si="131"/>
        <v>0</v>
      </c>
    </row>
    <row r="4153" spans="1:24" x14ac:dyDescent="0.25">
      <c r="A4153" s="17"/>
      <c r="B4153" s="17"/>
      <c r="C4153" s="17"/>
      <c r="D4153" s="17"/>
      <c r="E4153" s="17"/>
      <c r="F4153" s="17"/>
      <c r="G4153" s="17"/>
      <c r="H4153" s="17"/>
      <c r="I4153" s="17"/>
      <c r="J4153" s="17"/>
      <c r="K4153" s="17"/>
      <c r="L4153" s="17"/>
      <c r="M4153" s="17"/>
      <c r="N4153" s="17"/>
      <c r="O4153" s="17"/>
      <c r="P4153" s="17"/>
      <c r="Q4153" s="17"/>
      <c r="R4153" s="17"/>
      <c r="S4153" s="17"/>
      <c r="T4153" s="17"/>
      <c r="U4153" s="17"/>
      <c r="V4153" s="18">
        <v>0</v>
      </c>
      <c r="W4153" s="17">
        <f t="shared" si="130"/>
        <v>0</v>
      </c>
      <c r="X4153" s="5">
        <f t="shared" si="131"/>
        <v>0</v>
      </c>
    </row>
    <row r="4154" spans="1:24" x14ac:dyDescent="0.25">
      <c r="A4154" s="17"/>
      <c r="B4154" s="17"/>
      <c r="C4154" s="17"/>
      <c r="D4154" s="17"/>
      <c r="E4154" s="17"/>
      <c r="F4154" s="17"/>
      <c r="G4154" s="17"/>
      <c r="H4154" s="17"/>
      <c r="I4154" s="17"/>
      <c r="J4154" s="17"/>
      <c r="K4154" s="17"/>
      <c r="L4154" s="17"/>
      <c r="M4154" s="17"/>
      <c r="N4154" s="17"/>
      <c r="O4154" s="17"/>
      <c r="P4154" s="17"/>
      <c r="Q4154" s="17"/>
      <c r="R4154" s="17"/>
      <c r="S4154" s="17"/>
      <c r="T4154" s="17"/>
      <c r="U4154" s="17"/>
      <c r="V4154" s="18">
        <v>0</v>
      </c>
      <c r="W4154" s="17">
        <f t="shared" si="130"/>
        <v>0</v>
      </c>
      <c r="X4154" s="5">
        <f t="shared" si="131"/>
        <v>0</v>
      </c>
    </row>
    <row r="4155" spans="1:24" x14ac:dyDescent="0.25">
      <c r="A4155" s="17"/>
      <c r="B4155" s="17"/>
      <c r="C4155" s="17"/>
      <c r="D4155" s="17"/>
      <c r="E4155" s="17"/>
      <c r="F4155" s="17"/>
      <c r="G4155" s="17"/>
      <c r="H4155" s="17"/>
      <c r="I4155" s="17"/>
      <c r="J4155" s="17"/>
      <c r="K4155" s="17"/>
      <c r="L4155" s="17"/>
      <c r="M4155" s="17"/>
      <c r="N4155" s="17"/>
      <c r="O4155" s="17"/>
      <c r="P4155" s="17"/>
      <c r="Q4155" s="17"/>
      <c r="R4155" s="17"/>
      <c r="S4155" s="17"/>
      <c r="T4155" s="17"/>
      <c r="U4155" s="17"/>
      <c r="V4155" s="18">
        <v>0</v>
      </c>
      <c r="W4155" s="17">
        <f t="shared" si="130"/>
        <v>0</v>
      </c>
      <c r="X4155" s="5">
        <f t="shared" si="131"/>
        <v>0</v>
      </c>
    </row>
    <row r="4156" spans="1:24" x14ac:dyDescent="0.25">
      <c r="A4156" s="17"/>
      <c r="B4156" s="17"/>
      <c r="C4156" s="17"/>
      <c r="D4156" s="17"/>
      <c r="E4156" s="17"/>
      <c r="F4156" s="17"/>
      <c r="G4156" s="17"/>
      <c r="H4156" s="17"/>
      <c r="I4156" s="17"/>
      <c r="J4156" s="17"/>
      <c r="K4156" s="17"/>
      <c r="L4156" s="17"/>
      <c r="M4156" s="17"/>
      <c r="N4156" s="17"/>
      <c r="O4156" s="17"/>
      <c r="P4156" s="17"/>
      <c r="Q4156" s="17"/>
      <c r="R4156" s="17"/>
      <c r="S4156" s="17"/>
      <c r="T4156" s="17"/>
      <c r="U4156" s="17"/>
      <c r="V4156" s="18">
        <v>0</v>
      </c>
      <c r="W4156" s="17">
        <f t="shared" si="130"/>
        <v>0</v>
      </c>
      <c r="X4156" s="5">
        <f t="shared" si="131"/>
        <v>0</v>
      </c>
    </row>
    <row r="4157" spans="1:24" x14ac:dyDescent="0.25">
      <c r="A4157" s="17"/>
      <c r="B4157" s="17"/>
      <c r="C4157" s="17"/>
      <c r="D4157" s="17"/>
      <c r="E4157" s="17"/>
      <c r="F4157" s="17"/>
      <c r="G4157" s="17"/>
      <c r="H4157" s="17"/>
      <c r="I4157" s="17"/>
      <c r="J4157" s="17"/>
      <c r="K4157" s="17"/>
      <c r="L4157" s="17"/>
      <c r="M4157" s="17"/>
      <c r="N4157" s="17"/>
      <c r="O4157" s="17"/>
      <c r="P4157" s="17"/>
      <c r="Q4157" s="17"/>
      <c r="R4157" s="17"/>
      <c r="S4157" s="17"/>
      <c r="T4157" s="17"/>
      <c r="U4157" s="17"/>
      <c r="V4157" s="18">
        <v>0</v>
      </c>
      <c r="W4157" s="17">
        <f t="shared" si="130"/>
        <v>0</v>
      </c>
      <c r="X4157" s="5">
        <f t="shared" si="131"/>
        <v>0</v>
      </c>
    </row>
    <row r="4158" spans="1:24" x14ac:dyDescent="0.25">
      <c r="A4158" s="17"/>
      <c r="B4158" s="17"/>
      <c r="C4158" s="17"/>
      <c r="D4158" s="17"/>
      <c r="E4158" s="17"/>
      <c r="F4158" s="17"/>
      <c r="G4158" s="17"/>
      <c r="H4158" s="17"/>
      <c r="I4158" s="17"/>
      <c r="J4158" s="17"/>
      <c r="K4158" s="17"/>
      <c r="L4158" s="17"/>
      <c r="M4158" s="17"/>
      <c r="N4158" s="17"/>
      <c r="O4158" s="17"/>
      <c r="P4158" s="17"/>
      <c r="Q4158" s="17"/>
      <c r="R4158" s="17"/>
      <c r="S4158" s="17"/>
      <c r="T4158" s="17"/>
      <c r="U4158" s="17"/>
      <c r="V4158" s="18">
        <v>0</v>
      </c>
      <c r="W4158" s="17">
        <f t="shared" si="130"/>
        <v>0</v>
      </c>
      <c r="X4158" s="5">
        <f t="shared" si="131"/>
        <v>0</v>
      </c>
    </row>
    <row r="4159" spans="1:24" x14ac:dyDescent="0.25">
      <c r="A4159" s="17"/>
      <c r="B4159" s="17"/>
      <c r="C4159" s="17"/>
      <c r="D4159" s="17"/>
      <c r="E4159" s="17"/>
      <c r="F4159" s="17"/>
      <c r="G4159" s="17"/>
      <c r="H4159" s="17"/>
      <c r="I4159" s="17"/>
      <c r="J4159" s="17"/>
      <c r="K4159" s="17"/>
      <c r="L4159" s="17"/>
      <c r="M4159" s="17"/>
      <c r="N4159" s="17"/>
      <c r="O4159" s="17"/>
      <c r="P4159" s="17"/>
      <c r="Q4159" s="17"/>
      <c r="R4159" s="17"/>
      <c r="S4159" s="17"/>
      <c r="T4159" s="17"/>
      <c r="U4159" s="17"/>
      <c r="V4159" s="18">
        <v>0</v>
      </c>
      <c r="W4159" s="17">
        <f t="shared" si="130"/>
        <v>0</v>
      </c>
      <c r="X4159" s="5">
        <f t="shared" si="131"/>
        <v>0</v>
      </c>
    </row>
    <row r="4160" spans="1:24" x14ac:dyDescent="0.25">
      <c r="A4160" s="17"/>
      <c r="B4160" s="17"/>
      <c r="C4160" s="17"/>
      <c r="D4160" s="17"/>
      <c r="E4160" s="17"/>
      <c r="F4160" s="17"/>
      <c r="G4160" s="17"/>
      <c r="H4160" s="17"/>
      <c r="I4160" s="17"/>
      <c r="J4160" s="17"/>
      <c r="K4160" s="17"/>
      <c r="L4160" s="17"/>
      <c r="M4160" s="17"/>
      <c r="N4160" s="17"/>
      <c r="O4160" s="17"/>
      <c r="P4160" s="17"/>
      <c r="Q4160" s="17"/>
      <c r="R4160" s="17"/>
      <c r="S4160" s="17"/>
      <c r="T4160" s="17"/>
      <c r="U4160" s="17"/>
      <c r="V4160" s="18">
        <v>0</v>
      </c>
      <c r="W4160" s="17">
        <f t="shared" si="130"/>
        <v>0</v>
      </c>
      <c r="X4160" s="5">
        <f t="shared" si="131"/>
        <v>0</v>
      </c>
    </row>
    <row r="4161" spans="1:24" x14ac:dyDescent="0.25">
      <c r="A4161" s="17"/>
      <c r="B4161" s="17"/>
      <c r="C4161" s="17"/>
      <c r="D4161" s="17"/>
      <c r="E4161" s="17"/>
      <c r="F4161" s="17"/>
      <c r="G4161" s="17"/>
      <c r="H4161" s="17"/>
      <c r="I4161" s="17"/>
      <c r="J4161" s="17"/>
      <c r="K4161" s="17"/>
      <c r="L4161" s="17"/>
      <c r="M4161" s="17"/>
      <c r="N4161" s="17"/>
      <c r="O4161" s="17"/>
      <c r="P4161" s="17"/>
      <c r="Q4161" s="17"/>
      <c r="R4161" s="17"/>
      <c r="S4161" s="17"/>
      <c r="T4161" s="17"/>
      <c r="U4161" s="17"/>
      <c r="V4161" s="18">
        <v>0</v>
      </c>
      <c r="W4161" s="17">
        <f t="shared" si="130"/>
        <v>0</v>
      </c>
      <c r="X4161" s="5">
        <f t="shared" si="131"/>
        <v>0</v>
      </c>
    </row>
    <row r="4162" spans="1:24" x14ac:dyDescent="0.25">
      <c r="A4162" s="17"/>
      <c r="B4162" s="17"/>
      <c r="C4162" s="17"/>
      <c r="D4162" s="17"/>
      <c r="E4162" s="17"/>
      <c r="F4162" s="17"/>
      <c r="G4162" s="17"/>
      <c r="H4162" s="17"/>
      <c r="I4162" s="17"/>
      <c r="J4162" s="17"/>
      <c r="K4162" s="17"/>
      <c r="L4162" s="17"/>
      <c r="M4162" s="17"/>
      <c r="N4162" s="17"/>
      <c r="O4162" s="17"/>
      <c r="P4162" s="17"/>
      <c r="Q4162" s="17"/>
      <c r="R4162" s="17"/>
      <c r="S4162" s="17"/>
      <c r="T4162" s="17"/>
      <c r="U4162" s="17"/>
      <c r="V4162" s="18">
        <v>0</v>
      </c>
      <c r="W4162" s="17">
        <f t="shared" si="130"/>
        <v>0</v>
      </c>
      <c r="X4162" s="5">
        <f t="shared" si="131"/>
        <v>0</v>
      </c>
    </row>
    <row r="4163" spans="1:24" x14ac:dyDescent="0.25">
      <c r="A4163" s="17"/>
      <c r="B4163" s="17"/>
      <c r="C4163" s="17"/>
      <c r="D4163" s="17"/>
      <c r="E4163" s="17"/>
      <c r="F4163" s="17"/>
      <c r="G4163" s="17"/>
      <c r="H4163" s="17"/>
      <c r="I4163" s="17"/>
      <c r="J4163" s="17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8">
        <v>0</v>
      </c>
      <c r="W4163" s="17">
        <f t="shared" ref="W4163:W4226" si="132">HOUR(E4163)</f>
        <v>0</v>
      </c>
      <c r="X4163" s="5">
        <f t="shared" ref="X4163:X4211" si="133">IF(D4163=D4162,0,1)</f>
        <v>0</v>
      </c>
    </row>
    <row r="4164" spans="1:24" x14ac:dyDescent="0.25">
      <c r="A4164" s="17"/>
      <c r="B4164" s="17"/>
      <c r="C4164" s="17"/>
      <c r="D4164" s="17"/>
      <c r="E4164" s="17"/>
      <c r="F4164" s="17"/>
      <c r="G4164" s="17"/>
      <c r="H4164" s="17"/>
      <c r="I4164" s="17"/>
      <c r="J4164" s="17"/>
      <c r="K4164" s="17"/>
      <c r="L4164" s="17"/>
      <c r="M4164" s="17"/>
      <c r="N4164" s="17"/>
      <c r="O4164" s="17"/>
      <c r="P4164" s="17"/>
      <c r="Q4164" s="17"/>
      <c r="R4164" s="17"/>
      <c r="S4164" s="17"/>
      <c r="T4164" s="17"/>
      <c r="U4164" s="17"/>
      <c r="V4164" s="18">
        <v>0</v>
      </c>
      <c r="W4164" s="17">
        <f t="shared" si="132"/>
        <v>0</v>
      </c>
      <c r="X4164" s="5">
        <f t="shared" si="133"/>
        <v>0</v>
      </c>
    </row>
    <row r="4165" spans="1:24" x14ac:dyDescent="0.25">
      <c r="A4165" s="17"/>
      <c r="B4165" s="17"/>
      <c r="C4165" s="17"/>
      <c r="D4165" s="17"/>
      <c r="E4165" s="17"/>
      <c r="F4165" s="17"/>
      <c r="G4165" s="17"/>
      <c r="H4165" s="17"/>
      <c r="I4165" s="17"/>
      <c r="J4165" s="17"/>
      <c r="K4165" s="17"/>
      <c r="L4165" s="17"/>
      <c r="M4165" s="17"/>
      <c r="N4165" s="17"/>
      <c r="O4165" s="17"/>
      <c r="P4165" s="17"/>
      <c r="Q4165" s="17"/>
      <c r="R4165" s="17"/>
      <c r="S4165" s="17"/>
      <c r="T4165" s="17"/>
      <c r="U4165" s="17"/>
      <c r="V4165" s="18">
        <v>0</v>
      </c>
      <c r="W4165" s="17">
        <f t="shared" si="132"/>
        <v>0</v>
      </c>
      <c r="X4165" s="5">
        <f t="shared" si="133"/>
        <v>0</v>
      </c>
    </row>
    <row r="4166" spans="1:24" x14ac:dyDescent="0.25">
      <c r="A4166" s="17"/>
      <c r="B4166" s="17"/>
      <c r="C4166" s="17"/>
      <c r="D4166" s="17"/>
      <c r="E4166" s="17"/>
      <c r="F4166" s="17"/>
      <c r="G4166" s="17"/>
      <c r="H4166" s="17"/>
      <c r="I4166" s="17"/>
      <c r="J4166" s="17"/>
      <c r="K4166" s="17"/>
      <c r="L4166" s="17"/>
      <c r="M4166" s="17"/>
      <c r="N4166" s="17"/>
      <c r="O4166" s="17"/>
      <c r="P4166" s="17"/>
      <c r="Q4166" s="17"/>
      <c r="R4166" s="17"/>
      <c r="S4166" s="17"/>
      <c r="T4166" s="17"/>
      <c r="U4166" s="17"/>
      <c r="V4166" s="18">
        <v>0</v>
      </c>
      <c r="W4166" s="17">
        <f t="shared" si="132"/>
        <v>0</v>
      </c>
      <c r="X4166" s="5">
        <f t="shared" si="133"/>
        <v>0</v>
      </c>
    </row>
    <row r="4167" spans="1:24" x14ac:dyDescent="0.25">
      <c r="A4167" s="17"/>
      <c r="B4167" s="17"/>
      <c r="C4167" s="17"/>
      <c r="D4167" s="17"/>
      <c r="E4167" s="17"/>
      <c r="F4167" s="17"/>
      <c r="G4167" s="17"/>
      <c r="H4167" s="17"/>
      <c r="I4167" s="17"/>
      <c r="J4167" s="17"/>
      <c r="K4167" s="17"/>
      <c r="L4167" s="17"/>
      <c r="M4167" s="17"/>
      <c r="N4167" s="17"/>
      <c r="O4167" s="17"/>
      <c r="P4167" s="17"/>
      <c r="Q4167" s="17"/>
      <c r="R4167" s="17"/>
      <c r="S4167" s="17"/>
      <c r="T4167" s="17"/>
      <c r="U4167" s="17"/>
      <c r="V4167" s="18">
        <v>0</v>
      </c>
      <c r="W4167" s="17">
        <f t="shared" si="132"/>
        <v>0</v>
      </c>
      <c r="X4167" s="5">
        <f t="shared" si="133"/>
        <v>0</v>
      </c>
    </row>
    <row r="4168" spans="1:24" x14ac:dyDescent="0.25">
      <c r="A4168" s="17"/>
      <c r="B4168" s="17"/>
      <c r="C4168" s="17"/>
      <c r="D4168" s="17"/>
      <c r="E4168" s="17"/>
      <c r="F4168" s="17"/>
      <c r="G4168" s="17"/>
      <c r="H4168" s="17"/>
      <c r="I4168" s="17"/>
      <c r="J4168" s="17"/>
      <c r="K4168" s="17"/>
      <c r="L4168" s="17"/>
      <c r="M4168" s="17"/>
      <c r="N4168" s="17"/>
      <c r="O4168" s="17"/>
      <c r="P4168" s="17"/>
      <c r="Q4168" s="17"/>
      <c r="R4168" s="17"/>
      <c r="S4168" s="17"/>
      <c r="T4168" s="17"/>
      <c r="U4168" s="17"/>
      <c r="V4168" s="18">
        <v>0</v>
      </c>
      <c r="W4168" s="17">
        <f t="shared" si="132"/>
        <v>0</v>
      </c>
      <c r="X4168" s="5">
        <f t="shared" si="133"/>
        <v>0</v>
      </c>
    </row>
    <row r="4169" spans="1:24" x14ac:dyDescent="0.25">
      <c r="A4169" s="17"/>
      <c r="B4169" s="17"/>
      <c r="C4169" s="17"/>
      <c r="D4169" s="17"/>
      <c r="E4169" s="17"/>
      <c r="F4169" s="17"/>
      <c r="G4169" s="17"/>
      <c r="H4169" s="17"/>
      <c r="I4169" s="17"/>
      <c r="J4169" s="17"/>
      <c r="K4169" s="17"/>
      <c r="L4169" s="17"/>
      <c r="M4169" s="17"/>
      <c r="N4169" s="17"/>
      <c r="O4169" s="17"/>
      <c r="P4169" s="17"/>
      <c r="Q4169" s="17"/>
      <c r="R4169" s="17"/>
      <c r="S4169" s="17"/>
      <c r="T4169" s="17"/>
      <c r="U4169" s="17"/>
      <c r="V4169" s="18">
        <v>0</v>
      </c>
      <c r="W4169" s="17">
        <f t="shared" si="132"/>
        <v>0</v>
      </c>
      <c r="X4169" s="5">
        <f t="shared" si="133"/>
        <v>0</v>
      </c>
    </row>
    <row r="4170" spans="1:24" x14ac:dyDescent="0.25">
      <c r="A4170" s="17"/>
      <c r="B4170" s="17"/>
      <c r="C4170" s="17"/>
      <c r="D4170" s="17"/>
      <c r="E4170" s="17"/>
      <c r="F4170" s="17"/>
      <c r="G4170" s="17"/>
      <c r="H4170" s="17"/>
      <c r="I4170" s="17"/>
      <c r="J4170" s="17"/>
      <c r="K4170" s="17"/>
      <c r="L4170" s="17"/>
      <c r="M4170" s="17"/>
      <c r="N4170" s="17"/>
      <c r="O4170" s="17"/>
      <c r="P4170" s="17"/>
      <c r="Q4170" s="17"/>
      <c r="R4170" s="17"/>
      <c r="S4170" s="17"/>
      <c r="T4170" s="17"/>
      <c r="U4170" s="17"/>
      <c r="V4170" s="18">
        <v>0</v>
      </c>
      <c r="W4170" s="17">
        <f t="shared" si="132"/>
        <v>0</v>
      </c>
      <c r="X4170" s="5">
        <f t="shared" si="133"/>
        <v>0</v>
      </c>
    </row>
    <row r="4171" spans="1:24" x14ac:dyDescent="0.25">
      <c r="A4171" s="17"/>
      <c r="B4171" s="17"/>
      <c r="C4171" s="17"/>
      <c r="D4171" s="17"/>
      <c r="E4171" s="17"/>
      <c r="F4171" s="17"/>
      <c r="G4171" s="17"/>
      <c r="H4171" s="17"/>
      <c r="I4171" s="17"/>
      <c r="J4171" s="17"/>
      <c r="K4171" s="17"/>
      <c r="L4171" s="17"/>
      <c r="M4171" s="17"/>
      <c r="N4171" s="17"/>
      <c r="O4171" s="17"/>
      <c r="P4171" s="17"/>
      <c r="Q4171" s="17"/>
      <c r="R4171" s="17"/>
      <c r="S4171" s="17"/>
      <c r="T4171" s="17"/>
      <c r="U4171" s="17"/>
      <c r="V4171" s="18">
        <v>0</v>
      </c>
      <c r="W4171" s="17">
        <f t="shared" si="132"/>
        <v>0</v>
      </c>
      <c r="X4171" s="5">
        <f t="shared" si="133"/>
        <v>0</v>
      </c>
    </row>
    <row r="4172" spans="1:24" x14ac:dyDescent="0.25">
      <c r="A4172" s="17"/>
      <c r="B4172" s="17"/>
      <c r="C4172" s="17"/>
      <c r="D4172" s="17"/>
      <c r="E4172" s="17"/>
      <c r="F4172" s="17"/>
      <c r="G4172" s="17"/>
      <c r="H4172" s="17"/>
      <c r="I4172" s="17"/>
      <c r="J4172" s="17"/>
      <c r="K4172" s="17"/>
      <c r="L4172" s="17"/>
      <c r="M4172" s="17"/>
      <c r="N4172" s="17"/>
      <c r="O4172" s="17"/>
      <c r="P4172" s="17"/>
      <c r="Q4172" s="17"/>
      <c r="R4172" s="17"/>
      <c r="S4172" s="17"/>
      <c r="T4172" s="17"/>
      <c r="U4172" s="17"/>
      <c r="V4172" s="18">
        <v>0</v>
      </c>
      <c r="W4172" s="17">
        <f t="shared" si="132"/>
        <v>0</v>
      </c>
      <c r="X4172" s="5">
        <f t="shared" si="133"/>
        <v>0</v>
      </c>
    </row>
    <row r="4173" spans="1:24" x14ac:dyDescent="0.25">
      <c r="A4173" s="17"/>
      <c r="B4173" s="17"/>
      <c r="C4173" s="17"/>
      <c r="D4173" s="17"/>
      <c r="E4173" s="17"/>
      <c r="F4173" s="17"/>
      <c r="G4173" s="17"/>
      <c r="H4173" s="17"/>
      <c r="I4173" s="17"/>
      <c r="J4173" s="17"/>
      <c r="K4173" s="17"/>
      <c r="L4173" s="17"/>
      <c r="M4173" s="17"/>
      <c r="N4173" s="17"/>
      <c r="O4173" s="17"/>
      <c r="P4173" s="17"/>
      <c r="Q4173" s="17"/>
      <c r="R4173" s="17"/>
      <c r="S4173" s="17"/>
      <c r="T4173" s="17"/>
      <c r="U4173" s="17"/>
      <c r="V4173" s="18">
        <v>0</v>
      </c>
      <c r="W4173" s="17">
        <f t="shared" si="132"/>
        <v>0</v>
      </c>
      <c r="X4173" s="5">
        <f t="shared" si="133"/>
        <v>0</v>
      </c>
    </row>
    <row r="4174" spans="1:24" x14ac:dyDescent="0.25">
      <c r="A4174" s="17"/>
      <c r="B4174" s="17"/>
      <c r="C4174" s="17"/>
      <c r="D4174" s="17"/>
      <c r="E4174" s="17"/>
      <c r="F4174" s="17"/>
      <c r="G4174" s="17"/>
      <c r="H4174" s="17"/>
      <c r="I4174" s="17"/>
      <c r="J4174" s="17"/>
      <c r="K4174" s="17"/>
      <c r="L4174" s="17"/>
      <c r="M4174" s="17"/>
      <c r="N4174" s="17"/>
      <c r="O4174" s="17"/>
      <c r="P4174" s="17"/>
      <c r="Q4174" s="17"/>
      <c r="R4174" s="17"/>
      <c r="S4174" s="17"/>
      <c r="T4174" s="17"/>
      <c r="U4174" s="17"/>
      <c r="V4174" s="18">
        <v>0</v>
      </c>
      <c r="W4174" s="17">
        <f t="shared" si="132"/>
        <v>0</v>
      </c>
      <c r="X4174" s="5">
        <f t="shared" si="133"/>
        <v>0</v>
      </c>
    </row>
    <row r="4175" spans="1:24" x14ac:dyDescent="0.25">
      <c r="A4175" s="17"/>
      <c r="B4175" s="17"/>
      <c r="C4175" s="17"/>
      <c r="D4175" s="17"/>
      <c r="E4175" s="17"/>
      <c r="F4175" s="17"/>
      <c r="G4175" s="17"/>
      <c r="H4175" s="17"/>
      <c r="I4175" s="17"/>
      <c r="J4175" s="17"/>
      <c r="K4175" s="17"/>
      <c r="L4175" s="17"/>
      <c r="M4175" s="17"/>
      <c r="N4175" s="17"/>
      <c r="O4175" s="17"/>
      <c r="P4175" s="17"/>
      <c r="Q4175" s="17"/>
      <c r="R4175" s="17"/>
      <c r="S4175" s="17"/>
      <c r="T4175" s="17"/>
      <c r="U4175" s="17"/>
      <c r="V4175" s="18">
        <v>0</v>
      </c>
      <c r="W4175" s="17">
        <f t="shared" si="132"/>
        <v>0</v>
      </c>
      <c r="X4175" s="5">
        <f t="shared" si="133"/>
        <v>0</v>
      </c>
    </row>
    <row r="4176" spans="1:24" x14ac:dyDescent="0.25">
      <c r="A4176" s="17"/>
      <c r="B4176" s="17"/>
      <c r="C4176" s="17"/>
      <c r="D4176" s="17"/>
      <c r="E4176" s="17"/>
      <c r="F4176" s="17"/>
      <c r="G4176" s="17"/>
      <c r="H4176" s="17"/>
      <c r="I4176" s="17"/>
      <c r="J4176" s="17"/>
      <c r="K4176" s="17"/>
      <c r="L4176" s="17"/>
      <c r="M4176" s="17"/>
      <c r="N4176" s="17"/>
      <c r="O4176" s="17"/>
      <c r="P4176" s="17"/>
      <c r="Q4176" s="17"/>
      <c r="R4176" s="17"/>
      <c r="S4176" s="17"/>
      <c r="T4176" s="17"/>
      <c r="U4176" s="17"/>
      <c r="V4176" s="18">
        <v>0</v>
      </c>
      <c r="W4176" s="17">
        <f t="shared" si="132"/>
        <v>0</v>
      </c>
      <c r="X4176" s="5">
        <f t="shared" si="133"/>
        <v>0</v>
      </c>
    </row>
    <row r="4177" spans="1:24" x14ac:dyDescent="0.25">
      <c r="A4177" s="17"/>
      <c r="B4177" s="17"/>
      <c r="C4177" s="17"/>
      <c r="D4177" s="17"/>
      <c r="E4177" s="17"/>
      <c r="F4177" s="17"/>
      <c r="G4177" s="17"/>
      <c r="H4177" s="17"/>
      <c r="I4177" s="17"/>
      <c r="J4177" s="17"/>
      <c r="K4177" s="17"/>
      <c r="L4177" s="17"/>
      <c r="M4177" s="17"/>
      <c r="N4177" s="17"/>
      <c r="O4177" s="17"/>
      <c r="P4177" s="17"/>
      <c r="Q4177" s="17"/>
      <c r="R4177" s="17"/>
      <c r="S4177" s="17"/>
      <c r="T4177" s="17"/>
      <c r="U4177" s="17"/>
      <c r="V4177" s="18">
        <v>0</v>
      </c>
      <c r="W4177" s="17">
        <f t="shared" si="132"/>
        <v>0</v>
      </c>
      <c r="X4177" s="5">
        <f t="shared" si="133"/>
        <v>0</v>
      </c>
    </row>
    <row r="4178" spans="1:24" x14ac:dyDescent="0.25">
      <c r="A4178" s="17"/>
      <c r="B4178" s="17"/>
      <c r="C4178" s="17"/>
      <c r="D4178" s="17"/>
      <c r="E4178" s="17"/>
      <c r="F4178" s="17"/>
      <c r="G4178" s="17"/>
      <c r="H4178" s="17"/>
      <c r="I4178" s="17"/>
      <c r="J4178" s="17"/>
      <c r="K4178" s="17"/>
      <c r="L4178" s="17"/>
      <c r="M4178" s="17"/>
      <c r="N4178" s="17"/>
      <c r="O4178" s="17"/>
      <c r="P4178" s="17"/>
      <c r="Q4178" s="17"/>
      <c r="R4178" s="17"/>
      <c r="S4178" s="17"/>
      <c r="T4178" s="17"/>
      <c r="U4178" s="17"/>
      <c r="V4178" s="18">
        <v>0</v>
      </c>
      <c r="W4178" s="17">
        <f t="shared" si="132"/>
        <v>0</v>
      </c>
      <c r="X4178" s="5">
        <f t="shared" si="133"/>
        <v>0</v>
      </c>
    </row>
    <row r="4179" spans="1:24" x14ac:dyDescent="0.25">
      <c r="A4179" s="17"/>
      <c r="B4179" s="17"/>
      <c r="C4179" s="17"/>
      <c r="D4179" s="17"/>
      <c r="E4179" s="17"/>
      <c r="F4179" s="17"/>
      <c r="G4179" s="17"/>
      <c r="H4179" s="17"/>
      <c r="I4179" s="17"/>
      <c r="J4179" s="17"/>
      <c r="K4179" s="17"/>
      <c r="L4179" s="17"/>
      <c r="M4179" s="17"/>
      <c r="N4179" s="17"/>
      <c r="O4179" s="17"/>
      <c r="P4179" s="17"/>
      <c r="Q4179" s="17"/>
      <c r="R4179" s="17"/>
      <c r="S4179" s="17"/>
      <c r="T4179" s="17"/>
      <c r="U4179" s="17"/>
      <c r="V4179" s="18">
        <v>0</v>
      </c>
      <c r="W4179" s="17">
        <f t="shared" si="132"/>
        <v>0</v>
      </c>
      <c r="X4179" s="5">
        <f t="shared" si="133"/>
        <v>0</v>
      </c>
    </row>
    <row r="4180" spans="1:24" x14ac:dyDescent="0.25">
      <c r="A4180" s="17"/>
      <c r="B4180" s="17"/>
      <c r="C4180" s="17"/>
      <c r="D4180" s="17"/>
      <c r="E4180" s="17"/>
      <c r="F4180" s="17"/>
      <c r="G4180" s="17"/>
      <c r="H4180" s="17"/>
      <c r="I4180" s="17"/>
      <c r="J4180" s="17"/>
      <c r="K4180" s="17"/>
      <c r="L4180" s="17"/>
      <c r="M4180" s="17"/>
      <c r="N4180" s="17"/>
      <c r="O4180" s="17"/>
      <c r="P4180" s="17"/>
      <c r="Q4180" s="17"/>
      <c r="R4180" s="17"/>
      <c r="S4180" s="17"/>
      <c r="T4180" s="17"/>
      <c r="U4180" s="17"/>
      <c r="V4180" s="18">
        <v>0</v>
      </c>
      <c r="W4180" s="17">
        <f t="shared" si="132"/>
        <v>0</v>
      </c>
      <c r="X4180" s="5">
        <f t="shared" si="133"/>
        <v>0</v>
      </c>
    </row>
    <row r="4181" spans="1:24" x14ac:dyDescent="0.25">
      <c r="A4181" s="17"/>
      <c r="B4181" s="17"/>
      <c r="C4181" s="17"/>
      <c r="D4181" s="17"/>
      <c r="E4181" s="17"/>
      <c r="F4181" s="17"/>
      <c r="G4181" s="17"/>
      <c r="H4181" s="17"/>
      <c r="I4181" s="17"/>
      <c r="J4181" s="17"/>
      <c r="K4181" s="17"/>
      <c r="L4181" s="17"/>
      <c r="M4181" s="17"/>
      <c r="N4181" s="17"/>
      <c r="O4181" s="17"/>
      <c r="P4181" s="17"/>
      <c r="Q4181" s="17"/>
      <c r="R4181" s="17"/>
      <c r="S4181" s="17"/>
      <c r="T4181" s="17"/>
      <c r="U4181" s="17"/>
      <c r="V4181" s="18">
        <v>0</v>
      </c>
      <c r="W4181" s="17">
        <f t="shared" si="132"/>
        <v>0</v>
      </c>
      <c r="X4181" s="5">
        <f t="shared" si="133"/>
        <v>0</v>
      </c>
    </row>
    <row r="4182" spans="1:24" x14ac:dyDescent="0.25">
      <c r="A4182" s="17"/>
      <c r="B4182" s="17"/>
      <c r="C4182" s="17"/>
      <c r="D4182" s="17"/>
      <c r="E4182" s="17"/>
      <c r="F4182" s="17"/>
      <c r="G4182" s="17"/>
      <c r="H4182" s="17"/>
      <c r="I4182" s="17"/>
      <c r="J4182" s="17"/>
      <c r="K4182" s="17"/>
      <c r="L4182" s="17"/>
      <c r="M4182" s="17"/>
      <c r="N4182" s="17"/>
      <c r="O4182" s="17"/>
      <c r="P4182" s="17"/>
      <c r="Q4182" s="17"/>
      <c r="R4182" s="17"/>
      <c r="S4182" s="17"/>
      <c r="T4182" s="17"/>
      <c r="U4182" s="17"/>
      <c r="V4182" s="18">
        <v>0</v>
      </c>
      <c r="W4182" s="17">
        <f t="shared" si="132"/>
        <v>0</v>
      </c>
      <c r="X4182" s="5">
        <f t="shared" si="133"/>
        <v>0</v>
      </c>
    </row>
    <row r="4183" spans="1:24" x14ac:dyDescent="0.25">
      <c r="A4183" s="17"/>
      <c r="B4183" s="17"/>
      <c r="C4183" s="17"/>
      <c r="D4183" s="17"/>
      <c r="E4183" s="17"/>
      <c r="F4183" s="17"/>
      <c r="G4183" s="17"/>
      <c r="H4183" s="17"/>
      <c r="I4183" s="17"/>
      <c r="J4183" s="17"/>
      <c r="K4183" s="17"/>
      <c r="L4183" s="17"/>
      <c r="M4183" s="17"/>
      <c r="N4183" s="17"/>
      <c r="O4183" s="17"/>
      <c r="P4183" s="17"/>
      <c r="Q4183" s="17"/>
      <c r="R4183" s="17"/>
      <c r="S4183" s="17"/>
      <c r="T4183" s="17"/>
      <c r="U4183" s="17"/>
      <c r="V4183" s="18">
        <v>0</v>
      </c>
      <c r="W4183" s="17">
        <f t="shared" si="132"/>
        <v>0</v>
      </c>
      <c r="X4183" s="5">
        <f t="shared" si="133"/>
        <v>0</v>
      </c>
    </row>
    <row r="4184" spans="1:24" x14ac:dyDescent="0.25">
      <c r="A4184" s="17"/>
      <c r="B4184" s="17"/>
      <c r="C4184" s="17"/>
      <c r="D4184" s="17"/>
      <c r="E4184" s="17"/>
      <c r="F4184" s="17"/>
      <c r="G4184" s="17"/>
      <c r="H4184" s="17"/>
      <c r="I4184" s="17"/>
      <c r="J4184" s="17"/>
      <c r="K4184" s="17"/>
      <c r="L4184" s="17"/>
      <c r="M4184" s="17"/>
      <c r="N4184" s="17"/>
      <c r="O4184" s="17"/>
      <c r="P4184" s="17"/>
      <c r="Q4184" s="17"/>
      <c r="R4184" s="17"/>
      <c r="S4184" s="17"/>
      <c r="T4184" s="17"/>
      <c r="U4184" s="17"/>
      <c r="V4184" s="18">
        <v>0</v>
      </c>
      <c r="W4184" s="17">
        <f t="shared" si="132"/>
        <v>0</v>
      </c>
      <c r="X4184" s="5">
        <f t="shared" si="133"/>
        <v>0</v>
      </c>
    </row>
    <row r="4185" spans="1:24" x14ac:dyDescent="0.25">
      <c r="A4185" s="17"/>
      <c r="B4185" s="17"/>
      <c r="C4185" s="17"/>
      <c r="D4185" s="17"/>
      <c r="E4185" s="17"/>
      <c r="F4185" s="17"/>
      <c r="G4185" s="17"/>
      <c r="H4185" s="17"/>
      <c r="I4185" s="17"/>
      <c r="J4185" s="17"/>
      <c r="K4185" s="17"/>
      <c r="L4185" s="17"/>
      <c r="M4185" s="17"/>
      <c r="N4185" s="17"/>
      <c r="O4185" s="17"/>
      <c r="P4185" s="17"/>
      <c r="Q4185" s="17"/>
      <c r="R4185" s="17"/>
      <c r="S4185" s="17"/>
      <c r="T4185" s="17"/>
      <c r="U4185" s="17"/>
      <c r="V4185" s="18">
        <v>0</v>
      </c>
      <c r="W4185" s="17">
        <f t="shared" si="132"/>
        <v>0</v>
      </c>
      <c r="X4185" s="5">
        <f t="shared" si="133"/>
        <v>0</v>
      </c>
    </row>
    <row r="4186" spans="1:24" x14ac:dyDescent="0.25">
      <c r="A4186" s="17"/>
      <c r="B4186" s="17"/>
      <c r="C4186" s="17"/>
      <c r="D4186" s="17"/>
      <c r="E4186" s="17"/>
      <c r="F4186" s="17"/>
      <c r="G4186" s="17"/>
      <c r="H4186" s="17"/>
      <c r="I4186" s="17"/>
      <c r="J4186" s="17"/>
      <c r="K4186" s="17"/>
      <c r="L4186" s="17"/>
      <c r="M4186" s="17"/>
      <c r="N4186" s="17"/>
      <c r="O4186" s="17"/>
      <c r="P4186" s="17"/>
      <c r="Q4186" s="17"/>
      <c r="R4186" s="17"/>
      <c r="S4186" s="17"/>
      <c r="T4186" s="17"/>
      <c r="U4186" s="17"/>
      <c r="V4186" s="18">
        <v>0</v>
      </c>
      <c r="W4186" s="17">
        <f t="shared" si="132"/>
        <v>0</v>
      </c>
      <c r="X4186" s="5">
        <f t="shared" si="133"/>
        <v>0</v>
      </c>
    </row>
    <row r="4187" spans="1:24" x14ac:dyDescent="0.25">
      <c r="A4187" s="17"/>
      <c r="B4187" s="17"/>
      <c r="C4187" s="17"/>
      <c r="D4187" s="17"/>
      <c r="E4187" s="17"/>
      <c r="F4187" s="17"/>
      <c r="G4187" s="17"/>
      <c r="H4187" s="17"/>
      <c r="I4187" s="17"/>
      <c r="J4187" s="17"/>
      <c r="K4187" s="17"/>
      <c r="L4187" s="17"/>
      <c r="M4187" s="17"/>
      <c r="N4187" s="17"/>
      <c r="O4187" s="17"/>
      <c r="P4187" s="17"/>
      <c r="Q4187" s="17"/>
      <c r="R4187" s="17"/>
      <c r="S4187" s="17"/>
      <c r="T4187" s="17"/>
      <c r="U4187" s="17"/>
      <c r="V4187" s="18">
        <v>0</v>
      </c>
      <c r="W4187" s="17">
        <f t="shared" si="132"/>
        <v>0</v>
      </c>
      <c r="X4187" s="5">
        <f t="shared" si="133"/>
        <v>0</v>
      </c>
    </row>
    <row r="4188" spans="1:24" x14ac:dyDescent="0.25">
      <c r="A4188" s="17"/>
      <c r="B4188" s="17"/>
      <c r="C4188" s="17"/>
      <c r="D4188" s="17"/>
      <c r="E4188" s="17"/>
      <c r="F4188" s="17"/>
      <c r="G4188" s="17"/>
      <c r="H4188" s="17"/>
      <c r="I4188" s="17"/>
      <c r="J4188" s="17"/>
      <c r="K4188" s="17"/>
      <c r="L4188" s="17"/>
      <c r="M4188" s="17"/>
      <c r="N4188" s="17"/>
      <c r="O4188" s="17"/>
      <c r="P4188" s="17"/>
      <c r="Q4188" s="17"/>
      <c r="R4188" s="17"/>
      <c r="S4188" s="17"/>
      <c r="T4188" s="17"/>
      <c r="U4188" s="17"/>
      <c r="V4188" s="18">
        <v>0</v>
      </c>
      <c r="W4188" s="17">
        <f t="shared" si="132"/>
        <v>0</v>
      </c>
      <c r="X4188" s="5">
        <f t="shared" si="133"/>
        <v>0</v>
      </c>
    </row>
    <row r="4189" spans="1:24" x14ac:dyDescent="0.25">
      <c r="A4189" s="17"/>
      <c r="B4189" s="17"/>
      <c r="C4189" s="17"/>
      <c r="D4189" s="17"/>
      <c r="E4189" s="17"/>
      <c r="F4189" s="17"/>
      <c r="G4189" s="17"/>
      <c r="H4189" s="17"/>
      <c r="I4189" s="17"/>
      <c r="J4189" s="17"/>
      <c r="K4189" s="17"/>
      <c r="L4189" s="17"/>
      <c r="M4189" s="17"/>
      <c r="N4189" s="17"/>
      <c r="O4189" s="17"/>
      <c r="P4189" s="17"/>
      <c r="Q4189" s="17"/>
      <c r="R4189" s="17"/>
      <c r="S4189" s="17"/>
      <c r="T4189" s="17"/>
      <c r="U4189" s="17"/>
      <c r="V4189" s="18">
        <v>0</v>
      </c>
      <c r="W4189" s="17">
        <f t="shared" si="132"/>
        <v>0</v>
      </c>
      <c r="X4189" s="5">
        <f t="shared" si="133"/>
        <v>0</v>
      </c>
    </row>
    <row r="4190" spans="1:24" x14ac:dyDescent="0.25">
      <c r="A4190" s="17"/>
      <c r="B4190" s="17"/>
      <c r="C4190" s="17"/>
      <c r="D4190" s="17"/>
      <c r="E4190" s="17"/>
      <c r="F4190" s="17"/>
      <c r="G4190" s="17"/>
      <c r="H4190" s="17"/>
      <c r="I4190" s="17"/>
      <c r="J4190" s="17"/>
      <c r="K4190" s="17"/>
      <c r="L4190" s="17"/>
      <c r="M4190" s="17"/>
      <c r="N4190" s="17"/>
      <c r="O4190" s="17"/>
      <c r="P4190" s="17"/>
      <c r="Q4190" s="17"/>
      <c r="R4190" s="17"/>
      <c r="S4190" s="17"/>
      <c r="T4190" s="17"/>
      <c r="U4190" s="17"/>
      <c r="V4190" s="18">
        <v>0</v>
      </c>
      <c r="W4190" s="17">
        <f t="shared" si="132"/>
        <v>0</v>
      </c>
      <c r="X4190" s="5">
        <f t="shared" si="133"/>
        <v>0</v>
      </c>
    </row>
    <row r="4191" spans="1:24" x14ac:dyDescent="0.25">
      <c r="A4191" s="17"/>
      <c r="B4191" s="17"/>
      <c r="C4191" s="17"/>
      <c r="D4191" s="17"/>
      <c r="E4191" s="17"/>
      <c r="F4191" s="17"/>
      <c r="G4191" s="17"/>
      <c r="H4191" s="17"/>
      <c r="I4191" s="17"/>
      <c r="J4191" s="17"/>
      <c r="K4191" s="17"/>
      <c r="L4191" s="17"/>
      <c r="M4191" s="17"/>
      <c r="N4191" s="17"/>
      <c r="O4191" s="17"/>
      <c r="P4191" s="17"/>
      <c r="Q4191" s="17"/>
      <c r="R4191" s="17"/>
      <c r="S4191" s="17"/>
      <c r="T4191" s="17"/>
      <c r="U4191" s="17"/>
      <c r="V4191" s="18">
        <v>0</v>
      </c>
      <c r="W4191" s="17">
        <f t="shared" si="132"/>
        <v>0</v>
      </c>
      <c r="X4191" s="5">
        <f t="shared" si="133"/>
        <v>0</v>
      </c>
    </row>
    <row r="4192" spans="1:24" x14ac:dyDescent="0.25">
      <c r="A4192" s="17"/>
      <c r="B4192" s="17"/>
      <c r="C4192" s="17"/>
      <c r="D4192" s="17"/>
      <c r="E4192" s="17"/>
      <c r="F4192" s="17"/>
      <c r="G4192" s="17"/>
      <c r="H4192" s="17"/>
      <c r="I4192" s="17"/>
      <c r="J4192" s="17"/>
      <c r="K4192" s="17"/>
      <c r="L4192" s="17"/>
      <c r="M4192" s="17"/>
      <c r="N4192" s="17"/>
      <c r="O4192" s="17"/>
      <c r="P4192" s="17"/>
      <c r="Q4192" s="17"/>
      <c r="R4192" s="17"/>
      <c r="S4192" s="17"/>
      <c r="T4192" s="17"/>
      <c r="U4192" s="17"/>
      <c r="V4192" s="18">
        <v>0</v>
      </c>
      <c r="W4192" s="17">
        <f t="shared" si="132"/>
        <v>0</v>
      </c>
      <c r="X4192" s="5">
        <f t="shared" si="133"/>
        <v>0</v>
      </c>
    </row>
    <row r="4193" spans="1:24" x14ac:dyDescent="0.25">
      <c r="A4193" s="17"/>
      <c r="B4193" s="17"/>
      <c r="C4193" s="17"/>
      <c r="D4193" s="17"/>
      <c r="E4193" s="17"/>
      <c r="F4193" s="17"/>
      <c r="G4193" s="17"/>
      <c r="H4193" s="17"/>
      <c r="I4193" s="17"/>
      <c r="J4193" s="17"/>
      <c r="K4193" s="17"/>
      <c r="L4193" s="17"/>
      <c r="M4193" s="17"/>
      <c r="N4193" s="17"/>
      <c r="O4193" s="17"/>
      <c r="P4193" s="17"/>
      <c r="Q4193" s="17"/>
      <c r="R4193" s="17"/>
      <c r="S4193" s="17"/>
      <c r="T4193" s="17"/>
      <c r="U4193" s="17"/>
      <c r="V4193" s="18">
        <v>0</v>
      </c>
      <c r="W4193" s="17">
        <f t="shared" si="132"/>
        <v>0</v>
      </c>
      <c r="X4193" s="5">
        <f t="shared" si="133"/>
        <v>0</v>
      </c>
    </row>
    <row r="4194" spans="1:24" x14ac:dyDescent="0.25">
      <c r="A4194" s="17"/>
      <c r="B4194" s="17"/>
      <c r="C4194" s="17"/>
      <c r="D4194" s="17"/>
      <c r="E4194" s="17"/>
      <c r="F4194" s="17"/>
      <c r="G4194" s="17"/>
      <c r="H4194" s="17"/>
      <c r="I4194" s="17"/>
      <c r="J4194" s="17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8">
        <v>0</v>
      </c>
      <c r="W4194" s="17">
        <f t="shared" si="132"/>
        <v>0</v>
      </c>
      <c r="X4194" s="5">
        <f t="shared" si="133"/>
        <v>0</v>
      </c>
    </row>
    <row r="4195" spans="1:24" x14ac:dyDescent="0.25">
      <c r="A4195" s="17"/>
      <c r="B4195" s="17"/>
      <c r="C4195" s="17"/>
      <c r="D4195" s="17"/>
      <c r="E4195" s="17"/>
      <c r="F4195" s="17"/>
      <c r="G4195" s="17"/>
      <c r="H4195" s="17"/>
      <c r="I4195" s="17"/>
      <c r="J4195" s="17"/>
      <c r="K4195" s="17"/>
      <c r="L4195" s="17"/>
      <c r="M4195" s="17"/>
      <c r="N4195" s="17"/>
      <c r="O4195" s="17"/>
      <c r="P4195" s="17"/>
      <c r="Q4195" s="17"/>
      <c r="R4195" s="17"/>
      <c r="S4195" s="17"/>
      <c r="T4195" s="17"/>
      <c r="U4195" s="17"/>
      <c r="V4195" s="18">
        <v>0</v>
      </c>
      <c r="W4195" s="17">
        <f t="shared" si="132"/>
        <v>0</v>
      </c>
      <c r="X4195" s="5">
        <f t="shared" si="133"/>
        <v>0</v>
      </c>
    </row>
    <row r="4196" spans="1:24" x14ac:dyDescent="0.25">
      <c r="A4196" s="17"/>
      <c r="B4196" s="17"/>
      <c r="C4196" s="17"/>
      <c r="D4196" s="17"/>
      <c r="E4196" s="17"/>
      <c r="F4196" s="17"/>
      <c r="G4196" s="17"/>
      <c r="H4196" s="17"/>
      <c r="I4196" s="17"/>
      <c r="J4196" s="17"/>
      <c r="K4196" s="17"/>
      <c r="L4196" s="17"/>
      <c r="M4196" s="17"/>
      <c r="N4196" s="17"/>
      <c r="O4196" s="17"/>
      <c r="P4196" s="17"/>
      <c r="Q4196" s="17"/>
      <c r="R4196" s="17"/>
      <c r="S4196" s="17"/>
      <c r="T4196" s="17"/>
      <c r="U4196" s="17"/>
      <c r="V4196" s="18">
        <v>0</v>
      </c>
      <c r="W4196" s="17">
        <f t="shared" si="132"/>
        <v>0</v>
      </c>
      <c r="X4196" s="5">
        <f t="shared" si="133"/>
        <v>0</v>
      </c>
    </row>
    <row r="4197" spans="1:24" x14ac:dyDescent="0.25">
      <c r="A4197" s="17"/>
      <c r="B4197" s="17"/>
      <c r="C4197" s="17"/>
      <c r="D4197" s="17"/>
      <c r="E4197" s="17"/>
      <c r="F4197" s="17"/>
      <c r="G4197" s="17"/>
      <c r="H4197" s="17"/>
      <c r="I4197" s="17"/>
      <c r="J4197" s="17"/>
      <c r="K4197" s="17"/>
      <c r="L4197" s="17"/>
      <c r="M4197" s="17"/>
      <c r="N4197" s="17"/>
      <c r="O4197" s="17"/>
      <c r="P4197" s="17"/>
      <c r="Q4197" s="17"/>
      <c r="R4197" s="17"/>
      <c r="S4197" s="17"/>
      <c r="T4197" s="17"/>
      <c r="U4197" s="17"/>
      <c r="V4197" s="18">
        <v>0</v>
      </c>
      <c r="W4197" s="17">
        <f t="shared" si="132"/>
        <v>0</v>
      </c>
      <c r="X4197" s="5">
        <f t="shared" si="133"/>
        <v>0</v>
      </c>
    </row>
    <row r="4198" spans="1:24" x14ac:dyDescent="0.25">
      <c r="A4198" s="17"/>
      <c r="B4198" s="17"/>
      <c r="C4198" s="17"/>
      <c r="D4198" s="17"/>
      <c r="E4198" s="17"/>
      <c r="F4198" s="17"/>
      <c r="G4198" s="17"/>
      <c r="H4198" s="17"/>
      <c r="I4198" s="17"/>
      <c r="J4198" s="17"/>
      <c r="K4198" s="17"/>
      <c r="L4198" s="17"/>
      <c r="M4198" s="17"/>
      <c r="N4198" s="17"/>
      <c r="O4198" s="17"/>
      <c r="P4198" s="17"/>
      <c r="Q4198" s="17"/>
      <c r="R4198" s="17"/>
      <c r="S4198" s="17"/>
      <c r="T4198" s="17"/>
      <c r="U4198" s="17"/>
      <c r="V4198" s="18">
        <v>0</v>
      </c>
      <c r="W4198" s="17">
        <f t="shared" si="132"/>
        <v>0</v>
      </c>
      <c r="X4198" s="5">
        <f t="shared" si="133"/>
        <v>0</v>
      </c>
    </row>
    <row r="4199" spans="1:24" x14ac:dyDescent="0.25">
      <c r="A4199" s="17"/>
      <c r="B4199" s="17"/>
      <c r="C4199" s="17"/>
      <c r="D4199" s="17"/>
      <c r="E4199" s="17"/>
      <c r="F4199" s="17"/>
      <c r="G4199" s="17"/>
      <c r="H4199" s="17"/>
      <c r="I4199" s="17"/>
      <c r="J4199" s="17"/>
      <c r="K4199" s="17"/>
      <c r="L4199" s="17"/>
      <c r="M4199" s="17"/>
      <c r="N4199" s="17"/>
      <c r="O4199" s="17"/>
      <c r="P4199" s="17"/>
      <c r="Q4199" s="17"/>
      <c r="R4199" s="17"/>
      <c r="S4199" s="17"/>
      <c r="T4199" s="17"/>
      <c r="U4199" s="17"/>
      <c r="V4199" s="18">
        <v>0</v>
      </c>
      <c r="W4199" s="17">
        <f t="shared" si="132"/>
        <v>0</v>
      </c>
      <c r="X4199" s="5">
        <f t="shared" si="133"/>
        <v>0</v>
      </c>
    </row>
    <row r="4200" spans="1:24" x14ac:dyDescent="0.25">
      <c r="A4200" s="17"/>
      <c r="B4200" s="17"/>
      <c r="C4200" s="17"/>
      <c r="D4200" s="17"/>
      <c r="E4200" s="17"/>
      <c r="F4200" s="17"/>
      <c r="G4200" s="17"/>
      <c r="H4200" s="17"/>
      <c r="I4200" s="17"/>
      <c r="J4200" s="17"/>
      <c r="K4200" s="17"/>
      <c r="L4200" s="17"/>
      <c r="M4200" s="17"/>
      <c r="N4200" s="17"/>
      <c r="O4200" s="17"/>
      <c r="P4200" s="17"/>
      <c r="Q4200" s="17"/>
      <c r="R4200" s="17"/>
      <c r="S4200" s="17"/>
      <c r="T4200" s="17"/>
      <c r="U4200" s="17"/>
      <c r="V4200" s="18">
        <v>0</v>
      </c>
      <c r="W4200" s="17">
        <f t="shared" si="132"/>
        <v>0</v>
      </c>
      <c r="X4200" s="5">
        <f t="shared" si="133"/>
        <v>0</v>
      </c>
    </row>
    <row r="4201" spans="1:24" x14ac:dyDescent="0.25">
      <c r="A4201" s="17"/>
      <c r="B4201" s="17"/>
      <c r="C4201" s="17"/>
      <c r="D4201" s="17"/>
      <c r="E4201" s="17"/>
      <c r="F4201" s="17"/>
      <c r="G4201" s="17"/>
      <c r="H4201" s="17"/>
      <c r="I4201" s="17"/>
      <c r="J4201" s="17"/>
      <c r="K4201" s="17"/>
      <c r="L4201" s="17"/>
      <c r="M4201" s="17"/>
      <c r="N4201" s="17"/>
      <c r="O4201" s="17"/>
      <c r="P4201" s="17"/>
      <c r="Q4201" s="17"/>
      <c r="R4201" s="17"/>
      <c r="S4201" s="17"/>
      <c r="T4201" s="17"/>
      <c r="U4201" s="17"/>
      <c r="V4201" s="18">
        <v>0</v>
      </c>
      <c r="W4201" s="17">
        <f t="shared" si="132"/>
        <v>0</v>
      </c>
      <c r="X4201" s="5">
        <f t="shared" si="133"/>
        <v>0</v>
      </c>
    </row>
    <row r="4202" spans="1:24" x14ac:dyDescent="0.25">
      <c r="A4202" s="17"/>
      <c r="B4202" s="17"/>
      <c r="C4202" s="17"/>
      <c r="D4202" s="17"/>
      <c r="E4202" s="17"/>
      <c r="F4202" s="17"/>
      <c r="G4202" s="17"/>
      <c r="H4202" s="17"/>
      <c r="I4202" s="17"/>
      <c r="J4202" s="17"/>
      <c r="K4202" s="17"/>
      <c r="L4202" s="17"/>
      <c r="M4202" s="17"/>
      <c r="N4202" s="17"/>
      <c r="O4202" s="17"/>
      <c r="P4202" s="17"/>
      <c r="Q4202" s="17"/>
      <c r="R4202" s="17"/>
      <c r="S4202" s="17"/>
      <c r="T4202" s="17"/>
      <c r="U4202" s="17"/>
      <c r="V4202" s="18">
        <v>0</v>
      </c>
      <c r="W4202" s="17">
        <f t="shared" si="132"/>
        <v>0</v>
      </c>
      <c r="X4202" s="5">
        <f t="shared" si="133"/>
        <v>0</v>
      </c>
    </row>
    <row r="4203" spans="1:24" x14ac:dyDescent="0.25">
      <c r="A4203" s="17"/>
      <c r="B4203" s="17"/>
      <c r="C4203" s="17"/>
      <c r="D4203" s="17"/>
      <c r="E4203" s="17"/>
      <c r="F4203" s="17"/>
      <c r="G4203" s="17"/>
      <c r="H4203" s="17"/>
      <c r="I4203" s="17"/>
      <c r="J4203" s="17"/>
      <c r="K4203" s="17"/>
      <c r="L4203" s="17"/>
      <c r="M4203" s="17"/>
      <c r="N4203" s="17"/>
      <c r="O4203" s="17"/>
      <c r="P4203" s="17"/>
      <c r="Q4203" s="17"/>
      <c r="R4203" s="17"/>
      <c r="S4203" s="17"/>
      <c r="T4203" s="17"/>
      <c r="U4203" s="17"/>
      <c r="V4203" s="18">
        <v>0</v>
      </c>
      <c r="W4203" s="17">
        <f t="shared" si="132"/>
        <v>0</v>
      </c>
      <c r="X4203" s="5">
        <f t="shared" si="133"/>
        <v>0</v>
      </c>
    </row>
    <row r="4204" spans="1:24" x14ac:dyDescent="0.25">
      <c r="A4204" s="17"/>
      <c r="B4204" s="17"/>
      <c r="C4204" s="17"/>
      <c r="D4204" s="17"/>
      <c r="E4204" s="17"/>
      <c r="F4204" s="17"/>
      <c r="G4204" s="17"/>
      <c r="H4204" s="17"/>
      <c r="I4204" s="17"/>
      <c r="J4204" s="17"/>
      <c r="K4204" s="17"/>
      <c r="L4204" s="17"/>
      <c r="M4204" s="17"/>
      <c r="N4204" s="17"/>
      <c r="O4204" s="17"/>
      <c r="P4204" s="17"/>
      <c r="Q4204" s="17"/>
      <c r="R4204" s="17"/>
      <c r="S4204" s="17"/>
      <c r="T4204" s="17"/>
      <c r="U4204" s="17"/>
      <c r="V4204" s="18">
        <v>0</v>
      </c>
      <c r="W4204" s="17">
        <f t="shared" si="132"/>
        <v>0</v>
      </c>
      <c r="X4204" s="5">
        <f t="shared" si="133"/>
        <v>0</v>
      </c>
    </row>
    <row r="4205" spans="1:24" x14ac:dyDescent="0.25">
      <c r="A4205" s="17"/>
      <c r="B4205" s="17"/>
      <c r="C4205" s="17"/>
      <c r="D4205" s="17"/>
      <c r="E4205" s="17"/>
      <c r="F4205" s="17"/>
      <c r="G4205" s="17"/>
      <c r="H4205" s="17"/>
      <c r="I4205" s="17"/>
      <c r="J4205" s="17"/>
      <c r="K4205" s="17"/>
      <c r="L4205" s="17"/>
      <c r="M4205" s="17"/>
      <c r="N4205" s="17"/>
      <c r="O4205" s="17"/>
      <c r="P4205" s="17"/>
      <c r="Q4205" s="17"/>
      <c r="R4205" s="17"/>
      <c r="S4205" s="17"/>
      <c r="T4205" s="17"/>
      <c r="U4205" s="17"/>
      <c r="V4205" s="18">
        <v>0</v>
      </c>
      <c r="W4205" s="17">
        <f t="shared" si="132"/>
        <v>0</v>
      </c>
      <c r="X4205" s="5">
        <f t="shared" si="133"/>
        <v>0</v>
      </c>
    </row>
    <row r="4206" spans="1:24" x14ac:dyDescent="0.25">
      <c r="A4206" s="17"/>
      <c r="B4206" s="17"/>
      <c r="C4206" s="17"/>
      <c r="D4206" s="17"/>
      <c r="E4206" s="17"/>
      <c r="F4206" s="17"/>
      <c r="G4206" s="17"/>
      <c r="H4206" s="17"/>
      <c r="I4206" s="17"/>
      <c r="J4206" s="17"/>
      <c r="K4206" s="17"/>
      <c r="L4206" s="17"/>
      <c r="M4206" s="17"/>
      <c r="N4206" s="17"/>
      <c r="O4206" s="17"/>
      <c r="P4206" s="17"/>
      <c r="Q4206" s="17"/>
      <c r="R4206" s="17"/>
      <c r="S4206" s="17"/>
      <c r="T4206" s="17"/>
      <c r="U4206" s="17"/>
      <c r="V4206" s="18">
        <v>0</v>
      </c>
      <c r="W4206" s="17">
        <f t="shared" si="132"/>
        <v>0</v>
      </c>
      <c r="X4206" s="5">
        <f t="shared" si="133"/>
        <v>0</v>
      </c>
    </row>
    <row r="4207" spans="1:24" x14ac:dyDescent="0.25">
      <c r="A4207" s="17"/>
      <c r="B4207" s="17"/>
      <c r="C4207" s="17"/>
      <c r="D4207" s="17"/>
      <c r="E4207" s="17"/>
      <c r="F4207" s="17"/>
      <c r="G4207" s="17"/>
      <c r="H4207" s="17"/>
      <c r="I4207" s="17"/>
      <c r="J4207" s="17"/>
      <c r="K4207" s="17"/>
      <c r="L4207" s="17"/>
      <c r="M4207" s="17"/>
      <c r="N4207" s="17"/>
      <c r="O4207" s="17"/>
      <c r="P4207" s="17"/>
      <c r="Q4207" s="17"/>
      <c r="R4207" s="17"/>
      <c r="S4207" s="17"/>
      <c r="T4207" s="17"/>
      <c r="U4207" s="17"/>
      <c r="V4207" s="18">
        <v>0</v>
      </c>
      <c r="W4207" s="17">
        <f t="shared" si="132"/>
        <v>0</v>
      </c>
      <c r="X4207" s="5">
        <f t="shared" si="133"/>
        <v>0</v>
      </c>
    </row>
    <row r="4208" spans="1:24" x14ac:dyDescent="0.25">
      <c r="A4208" s="17"/>
      <c r="B4208" s="17"/>
      <c r="C4208" s="17"/>
      <c r="D4208" s="17"/>
      <c r="E4208" s="17"/>
      <c r="F4208" s="17"/>
      <c r="G4208" s="17"/>
      <c r="H4208" s="17"/>
      <c r="I4208" s="17"/>
      <c r="J4208" s="17"/>
      <c r="K4208" s="17"/>
      <c r="L4208" s="17"/>
      <c r="M4208" s="17"/>
      <c r="N4208" s="17"/>
      <c r="O4208" s="17"/>
      <c r="P4208" s="17"/>
      <c r="Q4208" s="17"/>
      <c r="R4208" s="17"/>
      <c r="S4208" s="17"/>
      <c r="T4208" s="17"/>
      <c r="U4208" s="17"/>
      <c r="V4208" s="18">
        <v>0</v>
      </c>
      <c r="W4208" s="17">
        <f t="shared" si="132"/>
        <v>0</v>
      </c>
      <c r="X4208" s="5">
        <f t="shared" si="133"/>
        <v>0</v>
      </c>
    </row>
    <row r="4209" spans="1:24" x14ac:dyDescent="0.25">
      <c r="A4209" s="17"/>
      <c r="B4209" s="17"/>
      <c r="C4209" s="17"/>
      <c r="D4209" s="17"/>
      <c r="E4209" s="17"/>
      <c r="F4209" s="17"/>
      <c r="G4209" s="17"/>
      <c r="H4209" s="17"/>
      <c r="I4209" s="17"/>
      <c r="J4209" s="17"/>
      <c r="K4209" s="17"/>
      <c r="L4209" s="17"/>
      <c r="M4209" s="17"/>
      <c r="N4209" s="17"/>
      <c r="O4209" s="17"/>
      <c r="P4209" s="17"/>
      <c r="Q4209" s="17"/>
      <c r="R4209" s="17"/>
      <c r="S4209" s="17"/>
      <c r="T4209" s="17"/>
      <c r="U4209" s="17"/>
      <c r="V4209" s="18">
        <v>0</v>
      </c>
      <c r="W4209" s="17">
        <f t="shared" si="132"/>
        <v>0</v>
      </c>
      <c r="X4209" s="5">
        <f t="shared" si="133"/>
        <v>0</v>
      </c>
    </row>
    <row r="4210" spans="1:24" x14ac:dyDescent="0.25">
      <c r="A4210" s="17"/>
      <c r="B4210" s="17"/>
      <c r="C4210" s="17"/>
      <c r="D4210" s="17"/>
      <c r="E4210" s="17"/>
      <c r="F4210" s="17"/>
      <c r="G4210" s="17"/>
      <c r="H4210" s="17"/>
      <c r="I4210" s="17"/>
      <c r="J4210" s="17"/>
      <c r="K4210" s="17"/>
      <c r="L4210" s="17"/>
      <c r="M4210" s="17"/>
      <c r="N4210" s="17"/>
      <c r="O4210" s="17"/>
      <c r="P4210" s="17"/>
      <c r="Q4210" s="17"/>
      <c r="R4210" s="17"/>
      <c r="S4210" s="17"/>
      <c r="T4210" s="17"/>
      <c r="U4210" s="17"/>
      <c r="V4210" s="18">
        <v>0</v>
      </c>
      <c r="W4210" s="17">
        <f t="shared" si="132"/>
        <v>0</v>
      </c>
      <c r="X4210" s="5">
        <f t="shared" si="133"/>
        <v>0</v>
      </c>
    </row>
    <row r="4211" spans="1:24" x14ac:dyDescent="0.25">
      <c r="A4211" s="17"/>
      <c r="B4211" s="17"/>
      <c r="C4211" s="17"/>
      <c r="D4211" s="17"/>
      <c r="E4211" s="17"/>
      <c r="F4211" s="17"/>
      <c r="G4211" s="17"/>
      <c r="H4211" s="17"/>
      <c r="I4211" s="17"/>
      <c r="J4211" s="17"/>
      <c r="K4211" s="17"/>
      <c r="L4211" s="17"/>
      <c r="M4211" s="17"/>
      <c r="N4211" s="17"/>
      <c r="O4211" s="17"/>
      <c r="P4211" s="17"/>
      <c r="Q4211" s="17"/>
      <c r="R4211" s="17"/>
      <c r="S4211" s="17"/>
      <c r="T4211" s="17"/>
      <c r="U4211" s="17"/>
      <c r="V4211" s="18">
        <v>0</v>
      </c>
      <c r="W4211" s="17">
        <f t="shared" si="132"/>
        <v>0</v>
      </c>
      <c r="X4211" s="5">
        <f t="shared" si="133"/>
        <v>0</v>
      </c>
    </row>
    <row r="4212" spans="1:24" x14ac:dyDescent="0.25">
      <c r="A4212" s="17"/>
      <c r="B4212" s="17"/>
      <c r="C4212" s="17"/>
      <c r="D4212" s="17"/>
      <c r="E4212" s="17"/>
      <c r="F4212" s="17"/>
      <c r="G4212" s="17"/>
      <c r="H4212" s="17"/>
      <c r="I4212" s="17"/>
      <c r="J4212" s="17"/>
      <c r="K4212" s="17"/>
      <c r="L4212" s="17"/>
      <c r="M4212" s="17"/>
      <c r="N4212" s="17"/>
      <c r="O4212" s="17"/>
      <c r="P4212" s="17"/>
      <c r="Q4212" s="17"/>
      <c r="R4212" s="17"/>
      <c r="S4212" s="17"/>
      <c r="T4212" s="17"/>
      <c r="U4212" s="17"/>
      <c r="V4212" s="18">
        <v>0</v>
      </c>
      <c r="W4212" s="17">
        <f t="shared" si="132"/>
        <v>0</v>
      </c>
    </row>
    <row r="4213" spans="1:24" x14ac:dyDescent="0.25">
      <c r="A4213" s="17"/>
      <c r="B4213" s="17"/>
      <c r="C4213" s="17"/>
      <c r="D4213" s="17"/>
      <c r="E4213" s="17"/>
      <c r="F4213" s="17"/>
      <c r="G4213" s="17"/>
      <c r="H4213" s="17"/>
      <c r="I4213" s="17"/>
      <c r="J4213" s="17"/>
      <c r="K4213" s="17"/>
      <c r="L4213" s="17"/>
      <c r="M4213" s="17"/>
      <c r="N4213" s="17"/>
      <c r="O4213" s="17"/>
      <c r="P4213" s="17"/>
      <c r="Q4213" s="17"/>
      <c r="R4213" s="17"/>
      <c r="S4213" s="17"/>
      <c r="T4213" s="17"/>
      <c r="U4213" s="17"/>
      <c r="V4213" s="18">
        <v>0</v>
      </c>
      <c r="W4213" s="17">
        <f t="shared" si="132"/>
        <v>0</v>
      </c>
    </row>
    <row r="4214" spans="1:24" x14ac:dyDescent="0.25">
      <c r="A4214" s="17"/>
      <c r="B4214" s="17"/>
      <c r="C4214" s="17"/>
      <c r="D4214" s="17"/>
      <c r="E4214" s="17"/>
      <c r="F4214" s="17"/>
      <c r="G4214" s="17"/>
      <c r="H4214" s="17"/>
      <c r="I4214" s="17"/>
      <c r="J4214" s="17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  <c r="U4214" s="17"/>
      <c r="V4214" s="18">
        <v>0</v>
      </c>
      <c r="W4214" s="17">
        <f t="shared" si="132"/>
        <v>0</v>
      </c>
    </row>
    <row r="4215" spans="1:24" x14ac:dyDescent="0.25">
      <c r="A4215" s="17"/>
      <c r="B4215" s="17"/>
      <c r="C4215" s="17"/>
      <c r="D4215" s="17"/>
      <c r="E4215" s="17"/>
      <c r="F4215" s="17"/>
      <c r="G4215" s="17"/>
      <c r="H4215" s="17"/>
      <c r="I4215" s="17"/>
      <c r="J4215" s="17"/>
      <c r="K4215" s="17"/>
      <c r="L4215" s="17"/>
      <c r="M4215" s="17"/>
      <c r="N4215" s="17"/>
      <c r="O4215" s="17"/>
      <c r="P4215" s="17"/>
      <c r="Q4215" s="17"/>
      <c r="R4215" s="17"/>
      <c r="S4215" s="17"/>
      <c r="T4215" s="17"/>
      <c r="U4215" s="17"/>
      <c r="V4215" s="18">
        <v>0</v>
      </c>
      <c r="W4215" s="17">
        <f t="shared" si="132"/>
        <v>0</v>
      </c>
    </row>
    <row r="4216" spans="1:24" x14ac:dyDescent="0.25">
      <c r="A4216" s="17"/>
      <c r="B4216" s="17"/>
      <c r="C4216" s="17"/>
      <c r="D4216" s="17"/>
      <c r="E4216" s="17"/>
      <c r="F4216" s="17"/>
      <c r="G4216" s="17"/>
      <c r="H4216" s="17"/>
      <c r="I4216" s="17"/>
      <c r="J4216" s="17"/>
      <c r="K4216" s="17"/>
      <c r="L4216" s="17"/>
      <c r="M4216" s="17"/>
      <c r="N4216" s="17"/>
      <c r="O4216" s="17"/>
      <c r="P4216" s="17"/>
      <c r="Q4216" s="17"/>
      <c r="R4216" s="17"/>
      <c r="S4216" s="17"/>
      <c r="T4216" s="17"/>
      <c r="U4216" s="17"/>
      <c r="V4216" s="18">
        <v>0</v>
      </c>
      <c r="W4216" s="17">
        <f t="shared" si="132"/>
        <v>0</v>
      </c>
    </row>
    <row r="4217" spans="1:24" x14ac:dyDescent="0.25">
      <c r="A4217" s="17"/>
      <c r="B4217" s="17"/>
      <c r="C4217" s="17"/>
      <c r="D4217" s="17"/>
      <c r="E4217" s="17"/>
      <c r="F4217" s="17"/>
      <c r="G4217" s="17"/>
      <c r="H4217" s="17"/>
      <c r="I4217" s="17"/>
      <c r="J4217" s="17"/>
      <c r="K4217" s="17"/>
      <c r="L4217" s="17"/>
      <c r="M4217" s="17"/>
      <c r="N4217" s="17"/>
      <c r="O4217" s="17"/>
      <c r="P4217" s="17"/>
      <c r="Q4217" s="17"/>
      <c r="R4217" s="17"/>
      <c r="S4217" s="17"/>
      <c r="T4217" s="17"/>
      <c r="U4217" s="17"/>
      <c r="V4217" s="18">
        <v>0</v>
      </c>
      <c r="W4217" s="17">
        <f t="shared" si="132"/>
        <v>0</v>
      </c>
    </row>
    <row r="4218" spans="1:24" x14ac:dyDescent="0.25">
      <c r="A4218" s="17"/>
      <c r="B4218" s="17"/>
      <c r="C4218" s="17"/>
      <c r="D4218" s="17"/>
      <c r="E4218" s="17"/>
      <c r="F4218" s="17"/>
      <c r="G4218" s="17"/>
      <c r="H4218" s="17"/>
      <c r="I4218" s="17"/>
      <c r="J4218" s="17"/>
      <c r="K4218" s="17"/>
      <c r="L4218" s="17"/>
      <c r="M4218" s="17"/>
      <c r="N4218" s="17"/>
      <c r="O4218" s="17"/>
      <c r="P4218" s="17"/>
      <c r="Q4218" s="17"/>
      <c r="R4218" s="17"/>
      <c r="S4218" s="17"/>
      <c r="T4218" s="17"/>
      <c r="U4218" s="17"/>
      <c r="V4218" s="18">
        <v>0</v>
      </c>
      <c r="W4218" s="17">
        <f t="shared" si="132"/>
        <v>0</v>
      </c>
    </row>
    <row r="4219" spans="1:24" x14ac:dyDescent="0.25">
      <c r="A4219" s="17"/>
      <c r="B4219" s="17"/>
      <c r="C4219" s="17"/>
      <c r="D4219" s="17"/>
      <c r="E4219" s="17"/>
      <c r="F4219" s="17"/>
      <c r="G4219" s="17"/>
      <c r="H4219" s="17"/>
      <c r="I4219" s="17"/>
      <c r="J4219" s="17"/>
      <c r="K4219" s="17"/>
      <c r="L4219" s="17"/>
      <c r="M4219" s="17"/>
      <c r="N4219" s="17"/>
      <c r="O4219" s="17"/>
      <c r="P4219" s="17"/>
      <c r="Q4219" s="17"/>
      <c r="R4219" s="17"/>
      <c r="S4219" s="17"/>
      <c r="T4219" s="17"/>
      <c r="U4219" s="17"/>
      <c r="V4219" s="18">
        <v>0</v>
      </c>
      <c r="W4219" s="17">
        <f t="shared" si="132"/>
        <v>0</v>
      </c>
    </row>
    <row r="4220" spans="1:24" x14ac:dyDescent="0.25">
      <c r="A4220" s="17"/>
      <c r="B4220" s="17"/>
      <c r="C4220" s="17"/>
      <c r="D4220" s="17"/>
      <c r="E4220" s="17"/>
      <c r="F4220" s="17"/>
      <c r="G4220" s="17"/>
      <c r="H4220" s="17"/>
      <c r="I4220" s="17"/>
      <c r="J4220" s="17"/>
      <c r="K4220" s="17"/>
      <c r="L4220" s="17"/>
      <c r="M4220" s="17"/>
      <c r="N4220" s="17"/>
      <c r="O4220" s="17"/>
      <c r="P4220" s="17"/>
      <c r="Q4220" s="17"/>
      <c r="R4220" s="17"/>
      <c r="S4220" s="17"/>
      <c r="T4220" s="17"/>
      <c r="U4220" s="17"/>
      <c r="V4220" s="18">
        <v>0</v>
      </c>
      <c r="W4220" s="17">
        <f t="shared" si="132"/>
        <v>0</v>
      </c>
    </row>
    <row r="4221" spans="1:24" x14ac:dyDescent="0.25">
      <c r="A4221" s="17"/>
      <c r="B4221" s="17"/>
      <c r="C4221" s="17"/>
      <c r="D4221" s="17"/>
      <c r="E4221" s="17"/>
      <c r="F4221" s="17"/>
      <c r="G4221" s="17"/>
      <c r="H4221" s="17"/>
      <c r="I4221" s="17"/>
      <c r="J4221" s="17"/>
      <c r="K4221" s="17"/>
      <c r="L4221" s="17"/>
      <c r="M4221" s="17"/>
      <c r="N4221" s="17"/>
      <c r="O4221" s="17"/>
      <c r="P4221" s="17"/>
      <c r="Q4221" s="17"/>
      <c r="R4221" s="17"/>
      <c r="S4221" s="17"/>
      <c r="T4221" s="17"/>
      <c r="U4221" s="17"/>
      <c r="V4221" s="18">
        <v>0</v>
      </c>
      <c r="W4221" s="17">
        <f t="shared" si="132"/>
        <v>0</v>
      </c>
    </row>
    <row r="4222" spans="1:24" x14ac:dyDescent="0.25">
      <c r="A4222" s="17"/>
      <c r="B4222" s="17"/>
      <c r="C4222" s="17"/>
      <c r="D4222" s="17"/>
      <c r="E4222" s="17"/>
      <c r="F4222" s="17"/>
      <c r="G4222" s="17"/>
      <c r="H4222" s="17"/>
      <c r="I4222" s="17"/>
      <c r="J4222" s="17"/>
      <c r="K4222" s="17"/>
      <c r="L4222" s="17"/>
      <c r="M4222" s="17"/>
      <c r="N4222" s="17"/>
      <c r="O4222" s="17"/>
      <c r="P4222" s="17"/>
      <c r="Q4222" s="17"/>
      <c r="R4222" s="17"/>
      <c r="S4222" s="17"/>
      <c r="T4222" s="17"/>
      <c r="U4222" s="17"/>
      <c r="V4222" s="18">
        <v>0</v>
      </c>
      <c r="W4222" s="17">
        <f t="shared" si="132"/>
        <v>0</v>
      </c>
    </row>
    <row r="4223" spans="1:24" x14ac:dyDescent="0.25">
      <c r="A4223" s="17"/>
      <c r="B4223" s="17"/>
      <c r="C4223" s="17"/>
      <c r="D4223" s="17"/>
      <c r="E4223" s="17"/>
      <c r="F4223" s="17"/>
      <c r="G4223" s="17"/>
      <c r="H4223" s="17"/>
      <c r="I4223" s="17"/>
      <c r="J4223" s="17"/>
      <c r="K4223" s="17"/>
      <c r="L4223" s="17"/>
      <c r="M4223" s="17"/>
      <c r="N4223" s="17"/>
      <c r="O4223" s="17"/>
      <c r="P4223" s="17"/>
      <c r="Q4223" s="17"/>
      <c r="R4223" s="17"/>
      <c r="S4223" s="17"/>
      <c r="T4223" s="17"/>
      <c r="U4223" s="17"/>
      <c r="V4223" s="18">
        <v>0</v>
      </c>
      <c r="W4223" s="17">
        <f t="shared" si="132"/>
        <v>0</v>
      </c>
    </row>
    <row r="4224" spans="1:24" x14ac:dyDescent="0.25">
      <c r="A4224" s="17"/>
      <c r="B4224" s="17"/>
      <c r="C4224" s="17"/>
      <c r="D4224" s="17"/>
      <c r="E4224" s="17"/>
      <c r="F4224" s="17"/>
      <c r="G4224" s="17"/>
      <c r="H4224" s="17"/>
      <c r="I4224" s="17"/>
      <c r="J4224" s="17"/>
      <c r="K4224" s="17"/>
      <c r="L4224" s="17"/>
      <c r="M4224" s="17"/>
      <c r="N4224" s="17"/>
      <c r="O4224" s="17"/>
      <c r="P4224" s="17"/>
      <c r="Q4224" s="17"/>
      <c r="R4224" s="17"/>
      <c r="S4224" s="17"/>
      <c r="T4224" s="17"/>
      <c r="U4224" s="17"/>
      <c r="V4224" s="18">
        <v>0</v>
      </c>
      <c r="W4224" s="17">
        <f t="shared" si="132"/>
        <v>0</v>
      </c>
    </row>
    <row r="4225" spans="1:23" x14ac:dyDescent="0.25">
      <c r="A4225" s="17"/>
      <c r="B4225" s="17"/>
      <c r="C4225" s="17"/>
      <c r="D4225" s="17"/>
      <c r="E4225" s="17"/>
      <c r="F4225" s="17"/>
      <c r="G4225" s="17"/>
      <c r="H4225" s="17"/>
      <c r="I4225" s="17"/>
      <c r="J4225" s="17"/>
      <c r="K4225" s="17"/>
      <c r="L4225" s="17"/>
      <c r="M4225" s="17"/>
      <c r="N4225" s="17"/>
      <c r="O4225" s="17"/>
      <c r="P4225" s="17"/>
      <c r="Q4225" s="17"/>
      <c r="R4225" s="17"/>
      <c r="S4225" s="17"/>
      <c r="T4225" s="17"/>
      <c r="U4225" s="17"/>
      <c r="V4225" s="18">
        <v>0</v>
      </c>
      <c r="W4225" s="17">
        <f t="shared" si="132"/>
        <v>0</v>
      </c>
    </row>
    <row r="4226" spans="1:23" x14ac:dyDescent="0.25">
      <c r="A4226" s="17"/>
      <c r="B4226" s="17"/>
      <c r="C4226" s="17"/>
      <c r="D4226" s="17"/>
      <c r="E4226" s="17"/>
      <c r="F4226" s="17"/>
      <c r="G4226" s="17"/>
      <c r="H4226" s="17"/>
      <c r="I4226" s="17"/>
      <c r="J4226" s="17"/>
      <c r="K4226" s="17"/>
      <c r="L4226" s="17"/>
      <c r="M4226" s="17"/>
      <c r="N4226" s="17"/>
      <c r="O4226" s="17"/>
      <c r="P4226" s="17"/>
      <c r="Q4226" s="17"/>
      <c r="R4226" s="17"/>
      <c r="S4226" s="17"/>
      <c r="T4226" s="17"/>
      <c r="U4226" s="17"/>
      <c r="V4226" s="18">
        <v>0</v>
      </c>
      <c r="W4226" s="17">
        <f t="shared" si="132"/>
        <v>0</v>
      </c>
    </row>
    <row r="4227" spans="1:23" x14ac:dyDescent="0.25">
      <c r="A4227" s="17"/>
      <c r="B4227" s="17"/>
      <c r="C4227" s="17"/>
      <c r="D4227" s="17"/>
      <c r="E4227" s="17"/>
      <c r="F4227" s="17"/>
      <c r="G4227" s="17"/>
      <c r="H4227" s="17"/>
      <c r="I4227" s="17"/>
      <c r="J4227" s="17"/>
      <c r="K4227" s="17"/>
      <c r="L4227" s="17"/>
      <c r="M4227" s="17"/>
      <c r="N4227" s="17"/>
      <c r="O4227" s="17"/>
      <c r="P4227" s="17"/>
      <c r="Q4227" s="17"/>
      <c r="R4227" s="17"/>
      <c r="S4227" s="17"/>
      <c r="T4227" s="17"/>
      <c r="U4227" s="17"/>
      <c r="V4227" s="18">
        <v>0</v>
      </c>
      <c r="W4227" s="17">
        <f t="shared" ref="W4227:W4290" si="134">HOUR(E4227)</f>
        <v>0</v>
      </c>
    </row>
    <row r="4228" spans="1:23" x14ac:dyDescent="0.25">
      <c r="A4228" s="17"/>
      <c r="B4228" s="17"/>
      <c r="C4228" s="17"/>
      <c r="D4228" s="17"/>
      <c r="E4228" s="17"/>
      <c r="F4228" s="17"/>
      <c r="G4228" s="17"/>
      <c r="H4228" s="17"/>
      <c r="I4228" s="17"/>
      <c r="J4228" s="17"/>
      <c r="K4228" s="17"/>
      <c r="L4228" s="17"/>
      <c r="M4228" s="17"/>
      <c r="N4228" s="17"/>
      <c r="O4228" s="17"/>
      <c r="P4228" s="17"/>
      <c r="Q4228" s="17"/>
      <c r="R4228" s="17"/>
      <c r="S4228" s="17"/>
      <c r="T4228" s="17"/>
      <c r="U4228" s="17"/>
      <c r="V4228" s="18">
        <v>0</v>
      </c>
      <c r="W4228" s="17">
        <f t="shared" si="134"/>
        <v>0</v>
      </c>
    </row>
    <row r="4229" spans="1:23" x14ac:dyDescent="0.25">
      <c r="A4229" s="17"/>
      <c r="B4229" s="17"/>
      <c r="C4229" s="17"/>
      <c r="D4229" s="17"/>
      <c r="E4229" s="17"/>
      <c r="F4229" s="17"/>
      <c r="G4229" s="17"/>
      <c r="H4229" s="17"/>
      <c r="I4229" s="17"/>
      <c r="J4229" s="17"/>
      <c r="K4229" s="17"/>
      <c r="L4229" s="17"/>
      <c r="M4229" s="17"/>
      <c r="N4229" s="17"/>
      <c r="O4229" s="17"/>
      <c r="P4229" s="17"/>
      <c r="Q4229" s="17"/>
      <c r="R4229" s="17"/>
      <c r="S4229" s="17"/>
      <c r="T4229" s="17"/>
      <c r="U4229" s="17"/>
      <c r="V4229" s="18">
        <v>0</v>
      </c>
      <c r="W4229" s="17">
        <f t="shared" si="134"/>
        <v>0</v>
      </c>
    </row>
    <row r="4230" spans="1:23" x14ac:dyDescent="0.25">
      <c r="A4230" s="17"/>
      <c r="B4230" s="17"/>
      <c r="C4230" s="17"/>
      <c r="D4230" s="17"/>
      <c r="E4230" s="17"/>
      <c r="F4230" s="17"/>
      <c r="G4230" s="17"/>
      <c r="H4230" s="17"/>
      <c r="I4230" s="17"/>
      <c r="J4230" s="17"/>
      <c r="K4230" s="17"/>
      <c r="L4230" s="17"/>
      <c r="M4230" s="17"/>
      <c r="N4230" s="17"/>
      <c r="O4230" s="17"/>
      <c r="P4230" s="17"/>
      <c r="Q4230" s="17"/>
      <c r="R4230" s="17"/>
      <c r="S4230" s="17"/>
      <c r="T4230" s="17"/>
      <c r="U4230" s="17"/>
      <c r="V4230" s="18">
        <v>0</v>
      </c>
      <c r="W4230" s="17">
        <f t="shared" si="134"/>
        <v>0</v>
      </c>
    </row>
    <row r="4231" spans="1:23" x14ac:dyDescent="0.25">
      <c r="A4231" s="17"/>
      <c r="B4231" s="17"/>
      <c r="C4231" s="17"/>
      <c r="D4231" s="17"/>
      <c r="E4231" s="17"/>
      <c r="F4231" s="17"/>
      <c r="G4231" s="17"/>
      <c r="H4231" s="17"/>
      <c r="I4231" s="17"/>
      <c r="J4231" s="17"/>
      <c r="K4231" s="17"/>
      <c r="L4231" s="17"/>
      <c r="M4231" s="17"/>
      <c r="N4231" s="17"/>
      <c r="O4231" s="17"/>
      <c r="P4231" s="17"/>
      <c r="Q4231" s="17"/>
      <c r="R4231" s="17"/>
      <c r="S4231" s="17"/>
      <c r="T4231" s="17"/>
      <c r="U4231" s="17"/>
      <c r="V4231" s="18">
        <v>0</v>
      </c>
      <c r="W4231" s="17">
        <f t="shared" si="134"/>
        <v>0</v>
      </c>
    </row>
    <row r="4232" spans="1:23" x14ac:dyDescent="0.25">
      <c r="A4232" s="17"/>
      <c r="B4232" s="17"/>
      <c r="C4232" s="17"/>
      <c r="D4232" s="17"/>
      <c r="E4232" s="17"/>
      <c r="F4232" s="17"/>
      <c r="G4232" s="17"/>
      <c r="H4232" s="17"/>
      <c r="I4232" s="17"/>
      <c r="J4232" s="17"/>
      <c r="K4232" s="17"/>
      <c r="L4232" s="17"/>
      <c r="M4232" s="17"/>
      <c r="N4232" s="17"/>
      <c r="O4232" s="17"/>
      <c r="P4232" s="17"/>
      <c r="Q4232" s="17"/>
      <c r="R4232" s="17"/>
      <c r="S4232" s="17"/>
      <c r="T4232" s="17"/>
      <c r="U4232" s="17"/>
      <c r="V4232" s="18">
        <v>0</v>
      </c>
      <c r="W4232" s="17">
        <f t="shared" si="134"/>
        <v>0</v>
      </c>
    </row>
    <row r="4233" spans="1:23" x14ac:dyDescent="0.25">
      <c r="A4233" s="17"/>
      <c r="B4233" s="17"/>
      <c r="C4233" s="17"/>
      <c r="D4233" s="17"/>
      <c r="E4233" s="17"/>
      <c r="F4233" s="17"/>
      <c r="G4233" s="17"/>
      <c r="H4233" s="17"/>
      <c r="I4233" s="17"/>
      <c r="J4233" s="17"/>
      <c r="K4233" s="17"/>
      <c r="L4233" s="17"/>
      <c r="M4233" s="17"/>
      <c r="N4233" s="17"/>
      <c r="O4233" s="17"/>
      <c r="P4233" s="17"/>
      <c r="Q4233" s="17"/>
      <c r="R4233" s="17"/>
      <c r="S4233" s="17"/>
      <c r="T4233" s="17"/>
      <c r="U4233" s="17"/>
      <c r="V4233" s="18">
        <v>0</v>
      </c>
      <c r="W4233" s="17">
        <f t="shared" si="134"/>
        <v>0</v>
      </c>
    </row>
    <row r="4234" spans="1:23" x14ac:dyDescent="0.25">
      <c r="A4234" s="17"/>
      <c r="B4234" s="17"/>
      <c r="C4234" s="17"/>
      <c r="D4234" s="17"/>
      <c r="E4234" s="17"/>
      <c r="F4234" s="17"/>
      <c r="G4234" s="17"/>
      <c r="H4234" s="17"/>
      <c r="I4234" s="17"/>
      <c r="J4234" s="17"/>
      <c r="K4234" s="17"/>
      <c r="L4234" s="17"/>
      <c r="M4234" s="17"/>
      <c r="N4234" s="17"/>
      <c r="O4234" s="17"/>
      <c r="P4234" s="17"/>
      <c r="Q4234" s="17"/>
      <c r="R4234" s="17"/>
      <c r="S4234" s="17"/>
      <c r="T4234" s="17"/>
      <c r="U4234" s="17"/>
      <c r="V4234" s="18">
        <v>0</v>
      </c>
      <c r="W4234" s="17">
        <f t="shared" si="134"/>
        <v>0</v>
      </c>
    </row>
    <row r="4235" spans="1:23" x14ac:dyDescent="0.25">
      <c r="A4235" s="17"/>
      <c r="B4235" s="17"/>
      <c r="C4235" s="17"/>
      <c r="D4235" s="17"/>
      <c r="E4235" s="17"/>
      <c r="F4235" s="17"/>
      <c r="G4235" s="17"/>
      <c r="H4235" s="17"/>
      <c r="I4235" s="17"/>
      <c r="J4235" s="17"/>
      <c r="K4235" s="17"/>
      <c r="L4235" s="17"/>
      <c r="M4235" s="17"/>
      <c r="N4235" s="17"/>
      <c r="O4235" s="17"/>
      <c r="P4235" s="17"/>
      <c r="Q4235" s="17"/>
      <c r="R4235" s="17"/>
      <c r="S4235" s="17"/>
      <c r="T4235" s="17"/>
      <c r="U4235" s="17"/>
      <c r="V4235" s="18">
        <v>0</v>
      </c>
      <c r="W4235" s="17">
        <f t="shared" si="134"/>
        <v>0</v>
      </c>
    </row>
    <row r="4236" spans="1:23" x14ac:dyDescent="0.25">
      <c r="A4236" s="17"/>
      <c r="B4236" s="17"/>
      <c r="C4236" s="17"/>
      <c r="D4236" s="17"/>
      <c r="E4236" s="17"/>
      <c r="F4236" s="17"/>
      <c r="G4236" s="17"/>
      <c r="H4236" s="17"/>
      <c r="I4236" s="17"/>
      <c r="J4236" s="17"/>
      <c r="K4236" s="17"/>
      <c r="L4236" s="17"/>
      <c r="M4236" s="17"/>
      <c r="N4236" s="17"/>
      <c r="O4236" s="17"/>
      <c r="P4236" s="17"/>
      <c r="Q4236" s="17"/>
      <c r="R4236" s="17"/>
      <c r="S4236" s="17"/>
      <c r="T4236" s="17"/>
      <c r="U4236" s="17"/>
      <c r="V4236" s="18">
        <v>0</v>
      </c>
      <c r="W4236" s="17">
        <f t="shared" si="134"/>
        <v>0</v>
      </c>
    </row>
    <row r="4237" spans="1:23" x14ac:dyDescent="0.25">
      <c r="A4237" s="17"/>
      <c r="B4237" s="17"/>
      <c r="C4237" s="17"/>
      <c r="D4237" s="17"/>
      <c r="E4237" s="17"/>
      <c r="F4237" s="17"/>
      <c r="G4237" s="17"/>
      <c r="H4237" s="17"/>
      <c r="I4237" s="17"/>
      <c r="J4237" s="17"/>
      <c r="K4237" s="17"/>
      <c r="L4237" s="17"/>
      <c r="M4237" s="17"/>
      <c r="N4237" s="17"/>
      <c r="O4237" s="17"/>
      <c r="P4237" s="17"/>
      <c r="Q4237" s="17"/>
      <c r="R4237" s="17"/>
      <c r="S4237" s="17"/>
      <c r="T4237" s="17"/>
      <c r="U4237" s="17"/>
      <c r="V4237" s="18">
        <v>0</v>
      </c>
      <c r="W4237" s="17">
        <f t="shared" si="134"/>
        <v>0</v>
      </c>
    </row>
    <row r="4238" spans="1:23" x14ac:dyDescent="0.25">
      <c r="A4238" s="17"/>
      <c r="B4238" s="17"/>
      <c r="C4238" s="17"/>
      <c r="D4238" s="17"/>
      <c r="E4238" s="17"/>
      <c r="F4238" s="17"/>
      <c r="G4238" s="17"/>
      <c r="H4238" s="17"/>
      <c r="I4238" s="17"/>
      <c r="J4238" s="17"/>
      <c r="K4238" s="17"/>
      <c r="L4238" s="17"/>
      <c r="M4238" s="17"/>
      <c r="N4238" s="17"/>
      <c r="O4238" s="17"/>
      <c r="P4238" s="17"/>
      <c r="Q4238" s="17"/>
      <c r="R4238" s="17"/>
      <c r="S4238" s="17"/>
      <c r="T4238" s="17"/>
      <c r="U4238" s="17"/>
      <c r="V4238" s="18">
        <v>0</v>
      </c>
      <c r="W4238" s="17">
        <f t="shared" si="134"/>
        <v>0</v>
      </c>
    </row>
    <row r="4239" spans="1:23" x14ac:dyDescent="0.25">
      <c r="A4239" s="17"/>
      <c r="B4239" s="17"/>
      <c r="C4239" s="17"/>
      <c r="D4239" s="17"/>
      <c r="E4239" s="17"/>
      <c r="F4239" s="17"/>
      <c r="G4239" s="17"/>
      <c r="H4239" s="17"/>
      <c r="I4239" s="17"/>
      <c r="J4239" s="17"/>
      <c r="K4239" s="17"/>
      <c r="L4239" s="17"/>
      <c r="M4239" s="17"/>
      <c r="N4239" s="17"/>
      <c r="O4239" s="17"/>
      <c r="P4239" s="17"/>
      <c r="Q4239" s="17"/>
      <c r="R4239" s="17"/>
      <c r="S4239" s="17"/>
      <c r="T4239" s="17"/>
      <c r="U4239" s="17"/>
      <c r="V4239" s="18">
        <v>0</v>
      </c>
      <c r="W4239" s="17">
        <f t="shared" si="134"/>
        <v>0</v>
      </c>
    </row>
    <row r="4240" spans="1:23" x14ac:dyDescent="0.25">
      <c r="A4240" s="17"/>
      <c r="B4240" s="17"/>
      <c r="C4240" s="17"/>
      <c r="D4240" s="17"/>
      <c r="E4240" s="17"/>
      <c r="F4240" s="17"/>
      <c r="G4240" s="17"/>
      <c r="H4240" s="17"/>
      <c r="I4240" s="17"/>
      <c r="J4240" s="17"/>
      <c r="K4240" s="17"/>
      <c r="L4240" s="17"/>
      <c r="M4240" s="17"/>
      <c r="N4240" s="17"/>
      <c r="O4240" s="17"/>
      <c r="P4240" s="17"/>
      <c r="Q4240" s="17"/>
      <c r="R4240" s="17"/>
      <c r="S4240" s="17"/>
      <c r="T4240" s="17"/>
      <c r="U4240" s="17"/>
      <c r="V4240" s="18">
        <v>0</v>
      </c>
      <c r="W4240" s="17">
        <f t="shared" si="134"/>
        <v>0</v>
      </c>
    </row>
    <row r="4241" spans="1:23" x14ac:dyDescent="0.25">
      <c r="A4241" s="17"/>
      <c r="B4241" s="17"/>
      <c r="C4241" s="17"/>
      <c r="D4241" s="17"/>
      <c r="E4241" s="17"/>
      <c r="F4241" s="17"/>
      <c r="G4241" s="17"/>
      <c r="H4241" s="17"/>
      <c r="I4241" s="17"/>
      <c r="J4241" s="17"/>
      <c r="K4241" s="17"/>
      <c r="L4241" s="17"/>
      <c r="M4241" s="17"/>
      <c r="N4241" s="17"/>
      <c r="O4241" s="17"/>
      <c r="P4241" s="17"/>
      <c r="Q4241" s="17"/>
      <c r="R4241" s="17"/>
      <c r="S4241" s="17"/>
      <c r="T4241" s="17"/>
      <c r="U4241" s="17"/>
      <c r="V4241" s="18">
        <v>0</v>
      </c>
      <c r="W4241" s="17">
        <f t="shared" si="134"/>
        <v>0</v>
      </c>
    </row>
    <row r="4242" spans="1:23" x14ac:dyDescent="0.25">
      <c r="A4242" s="17"/>
      <c r="B4242" s="17"/>
      <c r="C4242" s="17"/>
      <c r="D4242" s="17"/>
      <c r="E4242" s="17"/>
      <c r="F4242" s="17"/>
      <c r="G4242" s="17"/>
      <c r="H4242" s="17"/>
      <c r="I4242" s="17"/>
      <c r="J4242" s="17"/>
      <c r="K4242" s="17"/>
      <c r="L4242" s="17"/>
      <c r="M4242" s="17"/>
      <c r="N4242" s="17"/>
      <c r="O4242" s="17"/>
      <c r="P4242" s="17"/>
      <c r="Q4242" s="17"/>
      <c r="R4242" s="17"/>
      <c r="S4242" s="17"/>
      <c r="T4242" s="17"/>
      <c r="U4242" s="17"/>
      <c r="V4242" s="18">
        <v>0</v>
      </c>
      <c r="W4242" s="17">
        <f t="shared" si="134"/>
        <v>0</v>
      </c>
    </row>
    <row r="4243" spans="1:23" x14ac:dyDescent="0.25">
      <c r="A4243" s="17"/>
      <c r="B4243" s="17"/>
      <c r="C4243" s="17"/>
      <c r="D4243" s="17"/>
      <c r="E4243" s="17"/>
      <c r="F4243" s="17"/>
      <c r="G4243" s="17"/>
      <c r="H4243" s="17"/>
      <c r="I4243" s="17"/>
      <c r="J4243" s="17"/>
      <c r="K4243" s="17"/>
      <c r="L4243" s="17"/>
      <c r="M4243" s="17"/>
      <c r="N4243" s="17"/>
      <c r="O4243" s="17"/>
      <c r="P4243" s="17"/>
      <c r="Q4243" s="17"/>
      <c r="R4243" s="17"/>
      <c r="S4243" s="17"/>
      <c r="T4243" s="17"/>
      <c r="U4243" s="17"/>
      <c r="V4243" s="18">
        <v>0</v>
      </c>
      <c r="W4243" s="17">
        <f t="shared" si="134"/>
        <v>0</v>
      </c>
    </row>
    <row r="4244" spans="1:23" x14ac:dyDescent="0.25">
      <c r="A4244" s="17"/>
      <c r="B4244" s="17"/>
      <c r="C4244" s="17"/>
      <c r="D4244" s="17"/>
      <c r="E4244" s="17"/>
      <c r="F4244" s="17"/>
      <c r="G4244" s="17"/>
      <c r="H4244" s="17"/>
      <c r="I4244" s="17"/>
      <c r="J4244" s="17"/>
      <c r="K4244" s="17"/>
      <c r="L4244" s="17"/>
      <c r="M4244" s="17"/>
      <c r="N4244" s="17"/>
      <c r="O4244" s="17"/>
      <c r="P4244" s="17"/>
      <c r="Q4244" s="17"/>
      <c r="R4244" s="17"/>
      <c r="S4244" s="17"/>
      <c r="T4244" s="17"/>
      <c r="U4244" s="17"/>
      <c r="V4244" s="18">
        <v>0</v>
      </c>
      <c r="W4244" s="17">
        <f t="shared" si="134"/>
        <v>0</v>
      </c>
    </row>
    <row r="4245" spans="1:23" x14ac:dyDescent="0.25">
      <c r="A4245" s="17"/>
      <c r="B4245" s="17"/>
      <c r="C4245" s="17"/>
      <c r="D4245" s="17"/>
      <c r="E4245" s="17"/>
      <c r="F4245" s="17"/>
      <c r="G4245" s="17"/>
      <c r="H4245" s="17"/>
      <c r="I4245" s="17"/>
      <c r="J4245" s="17"/>
      <c r="K4245" s="17"/>
      <c r="L4245" s="17"/>
      <c r="M4245" s="17"/>
      <c r="N4245" s="17"/>
      <c r="O4245" s="17"/>
      <c r="P4245" s="17"/>
      <c r="Q4245" s="17"/>
      <c r="R4245" s="17"/>
      <c r="S4245" s="17"/>
      <c r="T4245" s="17"/>
      <c r="U4245" s="17"/>
      <c r="V4245" s="18">
        <v>0</v>
      </c>
      <c r="W4245" s="17">
        <f t="shared" si="134"/>
        <v>0</v>
      </c>
    </row>
    <row r="4246" spans="1:23" x14ac:dyDescent="0.25">
      <c r="A4246" s="17"/>
      <c r="B4246" s="17"/>
      <c r="C4246" s="17"/>
      <c r="D4246" s="17"/>
      <c r="E4246" s="17"/>
      <c r="F4246" s="17"/>
      <c r="G4246" s="17"/>
      <c r="H4246" s="17"/>
      <c r="I4246" s="17"/>
      <c r="J4246" s="17"/>
      <c r="K4246" s="17"/>
      <c r="L4246" s="17"/>
      <c r="M4246" s="17"/>
      <c r="N4246" s="17"/>
      <c r="O4246" s="17"/>
      <c r="P4246" s="17"/>
      <c r="Q4246" s="17"/>
      <c r="R4246" s="17"/>
      <c r="S4246" s="17"/>
      <c r="T4246" s="17"/>
      <c r="U4246" s="17"/>
      <c r="V4246" s="18">
        <v>0</v>
      </c>
      <c r="W4246" s="17">
        <f t="shared" si="134"/>
        <v>0</v>
      </c>
    </row>
    <row r="4247" spans="1:23" x14ac:dyDescent="0.25">
      <c r="A4247" s="17"/>
      <c r="B4247" s="17"/>
      <c r="C4247" s="17"/>
      <c r="D4247" s="17"/>
      <c r="E4247" s="17"/>
      <c r="F4247" s="17"/>
      <c r="G4247" s="17"/>
      <c r="H4247" s="17"/>
      <c r="I4247" s="17"/>
      <c r="J4247" s="17"/>
      <c r="K4247" s="17"/>
      <c r="L4247" s="17"/>
      <c r="M4247" s="17"/>
      <c r="N4247" s="17"/>
      <c r="O4247" s="17"/>
      <c r="P4247" s="17"/>
      <c r="Q4247" s="17"/>
      <c r="R4247" s="17"/>
      <c r="S4247" s="17"/>
      <c r="T4247" s="17"/>
      <c r="U4247" s="17"/>
      <c r="V4247" s="18">
        <v>0</v>
      </c>
      <c r="W4247" s="17">
        <f t="shared" si="134"/>
        <v>0</v>
      </c>
    </row>
    <row r="4248" spans="1:23" x14ac:dyDescent="0.25">
      <c r="A4248" s="17"/>
      <c r="B4248" s="17"/>
      <c r="C4248" s="17"/>
      <c r="D4248" s="17"/>
      <c r="E4248" s="17"/>
      <c r="F4248" s="17"/>
      <c r="G4248" s="17"/>
      <c r="H4248" s="17"/>
      <c r="I4248" s="17"/>
      <c r="J4248" s="17"/>
      <c r="K4248" s="17"/>
      <c r="L4248" s="17"/>
      <c r="M4248" s="17"/>
      <c r="N4248" s="17"/>
      <c r="O4248" s="17"/>
      <c r="P4248" s="17"/>
      <c r="Q4248" s="17"/>
      <c r="R4248" s="17"/>
      <c r="S4248" s="17"/>
      <c r="T4248" s="17"/>
      <c r="U4248" s="17"/>
      <c r="V4248" s="18">
        <v>0</v>
      </c>
      <c r="W4248" s="17">
        <f t="shared" si="134"/>
        <v>0</v>
      </c>
    </row>
    <row r="4249" spans="1:23" x14ac:dyDescent="0.25">
      <c r="A4249" s="17"/>
      <c r="B4249" s="17"/>
      <c r="C4249" s="17"/>
      <c r="D4249" s="17"/>
      <c r="E4249" s="17"/>
      <c r="F4249" s="17"/>
      <c r="G4249" s="17"/>
      <c r="H4249" s="17"/>
      <c r="I4249" s="17"/>
      <c r="J4249" s="17"/>
      <c r="K4249" s="17"/>
      <c r="L4249" s="17"/>
      <c r="M4249" s="17"/>
      <c r="N4249" s="17"/>
      <c r="O4249" s="17"/>
      <c r="P4249" s="17"/>
      <c r="Q4249" s="17"/>
      <c r="R4249" s="17"/>
      <c r="S4249" s="17"/>
      <c r="T4249" s="17"/>
      <c r="U4249" s="17"/>
      <c r="V4249" s="18">
        <v>0</v>
      </c>
      <c r="W4249" s="17">
        <f t="shared" si="134"/>
        <v>0</v>
      </c>
    </row>
    <row r="4250" spans="1:23" x14ac:dyDescent="0.25">
      <c r="A4250" s="17"/>
      <c r="B4250" s="17"/>
      <c r="C4250" s="17"/>
      <c r="D4250" s="17"/>
      <c r="E4250" s="17"/>
      <c r="F4250" s="17"/>
      <c r="G4250" s="17"/>
      <c r="H4250" s="17"/>
      <c r="I4250" s="17"/>
      <c r="J4250" s="17"/>
      <c r="K4250" s="17"/>
      <c r="L4250" s="17"/>
      <c r="M4250" s="17"/>
      <c r="N4250" s="17"/>
      <c r="O4250" s="17"/>
      <c r="P4250" s="17"/>
      <c r="Q4250" s="17"/>
      <c r="R4250" s="17"/>
      <c r="S4250" s="17"/>
      <c r="T4250" s="17"/>
      <c r="U4250" s="17"/>
      <c r="V4250" s="18">
        <v>0</v>
      </c>
      <c r="W4250" s="17">
        <f t="shared" si="134"/>
        <v>0</v>
      </c>
    </row>
    <row r="4251" spans="1:23" x14ac:dyDescent="0.25">
      <c r="A4251" s="17"/>
      <c r="B4251" s="17"/>
      <c r="C4251" s="17"/>
      <c r="D4251" s="17"/>
      <c r="E4251" s="17"/>
      <c r="F4251" s="17"/>
      <c r="G4251" s="17"/>
      <c r="H4251" s="17"/>
      <c r="I4251" s="17"/>
      <c r="J4251" s="17"/>
      <c r="K4251" s="17"/>
      <c r="L4251" s="17"/>
      <c r="M4251" s="17"/>
      <c r="N4251" s="17"/>
      <c r="O4251" s="17"/>
      <c r="P4251" s="17"/>
      <c r="Q4251" s="17"/>
      <c r="R4251" s="17"/>
      <c r="S4251" s="17"/>
      <c r="T4251" s="17"/>
      <c r="U4251" s="17"/>
      <c r="V4251" s="18">
        <v>0</v>
      </c>
      <c r="W4251" s="17">
        <f t="shared" si="134"/>
        <v>0</v>
      </c>
    </row>
    <row r="4252" spans="1:23" x14ac:dyDescent="0.25">
      <c r="A4252" s="17"/>
      <c r="B4252" s="17"/>
      <c r="C4252" s="17"/>
      <c r="D4252" s="17"/>
      <c r="E4252" s="17"/>
      <c r="F4252" s="17"/>
      <c r="G4252" s="17"/>
      <c r="H4252" s="17"/>
      <c r="I4252" s="17"/>
      <c r="J4252" s="17"/>
      <c r="K4252" s="17"/>
      <c r="L4252" s="17"/>
      <c r="M4252" s="17"/>
      <c r="N4252" s="17"/>
      <c r="O4252" s="17"/>
      <c r="P4252" s="17"/>
      <c r="Q4252" s="17"/>
      <c r="R4252" s="17"/>
      <c r="S4252" s="17"/>
      <c r="T4252" s="17"/>
      <c r="U4252" s="17"/>
      <c r="V4252" s="18">
        <v>0</v>
      </c>
      <c r="W4252" s="17">
        <f t="shared" si="134"/>
        <v>0</v>
      </c>
    </row>
    <row r="4253" spans="1:23" x14ac:dyDescent="0.25">
      <c r="A4253" s="17"/>
      <c r="B4253" s="17"/>
      <c r="C4253" s="17"/>
      <c r="D4253" s="17"/>
      <c r="E4253" s="17"/>
      <c r="F4253" s="17"/>
      <c r="G4253" s="17"/>
      <c r="H4253" s="17"/>
      <c r="I4253" s="17"/>
      <c r="J4253" s="17"/>
      <c r="K4253" s="17"/>
      <c r="L4253" s="17"/>
      <c r="M4253" s="17"/>
      <c r="N4253" s="17"/>
      <c r="O4253" s="17"/>
      <c r="P4253" s="17"/>
      <c r="Q4253" s="17"/>
      <c r="R4253" s="17"/>
      <c r="S4253" s="17"/>
      <c r="T4253" s="17"/>
      <c r="U4253" s="17"/>
      <c r="V4253" s="18">
        <v>0</v>
      </c>
      <c r="W4253" s="17">
        <f t="shared" si="134"/>
        <v>0</v>
      </c>
    </row>
    <row r="4254" spans="1:23" x14ac:dyDescent="0.25">
      <c r="A4254" s="17"/>
      <c r="B4254" s="17"/>
      <c r="C4254" s="17"/>
      <c r="D4254" s="17"/>
      <c r="E4254" s="17"/>
      <c r="F4254" s="17"/>
      <c r="G4254" s="17"/>
      <c r="H4254" s="17"/>
      <c r="I4254" s="17"/>
      <c r="J4254" s="17"/>
      <c r="K4254" s="17"/>
      <c r="L4254" s="17"/>
      <c r="M4254" s="17"/>
      <c r="N4254" s="17"/>
      <c r="O4254" s="17"/>
      <c r="P4254" s="17"/>
      <c r="Q4254" s="17"/>
      <c r="R4254" s="17"/>
      <c r="S4254" s="17"/>
      <c r="T4254" s="17"/>
      <c r="U4254" s="17"/>
      <c r="V4254" s="18">
        <v>0</v>
      </c>
      <c r="W4254" s="17">
        <f t="shared" si="134"/>
        <v>0</v>
      </c>
    </row>
    <row r="4255" spans="1:23" x14ac:dyDescent="0.25">
      <c r="A4255" s="17"/>
      <c r="B4255" s="17"/>
      <c r="C4255" s="17"/>
      <c r="D4255" s="17"/>
      <c r="E4255" s="17"/>
      <c r="F4255" s="17"/>
      <c r="G4255" s="17"/>
      <c r="H4255" s="17"/>
      <c r="I4255" s="17"/>
      <c r="J4255" s="17"/>
      <c r="K4255" s="17"/>
      <c r="L4255" s="17"/>
      <c r="M4255" s="17"/>
      <c r="N4255" s="17"/>
      <c r="O4255" s="17"/>
      <c r="P4255" s="17"/>
      <c r="Q4255" s="17"/>
      <c r="R4255" s="17"/>
      <c r="S4255" s="17"/>
      <c r="T4255" s="17"/>
      <c r="U4255" s="17"/>
      <c r="V4255" s="18">
        <v>0</v>
      </c>
      <c r="W4255" s="17">
        <f t="shared" si="134"/>
        <v>0</v>
      </c>
    </row>
    <row r="4256" spans="1:23" x14ac:dyDescent="0.25">
      <c r="A4256" s="17"/>
      <c r="B4256" s="17"/>
      <c r="C4256" s="17"/>
      <c r="D4256" s="17"/>
      <c r="E4256" s="17"/>
      <c r="F4256" s="17"/>
      <c r="G4256" s="17"/>
      <c r="H4256" s="17"/>
      <c r="I4256" s="17"/>
      <c r="J4256" s="17"/>
      <c r="K4256" s="17"/>
      <c r="L4256" s="17"/>
      <c r="M4256" s="17"/>
      <c r="N4256" s="17"/>
      <c r="O4256" s="17"/>
      <c r="P4256" s="17"/>
      <c r="Q4256" s="17"/>
      <c r="R4256" s="17"/>
      <c r="S4256" s="17"/>
      <c r="T4256" s="17"/>
      <c r="U4256" s="17"/>
      <c r="V4256" s="18">
        <v>0</v>
      </c>
      <c r="W4256" s="17">
        <f t="shared" si="134"/>
        <v>0</v>
      </c>
    </row>
    <row r="4257" spans="1:23" x14ac:dyDescent="0.25">
      <c r="A4257" s="17"/>
      <c r="B4257" s="17"/>
      <c r="C4257" s="17"/>
      <c r="D4257" s="17"/>
      <c r="E4257" s="17"/>
      <c r="F4257" s="17"/>
      <c r="G4257" s="17"/>
      <c r="H4257" s="17"/>
      <c r="I4257" s="17"/>
      <c r="J4257" s="17"/>
      <c r="K4257" s="17"/>
      <c r="L4257" s="17"/>
      <c r="M4257" s="17"/>
      <c r="N4257" s="17"/>
      <c r="O4257" s="17"/>
      <c r="P4257" s="17"/>
      <c r="Q4257" s="17"/>
      <c r="R4257" s="17"/>
      <c r="S4257" s="17"/>
      <c r="T4257" s="17"/>
      <c r="U4257" s="17"/>
      <c r="V4257" s="18">
        <v>0</v>
      </c>
      <c r="W4257" s="17">
        <f t="shared" si="134"/>
        <v>0</v>
      </c>
    </row>
    <row r="4258" spans="1:23" x14ac:dyDescent="0.25">
      <c r="A4258" s="17"/>
      <c r="B4258" s="17"/>
      <c r="C4258" s="17"/>
      <c r="D4258" s="17"/>
      <c r="E4258" s="17"/>
      <c r="F4258" s="17"/>
      <c r="G4258" s="17"/>
      <c r="H4258" s="17"/>
      <c r="I4258" s="17"/>
      <c r="J4258" s="17"/>
      <c r="K4258" s="17"/>
      <c r="L4258" s="17"/>
      <c r="M4258" s="17"/>
      <c r="N4258" s="17"/>
      <c r="O4258" s="17"/>
      <c r="P4258" s="17"/>
      <c r="Q4258" s="17"/>
      <c r="R4258" s="17"/>
      <c r="S4258" s="17"/>
      <c r="T4258" s="17"/>
      <c r="U4258" s="17"/>
      <c r="V4258" s="18">
        <v>0</v>
      </c>
      <c r="W4258" s="17">
        <f t="shared" si="134"/>
        <v>0</v>
      </c>
    </row>
    <row r="4259" spans="1:23" x14ac:dyDescent="0.25">
      <c r="A4259" s="17"/>
      <c r="B4259" s="17"/>
      <c r="C4259" s="17"/>
      <c r="D4259" s="17"/>
      <c r="E4259" s="17"/>
      <c r="F4259" s="17"/>
      <c r="G4259" s="17"/>
      <c r="H4259" s="17"/>
      <c r="I4259" s="17"/>
      <c r="J4259" s="17"/>
      <c r="K4259" s="17"/>
      <c r="L4259" s="17"/>
      <c r="M4259" s="17"/>
      <c r="N4259" s="17"/>
      <c r="O4259" s="17"/>
      <c r="P4259" s="17"/>
      <c r="Q4259" s="17"/>
      <c r="R4259" s="17"/>
      <c r="S4259" s="17"/>
      <c r="T4259" s="17"/>
      <c r="U4259" s="17"/>
      <c r="V4259" s="18">
        <v>0</v>
      </c>
      <c r="W4259" s="17">
        <f t="shared" si="134"/>
        <v>0</v>
      </c>
    </row>
    <row r="4260" spans="1:23" x14ac:dyDescent="0.25">
      <c r="A4260" s="17"/>
      <c r="B4260" s="17"/>
      <c r="C4260" s="17"/>
      <c r="D4260" s="17"/>
      <c r="E4260" s="17"/>
      <c r="F4260" s="17"/>
      <c r="G4260" s="17"/>
      <c r="H4260" s="17"/>
      <c r="I4260" s="17"/>
      <c r="J4260" s="17"/>
      <c r="K4260" s="17"/>
      <c r="L4260" s="17"/>
      <c r="M4260" s="17"/>
      <c r="N4260" s="17"/>
      <c r="O4260" s="17"/>
      <c r="P4260" s="17"/>
      <c r="Q4260" s="17"/>
      <c r="R4260" s="17"/>
      <c r="S4260" s="17"/>
      <c r="T4260" s="17"/>
      <c r="U4260" s="17"/>
      <c r="V4260" s="18">
        <v>0</v>
      </c>
      <c r="W4260" s="17">
        <f t="shared" si="134"/>
        <v>0</v>
      </c>
    </row>
    <row r="4261" spans="1:23" x14ac:dyDescent="0.25">
      <c r="A4261" s="17"/>
      <c r="B4261" s="17"/>
      <c r="C4261" s="17"/>
      <c r="D4261" s="17"/>
      <c r="E4261" s="17"/>
      <c r="F4261" s="17"/>
      <c r="G4261" s="17"/>
      <c r="H4261" s="17"/>
      <c r="I4261" s="17"/>
      <c r="J4261" s="17"/>
      <c r="K4261" s="17"/>
      <c r="L4261" s="17"/>
      <c r="M4261" s="17"/>
      <c r="N4261" s="17"/>
      <c r="O4261" s="17"/>
      <c r="P4261" s="17"/>
      <c r="Q4261" s="17"/>
      <c r="R4261" s="17"/>
      <c r="S4261" s="17"/>
      <c r="T4261" s="17"/>
      <c r="U4261" s="17"/>
      <c r="V4261" s="18">
        <v>0</v>
      </c>
      <c r="W4261" s="17">
        <f t="shared" si="134"/>
        <v>0</v>
      </c>
    </row>
    <row r="4262" spans="1:23" x14ac:dyDescent="0.25">
      <c r="A4262" s="17"/>
      <c r="B4262" s="17"/>
      <c r="C4262" s="17"/>
      <c r="D4262" s="17"/>
      <c r="E4262" s="17"/>
      <c r="F4262" s="17"/>
      <c r="G4262" s="17"/>
      <c r="H4262" s="17"/>
      <c r="I4262" s="17"/>
      <c r="J4262" s="17"/>
      <c r="K4262" s="17"/>
      <c r="L4262" s="17"/>
      <c r="M4262" s="17"/>
      <c r="N4262" s="17"/>
      <c r="O4262" s="17"/>
      <c r="P4262" s="17"/>
      <c r="Q4262" s="17"/>
      <c r="R4262" s="17"/>
      <c r="S4262" s="17"/>
      <c r="T4262" s="17"/>
      <c r="U4262" s="17"/>
      <c r="V4262" s="18">
        <v>0</v>
      </c>
      <c r="W4262" s="17">
        <f t="shared" si="134"/>
        <v>0</v>
      </c>
    </row>
    <row r="4263" spans="1:23" x14ac:dyDescent="0.25">
      <c r="A4263" s="17"/>
      <c r="B4263" s="17"/>
      <c r="C4263" s="17"/>
      <c r="D4263" s="17"/>
      <c r="E4263" s="17"/>
      <c r="F4263" s="17"/>
      <c r="G4263" s="17"/>
      <c r="H4263" s="17"/>
      <c r="I4263" s="17"/>
      <c r="J4263" s="17"/>
      <c r="K4263" s="17"/>
      <c r="L4263" s="17"/>
      <c r="M4263" s="17"/>
      <c r="N4263" s="17"/>
      <c r="O4263" s="17"/>
      <c r="P4263" s="17"/>
      <c r="Q4263" s="17"/>
      <c r="R4263" s="17"/>
      <c r="S4263" s="17"/>
      <c r="T4263" s="17"/>
      <c r="U4263" s="17"/>
      <c r="V4263" s="18">
        <v>0</v>
      </c>
      <c r="W4263" s="17">
        <f t="shared" si="134"/>
        <v>0</v>
      </c>
    </row>
    <row r="4264" spans="1:23" x14ac:dyDescent="0.25">
      <c r="A4264" s="17"/>
      <c r="B4264" s="17"/>
      <c r="C4264" s="17"/>
      <c r="D4264" s="17"/>
      <c r="E4264" s="17"/>
      <c r="F4264" s="17"/>
      <c r="G4264" s="17"/>
      <c r="H4264" s="17"/>
      <c r="I4264" s="17"/>
      <c r="J4264" s="17"/>
      <c r="K4264" s="17"/>
      <c r="L4264" s="17"/>
      <c r="M4264" s="17"/>
      <c r="N4264" s="17"/>
      <c r="O4264" s="17"/>
      <c r="P4264" s="17"/>
      <c r="Q4264" s="17"/>
      <c r="R4264" s="17"/>
      <c r="S4264" s="17"/>
      <c r="T4264" s="17"/>
      <c r="U4264" s="17"/>
      <c r="V4264" s="18">
        <v>0</v>
      </c>
      <c r="W4264" s="17">
        <f t="shared" si="134"/>
        <v>0</v>
      </c>
    </row>
    <row r="4265" spans="1:23" x14ac:dyDescent="0.25">
      <c r="A4265" s="17"/>
      <c r="B4265" s="17"/>
      <c r="C4265" s="17"/>
      <c r="D4265" s="17"/>
      <c r="E4265" s="17"/>
      <c r="F4265" s="17"/>
      <c r="G4265" s="17"/>
      <c r="H4265" s="17"/>
      <c r="I4265" s="17"/>
      <c r="J4265" s="17"/>
      <c r="K4265" s="17"/>
      <c r="L4265" s="17"/>
      <c r="M4265" s="17"/>
      <c r="N4265" s="17"/>
      <c r="O4265" s="17"/>
      <c r="P4265" s="17"/>
      <c r="Q4265" s="17"/>
      <c r="R4265" s="17"/>
      <c r="S4265" s="17"/>
      <c r="T4265" s="17"/>
      <c r="U4265" s="17"/>
      <c r="V4265" s="18">
        <v>0</v>
      </c>
      <c r="W4265" s="17">
        <f t="shared" si="134"/>
        <v>0</v>
      </c>
    </row>
    <row r="4266" spans="1:23" x14ac:dyDescent="0.25">
      <c r="A4266" s="17"/>
      <c r="B4266" s="17"/>
      <c r="C4266" s="17"/>
      <c r="D4266" s="17"/>
      <c r="E4266" s="17"/>
      <c r="F4266" s="17"/>
      <c r="G4266" s="17"/>
      <c r="H4266" s="17"/>
      <c r="I4266" s="17"/>
      <c r="J4266" s="17"/>
      <c r="K4266" s="17"/>
      <c r="L4266" s="17"/>
      <c r="M4266" s="17"/>
      <c r="N4266" s="17"/>
      <c r="O4266" s="17"/>
      <c r="P4266" s="17"/>
      <c r="Q4266" s="17"/>
      <c r="R4266" s="17"/>
      <c r="S4266" s="17"/>
      <c r="T4266" s="17"/>
      <c r="U4266" s="17"/>
      <c r="V4266" s="18">
        <v>0</v>
      </c>
      <c r="W4266" s="17">
        <f t="shared" si="134"/>
        <v>0</v>
      </c>
    </row>
    <row r="4267" spans="1:23" x14ac:dyDescent="0.25">
      <c r="A4267" s="17"/>
      <c r="B4267" s="17"/>
      <c r="C4267" s="17"/>
      <c r="D4267" s="17"/>
      <c r="E4267" s="17"/>
      <c r="F4267" s="17"/>
      <c r="G4267" s="17"/>
      <c r="H4267" s="17"/>
      <c r="I4267" s="17"/>
      <c r="J4267" s="17"/>
      <c r="K4267" s="17"/>
      <c r="L4267" s="17"/>
      <c r="M4267" s="17"/>
      <c r="N4267" s="17"/>
      <c r="O4267" s="17"/>
      <c r="P4267" s="17"/>
      <c r="Q4267" s="17"/>
      <c r="R4267" s="17"/>
      <c r="S4267" s="17"/>
      <c r="T4267" s="17"/>
      <c r="U4267" s="17"/>
      <c r="V4267" s="18">
        <v>0</v>
      </c>
      <c r="W4267" s="17">
        <f t="shared" si="134"/>
        <v>0</v>
      </c>
    </row>
    <row r="4268" spans="1:23" x14ac:dyDescent="0.25">
      <c r="A4268" s="17"/>
      <c r="B4268" s="17"/>
      <c r="C4268" s="17"/>
      <c r="D4268" s="17"/>
      <c r="E4268" s="17"/>
      <c r="F4268" s="17"/>
      <c r="G4268" s="17"/>
      <c r="H4268" s="17"/>
      <c r="I4268" s="17"/>
      <c r="J4268" s="17"/>
      <c r="K4268" s="17"/>
      <c r="L4268" s="17"/>
      <c r="M4268" s="17"/>
      <c r="N4268" s="17"/>
      <c r="O4268" s="17"/>
      <c r="P4268" s="17"/>
      <c r="Q4268" s="17"/>
      <c r="R4268" s="17"/>
      <c r="S4268" s="17"/>
      <c r="T4268" s="17"/>
      <c r="U4268" s="17"/>
      <c r="V4268" s="18">
        <v>0</v>
      </c>
      <c r="W4268" s="17">
        <f t="shared" si="134"/>
        <v>0</v>
      </c>
    </row>
    <row r="4269" spans="1:23" x14ac:dyDescent="0.25">
      <c r="A4269" s="17"/>
      <c r="B4269" s="17"/>
      <c r="C4269" s="17"/>
      <c r="D4269" s="17"/>
      <c r="E4269" s="17"/>
      <c r="F4269" s="17"/>
      <c r="G4269" s="17"/>
      <c r="H4269" s="17"/>
      <c r="I4269" s="17"/>
      <c r="J4269" s="17"/>
      <c r="K4269" s="17"/>
      <c r="L4269" s="17"/>
      <c r="M4269" s="17"/>
      <c r="N4269" s="17"/>
      <c r="O4269" s="17"/>
      <c r="P4269" s="17"/>
      <c r="Q4269" s="17"/>
      <c r="R4269" s="17"/>
      <c r="S4269" s="17"/>
      <c r="T4269" s="17"/>
      <c r="U4269" s="17"/>
      <c r="V4269" s="18">
        <v>0</v>
      </c>
      <c r="W4269" s="17">
        <f t="shared" si="134"/>
        <v>0</v>
      </c>
    </row>
    <row r="4270" spans="1:23" x14ac:dyDescent="0.25">
      <c r="A4270" s="17"/>
      <c r="B4270" s="17"/>
      <c r="C4270" s="17"/>
      <c r="D4270" s="17"/>
      <c r="E4270" s="17"/>
      <c r="F4270" s="17"/>
      <c r="G4270" s="17"/>
      <c r="H4270" s="17"/>
      <c r="I4270" s="17"/>
      <c r="J4270" s="17"/>
      <c r="K4270" s="17"/>
      <c r="L4270" s="17"/>
      <c r="M4270" s="17"/>
      <c r="N4270" s="17"/>
      <c r="O4270" s="17"/>
      <c r="P4270" s="17"/>
      <c r="Q4270" s="17"/>
      <c r="R4270" s="17"/>
      <c r="S4270" s="17"/>
      <c r="T4270" s="17"/>
      <c r="U4270" s="17"/>
      <c r="V4270" s="18">
        <v>0</v>
      </c>
      <c r="W4270" s="17">
        <f t="shared" si="134"/>
        <v>0</v>
      </c>
    </row>
    <row r="4271" spans="1:23" x14ac:dyDescent="0.25">
      <c r="A4271" s="17"/>
      <c r="B4271" s="17"/>
      <c r="C4271" s="17"/>
      <c r="D4271" s="17"/>
      <c r="E4271" s="17"/>
      <c r="F4271" s="17"/>
      <c r="G4271" s="17"/>
      <c r="H4271" s="17"/>
      <c r="I4271" s="17"/>
      <c r="J4271" s="17"/>
      <c r="K4271" s="17"/>
      <c r="L4271" s="17"/>
      <c r="M4271" s="17"/>
      <c r="N4271" s="17"/>
      <c r="O4271" s="17"/>
      <c r="P4271" s="17"/>
      <c r="Q4271" s="17"/>
      <c r="R4271" s="17"/>
      <c r="S4271" s="17"/>
      <c r="T4271" s="17"/>
      <c r="U4271" s="17"/>
      <c r="V4271" s="18">
        <v>0</v>
      </c>
      <c r="W4271" s="17">
        <f t="shared" si="134"/>
        <v>0</v>
      </c>
    </row>
    <row r="4272" spans="1:23" x14ac:dyDescent="0.25">
      <c r="A4272" s="17"/>
      <c r="B4272" s="17"/>
      <c r="C4272" s="17"/>
      <c r="D4272" s="17"/>
      <c r="E4272" s="17"/>
      <c r="F4272" s="17"/>
      <c r="G4272" s="17"/>
      <c r="H4272" s="17"/>
      <c r="I4272" s="17"/>
      <c r="J4272" s="17"/>
      <c r="K4272" s="17"/>
      <c r="L4272" s="17"/>
      <c r="M4272" s="17"/>
      <c r="N4272" s="17"/>
      <c r="O4272" s="17"/>
      <c r="P4272" s="17"/>
      <c r="Q4272" s="17"/>
      <c r="R4272" s="17"/>
      <c r="S4272" s="17"/>
      <c r="T4272" s="17"/>
      <c r="U4272" s="17"/>
      <c r="V4272" s="18">
        <v>0</v>
      </c>
      <c r="W4272" s="17">
        <f t="shared" si="134"/>
        <v>0</v>
      </c>
    </row>
    <row r="4273" spans="1:23" x14ac:dyDescent="0.25">
      <c r="A4273" s="17"/>
      <c r="B4273" s="17"/>
      <c r="C4273" s="17"/>
      <c r="D4273" s="17"/>
      <c r="E4273" s="17"/>
      <c r="F4273" s="17"/>
      <c r="G4273" s="17"/>
      <c r="H4273" s="17"/>
      <c r="I4273" s="17"/>
      <c r="J4273" s="17"/>
      <c r="K4273" s="17"/>
      <c r="L4273" s="17"/>
      <c r="M4273" s="17"/>
      <c r="N4273" s="17"/>
      <c r="O4273" s="17"/>
      <c r="P4273" s="17"/>
      <c r="Q4273" s="17"/>
      <c r="R4273" s="17"/>
      <c r="S4273" s="17"/>
      <c r="T4273" s="17"/>
      <c r="U4273" s="17"/>
      <c r="V4273" s="18">
        <v>0</v>
      </c>
      <c r="W4273" s="17">
        <f t="shared" si="134"/>
        <v>0</v>
      </c>
    </row>
    <row r="4274" spans="1:23" x14ac:dyDescent="0.25">
      <c r="A4274" s="17"/>
      <c r="B4274" s="17"/>
      <c r="C4274" s="17"/>
      <c r="D4274" s="17"/>
      <c r="E4274" s="17"/>
      <c r="F4274" s="17"/>
      <c r="G4274" s="17"/>
      <c r="H4274" s="17"/>
      <c r="I4274" s="17"/>
      <c r="J4274" s="17"/>
      <c r="K4274" s="17"/>
      <c r="L4274" s="17"/>
      <c r="M4274" s="17"/>
      <c r="N4274" s="17"/>
      <c r="O4274" s="17"/>
      <c r="P4274" s="17"/>
      <c r="Q4274" s="17"/>
      <c r="R4274" s="17"/>
      <c r="S4274" s="17"/>
      <c r="T4274" s="17"/>
      <c r="U4274" s="17"/>
      <c r="V4274" s="18">
        <v>0</v>
      </c>
      <c r="W4274" s="17">
        <f t="shared" si="134"/>
        <v>0</v>
      </c>
    </row>
    <row r="4275" spans="1:23" x14ac:dyDescent="0.25">
      <c r="A4275" s="17"/>
      <c r="B4275" s="17"/>
      <c r="C4275" s="17"/>
      <c r="D4275" s="17"/>
      <c r="E4275" s="17"/>
      <c r="F4275" s="17"/>
      <c r="G4275" s="17"/>
      <c r="H4275" s="17"/>
      <c r="I4275" s="17"/>
      <c r="J4275" s="17"/>
      <c r="K4275" s="17"/>
      <c r="L4275" s="17"/>
      <c r="M4275" s="17"/>
      <c r="N4275" s="17"/>
      <c r="O4275" s="17"/>
      <c r="P4275" s="17"/>
      <c r="Q4275" s="17"/>
      <c r="R4275" s="17"/>
      <c r="S4275" s="17"/>
      <c r="T4275" s="17"/>
      <c r="U4275" s="17"/>
      <c r="V4275" s="18">
        <v>0</v>
      </c>
      <c r="W4275" s="17">
        <f t="shared" si="134"/>
        <v>0</v>
      </c>
    </row>
    <row r="4276" spans="1:23" x14ac:dyDescent="0.25">
      <c r="A4276" s="17"/>
      <c r="B4276" s="17"/>
      <c r="C4276" s="17"/>
      <c r="D4276" s="17"/>
      <c r="E4276" s="17"/>
      <c r="F4276" s="17"/>
      <c r="G4276" s="17"/>
      <c r="H4276" s="17"/>
      <c r="I4276" s="17"/>
      <c r="J4276" s="17"/>
      <c r="K4276" s="17"/>
      <c r="L4276" s="17"/>
      <c r="M4276" s="17"/>
      <c r="N4276" s="17"/>
      <c r="O4276" s="17"/>
      <c r="P4276" s="17"/>
      <c r="Q4276" s="17"/>
      <c r="R4276" s="17"/>
      <c r="S4276" s="17"/>
      <c r="T4276" s="17"/>
      <c r="U4276" s="17"/>
      <c r="V4276" s="18">
        <v>0</v>
      </c>
      <c r="W4276" s="17">
        <f t="shared" si="134"/>
        <v>0</v>
      </c>
    </row>
    <row r="4277" spans="1:23" x14ac:dyDescent="0.25">
      <c r="A4277" s="17"/>
      <c r="B4277" s="17"/>
      <c r="C4277" s="17"/>
      <c r="D4277" s="17"/>
      <c r="E4277" s="17"/>
      <c r="F4277" s="17"/>
      <c r="G4277" s="17"/>
      <c r="H4277" s="17"/>
      <c r="I4277" s="17"/>
      <c r="J4277" s="17"/>
      <c r="K4277" s="17"/>
      <c r="L4277" s="17"/>
      <c r="M4277" s="17"/>
      <c r="N4277" s="17"/>
      <c r="O4277" s="17"/>
      <c r="P4277" s="17"/>
      <c r="Q4277" s="17"/>
      <c r="R4277" s="17"/>
      <c r="S4277" s="17"/>
      <c r="T4277" s="17"/>
      <c r="U4277" s="17"/>
      <c r="V4277" s="18">
        <v>0</v>
      </c>
      <c r="W4277" s="17">
        <f t="shared" si="134"/>
        <v>0</v>
      </c>
    </row>
    <row r="4278" spans="1:23" x14ac:dyDescent="0.25">
      <c r="A4278" s="17"/>
      <c r="B4278" s="17"/>
      <c r="C4278" s="17"/>
      <c r="D4278" s="17"/>
      <c r="E4278" s="17"/>
      <c r="F4278" s="17"/>
      <c r="G4278" s="17"/>
      <c r="H4278" s="17"/>
      <c r="I4278" s="17"/>
      <c r="J4278" s="17"/>
      <c r="K4278" s="17"/>
      <c r="L4278" s="17"/>
      <c r="M4278" s="17"/>
      <c r="N4278" s="17"/>
      <c r="O4278" s="17"/>
      <c r="P4278" s="17"/>
      <c r="Q4278" s="17"/>
      <c r="R4278" s="17"/>
      <c r="S4278" s="17"/>
      <c r="T4278" s="17"/>
      <c r="U4278" s="17"/>
      <c r="V4278" s="18">
        <v>0</v>
      </c>
      <c r="W4278" s="17">
        <f t="shared" si="134"/>
        <v>0</v>
      </c>
    </row>
    <row r="4279" spans="1:23" x14ac:dyDescent="0.25">
      <c r="A4279" s="17"/>
      <c r="B4279" s="17"/>
      <c r="C4279" s="17"/>
      <c r="D4279" s="17"/>
      <c r="E4279" s="17"/>
      <c r="F4279" s="17"/>
      <c r="G4279" s="17"/>
      <c r="H4279" s="17"/>
      <c r="I4279" s="17"/>
      <c r="J4279" s="17"/>
      <c r="K4279" s="17"/>
      <c r="L4279" s="17"/>
      <c r="M4279" s="17"/>
      <c r="N4279" s="17"/>
      <c r="O4279" s="17"/>
      <c r="P4279" s="17"/>
      <c r="Q4279" s="17"/>
      <c r="R4279" s="17"/>
      <c r="S4279" s="17"/>
      <c r="T4279" s="17"/>
      <c r="U4279" s="17"/>
      <c r="V4279" s="18">
        <v>0</v>
      </c>
      <c r="W4279" s="17">
        <f t="shared" si="134"/>
        <v>0</v>
      </c>
    </row>
    <row r="4280" spans="1:23" x14ac:dyDescent="0.25">
      <c r="A4280" s="17"/>
      <c r="B4280" s="17"/>
      <c r="C4280" s="17"/>
      <c r="D4280" s="17"/>
      <c r="E4280" s="17"/>
      <c r="F4280" s="17"/>
      <c r="G4280" s="17"/>
      <c r="H4280" s="17"/>
      <c r="I4280" s="17"/>
      <c r="J4280" s="17"/>
      <c r="K4280" s="17"/>
      <c r="L4280" s="17"/>
      <c r="M4280" s="17"/>
      <c r="N4280" s="17"/>
      <c r="O4280" s="17"/>
      <c r="P4280" s="17"/>
      <c r="Q4280" s="17"/>
      <c r="R4280" s="17"/>
      <c r="S4280" s="17"/>
      <c r="T4280" s="17"/>
      <c r="U4280" s="17"/>
      <c r="V4280" s="18">
        <v>0</v>
      </c>
      <c r="W4280" s="17">
        <f t="shared" si="134"/>
        <v>0</v>
      </c>
    </row>
    <row r="4281" spans="1:23" x14ac:dyDescent="0.25">
      <c r="A4281" s="17"/>
      <c r="B4281" s="17"/>
      <c r="C4281" s="17"/>
      <c r="D4281" s="17"/>
      <c r="E4281" s="17"/>
      <c r="F4281" s="17"/>
      <c r="G4281" s="17"/>
      <c r="H4281" s="17"/>
      <c r="I4281" s="17"/>
      <c r="J4281" s="17"/>
      <c r="K4281" s="17"/>
      <c r="L4281" s="17"/>
      <c r="M4281" s="17"/>
      <c r="N4281" s="17"/>
      <c r="O4281" s="17"/>
      <c r="P4281" s="17"/>
      <c r="Q4281" s="17"/>
      <c r="R4281" s="17"/>
      <c r="S4281" s="17"/>
      <c r="T4281" s="17"/>
      <c r="U4281" s="17"/>
      <c r="V4281" s="18">
        <v>0</v>
      </c>
      <c r="W4281" s="17">
        <f t="shared" si="134"/>
        <v>0</v>
      </c>
    </row>
    <row r="4282" spans="1:23" x14ac:dyDescent="0.25">
      <c r="A4282" s="17"/>
      <c r="B4282" s="17"/>
      <c r="C4282" s="17"/>
      <c r="D4282" s="17"/>
      <c r="E4282" s="17"/>
      <c r="F4282" s="17"/>
      <c r="G4282" s="17"/>
      <c r="H4282" s="17"/>
      <c r="I4282" s="17"/>
      <c r="J4282" s="17"/>
      <c r="K4282" s="17"/>
      <c r="L4282" s="17"/>
      <c r="M4282" s="17"/>
      <c r="N4282" s="17"/>
      <c r="O4282" s="17"/>
      <c r="P4282" s="17"/>
      <c r="Q4282" s="17"/>
      <c r="R4282" s="17"/>
      <c r="S4282" s="17"/>
      <c r="T4282" s="17"/>
      <c r="U4282" s="17"/>
      <c r="V4282" s="18">
        <v>0</v>
      </c>
      <c r="W4282" s="17">
        <f t="shared" si="134"/>
        <v>0</v>
      </c>
    </row>
    <row r="4283" spans="1:23" x14ac:dyDescent="0.25">
      <c r="A4283" s="17"/>
      <c r="B4283" s="17"/>
      <c r="C4283" s="17"/>
      <c r="D4283" s="17"/>
      <c r="E4283" s="17"/>
      <c r="F4283" s="17"/>
      <c r="G4283" s="17"/>
      <c r="H4283" s="17"/>
      <c r="I4283" s="17"/>
      <c r="J4283" s="17"/>
      <c r="K4283" s="17"/>
      <c r="L4283" s="17"/>
      <c r="M4283" s="17"/>
      <c r="N4283" s="17"/>
      <c r="O4283" s="17"/>
      <c r="P4283" s="17"/>
      <c r="Q4283" s="17"/>
      <c r="R4283" s="17"/>
      <c r="S4283" s="17"/>
      <c r="T4283" s="17"/>
      <c r="U4283" s="17"/>
      <c r="V4283" s="18">
        <v>0</v>
      </c>
      <c r="W4283" s="17">
        <f t="shared" si="134"/>
        <v>0</v>
      </c>
    </row>
    <row r="4284" spans="1:23" x14ac:dyDescent="0.25">
      <c r="A4284" s="17"/>
      <c r="B4284" s="17"/>
      <c r="C4284" s="17"/>
      <c r="D4284" s="17"/>
      <c r="E4284" s="17"/>
      <c r="F4284" s="17"/>
      <c r="G4284" s="17"/>
      <c r="H4284" s="17"/>
      <c r="I4284" s="17"/>
      <c r="J4284" s="17"/>
      <c r="K4284" s="17"/>
      <c r="L4284" s="17"/>
      <c r="M4284" s="17"/>
      <c r="N4284" s="17"/>
      <c r="O4284" s="17"/>
      <c r="P4284" s="17"/>
      <c r="Q4284" s="17"/>
      <c r="R4284" s="17"/>
      <c r="S4284" s="17"/>
      <c r="T4284" s="17"/>
      <c r="U4284" s="17"/>
      <c r="V4284" s="18">
        <v>0</v>
      </c>
      <c r="W4284" s="17">
        <f t="shared" si="134"/>
        <v>0</v>
      </c>
    </row>
    <row r="4285" spans="1:23" x14ac:dyDescent="0.25">
      <c r="A4285" s="17"/>
      <c r="B4285" s="17"/>
      <c r="C4285" s="17"/>
      <c r="D4285" s="17"/>
      <c r="E4285" s="17"/>
      <c r="F4285" s="17"/>
      <c r="G4285" s="17"/>
      <c r="H4285" s="17"/>
      <c r="I4285" s="17"/>
      <c r="J4285" s="17"/>
      <c r="K4285" s="17"/>
      <c r="L4285" s="17"/>
      <c r="M4285" s="17"/>
      <c r="N4285" s="17"/>
      <c r="O4285" s="17"/>
      <c r="P4285" s="17"/>
      <c r="Q4285" s="17"/>
      <c r="R4285" s="17"/>
      <c r="S4285" s="17"/>
      <c r="T4285" s="17"/>
      <c r="U4285" s="17"/>
      <c r="V4285" s="18">
        <v>0</v>
      </c>
      <c r="W4285" s="17">
        <f t="shared" si="134"/>
        <v>0</v>
      </c>
    </row>
    <row r="4286" spans="1:23" x14ac:dyDescent="0.25">
      <c r="A4286" s="17"/>
      <c r="B4286" s="17"/>
      <c r="C4286" s="17"/>
      <c r="D4286" s="17"/>
      <c r="E4286" s="17"/>
      <c r="F4286" s="17"/>
      <c r="G4286" s="17"/>
      <c r="H4286" s="17"/>
      <c r="I4286" s="17"/>
      <c r="J4286" s="17"/>
      <c r="K4286" s="17"/>
      <c r="L4286" s="17"/>
      <c r="M4286" s="17"/>
      <c r="N4286" s="17"/>
      <c r="O4286" s="17"/>
      <c r="P4286" s="17"/>
      <c r="Q4286" s="17"/>
      <c r="R4286" s="17"/>
      <c r="S4286" s="17"/>
      <c r="T4286" s="17"/>
      <c r="U4286" s="17"/>
      <c r="V4286" s="18">
        <v>0</v>
      </c>
      <c r="W4286" s="17">
        <f t="shared" si="134"/>
        <v>0</v>
      </c>
    </row>
    <row r="4287" spans="1:23" x14ac:dyDescent="0.25">
      <c r="A4287" s="17"/>
      <c r="B4287" s="17"/>
      <c r="C4287" s="17"/>
      <c r="D4287" s="17"/>
      <c r="E4287" s="17"/>
      <c r="F4287" s="17"/>
      <c r="G4287" s="17"/>
      <c r="H4287" s="17"/>
      <c r="I4287" s="17"/>
      <c r="J4287" s="17"/>
      <c r="K4287" s="17"/>
      <c r="L4287" s="17"/>
      <c r="M4287" s="17"/>
      <c r="N4287" s="17"/>
      <c r="O4287" s="17"/>
      <c r="P4287" s="17"/>
      <c r="Q4287" s="17"/>
      <c r="R4287" s="17"/>
      <c r="S4287" s="17"/>
      <c r="T4287" s="17"/>
      <c r="U4287" s="17"/>
      <c r="V4287" s="18">
        <v>0</v>
      </c>
      <c r="W4287" s="17">
        <f t="shared" si="134"/>
        <v>0</v>
      </c>
    </row>
    <row r="4288" spans="1:23" x14ac:dyDescent="0.25">
      <c r="A4288" s="17"/>
      <c r="B4288" s="17"/>
      <c r="C4288" s="17"/>
      <c r="D4288" s="17"/>
      <c r="E4288" s="17"/>
      <c r="F4288" s="17"/>
      <c r="G4288" s="17"/>
      <c r="H4288" s="17"/>
      <c r="I4288" s="17"/>
      <c r="J4288" s="17"/>
      <c r="K4288" s="17"/>
      <c r="L4288" s="17"/>
      <c r="M4288" s="17"/>
      <c r="N4288" s="17"/>
      <c r="O4288" s="17"/>
      <c r="P4288" s="17"/>
      <c r="Q4288" s="17"/>
      <c r="R4288" s="17"/>
      <c r="S4288" s="17"/>
      <c r="T4288" s="17"/>
      <c r="U4288" s="17"/>
      <c r="V4288" s="18">
        <v>0</v>
      </c>
      <c r="W4288" s="17">
        <f t="shared" si="134"/>
        <v>0</v>
      </c>
    </row>
    <row r="4289" spans="1:23" x14ac:dyDescent="0.25">
      <c r="A4289" s="17"/>
      <c r="B4289" s="17"/>
      <c r="C4289" s="17"/>
      <c r="D4289" s="17"/>
      <c r="E4289" s="17"/>
      <c r="F4289" s="17"/>
      <c r="G4289" s="17"/>
      <c r="H4289" s="17"/>
      <c r="I4289" s="17"/>
      <c r="J4289" s="17"/>
      <c r="K4289" s="17"/>
      <c r="L4289" s="17"/>
      <c r="M4289" s="17"/>
      <c r="N4289" s="17"/>
      <c r="O4289" s="17"/>
      <c r="P4289" s="17"/>
      <c r="Q4289" s="17"/>
      <c r="R4289" s="17"/>
      <c r="S4289" s="17"/>
      <c r="T4289" s="17"/>
      <c r="U4289" s="17"/>
      <c r="V4289" s="18">
        <v>0</v>
      </c>
      <c r="W4289" s="17">
        <f t="shared" si="134"/>
        <v>0</v>
      </c>
    </row>
    <row r="4290" spans="1:23" x14ac:dyDescent="0.25">
      <c r="A4290" s="17"/>
      <c r="B4290" s="17"/>
      <c r="C4290" s="17"/>
      <c r="D4290" s="17"/>
      <c r="E4290" s="17"/>
      <c r="F4290" s="17"/>
      <c r="G4290" s="17"/>
      <c r="H4290" s="17"/>
      <c r="I4290" s="17"/>
      <c r="J4290" s="17"/>
      <c r="K4290" s="17"/>
      <c r="L4290" s="17"/>
      <c r="M4290" s="17"/>
      <c r="N4290" s="17"/>
      <c r="O4290" s="17"/>
      <c r="P4290" s="17"/>
      <c r="Q4290" s="17"/>
      <c r="R4290" s="17"/>
      <c r="S4290" s="17"/>
      <c r="T4290" s="17"/>
      <c r="U4290" s="17"/>
      <c r="V4290" s="18">
        <v>0</v>
      </c>
      <c r="W4290" s="17">
        <f t="shared" si="134"/>
        <v>0</v>
      </c>
    </row>
    <row r="4291" spans="1:23" x14ac:dyDescent="0.25">
      <c r="A4291" s="17"/>
      <c r="B4291" s="17"/>
      <c r="C4291" s="17"/>
      <c r="D4291" s="17"/>
      <c r="E4291" s="17"/>
      <c r="F4291" s="17"/>
      <c r="G4291" s="17"/>
      <c r="H4291" s="17"/>
      <c r="I4291" s="17"/>
      <c r="J4291" s="17"/>
      <c r="K4291" s="17"/>
      <c r="L4291" s="17"/>
      <c r="M4291" s="17"/>
      <c r="N4291" s="17"/>
      <c r="O4291" s="17"/>
      <c r="P4291" s="17"/>
      <c r="Q4291" s="17"/>
      <c r="R4291" s="17"/>
      <c r="S4291" s="17"/>
      <c r="T4291" s="17"/>
      <c r="U4291" s="17"/>
      <c r="V4291" s="18">
        <v>0</v>
      </c>
      <c r="W4291" s="17">
        <f t="shared" ref="W4291:W4354" si="135">HOUR(E4291)</f>
        <v>0</v>
      </c>
    </row>
    <row r="4292" spans="1:23" x14ac:dyDescent="0.25">
      <c r="A4292" s="17"/>
      <c r="B4292" s="17"/>
      <c r="C4292" s="17"/>
      <c r="D4292" s="17"/>
      <c r="E4292" s="17"/>
      <c r="F4292" s="17"/>
      <c r="G4292" s="17"/>
      <c r="H4292" s="17"/>
      <c r="I4292" s="17"/>
      <c r="J4292" s="17"/>
      <c r="K4292" s="17"/>
      <c r="L4292" s="17"/>
      <c r="M4292" s="17"/>
      <c r="N4292" s="17"/>
      <c r="O4292" s="17"/>
      <c r="P4292" s="17"/>
      <c r="Q4292" s="17"/>
      <c r="R4292" s="17"/>
      <c r="S4292" s="17"/>
      <c r="T4292" s="17"/>
      <c r="U4292" s="17"/>
      <c r="V4292" s="18">
        <v>0</v>
      </c>
      <c r="W4292" s="17">
        <f t="shared" si="135"/>
        <v>0</v>
      </c>
    </row>
    <row r="4293" spans="1:23" x14ac:dyDescent="0.25">
      <c r="A4293" s="17"/>
      <c r="B4293" s="17"/>
      <c r="C4293" s="17"/>
      <c r="D4293" s="17"/>
      <c r="E4293" s="17"/>
      <c r="F4293" s="17"/>
      <c r="G4293" s="17"/>
      <c r="H4293" s="17"/>
      <c r="I4293" s="17"/>
      <c r="J4293" s="17"/>
      <c r="K4293" s="17"/>
      <c r="L4293" s="17"/>
      <c r="M4293" s="17"/>
      <c r="N4293" s="17"/>
      <c r="O4293" s="17"/>
      <c r="P4293" s="17"/>
      <c r="Q4293" s="17"/>
      <c r="R4293" s="17"/>
      <c r="S4293" s="17"/>
      <c r="T4293" s="17"/>
      <c r="U4293" s="17"/>
      <c r="V4293" s="18">
        <v>0</v>
      </c>
      <c r="W4293" s="17">
        <f t="shared" si="135"/>
        <v>0</v>
      </c>
    </row>
    <row r="4294" spans="1:23" x14ac:dyDescent="0.25">
      <c r="A4294" s="17"/>
      <c r="B4294" s="17"/>
      <c r="C4294" s="17"/>
      <c r="D4294" s="17"/>
      <c r="E4294" s="17"/>
      <c r="F4294" s="17"/>
      <c r="G4294" s="17"/>
      <c r="H4294" s="17"/>
      <c r="I4294" s="17"/>
      <c r="J4294" s="17"/>
      <c r="K4294" s="17"/>
      <c r="L4294" s="17"/>
      <c r="M4294" s="17"/>
      <c r="N4294" s="17"/>
      <c r="O4294" s="17"/>
      <c r="P4294" s="17"/>
      <c r="Q4294" s="17"/>
      <c r="R4294" s="17"/>
      <c r="S4294" s="17"/>
      <c r="T4294" s="17"/>
      <c r="U4294" s="17"/>
      <c r="V4294" s="18">
        <v>0</v>
      </c>
      <c r="W4294" s="17">
        <f t="shared" si="135"/>
        <v>0</v>
      </c>
    </row>
    <row r="4295" spans="1:23" x14ac:dyDescent="0.25">
      <c r="A4295" s="17"/>
      <c r="B4295" s="17"/>
      <c r="C4295" s="17"/>
      <c r="D4295" s="17"/>
      <c r="E4295" s="17"/>
      <c r="F4295" s="17"/>
      <c r="G4295" s="17"/>
      <c r="H4295" s="17"/>
      <c r="I4295" s="17"/>
      <c r="J4295" s="17"/>
      <c r="K4295" s="17"/>
      <c r="L4295" s="17"/>
      <c r="M4295" s="17"/>
      <c r="N4295" s="17"/>
      <c r="O4295" s="17"/>
      <c r="P4295" s="17"/>
      <c r="Q4295" s="17"/>
      <c r="R4295" s="17"/>
      <c r="S4295" s="17"/>
      <c r="T4295" s="17"/>
      <c r="U4295" s="17"/>
      <c r="V4295" s="18">
        <v>0</v>
      </c>
      <c r="W4295" s="17">
        <f t="shared" si="135"/>
        <v>0</v>
      </c>
    </row>
    <row r="4296" spans="1:23" x14ac:dyDescent="0.25">
      <c r="A4296" s="17"/>
      <c r="B4296" s="17"/>
      <c r="C4296" s="17"/>
      <c r="D4296" s="17"/>
      <c r="E4296" s="17"/>
      <c r="F4296" s="17"/>
      <c r="G4296" s="17"/>
      <c r="H4296" s="17"/>
      <c r="I4296" s="17"/>
      <c r="J4296" s="17"/>
      <c r="K4296" s="17"/>
      <c r="L4296" s="17"/>
      <c r="M4296" s="17"/>
      <c r="N4296" s="17"/>
      <c r="O4296" s="17"/>
      <c r="P4296" s="17"/>
      <c r="Q4296" s="17"/>
      <c r="R4296" s="17"/>
      <c r="S4296" s="17"/>
      <c r="T4296" s="17"/>
      <c r="U4296" s="17"/>
      <c r="V4296" s="18">
        <v>0</v>
      </c>
      <c r="W4296" s="17">
        <f t="shared" si="135"/>
        <v>0</v>
      </c>
    </row>
    <row r="4297" spans="1:23" x14ac:dyDescent="0.25">
      <c r="A4297" s="17"/>
      <c r="B4297" s="17"/>
      <c r="C4297" s="17"/>
      <c r="D4297" s="17"/>
      <c r="E4297" s="17"/>
      <c r="F4297" s="17"/>
      <c r="G4297" s="17"/>
      <c r="H4297" s="17"/>
      <c r="I4297" s="17"/>
      <c r="J4297" s="17"/>
      <c r="K4297" s="17"/>
      <c r="L4297" s="17"/>
      <c r="M4297" s="17"/>
      <c r="N4297" s="17"/>
      <c r="O4297" s="17"/>
      <c r="P4297" s="17"/>
      <c r="Q4297" s="17"/>
      <c r="R4297" s="17"/>
      <c r="S4297" s="17"/>
      <c r="T4297" s="17"/>
      <c r="U4297" s="17"/>
      <c r="V4297" s="18">
        <v>0</v>
      </c>
      <c r="W4297" s="17">
        <f t="shared" si="135"/>
        <v>0</v>
      </c>
    </row>
    <row r="4298" spans="1:23" x14ac:dyDescent="0.25">
      <c r="A4298" s="17"/>
      <c r="B4298" s="17"/>
      <c r="C4298" s="17"/>
      <c r="D4298" s="17"/>
      <c r="E4298" s="17"/>
      <c r="F4298" s="17"/>
      <c r="G4298" s="17"/>
      <c r="H4298" s="17"/>
      <c r="I4298" s="17"/>
      <c r="J4298" s="17"/>
      <c r="K4298" s="17"/>
      <c r="L4298" s="17"/>
      <c r="M4298" s="17"/>
      <c r="N4298" s="17"/>
      <c r="O4298" s="17"/>
      <c r="P4298" s="17"/>
      <c r="Q4298" s="17"/>
      <c r="R4298" s="17"/>
      <c r="S4298" s="17"/>
      <c r="T4298" s="17"/>
      <c r="U4298" s="17"/>
      <c r="V4298" s="18">
        <v>0</v>
      </c>
      <c r="W4298" s="17">
        <f t="shared" si="135"/>
        <v>0</v>
      </c>
    </row>
    <row r="4299" spans="1:23" x14ac:dyDescent="0.25">
      <c r="A4299" s="17"/>
      <c r="B4299" s="17"/>
      <c r="C4299" s="17"/>
      <c r="D4299" s="17"/>
      <c r="E4299" s="17"/>
      <c r="F4299" s="17"/>
      <c r="G4299" s="17"/>
      <c r="H4299" s="17"/>
      <c r="I4299" s="17"/>
      <c r="J4299" s="17"/>
      <c r="K4299" s="17"/>
      <c r="L4299" s="17"/>
      <c r="M4299" s="17"/>
      <c r="N4299" s="17"/>
      <c r="O4299" s="17"/>
      <c r="P4299" s="17"/>
      <c r="Q4299" s="17"/>
      <c r="R4299" s="17"/>
      <c r="S4299" s="17"/>
      <c r="T4299" s="17"/>
      <c r="U4299" s="17"/>
      <c r="V4299" s="18">
        <v>0</v>
      </c>
      <c r="W4299" s="17">
        <f t="shared" si="135"/>
        <v>0</v>
      </c>
    </row>
    <row r="4300" spans="1:23" x14ac:dyDescent="0.25">
      <c r="A4300" s="17"/>
      <c r="B4300" s="17"/>
      <c r="C4300" s="17"/>
      <c r="D4300" s="17"/>
      <c r="E4300" s="17"/>
      <c r="F4300" s="17"/>
      <c r="G4300" s="17"/>
      <c r="H4300" s="17"/>
      <c r="I4300" s="17"/>
      <c r="J4300" s="17"/>
      <c r="K4300" s="17"/>
      <c r="L4300" s="17"/>
      <c r="M4300" s="17"/>
      <c r="N4300" s="17"/>
      <c r="O4300" s="17"/>
      <c r="P4300" s="17"/>
      <c r="Q4300" s="17"/>
      <c r="R4300" s="17"/>
      <c r="S4300" s="17"/>
      <c r="T4300" s="17"/>
      <c r="U4300" s="17"/>
      <c r="V4300" s="18">
        <v>0</v>
      </c>
      <c r="W4300" s="17">
        <f t="shared" si="135"/>
        <v>0</v>
      </c>
    </row>
    <row r="4301" spans="1:23" x14ac:dyDescent="0.25">
      <c r="A4301" s="17"/>
      <c r="B4301" s="17"/>
      <c r="C4301" s="17"/>
      <c r="D4301" s="17"/>
      <c r="E4301" s="17"/>
      <c r="F4301" s="17"/>
      <c r="G4301" s="17"/>
      <c r="H4301" s="17"/>
      <c r="I4301" s="17"/>
      <c r="J4301" s="17"/>
      <c r="K4301" s="17"/>
      <c r="L4301" s="17"/>
      <c r="M4301" s="17"/>
      <c r="N4301" s="17"/>
      <c r="O4301" s="17"/>
      <c r="P4301" s="17"/>
      <c r="Q4301" s="17"/>
      <c r="R4301" s="17"/>
      <c r="S4301" s="17"/>
      <c r="T4301" s="17"/>
      <c r="U4301" s="17"/>
      <c r="V4301" s="18">
        <v>0</v>
      </c>
      <c r="W4301" s="17">
        <f t="shared" si="135"/>
        <v>0</v>
      </c>
    </row>
    <row r="4302" spans="1:23" x14ac:dyDescent="0.25">
      <c r="A4302" s="17"/>
      <c r="B4302" s="17"/>
      <c r="C4302" s="17"/>
      <c r="D4302" s="17"/>
      <c r="E4302" s="17"/>
      <c r="F4302" s="17"/>
      <c r="G4302" s="17"/>
      <c r="H4302" s="17"/>
      <c r="I4302" s="17"/>
      <c r="J4302" s="17"/>
      <c r="K4302" s="17"/>
      <c r="L4302" s="17"/>
      <c r="M4302" s="17"/>
      <c r="N4302" s="17"/>
      <c r="O4302" s="17"/>
      <c r="P4302" s="17"/>
      <c r="Q4302" s="17"/>
      <c r="R4302" s="17"/>
      <c r="S4302" s="17"/>
      <c r="T4302" s="17"/>
      <c r="U4302" s="17"/>
      <c r="V4302" s="18">
        <v>0</v>
      </c>
      <c r="W4302" s="17">
        <f t="shared" si="135"/>
        <v>0</v>
      </c>
    </row>
    <row r="4303" spans="1:23" x14ac:dyDescent="0.25">
      <c r="A4303" s="17"/>
      <c r="B4303" s="17"/>
      <c r="C4303" s="17"/>
      <c r="D4303" s="17"/>
      <c r="E4303" s="17"/>
      <c r="F4303" s="17"/>
      <c r="G4303" s="17"/>
      <c r="H4303" s="17"/>
      <c r="I4303" s="17"/>
      <c r="J4303" s="17"/>
      <c r="K4303" s="17"/>
      <c r="L4303" s="17"/>
      <c r="M4303" s="17"/>
      <c r="N4303" s="17"/>
      <c r="O4303" s="17"/>
      <c r="P4303" s="17"/>
      <c r="Q4303" s="17"/>
      <c r="R4303" s="17"/>
      <c r="S4303" s="17"/>
      <c r="T4303" s="17"/>
      <c r="U4303" s="17"/>
      <c r="V4303" s="18">
        <v>0</v>
      </c>
      <c r="W4303" s="17">
        <f t="shared" si="135"/>
        <v>0</v>
      </c>
    </row>
    <row r="4304" spans="1:23" x14ac:dyDescent="0.25">
      <c r="A4304" s="17"/>
      <c r="B4304" s="17"/>
      <c r="C4304" s="17"/>
      <c r="D4304" s="17"/>
      <c r="E4304" s="17"/>
      <c r="F4304" s="17"/>
      <c r="G4304" s="17"/>
      <c r="H4304" s="17"/>
      <c r="I4304" s="17"/>
      <c r="J4304" s="17"/>
      <c r="K4304" s="17"/>
      <c r="L4304" s="17"/>
      <c r="M4304" s="17"/>
      <c r="N4304" s="17"/>
      <c r="O4304" s="17"/>
      <c r="P4304" s="17"/>
      <c r="Q4304" s="17"/>
      <c r="R4304" s="17"/>
      <c r="S4304" s="17"/>
      <c r="T4304" s="17"/>
      <c r="U4304" s="17"/>
      <c r="V4304" s="18">
        <v>0</v>
      </c>
      <c r="W4304" s="17">
        <f t="shared" si="135"/>
        <v>0</v>
      </c>
    </row>
    <row r="4305" spans="1:23" x14ac:dyDescent="0.25">
      <c r="A4305" s="17"/>
      <c r="B4305" s="17"/>
      <c r="C4305" s="17"/>
      <c r="D4305" s="17"/>
      <c r="E4305" s="17"/>
      <c r="F4305" s="17"/>
      <c r="G4305" s="17"/>
      <c r="H4305" s="17"/>
      <c r="I4305" s="17"/>
      <c r="J4305" s="17"/>
      <c r="K4305" s="17"/>
      <c r="L4305" s="17"/>
      <c r="M4305" s="17"/>
      <c r="N4305" s="17"/>
      <c r="O4305" s="17"/>
      <c r="P4305" s="17"/>
      <c r="Q4305" s="17"/>
      <c r="R4305" s="17"/>
      <c r="S4305" s="17"/>
      <c r="T4305" s="17"/>
      <c r="U4305" s="17"/>
      <c r="V4305" s="18">
        <v>0</v>
      </c>
      <c r="W4305" s="17">
        <f t="shared" si="135"/>
        <v>0</v>
      </c>
    </row>
    <row r="4306" spans="1:23" x14ac:dyDescent="0.25">
      <c r="A4306" s="17"/>
      <c r="B4306" s="17"/>
      <c r="C4306" s="17"/>
      <c r="D4306" s="17"/>
      <c r="E4306" s="17"/>
      <c r="F4306" s="17"/>
      <c r="G4306" s="17"/>
      <c r="H4306" s="17"/>
      <c r="I4306" s="17"/>
      <c r="J4306" s="17"/>
      <c r="K4306" s="17"/>
      <c r="L4306" s="17"/>
      <c r="M4306" s="17"/>
      <c r="N4306" s="17"/>
      <c r="O4306" s="17"/>
      <c r="P4306" s="17"/>
      <c r="Q4306" s="17"/>
      <c r="R4306" s="17"/>
      <c r="S4306" s="17"/>
      <c r="T4306" s="17"/>
      <c r="U4306" s="17"/>
      <c r="V4306" s="18">
        <v>0</v>
      </c>
      <c r="W4306" s="17">
        <f t="shared" si="135"/>
        <v>0</v>
      </c>
    </row>
    <row r="4307" spans="1:23" x14ac:dyDescent="0.25">
      <c r="A4307" s="17"/>
      <c r="B4307" s="17"/>
      <c r="C4307" s="17"/>
      <c r="D4307" s="17"/>
      <c r="E4307" s="17"/>
      <c r="F4307" s="17"/>
      <c r="G4307" s="17"/>
      <c r="H4307" s="17"/>
      <c r="I4307" s="17"/>
      <c r="J4307" s="17"/>
      <c r="K4307" s="17"/>
      <c r="L4307" s="17"/>
      <c r="M4307" s="17"/>
      <c r="N4307" s="17"/>
      <c r="O4307" s="17"/>
      <c r="P4307" s="17"/>
      <c r="Q4307" s="17"/>
      <c r="R4307" s="17"/>
      <c r="S4307" s="17"/>
      <c r="T4307" s="17"/>
      <c r="U4307" s="17"/>
      <c r="V4307" s="18">
        <v>0</v>
      </c>
      <c r="W4307" s="17">
        <f t="shared" si="135"/>
        <v>0</v>
      </c>
    </row>
    <row r="4308" spans="1:23" x14ac:dyDescent="0.25">
      <c r="A4308" s="17"/>
      <c r="B4308" s="17"/>
      <c r="C4308" s="17"/>
      <c r="D4308" s="17"/>
      <c r="E4308" s="17"/>
      <c r="F4308" s="17"/>
      <c r="G4308" s="17"/>
      <c r="H4308" s="17"/>
      <c r="I4308" s="17"/>
      <c r="J4308" s="17"/>
      <c r="K4308" s="17"/>
      <c r="L4308" s="17"/>
      <c r="M4308" s="17"/>
      <c r="N4308" s="17"/>
      <c r="O4308" s="17"/>
      <c r="P4308" s="17"/>
      <c r="Q4308" s="17"/>
      <c r="R4308" s="17"/>
      <c r="S4308" s="17"/>
      <c r="T4308" s="17"/>
      <c r="U4308" s="17"/>
      <c r="V4308" s="18">
        <v>0</v>
      </c>
      <c r="W4308" s="17">
        <f t="shared" si="135"/>
        <v>0</v>
      </c>
    </row>
    <row r="4309" spans="1:23" x14ac:dyDescent="0.25">
      <c r="A4309" s="17"/>
      <c r="B4309" s="17"/>
      <c r="C4309" s="17"/>
      <c r="D4309" s="17"/>
      <c r="E4309" s="17"/>
      <c r="F4309" s="17"/>
      <c r="G4309" s="17"/>
      <c r="H4309" s="17"/>
      <c r="I4309" s="17"/>
      <c r="J4309" s="17"/>
      <c r="K4309" s="17"/>
      <c r="L4309" s="17"/>
      <c r="M4309" s="17"/>
      <c r="N4309" s="17"/>
      <c r="O4309" s="17"/>
      <c r="P4309" s="17"/>
      <c r="Q4309" s="17"/>
      <c r="R4309" s="17"/>
      <c r="S4309" s="17"/>
      <c r="T4309" s="17"/>
      <c r="U4309" s="17"/>
      <c r="V4309" s="18">
        <v>0</v>
      </c>
      <c r="W4309" s="17">
        <f t="shared" si="135"/>
        <v>0</v>
      </c>
    </row>
    <row r="4310" spans="1:23" x14ac:dyDescent="0.25">
      <c r="A4310" s="17"/>
      <c r="B4310" s="17"/>
      <c r="C4310" s="17"/>
      <c r="D4310" s="17"/>
      <c r="E4310" s="17"/>
      <c r="F4310" s="17"/>
      <c r="G4310" s="17"/>
      <c r="H4310" s="17"/>
      <c r="I4310" s="17"/>
      <c r="J4310" s="17"/>
      <c r="K4310" s="17"/>
      <c r="L4310" s="17"/>
      <c r="M4310" s="17"/>
      <c r="N4310" s="17"/>
      <c r="O4310" s="17"/>
      <c r="P4310" s="17"/>
      <c r="Q4310" s="17"/>
      <c r="R4310" s="17"/>
      <c r="S4310" s="17"/>
      <c r="T4310" s="17"/>
      <c r="U4310" s="17"/>
      <c r="V4310" s="18">
        <v>0</v>
      </c>
      <c r="W4310" s="17">
        <f t="shared" si="135"/>
        <v>0</v>
      </c>
    </row>
    <row r="4311" spans="1:23" x14ac:dyDescent="0.25">
      <c r="A4311" s="17"/>
      <c r="B4311" s="17"/>
      <c r="C4311" s="17"/>
      <c r="D4311" s="17"/>
      <c r="E4311" s="17"/>
      <c r="F4311" s="17"/>
      <c r="G4311" s="17"/>
      <c r="H4311" s="17"/>
      <c r="I4311" s="17"/>
      <c r="J4311" s="17"/>
      <c r="K4311" s="17"/>
      <c r="L4311" s="17"/>
      <c r="M4311" s="17"/>
      <c r="N4311" s="17"/>
      <c r="O4311" s="17"/>
      <c r="P4311" s="17"/>
      <c r="Q4311" s="17"/>
      <c r="R4311" s="17"/>
      <c r="S4311" s="17"/>
      <c r="T4311" s="17"/>
      <c r="U4311" s="17"/>
      <c r="V4311" s="18">
        <v>0</v>
      </c>
      <c r="W4311" s="17">
        <f t="shared" si="135"/>
        <v>0</v>
      </c>
    </row>
    <row r="4312" spans="1:23" x14ac:dyDescent="0.25">
      <c r="A4312" s="17"/>
      <c r="B4312" s="17"/>
      <c r="C4312" s="17"/>
      <c r="D4312" s="17"/>
      <c r="E4312" s="17"/>
      <c r="F4312" s="17"/>
      <c r="G4312" s="17"/>
      <c r="H4312" s="17"/>
      <c r="I4312" s="17"/>
      <c r="J4312" s="17"/>
      <c r="K4312" s="17"/>
      <c r="L4312" s="17"/>
      <c r="M4312" s="17"/>
      <c r="N4312" s="17"/>
      <c r="O4312" s="17"/>
      <c r="P4312" s="17"/>
      <c r="Q4312" s="17"/>
      <c r="R4312" s="17"/>
      <c r="S4312" s="17"/>
      <c r="T4312" s="17"/>
      <c r="U4312" s="17"/>
      <c r="V4312" s="18">
        <v>0</v>
      </c>
      <c r="W4312" s="17">
        <f t="shared" si="135"/>
        <v>0</v>
      </c>
    </row>
    <row r="4313" spans="1:23" x14ac:dyDescent="0.25">
      <c r="A4313" s="17"/>
      <c r="B4313" s="17"/>
      <c r="C4313" s="17"/>
      <c r="D4313" s="17"/>
      <c r="E4313" s="17"/>
      <c r="F4313" s="17"/>
      <c r="G4313" s="17"/>
      <c r="H4313" s="17"/>
      <c r="I4313" s="17"/>
      <c r="J4313" s="17"/>
      <c r="K4313" s="17"/>
      <c r="L4313" s="17"/>
      <c r="M4313" s="17"/>
      <c r="N4313" s="17"/>
      <c r="O4313" s="17"/>
      <c r="P4313" s="17"/>
      <c r="Q4313" s="17"/>
      <c r="R4313" s="17"/>
      <c r="S4313" s="17"/>
      <c r="T4313" s="17"/>
      <c r="U4313" s="17"/>
      <c r="V4313" s="18">
        <v>0</v>
      </c>
      <c r="W4313" s="17">
        <f t="shared" si="135"/>
        <v>0</v>
      </c>
    </row>
    <row r="4314" spans="1:23" x14ac:dyDescent="0.25">
      <c r="A4314" s="17"/>
      <c r="B4314" s="17"/>
      <c r="C4314" s="17"/>
      <c r="D4314" s="17"/>
      <c r="E4314" s="17"/>
      <c r="F4314" s="17"/>
      <c r="G4314" s="17"/>
      <c r="H4314" s="17"/>
      <c r="I4314" s="17"/>
      <c r="J4314" s="17"/>
      <c r="K4314" s="17"/>
      <c r="L4314" s="17"/>
      <c r="M4314" s="17"/>
      <c r="N4314" s="17"/>
      <c r="O4314" s="17"/>
      <c r="P4314" s="17"/>
      <c r="Q4314" s="17"/>
      <c r="R4314" s="17"/>
      <c r="S4314" s="17"/>
      <c r="T4314" s="17"/>
      <c r="U4314" s="17"/>
      <c r="V4314" s="18">
        <v>0</v>
      </c>
      <c r="W4314" s="17">
        <f t="shared" si="135"/>
        <v>0</v>
      </c>
    </row>
    <row r="4315" spans="1:23" x14ac:dyDescent="0.25">
      <c r="A4315" s="17"/>
      <c r="B4315" s="17"/>
      <c r="C4315" s="17"/>
      <c r="D4315" s="17"/>
      <c r="E4315" s="17"/>
      <c r="F4315" s="17"/>
      <c r="G4315" s="17"/>
      <c r="H4315" s="17"/>
      <c r="I4315" s="17"/>
      <c r="J4315" s="17"/>
      <c r="K4315" s="17"/>
      <c r="L4315" s="17"/>
      <c r="M4315" s="17"/>
      <c r="N4315" s="17"/>
      <c r="O4315" s="17"/>
      <c r="P4315" s="17"/>
      <c r="Q4315" s="17"/>
      <c r="R4315" s="17"/>
      <c r="S4315" s="17"/>
      <c r="T4315" s="17"/>
      <c r="U4315" s="17"/>
      <c r="V4315" s="18">
        <v>0</v>
      </c>
      <c r="W4315" s="17">
        <f t="shared" si="135"/>
        <v>0</v>
      </c>
    </row>
    <row r="4316" spans="1:23" x14ac:dyDescent="0.25">
      <c r="A4316" s="17"/>
      <c r="B4316" s="17"/>
      <c r="C4316" s="17"/>
      <c r="D4316" s="17"/>
      <c r="E4316" s="17"/>
      <c r="F4316" s="17"/>
      <c r="G4316" s="17"/>
      <c r="H4316" s="17"/>
      <c r="I4316" s="17"/>
      <c r="J4316" s="17"/>
      <c r="K4316" s="17"/>
      <c r="L4316" s="17"/>
      <c r="M4316" s="17"/>
      <c r="N4316" s="17"/>
      <c r="O4316" s="17"/>
      <c r="P4316" s="17"/>
      <c r="Q4316" s="17"/>
      <c r="R4316" s="17"/>
      <c r="S4316" s="17"/>
      <c r="T4316" s="17"/>
      <c r="U4316" s="17"/>
      <c r="V4316" s="18">
        <v>0</v>
      </c>
      <c r="W4316" s="17">
        <f t="shared" si="135"/>
        <v>0</v>
      </c>
    </row>
    <row r="4317" spans="1:23" x14ac:dyDescent="0.25">
      <c r="A4317" s="17"/>
      <c r="B4317" s="17"/>
      <c r="C4317" s="17"/>
      <c r="D4317" s="17"/>
      <c r="E4317" s="17"/>
      <c r="F4317" s="17"/>
      <c r="G4317" s="17"/>
      <c r="H4317" s="17"/>
      <c r="I4317" s="17"/>
      <c r="J4317" s="17"/>
      <c r="K4317" s="17"/>
      <c r="L4317" s="17"/>
      <c r="M4317" s="17"/>
      <c r="N4317" s="17"/>
      <c r="O4317" s="17"/>
      <c r="P4317" s="17"/>
      <c r="Q4317" s="17"/>
      <c r="R4317" s="17"/>
      <c r="S4317" s="17"/>
      <c r="T4317" s="17"/>
      <c r="U4317" s="17"/>
      <c r="V4317" s="18">
        <v>0</v>
      </c>
      <c r="W4317" s="17">
        <f t="shared" si="135"/>
        <v>0</v>
      </c>
    </row>
    <row r="4318" spans="1:23" x14ac:dyDescent="0.25">
      <c r="A4318" s="17"/>
      <c r="B4318" s="17"/>
      <c r="C4318" s="17"/>
      <c r="D4318" s="17"/>
      <c r="E4318" s="17"/>
      <c r="F4318" s="17"/>
      <c r="G4318" s="17"/>
      <c r="H4318" s="17"/>
      <c r="I4318" s="17"/>
      <c r="J4318" s="17"/>
      <c r="K4318" s="17"/>
      <c r="L4318" s="17"/>
      <c r="M4318" s="17"/>
      <c r="N4318" s="17"/>
      <c r="O4318" s="17"/>
      <c r="P4318" s="17"/>
      <c r="Q4318" s="17"/>
      <c r="R4318" s="17"/>
      <c r="S4318" s="17"/>
      <c r="T4318" s="17"/>
      <c r="U4318" s="17"/>
      <c r="V4318" s="18">
        <v>0</v>
      </c>
      <c r="W4318" s="17">
        <f t="shared" si="135"/>
        <v>0</v>
      </c>
    </row>
    <row r="4319" spans="1:23" x14ac:dyDescent="0.25">
      <c r="A4319" s="17"/>
      <c r="B4319" s="17"/>
      <c r="C4319" s="17"/>
      <c r="D4319" s="17"/>
      <c r="E4319" s="17"/>
      <c r="F4319" s="17"/>
      <c r="G4319" s="17"/>
      <c r="H4319" s="17"/>
      <c r="I4319" s="17"/>
      <c r="J4319" s="17"/>
      <c r="K4319" s="17"/>
      <c r="L4319" s="17"/>
      <c r="M4319" s="17"/>
      <c r="N4319" s="17"/>
      <c r="O4319" s="17"/>
      <c r="P4319" s="17"/>
      <c r="Q4319" s="17"/>
      <c r="R4319" s="17"/>
      <c r="S4319" s="17"/>
      <c r="T4319" s="17"/>
      <c r="U4319" s="17"/>
      <c r="V4319" s="18">
        <v>0</v>
      </c>
      <c r="W4319" s="17">
        <f t="shared" si="135"/>
        <v>0</v>
      </c>
    </row>
    <row r="4320" spans="1:23" x14ac:dyDescent="0.25">
      <c r="A4320" s="17"/>
      <c r="B4320" s="17"/>
      <c r="C4320" s="17"/>
      <c r="D4320" s="17"/>
      <c r="E4320" s="17"/>
      <c r="F4320" s="17"/>
      <c r="G4320" s="17"/>
      <c r="H4320" s="17"/>
      <c r="I4320" s="17"/>
      <c r="J4320" s="17"/>
      <c r="K4320" s="17"/>
      <c r="L4320" s="17"/>
      <c r="M4320" s="17"/>
      <c r="N4320" s="17"/>
      <c r="O4320" s="17"/>
      <c r="P4320" s="17"/>
      <c r="Q4320" s="17"/>
      <c r="R4320" s="17"/>
      <c r="S4320" s="17"/>
      <c r="T4320" s="17"/>
      <c r="U4320" s="17"/>
      <c r="V4320" s="18">
        <v>0</v>
      </c>
      <c r="W4320" s="17">
        <f t="shared" si="135"/>
        <v>0</v>
      </c>
    </row>
    <row r="4321" spans="1:23" x14ac:dyDescent="0.25">
      <c r="A4321" s="17"/>
      <c r="B4321" s="17"/>
      <c r="C4321" s="17"/>
      <c r="D4321" s="17"/>
      <c r="E4321" s="17"/>
      <c r="F4321" s="17"/>
      <c r="G4321" s="17"/>
      <c r="H4321" s="17"/>
      <c r="I4321" s="17"/>
      <c r="J4321" s="17"/>
      <c r="K4321" s="17"/>
      <c r="L4321" s="17"/>
      <c r="M4321" s="17"/>
      <c r="N4321" s="17"/>
      <c r="O4321" s="17"/>
      <c r="P4321" s="17"/>
      <c r="Q4321" s="17"/>
      <c r="R4321" s="17"/>
      <c r="S4321" s="17"/>
      <c r="T4321" s="17"/>
      <c r="U4321" s="17"/>
      <c r="V4321" s="18">
        <v>0</v>
      </c>
      <c r="W4321" s="17">
        <f t="shared" si="135"/>
        <v>0</v>
      </c>
    </row>
    <row r="4322" spans="1:23" x14ac:dyDescent="0.25">
      <c r="A4322" s="17"/>
      <c r="B4322" s="17"/>
      <c r="C4322" s="17"/>
      <c r="D4322" s="17"/>
      <c r="E4322" s="17"/>
      <c r="F4322" s="17"/>
      <c r="G4322" s="17"/>
      <c r="H4322" s="17"/>
      <c r="I4322" s="17"/>
      <c r="J4322" s="17"/>
      <c r="K4322" s="17"/>
      <c r="L4322" s="17"/>
      <c r="M4322" s="17"/>
      <c r="N4322" s="17"/>
      <c r="O4322" s="17"/>
      <c r="P4322" s="17"/>
      <c r="Q4322" s="17"/>
      <c r="R4322" s="17"/>
      <c r="S4322" s="17"/>
      <c r="T4322" s="17"/>
      <c r="U4322" s="17"/>
      <c r="V4322" s="18">
        <v>0</v>
      </c>
      <c r="W4322" s="17">
        <f t="shared" si="135"/>
        <v>0</v>
      </c>
    </row>
    <row r="4323" spans="1:23" x14ac:dyDescent="0.25">
      <c r="A4323" s="17"/>
      <c r="B4323" s="17"/>
      <c r="C4323" s="17"/>
      <c r="D4323" s="17"/>
      <c r="E4323" s="17"/>
      <c r="F4323" s="17"/>
      <c r="G4323" s="17"/>
      <c r="H4323" s="17"/>
      <c r="I4323" s="17"/>
      <c r="J4323" s="17"/>
      <c r="K4323" s="17"/>
      <c r="L4323" s="17"/>
      <c r="M4323" s="17"/>
      <c r="N4323" s="17"/>
      <c r="O4323" s="17"/>
      <c r="P4323" s="17"/>
      <c r="Q4323" s="17"/>
      <c r="R4323" s="17"/>
      <c r="S4323" s="17"/>
      <c r="T4323" s="17"/>
      <c r="U4323" s="17"/>
      <c r="V4323" s="18">
        <v>0</v>
      </c>
      <c r="W4323" s="17">
        <f t="shared" si="135"/>
        <v>0</v>
      </c>
    </row>
    <row r="4324" spans="1:23" x14ac:dyDescent="0.25">
      <c r="A4324" s="17"/>
      <c r="B4324" s="17"/>
      <c r="C4324" s="17"/>
      <c r="D4324" s="17"/>
      <c r="E4324" s="17"/>
      <c r="F4324" s="17"/>
      <c r="G4324" s="17"/>
      <c r="H4324" s="17"/>
      <c r="I4324" s="17"/>
      <c r="J4324" s="17"/>
      <c r="K4324" s="17"/>
      <c r="L4324" s="17"/>
      <c r="M4324" s="17"/>
      <c r="N4324" s="17"/>
      <c r="O4324" s="17"/>
      <c r="P4324" s="17"/>
      <c r="Q4324" s="17"/>
      <c r="R4324" s="17"/>
      <c r="S4324" s="17"/>
      <c r="T4324" s="17"/>
      <c r="U4324" s="17"/>
      <c r="V4324" s="18">
        <v>0</v>
      </c>
      <c r="W4324" s="17">
        <f t="shared" si="135"/>
        <v>0</v>
      </c>
    </row>
    <row r="4325" spans="1:23" x14ac:dyDescent="0.25">
      <c r="A4325" s="17"/>
      <c r="B4325" s="17"/>
      <c r="C4325" s="17"/>
      <c r="D4325" s="17"/>
      <c r="E4325" s="17"/>
      <c r="F4325" s="17"/>
      <c r="G4325" s="17"/>
      <c r="H4325" s="17"/>
      <c r="I4325" s="17"/>
      <c r="J4325" s="17"/>
      <c r="K4325" s="17"/>
      <c r="L4325" s="17"/>
      <c r="M4325" s="17"/>
      <c r="N4325" s="17"/>
      <c r="O4325" s="17"/>
      <c r="P4325" s="17"/>
      <c r="Q4325" s="17"/>
      <c r="R4325" s="17"/>
      <c r="S4325" s="17"/>
      <c r="T4325" s="17"/>
      <c r="U4325" s="17"/>
      <c r="V4325" s="18">
        <v>0</v>
      </c>
      <c r="W4325" s="17">
        <f t="shared" si="135"/>
        <v>0</v>
      </c>
    </row>
    <row r="4326" spans="1:23" x14ac:dyDescent="0.25">
      <c r="A4326" s="17"/>
      <c r="B4326" s="17"/>
      <c r="C4326" s="17"/>
      <c r="D4326" s="17"/>
      <c r="E4326" s="17"/>
      <c r="F4326" s="17"/>
      <c r="G4326" s="17"/>
      <c r="H4326" s="17"/>
      <c r="I4326" s="17"/>
      <c r="J4326" s="17"/>
      <c r="K4326" s="17"/>
      <c r="L4326" s="17"/>
      <c r="M4326" s="17"/>
      <c r="N4326" s="17"/>
      <c r="O4326" s="17"/>
      <c r="P4326" s="17"/>
      <c r="Q4326" s="17"/>
      <c r="R4326" s="17"/>
      <c r="S4326" s="17"/>
      <c r="T4326" s="17"/>
      <c r="U4326" s="17"/>
      <c r="V4326" s="18">
        <v>0</v>
      </c>
      <c r="W4326" s="17">
        <f t="shared" si="135"/>
        <v>0</v>
      </c>
    </row>
    <row r="4327" spans="1:23" x14ac:dyDescent="0.25">
      <c r="A4327" s="17"/>
      <c r="B4327" s="17"/>
      <c r="C4327" s="17"/>
      <c r="D4327" s="17"/>
      <c r="E4327" s="17"/>
      <c r="F4327" s="17"/>
      <c r="G4327" s="17"/>
      <c r="H4327" s="17"/>
      <c r="I4327" s="17"/>
      <c r="J4327" s="17"/>
      <c r="K4327" s="17"/>
      <c r="L4327" s="17"/>
      <c r="M4327" s="17"/>
      <c r="N4327" s="17"/>
      <c r="O4327" s="17"/>
      <c r="P4327" s="17"/>
      <c r="Q4327" s="17"/>
      <c r="R4327" s="17"/>
      <c r="S4327" s="17"/>
      <c r="T4327" s="17"/>
      <c r="U4327" s="17"/>
      <c r="V4327" s="18">
        <v>0</v>
      </c>
      <c r="W4327" s="17">
        <f t="shared" si="135"/>
        <v>0</v>
      </c>
    </row>
    <row r="4328" spans="1:23" x14ac:dyDescent="0.25">
      <c r="A4328" s="17"/>
      <c r="B4328" s="17"/>
      <c r="C4328" s="17"/>
      <c r="D4328" s="17"/>
      <c r="E4328" s="17"/>
      <c r="F4328" s="17"/>
      <c r="G4328" s="17"/>
      <c r="H4328" s="17"/>
      <c r="I4328" s="17"/>
      <c r="J4328" s="17"/>
      <c r="K4328" s="17"/>
      <c r="L4328" s="17"/>
      <c r="M4328" s="17"/>
      <c r="N4328" s="17"/>
      <c r="O4328" s="17"/>
      <c r="P4328" s="17"/>
      <c r="Q4328" s="17"/>
      <c r="R4328" s="17"/>
      <c r="S4328" s="17"/>
      <c r="T4328" s="17"/>
      <c r="U4328" s="17"/>
      <c r="V4328" s="18">
        <v>0</v>
      </c>
      <c r="W4328" s="17">
        <f t="shared" si="135"/>
        <v>0</v>
      </c>
    </row>
    <row r="4329" spans="1:23" x14ac:dyDescent="0.25">
      <c r="A4329" s="17"/>
      <c r="B4329" s="17"/>
      <c r="C4329" s="17"/>
      <c r="D4329" s="17"/>
      <c r="E4329" s="17"/>
      <c r="F4329" s="17"/>
      <c r="G4329" s="17"/>
      <c r="H4329" s="17"/>
      <c r="I4329" s="17"/>
      <c r="J4329" s="17"/>
      <c r="K4329" s="17"/>
      <c r="L4329" s="17"/>
      <c r="M4329" s="17"/>
      <c r="N4329" s="17"/>
      <c r="O4329" s="17"/>
      <c r="P4329" s="17"/>
      <c r="Q4329" s="17"/>
      <c r="R4329" s="17"/>
      <c r="S4329" s="17"/>
      <c r="T4329" s="17"/>
      <c r="U4329" s="17"/>
      <c r="V4329" s="18">
        <v>0</v>
      </c>
      <c r="W4329" s="17">
        <f t="shared" si="135"/>
        <v>0</v>
      </c>
    </row>
    <row r="4330" spans="1:23" x14ac:dyDescent="0.25">
      <c r="A4330" s="17"/>
      <c r="B4330" s="17"/>
      <c r="C4330" s="17"/>
      <c r="D4330" s="17"/>
      <c r="E4330" s="17"/>
      <c r="F4330" s="17"/>
      <c r="G4330" s="17"/>
      <c r="H4330" s="17"/>
      <c r="I4330" s="17"/>
      <c r="J4330" s="17"/>
      <c r="K4330" s="17"/>
      <c r="L4330" s="17"/>
      <c r="M4330" s="17"/>
      <c r="N4330" s="17"/>
      <c r="O4330" s="17"/>
      <c r="P4330" s="17"/>
      <c r="Q4330" s="17"/>
      <c r="R4330" s="17"/>
      <c r="S4330" s="17"/>
      <c r="T4330" s="17"/>
      <c r="U4330" s="17"/>
      <c r="V4330" s="18">
        <v>0</v>
      </c>
      <c r="W4330" s="17">
        <f t="shared" si="135"/>
        <v>0</v>
      </c>
    </row>
    <row r="4331" spans="1:23" x14ac:dyDescent="0.25">
      <c r="A4331" s="17"/>
      <c r="B4331" s="17"/>
      <c r="C4331" s="17"/>
      <c r="D4331" s="17"/>
      <c r="E4331" s="17"/>
      <c r="F4331" s="17"/>
      <c r="G4331" s="17"/>
      <c r="H4331" s="17"/>
      <c r="I4331" s="17"/>
      <c r="J4331" s="17"/>
      <c r="K4331" s="17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8">
        <v>0</v>
      </c>
      <c r="W4331" s="17">
        <f t="shared" si="135"/>
        <v>0</v>
      </c>
    </row>
    <row r="4332" spans="1:23" x14ac:dyDescent="0.25">
      <c r="A4332" s="17"/>
      <c r="B4332" s="17"/>
      <c r="C4332" s="17"/>
      <c r="D4332" s="17"/>
      <c r="E4332" s="17"/>
      <c r="F4332" s="17"/>
      <c r="G4332" s="17"/>
      <c r="H4332" s="17"/>
      <c r="I4332" s="17"/>
      <c r="J4332" s="17"/>
      <c r="K4332" s="17"/>
      <c r="L4332" s="17"/>
      <c r="M4332" s="17"/>
      <c r="N4332" s="17"/>
      <c r="O4332" s="17"/>
      <c r="P4332" s="17"/>
      <c r="Q4332" s="17"/>
      <c r="R4332" s="17"/>
      <c r="S4332" s="17"/>
      <c r="T4332" s="17"/>
      <c r="U4332" s="17"/>
      <c r="V4332" s="18">
        <v>0</v>
      </c>
      <c r="W4332" s="17">
        <f t="shared" si="135"/>
        <v>0</v>
      </c>
    </row>
    <row r="4333" spans="1:23" x14ac:dyDescent="0.25">
      <c r="A4333" s="17"/>
      <c r="B4333" s="17"/>
      <c r="C4333" s="17"/>
      <c r="D4333" s="17"/>
      <c r="E4333" s="17"/>
      <c r="F4333" s="17"/>
      <c r="G4333" s="17"/>
      <c r="H4333" s="17"/>
      <c r="I4333" s="17"/>
      <c r="J4333" s="17"/>
      <c r="K4333" s="17"/>
      <c r="L4333" s="17"/>
      <c r="M4333" s="17"/>
      <c r="N4333" s="17"/>
      <c r="O4333" s="17"/>
      <c r="P4333" s="17"/>
      <c r="Q4333" s="17"/>
      <c r="R4333" s="17"/>
      <c r="S4333" s="17"/>
      <c r="T4333" s="17"/>
      <c r="U4333" s="17"/>
      <c r="V4333" s="18">
        <v>0</v>
      </c>
      <c r="W4333" s="17">
        <f t="shared" si="135"/>
        <v>0</v>
      </c>
    </row>
    <row r="4334" spans="1:23" x14ac:dyDescent="0.25">
      <c r="A4334" s="17"/>
      <c r="B4334" s="17"/>
      <c r="C4334" s="17"/>
      <c r="D4334" s="17"/>
      <c r="E4334" s="17"/>
      <c r="F4334" s="17"/>
      <c r="G4334" s="17"/>
      <c r="H4334" s="17"/>
      <c r="I4334" s="17"/>
      <c r="J4334" s="17"/>
      <c r="K4334" s="17"/>
      <c r="L4334" s="17"/>
      <c r="M4334" s="17"/>
      <c r="N4334" s="17"/>
      <c r="O4334" s="17"/>
      <c r="P4334" s="17"/>
      <c r="Q4334" s="17"/>
      <c r="R4334" s="17"/>
      <c r="S4334" s="17"/>
      <c r="T4334" s="17"/>
      <c r="U4334" s="17"/>
      <c r="V4334" s="18">
        <v>0</v>
      </c>
      <c r="W4334" s="17">
        <f t="shared" si="135"/>
        <v>0</v>
      </c>
    </row>
    <row r="4335" spans="1:23" x14ac:dyDescent="0.25">
      <c r="A4335" s="17"/>
      <c r="B4335" s="17"/>
      <c r="C4335" s="17"/>
      <c r="D4335" s="17"/>
      <c r="E4335" s="17"/>
      <c r="F4335" s="17"/>
      <c r="G4335" s="17"/>
      <c r="H4335" s="17"/>
      <c r="I4335" s="17"/>
      <c r="J4335" s="17"/>
      <c r="K4335" s="17"/>
      <c r="L4335" s="17"/>
      <c r="M4335" s="17"/>
      <c r="N4335" s="17"/>
      <c r="O4335" s="17"/>
      <c r="P4335" s="17"/>
      <c r="Q4335" s="17"/>
      <c r="R4335" s="17"/>
      <c r="S4335" s="17"/>
      <c r="T4335" s="17"/>
      <c r="U4335" s="17"/>
      <c r="V4335" s="18">
        <v>0</v>
      </c>
      <c r="W4335" s="17">
        <f t="shared" si="135"/>
        <v>0</v>
      </c>
    </row>
    <row r="4336" spans="1:23" x14ac:dyDescent="0.25">
      <c r="A4336" s="17"/>
      <c r="B4336" s="17"/>
      <c r="C4336" s="17"/>
      <c r="D4336" s="17"/>
      <c r="E4336" s="17"/>
      <c r="F4336" s="17"/>
      <c r="G4336" s="17"/>
      <c r="H4336" s="17"/>
      <c r="I4336" s="17"/>
      <c r="J4336" s="17"/>
      <c r="K4336" s="17"/>
      <c r="L4336" s="17"/>
      <c r="M4336" s="17"/>
      <c r="N4336" s="17"/>
      <c r="O4336" s="17"/>
      <c r="P4336" s="17"/>
      <c r="Q4336" s="17"/>
      <c r="R4336" s="17"/>
      <c r="S4336" s="17"/>
      <c r="T4336" s="17"/>
      <c r="U4336" s="17"/>
      <c r="V4336" s="18">
        <v>0</v>
      </c>
      <c r="W4336" s="17">
        <f t="shared" si="135"/>
        <v>0</v>
      </c>
    </row>
    <row r="4337" spans="1:23" x14ac:dyDescent="0.25">
      <c r="A4337" s="17"/>
      <c r="B4337" s="17"/>
      <c r="C4337" s="17"/>
      <c r="D4337" s="17"/>
      <c r="E4337" s="17"/>
      <c r="F4337" s="17"/>
      <c r="G4337" s="17"/>
      <c r="H4337" s="17"/>
      <c r="I4337" s="17"/>
      <c r="J4337" s="17"/>
      <c r="K4337" s="17"/>
      <c r="L4337" s="17"/>
      <c r="M4337" s="17"/>
      <c r="N4337" s="17"/>
      <c r="O4337" s="17"/>
      <c r="P4337" s="17"/>
      <c r="Q4337" s="17"/>
      <c r="R4337" s="17"/>
      <c r="S4337" s="17"/>
      <c r="T4337" s="17"/>
      <c r="U4337" s="17"/>
      <c r="V4337" s="18">
        <v>0</v>
      </c>
      <c r="W4337" s="17">
        <f t="shared" si="135"/>
        <v>0</v>
      </c>
    </row>
    <row r="4338" spans="1:23" x14ac:dyDescent="0.25">
      <c r="A4338" s="17"/>
      <c r="B4338" s="17"/>
      <c r="C4338" s="17"/>
      <c r="D4338" s="17"/>
      <c r="E4338" s="17"/>
      <c r="F4338" s="17"/>
      <c r="G4338" s="17"/>
      <c r="H4338" s="17"/>
      <c r="I4338" s="17"/>
      <c r="J4338" s="17"/>
      <c r="K4338" s="17"/>
      <c r="L4338" s="17"/>
      <c r="M4338" s="17"/>
      <c r="N4338" s="17"/>
      <c r="O4338" s="17"/>
      <c r="P4338" s="17"/>
      <c r="Q4338" s="17"/>
      <c r="R4338" s="17"/>
      <c r="S4338" s="17"/>
      <c r="T4338" s="17"/>
      <c r="U4338" s="17"/>
      <c r="V4338" s="18">
        <v>0</v>
      </c>
      <c r="W4338" s="17">
        <f t="shared" si="135"/>
        <v>0</v>
      </c>
    </row>
    <row r="4339" spans="1:23" x14ac:dyDescent="0.25">
      <c r="A4339" s="17"/>
      <c r="B4339" s="17"/>
      <c r="C4339" s="17"/>
      <c r="D4339" s="17"/>
      <c r="E4339" s="17"/>
      <c r="F4339" s="17"/>
      <c r="G4339" s="17"/>
      <c r="H4339" s="17"/>
      <c r="I4339" s="17"/>
      <c r="J4339" s="17"/>
      <c r="K4339" s="17"/>
      <c r="L4339" s="17"/>
      <c r="M4339" s="17"/>
      <c r="N4339" s="17"/>
      <c r="O4339" s="17"/>
      <c r="P4339" s="17"/>
      <c r="Q4339" s="17"/>
      <c r="R4339" s="17"/>
      <c r="S4339" s="17"/>
      <c r="T4339" s="17"/>
      <c r="U4339" s="17"/>
      <c r="V4339" s="18">
        <v>0</v>
      </c>
      <c r="W4339" s="17">
        <f t="shared" si="135"/>
        <v>0</v>
      </c>
    </row>
    <row r="4340" spans="1:23" x14ac:dyDescent="0.25">
      <c r="A4340" s="17"/>
      <c r="B4340" s="17"/>
      <c r="C4340" s="17"/>
      <c r="D4340" s="17"/>
      <c r="E4340" s="17"/>
      <c r="F4340" s="17"/>
      <c r="G4340" s="17"/>
      <c r="H4340" s="17"/>
      <c r="I4340" s="17"/>
      <c r="J4340" s="17"/>
      <c r="K4340" s="17"/>
      <c r="L4340" s="17"/>
      <c r="M4340" s="17"/>
      <c r="N4340" s="17"/>
      <c r="O4340" s="17"/>
      <c r="P4340" s="17"/>
      <c r="Q4340" s="17"/>
      <c r="R4340" s="17"/>
      <c r="S4340" s="17"/>
      <c r="T4340" s="17"/>
      <c r="U4340" s="17"/>
      <c r="V4340" s="18">
        <v>0</v>
      </c>
      <c r="W4340" s="17">
        <f t="shared" si="135"/>
        <v>0</v>
      </c>
    </row>
    <row r="4341" spans="1:23" x14ac:dyDescent="0.25">
      <c r="A4341" s="17"/>
      <c r="B4341" s="17"/>
      <c r="C4341" s="17"/>
      <c r="D4341" s="17"/>
      <c r="E4341" s="17"/>
      <c r="F4341" s="17"/>
      <c r="G4341" s="17"/>
      <c r="H4341" s="17"/>
      <c r="I4341" s="17"/>
      <c r="J4341" s="17"/>
      <c r="K4341" s="17"/>
      <c r="L4341" s="17"/>
      <c r="M4341" s="17"/>
      <c r="N4341" s="17"/>
      <c r="O4341" s="17"/>
      <c r="P4341" s="17"/>
      <c r="Q4341" s="17"/>
      <c r="R4341" s="17"/>
      <c r="S4341" s="17"/>
      <c r="T4341" s="17"/>
      <c r="U4341" s="17"/>
      <c r="V4341" s="18">
        <v>0</v>
      </c>
      <c r="W4341" s="17">
        <f t="shared" si="135"/>
        <v>0</v>
      </c>
    </row>
    <row r="4342" spans="1:23" x14ac:dyDescent="0.25">
      <c r="A4342" s="17"/>
      <c r="B4342" s="17"/>
      <c r="C4342" s="17"/>
      <c r="D4342" s="17"/>
      <c r="E4342" s="17"/>
      <c r="F4342" s="17"/>
      <c r="G4342" s="17"/>
      <c r="H4342" s="17"/>
      <c r="I4342" s="17"/>
      <c r="J4342" s="17"/>
      <c r="K4342" s="17"/>
      <c r="L4342" s="17"/>
      <c r="M4342" s="17"/>
      <c r="N4342" s="17"/>
      <c r="O4342" s="17"/>
      <c r="P4342" s="17"/>
      <c r="Q4342" s="17"/>
      <c r="R4342" s="17"/>
      <c r="S4342" s="17"/>
      <c r="T4342" s="17"/>
      <c r="U4342" s="17"/>
      <c r="V4342" s="18">
        <v>0</v>
      </c>
      <c r="W4342" s="17">
        <f t="shared" si="135"/>
        <v>0</v>
      </c>
    </row>
    <row r="4343" spans="1:23" x14ac:dyDescent="0.25">
      <c r="A4343" s="17"/>
      <c r="B4343" s="17"/>
      <c r="C4343" s="17"/>
      <c r="D4343" s="17"/>
      <c r="E4343" s="17"/>
      <c r="F4343" s="17"/>
      <c r="G4343" s="17"/>
      <c r="H4343" s="17"/>
      <c r="I4343" s="17"/>
      <c r="J4343" s="17"/>
      <c r="K4343" s="17"/>
      <c r="L4343" s="17"/>
      <c r="M4343" s="17"/>
      <c r="N4343" s="17"/>
      <c r="O4343" s="17"/>
      <c r="P4343" s="17"/>
      <c r="Q4343" s="17"/>
      <c r="R4343" s="17"/>
      <c r="S4343" s="17"/>
      <c r="T4343" s="17"/>
      <c r="U4343" s="17"/>
      <c r="V4343" s="18">
        <v>0</v>
      </c>
      <c r="W4343" s="17">
        <f t="shared" si="135"/>
        <v>0</v>
      </c>
    </row>
    <row r="4344" spans="1:23" x14ac:dyDescent="0.25">
      <c r="A4344" s="17"/>
      <c r="B4344" s="17"/>
      <c r="C4344" s="17"/>
      <c r="D4344" s="17"/>
      <c r="E4344" s="17"/>
      <c r="F4344" s="17"/>
      <c r="G4344" s="17"/>
      <c r="H4344" s="17"/>
      <c r="I4344" s="17"/>
      <c r="J4344" s="17"/>
      <c r="K4344" s="17"/>
      <c r="L4344" s="17"/>
      <c r="M4344" s="17"/>
      <c r="N4344" s="17"/>
      <c r="O4344" s="17"/>
      <c r="P4344" s="17"/>
      <c r="Q4344" s="17"/>
      <c r="R4344" s="17"/>
      <c r="S4344" s="17"/>
      <c r="T4344" s="17"/>
      <c r="U4344" s="17"/>
      <c r="V4344" s="18">
        <v>0</v>
      </c>
      <c r="W4344" s="17">
        <f t="shared" si="135"/>
        <v>0</v>
      </c>
    </row>
    <row r="4345" spans="1:23" x14ac:dyDescent="0.25">
      <c r="A4345" s="17"/>
      <c r="B4345" s="17"/>
      <c r="C4345" s="17"/>
      <c r="D4345" s="17"/>
      <c r="E4345" s="17"/>
      <c r="F4345" s="17"/>
      <c r="G4345" s="17"/>
      <c r="H4345" s="17"/>
      <c r="I4345" s="17"/>
      <c r="J4345" s="17"/>
      <c r="K4345" s="17"/>
      <c r="L4345" s="17"/>
      <c r="M4345" s="17"/>
      <c r="N4345" s="17"/>
      <c r="O4345" s="17"/>
      <c r="P4345" s="17"/>
      <c r="Q4345" s="17"/>
      <c r="R4345" s="17"/>
      <c r="S4345" s="17"/>
      <c r="T4345" s="17"/>
      <c r="U4345" s="17"/>
      <c r="V4345" s="18">
        <v>0</v>
      </c>
      <c r="W4345" s="17">
        <f t="shared" si="135"/>
        <v>0</v>
      </c>
    </row>
    <row r="4346" spans="1:23" x14ac:dyDescent="0.25">
      <c r="A4346" s="17"/>
      <c r="B4346" s="17"/>
      <c r="C4346" s="17"/>
      <c r="D4346" s="17"/>
      <c r="E4346" s="17"/>
      <c r="F4346" s="17"/>
      <c r="G4346" s="17"/>
      <c r="H4346" s="17"/>
      <c r="I4346" s="17"/>
      <c r="J4346" s="17"/>
      <c r="K4346" s="17"/>
      <c r="L4346" s="17"/>
      <c r="M4346" s="17"/>
      <c r="N4346" s="17"/>
      <c r="O4346" s="17"/>
      <c r="P4346" s="17"/>
      <c r="Q4346" s="17"/>
      <c r="R4346" s="17"/>
      <c r="S4346" s="17"/>
      <c r="T4346" s="17"/>
      <c r="U4346" s="17"/>
      <c r="V4346" s="18">
        <v>0</v>
      </c>
      <c r="W4346" s="17">
        <f t="shared" si="135"/>
        <v>0</v>
      </c>
    </row>
    <row r="4347" spans="1:23" x14ac:dyDescent="0.25">
      <c r="A4347" s="17"/>
      <c r="B4347" s="17"/>
      <c r="C4347" s="17"/>
      <c r="D4347" s="17"/>
      <c r="E4347" s="17"/>
      <c r="F4347" s="17"/>
      <c r="G4347" s="17"/>
      <c r="H4347" s="17"/>
      <c r="I4347" s="17"/>
      <c r="J4347" s="17"/>
      <c r="K4347" s="17"/>
      <c r="L4347" s="17"/>
      <c r="M4347" s="17"/>
      <c r="N4347" s="17"/>
      <c r="O4347" s="17"/>
      <c r="P4347" s="17"/>
      <c r="Q4347" s="17"/>
      <c r="R4347" s="17"/>
      <c r="S4347" s="17"/>
      <c r="T4347" s="17"/>
      <c r="U4347" s="17"/>
      <c r="V4347" s="18">
        <v>0</v>
      </c>
      <c r="W4347" s="17">
        <f t="shared" si="135"/>
        <v>0</v>
      </c>
    </row>
    <row r="4348" spans="1:23" x14ac:dyDescent="0.25">
      <c r="A4348" s="17"/>
      <c r="B4348" s="17"/>
      <c r="C4348" s="17"/>
      <c r="D4348" s="17"/>
      <c r="E4348" s="17"/>
      <c r="F4348" s="17"/>
      <c r="G4348" s="17"/>
      <c r="H4348" s="17"/>
      <c r="I4348" s="17"/>
      <c r="J4348" s="17"/>
      <c r="K4348" s="17"/>
      <c r="L4348" s="17"/>
      <c r="M4348" s="17"/>
      <c r="N4348" s="17"/>
      <c r="O4348" s="17"/>
      <c r="P4348" s="17"/>
      <c r="Q4348" s="17"/>
      <c r="R4348" s="17"/>
      <c r="S4348" s="17"/>
      <c r="T4348" s="17"/>
      <c r="U4348" s="17"/>
      <c r="V4348" s="18">
        <v>0</v>
      </c>
      <c r="W4348" s="17">
        <f t="shared" si="135"/>
        <v>0</v>
      </c>
    </row>
    <row r="4349" spans="1:23" x14ac:dyDescent="0.25">
      <c r="A4349" s="17"/>
      <c r="B4349" s="17"/>
      <c r="C4349" s="17"/>
      <c r="D4349" s="17"/>
      <c r="E4349" s="17"/>
      <c r="F4349" s="17"/>
      <c r="G4349" s="17"/>
      <c r="H4349" s="17"/>
      <c r="I4349" s="17"/>
      <c r="J4349" s="17"/>
      <c r="K4349" s="17"/>
      <c r="L4349" s="17"/>
      <c r="M4349" s="17"/>
      <c r="N4349" s="17"/>
      <c r="O4349" s="17"/>
      <c r="P4349" s="17"/>
      <c r="Q4349" s="17"/>
      <c r="R4349" s="17"/>
      <c r="S4349" s="17"/>
      <c r="T4349" s="17"/>
      <c r="U4349" s="17"/>
      <c r="V4349" s="18">
        <v>0</v>
      </c>
      <c r="W4349" s="17">
        <f t="shared" si="135"/>
        <v>0</v>
      </c>
    </row>
    <row r="4350" spans="1:23" x14ac:dyDescent="0.25">
      <c r="A4350" s="17"/>
      <c r="B4350" s="17"/>
      <c r="C4350" s="17"/>
      <c r="D4350" s="17"/>
      <c r="E4350" s="17"/>
      <c r="F4350" s="17"/>
      <c r="G4350" s="17"/>
      <c r="H4350" s="17"/>
      <c r="I4350" s="17"/>
      <c r="J4350" s="17"/>
      <c r="K4350" s="17"/>
      <c r="L4350" s="17"/>
      <c r="M4350" s="17"/>
      <c r="N4350" s="17"/>
      <c r="O4350" s="17"/>
      <c r="P4350" s="17"/>
      <c r="Q4350" s="17"/>
      <c r="R4350" s="17"/>
      <c r="S4350" s="17"/>
      <c r="T4350" s="17"/>
      <c r="U4350" s="17"/>
      <c r="V4350" s="18">
        <v>0</v>
      </c>
      <c r="W4350" s="17">
        <f t="shared" si="135"/>
        <v>0</v>
      </c>
    </row>
    <row r="4351" spans="1:23" x14ac:dyDescent="0.25">
      <c r="A4351" s="17"/>
      <c r="B4351" s="17"/>
      <c r="C4351" s="17"/>
      <c r="D4351" s="17"/>
      <c r="E4351" s="17"/>
      <c r="F4351" s="17"/>
      <c r="G4351" s="17"/>
      <c r="H4351" s="17"/>
      <c r="I4351" s="17"/>
      <c r="J4351" s="17"/>
      <c r="K4351" s="17"/>
      <c r="L4351" s="17"/>
      <c r="M4351" s="17"/>
      <c r="N4351" s="17"/>
      <c r="O4351" s="17"/>
      <c r="P4351" s="17"/>
      <c r="Q4351" s="17"/>
      <c r="R4351" s="17"/>
      <c r="S4351" s="17"/>
      <c r="T4351" s="17"/>
      <c r="U4351" s="17"/>
      <c r="V4351" s="18">
        <v>0</v>
      </c>
      <c r="W4351" s="17">
        <f t="shared" si="135"/>
        <v>0</v>
      </c>
    </row>
    <row r="4352" spans="1:23" x14ac:dyDescent="0.25">
      <c r="A4352" s="17"/>
      <c r="B4352" s="17"/>
      <c r="C4352" s="17"/>
      <c r="D4352" s="17"/>
      <c r="E4352" s="17"/>
      <c r="F4352" s="17"/>
      <c r="G4352" s="17"/>
      <c r="H4352" s="17"/>
      <c r="I4352" s="17"/>
      <c r="J4352" s="17"/>
      <c r="K4352" s="17"/>
      <c r="L4352" s="17"/>
      <c r="M4352" s="17"/>
      <c r="N4352" s="17"/>
      <c r="O4352" s="17"/>
      <c r="P4352" s="17"/>
      <c r="Q4352" s="17"/>
      <c r="R4352" s="17"/>
      <c r="S4352" s="17"/>
      <c r="T4352" s="17"/>
      <c r="U4352" s="17"/>
      <c r="V4352" s="18">
        <v>0</v>
      </c>
      <c r="W4352" s="17">
        <f t="shared" si="135"/>
        <v>0</v>
      </c>
    </row>
    <row r="4353" spans="1:23" x14ac:dyDescent="0.25">
      <c r="A4353" s="17"/>
      <c r="B4353" s="17"/>
      <c r="C4353" s="17"/>
      <c r="D4353" s="17"/>
      <c r="E4353" s="17"/>
      <c r="F4353" s="17"/>
      <c r="G4353" s="17"/>
      <c r="H4353" s="17"/>
      <c r="I4353" s="17"/>
      <c r="J4353" s="17"/>
      <c r="K4353" s="17"/>
      <c r="L4353" s="17"/>
      <c r="M4353" s="17"/>
      <c r="N4353" s="17"/>
      <c r="O4353" s="17"/>
      <c r="P4353" s="17"/>
      <c r="Q4353" s="17"/>
      <c r="R4353" s="17"/>
      <c r="S4353" s="17"/>
      <c r="T4353" s="17"/>
      <c r="U4353" s="17"/>
      <c r="V4353" s="18">
        <v>0</v>
      </c>
      <c r="W4353" s="17">
        <f t="shared" si="135"/>
        <v>0</v>
      </c>
    </row>
    <row r="4354" spans="1:23" x14ac:dyDescent="0.25">
      <c r="A4354" s="17"/>
      <c r="B4354" s="17"/>
      <c r="C4354" s="17"/>
      <c r="D4354" s="17"/>
      <c r="E4354" s="17"/>
      <c r="F4354" s="17"/>
      <c r="G4354" s="17"/>
      <c r="H4354" s="17"/>
      <c r="I4354" s="17"/>
      <c r="J4354" s="17"/>
      <c r="K4354" s="17"/>
      <c r="L4354" s="17"/>
      <c r="M4354" s="17"/>
      <c r="N4354" s="17"/>
      <c r="O4354" s="17"/>
      <c r="P4354" s="17"/>
      <c r="Q4354" s="17"/>
      <c r="R4354" s="17"/>
      <c r="S4354" s="17"/>
      <c r="T4354" s="17"/>
      <c r="U4354" s="17"/>
      <c r="V4354" s="18">
        <v>0</v>
      </c>
      <c r="W4354" s="17">
        <f t="shared" si="135"/>
        <v>0</v>
      </c>
    </row>
    <row r="4355" spans="1:23" x14ac:dyDescent="0.25">
      <c r="A4355" s="17"/>
      <c r="B4355" s="17"/>
      <c r="C4355" s="17"/>
      <c r="D4355" s="17"/>
      <c r="E4355" s="17"/>
      <c r="F4355" s="17"/>
      <c r="G4355" s="17"/>
      <c r="H4355" s="17"/>
      <c r="I4355" s="17"/>
      <c r="J4355" s="17"/>
      <c r="K4355" s="17"/>
      <c r="L4355" s="17"/>
      <c r="M4355" s="17"/>
      <c r="N4355" s="17"/>
      <c r="O4355" s="17"/>
      <c r="P4355" s="17"/>
      <c r="Q4355" s="17"/>
      <c r="R4355" s="17"/>
      <c r="S4355" s="17"/>
      <c r="T4355" s="17"/>
      <c r="U4355" s="17"/>
      <c r="V4355" s="18">
        <v>0</v>
      </c>
      <c r="W4355" s="17">
        <f t="shared" ref="W4355:W4418" si="136">HOUR(E4355)</f>
        <v>0</v>
      </c>
    </row>
    <row r="4356" spans="1:23" x14ac:dyDescent="0.25">
      <c r="A4356" s="17"/>
      <c r="B4356" s="17"/>
      <c r="C4356" s="17"/>
      <c r="D4356" s="17"/>
      <c r="E4356" s="17"/>
      <c r="F4356" s="17"/>
      <c r="G4356" s="17"/>
      <c r="H4356" s="17"/>
      <c r="I4356" s="17"/>
      <c r="J4356" s="17"/>
      <c r="K4356" s="17"/>
      <c r="L4356" s="17"/>
      <c r="M4356" s="17"/>
      <c r="N4356" s="17"/>
      <c r="O4356" s="17"/>
      <c r="P4356" s="17"/>
      <c r="Q4356" s="17"/>
      <c r="R4356" s="17"/>
      <c r="S4356" s="17"/>
      <c r="T4356" s="17"/>
      <c r="U4356" s="17"/>
      <c r="V4356" s="18">
        <v>0</v>
      </c>
      <c r="W4356" s="17">
        <f t="shared" si="136"/>
        <v>0</v>
      </c>
    </row>
    <row r="4357" spans="1:23" x14ac:dyDescent="0.25">
      <c r="A4357" s="17"/>
      <c r="B4357" s="17"/>
      <c r="C4357" s="17"/>
      <c r="D4357" s="17"/>
      <c r="E4357" s="17"/>
      <c r="F4357" s="17"/>
      <c r="G4357" s="17"/>
      <c r="H4357" s="17"/>
      <c r="I4357" s="17"/>
      <c r="J4357" s="17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8">
        <v>0</v>
      </c>
      <c r="W4357" s="17">
        <f t="shared" si="136"/>
        <v>0</v>
      </c>
    </row>
    <row r="4358" spans="1:23" x14ac:dyDescent="0.25">
      <c r="A4358" s="17"/>
      <c r="B4358" s="17"/>
      <c r="C4358" s="17"/>
      <c r="D4358" s="17"/>
      <c r="E4358" s="17"/>
      <c r="F4358" s="17"/>
      <c r="G4358" s="17"/>
      <c r="H4358" s="17"/>
      <c r="I4358" s="17"/>
      <c r="J4358" s="17"/>
      <c r="K4358" s="17"/>
      <c r="L4358" s="17"/>
      <c r="M4358" s="17"/>
      <c r="N4358" s="17"/>
      <c r="O4358" s="17"/>
      <c r="P4358" s="17"/>
      <c r="Q4358" s="17"/>
      <c r="R4358" s="17"/>
      <c r="S4358" s="17"/>
      <c r="T4358" s="17"/>
      <c r="U4358" s="17"/>
      <c r="V4358" s="18">
        <v>0</v>
      </c>
      <c r="W4358" s="17">
        <f t="shared" si="136"/>
        <v>0</v>
      </c>
    </row>
    <row r="4359" spans="1:23" x14ac:dyDescent="0.25">
      <c r="A4359" s="17"/>
      <c r="B4359" s="17"/>
      <c r="C4359" s="17"/>
      <c r="D4359" s="17"/>
      <c r="E4359" s="17"/>
      <c r="F4359" s="17"/>
      <c r="G4359" s="17"/>
      <c r="H4359" s="17"/>
      <c r="I4359" s="17"/>
      <c r="J4359" s="17"/>
      <c r="K4359" s="17"/>
      <c r="L4359" s="17"/>
      <c r="M4359" s="17"/>
      <c r="N4359" s="17"/>
      <c r="O4359" s="17"/>
      <c r="P4359" s="17"/>
      <c r="Q4359" s="17"/>
      <c r="R4359" s="17"/>
      <c r="S4359" s="17"/>
      <c r="T4359" s="17"/>
      <c r="U4359" s="17"/>
      <c r="V4359" s="18">
        <v>0</v>
      </c>
      <c r="W4359" s="17">
        <f t="shared" si="136"/>
        <v>0</v>
      </c>
    </row>
    <row r="4360" spans="1:23" x14ac:dyDescent="0.25">
      <c r="A4360" s="17"/>
      <c r="B4360" s="17"/>
      <c r="C4360" s="17"/>
      <c r="D4360" s="17"/>
      <c r="E4360" s="17"/>
      <c r="F4360" s="17"/>
      <c r="G4360" s="17"/>
      <c r="H4360" s="17"/>
      <c r="I4360" s="17"/>
      <c r="J4360" s="17"/>
      <c r="K4360" s="17"/>
      <c r="L4360" s="17"/>
      <c r="M4360" s="17"/>
      <c r="N4360" s="17"/>
      <c r="O4360" s="17"/>
      <c r="P4360" s="17"/>
      <c r="Q4360" s="17"/>
      <c r="R4360" s="17"/>
      <c r="S4360" s="17"/>
      <c r="T4360" s="17"/>
      <c r="U4360" s="17"/>
      <c r="V4360" s="18">
        <v>0</v>
      </c>
      <c r="W4360" s="17">
        <f t="shared" si="136"/>
        <v>0</v>
      </c>
    </row>
    <row r="4361" spans="1:23" x14ac:dyDescent="0.25">
      <c r="A4361" s="17"/>
      <c r="B4361" s="17"/>
      <c r="C4361" s="17"/>
      <c r="D4361" s="17"/>
      <c r="E4361" s="17"/>
      <c r="F4361" s="17"/>
      <c r="G4361" s="17"/>
      <c r="H4361" s="17"/>
      <c r="I4361" s="17"/>
      <c r="J4361" s="17"/>
      <c r="K4361" s="17"/>
      <c r="L4361" s="17"/>
      <c r="M4361" s="17"/>
      <c r="N4361" s="17"/>
      <c r="O4361" s="17"/>
      <c r="P4361" s="17"/>
      <c r="Q4361" s="17"/>
      <c r="R4361" s="17"/>
      <c r="S4361" s="17"/>
      <c r="T4361" s="17"/>
      <c r="U4361" s="17"/>
      <c r="V4361" s="18">
        <v>0</v>
      </c>
      <c r="W4361" s="17">
        <f t="shared" si="136"/>
        <v>0</v>
      </c>
    </row>
    <row r="4362" spans="1:23" x14ac:dyDescent="0.25">
      <c r="A4362" s="17"/>
      <c r="B4362" s="17"/>
      <c r="C4362" s="17"/>
      <c r="D4362" s="17"/>
      <c r="E4362" s="17"/>
      <c r="F4362" s="17"/>
      <c r="G4362" s="17"/>
      <c r="H4362" s="17"/>
      <c r="I4362" s="17"/>
      <c r="J4362" s="17"/>
      <c r="K4362" s="17"/>
      <c r="L4362" s="17"/>
      <c r="M4362" s="17"/>
      <c r="N4362" s="17"/>
      <c r="O4362" s="17"/>
      <c r="P4362" s="17"/>
      <c r="Q4362" s="17"/>
      <c r="R4362" s="17"/>
      <c r="S4362" s="17"/>
      <c r="T4362" s="17"/>
      <c r="U4362" s="17"/>
      <c r="V4362" s="18">
        <v>0</v>
      </c>
      <c r="W4362" s="17">
        <f t="shared" si="136"/>
        <v>0</v>
      </c>
    </row>
    <row r="4363" spans="1:23" x14ac:dyDescent="0.25">
      <c r="A4363" s="17"/>
      <c r="B4363" s="17"/>
      <c r="C4363" s="17"/>
      <c r="D4363" s="17"/>
      <c r="E4363" s="17"/>
      <c r="F4363" s="17"/>
      <c r="G4363" s="17"/>
      <c r="H4363" s="17"/>
      <c r="I4363" s="17"/>
      <c r="J4363" s="17"/>
      <c r="K4363" s="17"/>
      <c r="L4363" s="17"/>
      <c r="M4363" s="17"/>
      <c r="N4363" s="17"/>
      <c r="O4363" s="17"/>
      <c r="P4363" s="17"/>
      <c r="Q4363" s="17"/>
      <c r="R4363" s="17"/>
      <c r="S4363" s="17"/>
      <c r="T4363" s="17"/>
      <c r="U4363" s="17"/>
      <c r="V4363" s="18">
        <v>0</v>
      </c>
      <c r="W4363" s="17">
        <f t="shared" si="136"/>
        <v>0</v>
      </c>
    </row>
    <row r="4364" spans="1:23" x14ac:dyDescent="0.25">
      <c r="A4364" s="17"/>
      <c r="B4364" s="17"/>
      <c r="C4364" s="17"/>
      <c r="D4364" s="17"/>
      <c r="E4364" s="17"/>
      <c r="F4364" s="17"/>
      <c r="G4364" s="17"/>
      <c r="H4364" s="17"/>
      <c r="I4364" s="17"/>
      <c r="J4364" s="17"/>
      <c r="K4364" s="17"/>
      <c r="L4364" s="17"/>
      <c r="M4364" s="17"/>
      <c r="N4364" s="17"/>
      <c r="O4364" s="17"/>
      <c r="P4364" s="17"/>
      <c r="Q4364" s="17"/>
      <c r="R4364" s="17"/>
      <c r="S4364" s="17"/>
      <c r="T4364" s="17"/>
      <c r="U4364" s="17"/>
      <c r="V4364" s="18">
        <v>0</v>
      </c>
      <c r="W4364" s="17">
        <f t="shared" si="136"/>
        <v>0</v>
      </c>
    </row>
    <row r="4365" spans="1:23" x14ac:dyDescent="0.25">
      <c r="A4365" s="17"/>
      <c r="B4365" s="17"/>
      <c r="C4365" s="17"/>
      <c r="D4365" s="17"/>
      <c r="E4365" s="17"/>
      <c r="F4365" s="17"/>
      <c r="G4365" s="17"/>
      <c r="H4365" s="17"/>
      <c r="I4365" s="17"/>
      <c r="J4365" s="17"/>
      <c r="K4365" s="17"/>
      <c r="L4365" s="17"/>
      <c r="M4365" s="17"/>
      <c r="N4365" s="17"/>
      <c r="O4365" s="17"/>
      <c r="P4365" s="17"/>
      <c r="Q4365" s="17"/>
      <c r="R4365" s="17"/>
      <c r="S4365" s="17"/>
      <c r="T4365" s="17"/>
      <c r="U4365" s="17"/>
      <c r="V4365" s="18">
        <v>0</v>
      </c>
      <c r="W4365" s="17">
        <f t="shared" si="136"/>
        <v>0</v>
      </c>
    </row>
    <row r="4366" spans="1:23" x14ac:dyDescent="0.25">
      <c r="A4366" s="17"/>
      <c r="B4366" s="17"/>
      <c r="C4366" s="17"/>
      <c r="D4366" s="17"/>
      <c r="E4366" s="17"/>
      <c r="F4366" s="17"/>
      <c r="G4366" s="17"/>
      <c r="H4366" s="17"/>
      <c r="I4366" s="17"/>
      <c r="J4366" s="17"/>
      <c r="K4366" s="17"/>
      <c r="L4366" s="17"/>
      <c r="M4366" s="17"/>
      <c r="N4366" s="17"/>
      <c r="O4366" s="17"/>
      <c r="P4366" s="17"/>
      <c r="Q4366" s="17"/>
      <c r="R4366" s="17"/>
      <c r="S4366" s="17"/>
      <c r="T4366" s="17"/>
      <c r="U4366" s="17"/>
      <c r="V4366" s="18">
        <v>0</v>
      </c>
      <c r="W4366" s="17">
        <f t="shared" si="136"/>
        <v>0</v>
      </c>
    </row>
    <row r="4367" spans="1:23" x14ac:dyDescent="0.25">
      <c r="A4367" s="17"/>
      <c r="B4367" s="17"/>
      <c r="C4367" s="17"/>
      <c r="D4367" s="17"/>
      <c r="E4367" s="17"/>
      <c r="F4367" s="17"/>
      <c r="G4367" s="17"/>
      <c r="H4367" s="17"/>
      <c r="I4367" s="17"/>
      <c r="J4367" s="17"/>
      <c r="K4367" s="17"/>
      <c r="L4367" s="17"/>
      <c r="M4367" s="17"/>
      <c r="N4367" s="17"/>
      <c r="O4367" s="17"/>
      <c r="P4367" s="17"/>
      <c r="Q4367" s="17"/>
      <c r="R4367" s="17"/>
      <c r="S4367" s="17"/>
      <c r="T4367" s="17"/>
      <c r="U4367" s="17"/>
      <c r="V4367" s="18">
        <v>0</v>
      </c>
      <c r="W4367" s="17">
        <f t="shared" si="136"/>
        <v>0</v>
      </c>
    </row>
    <row r="4368" spans="1:23" x14ac:dyDescent="0.25">
      <c r="A4368" s="17"/>
      <c r="B4368" s="17"/>
      <c r="C4368" s="17"/>
      <c r="D4368" s="17"/>
      <c r="E4368" s="17"/>
      <c r="F4368" s="17"/>
      <c r="G4368" s="17"/>
      <c r="H4368" s="17"/>
      <c r="I4368" s="17"/>
      <c r="J4368" s="17"/>
      <c r="K4368" s="17"/>
      <c r="L4368" s="17"/>
      <c r="M4368" s="17"/>
      <c r="N4368" s="17"/>
      <c r="O4368" s="17"/>
      <c r="P4368" s="17"/>
      <c r="Q4368" s="17"/>
      <c r="R4368" s="17"/>
      <c r="S4368" s="17"/>
      <c r="T4368" s="17"/>
      <c r="U4368" s="17"/>
      <c r="V4368" s="18">
        <v>0</v>
      </c>
      <c r="W4368" s="17">
        <f t="shared" si="136"/>
        <v>0</v>
      </c>
    </row>
    <row r="4369" spans="1:23" x14ac:dyDescent="0.25">
      <c r="A4369" s="17"/>
      <c r="B4369" s="17"/>
      <c r="C4369" s="17"/>
      <c r="D4369" s="17"/>
      <c r="E4369" s="17"/>
      <c r="F4369" s="17"/>
      <c r="G4369" s="17"/>
      <c r="H4369" s="17"/>
      <c r="I4369" s="17"/>
      <c r="J4369" s="17"/>
      <c r="K4369" s="17"/>
      <c r="L4369" s="17"/>
      <c r="M4369" s="17"/>
      <c r="N4369" s="17"/>
      <c r="O4369" s="17"/>
      <c r="P4369" s="17"/>
      <c r="Q4369" s="17"/>
      <c r="R4369" s="17"/>
      <c r="S4369" s="17"/>
      <c r="T4369" s="17"/>
      <c r="U4369" s="17"/>
      <c r="V4369" s="18">
        <v>0</v>
      </c>
      <c r="W4369" s="17">
        <f t="shared" si="136"/>
        <v>0</v>
      </c>
    </row>
    <row r="4370" spans="1:23" x14ac:dyDescent="0.25">
      <c r="A4370" s="17"/>
      <c r="B4370" s="17"/>
      <c r="C4370" s="17"/>
      <c r="D4370" s="17"/>
      <c r="E4370" s="17"/>
      <c r="F4370" s="17"/>
      <c r="G4370" s="17"/>
      <c r="H4370" s="17"/>
      <c r="I4370" s="17"/>
      <c r="J4370" s="17"/>
      <c r="K4370" s="17"/>
      <c r="L4370" s="17"/>
      <c r="M4370" s="17"/>
      <c r="N4370" s="17"/>
      <c r="O4370" s="17"/>
      <c r="P4370" s="17"/>
      <c r="Q4370" s="17"/>
      <c r="R4370" s="17"/>
      <c r="S4370" s="17"/>
      <c r="T4370" s="17"/>
      <c r="U4370" s="17"/>
      <c r="V4370" s="18">
        <v>0</v>
      </c>
      <c r="W4370" s="17">
        <f t="shared" si="136"/>
        <v>0</v>
      </c>
    </row>
    <row r="4371" spans="1:23" x14ac:dyDescent="0.25">
      <c r="A4371" s="17"/>
      <c r="B4371" s="17"/>
      <c r="C4371" s="17"/>
      <c r="D4371" s="17"/>
      <c r="E4371" s="17"/>
      <c r="F4371" s="17"/>
      <c r="G4371" s="17"/>
      <c r="H4371" s="17"/>
      <c r="I4371" s="17"/>
      <c r="J4371" s="17"/>
      <c r="K4371" s="17"/>
      <c r="L4371" s="17"/>
      <c r="M4371" s="17"/>
      <c r="N4371" s="17"/>
      <c r="O4371" s="17"/>
      <c r="P4371" s="17"/>
      <c r="Q4371" s="17"/>
      <c r="R4371" s="17"/>
      <c r="S4371" s="17"/>
      <c r="T4371" s="17"/>
      <c r="U4371" s="17"/>
      <c r="V4371" s="18">
        <v>0</v>
      </c>
      <c r="W4371" s="17">
        <f t="shared" si="136"/>
        <v>0</v>
      </c>
    </row>
    <row r="4372" spans="1:23" x14ac:dyDescent="0.25">
      <c r="A4372" s="17"/>
      <c r="B4372" s="17"/>
      <c r="C4372" s="17"/>
      <c r="D4372" s="17"/>
      <c r="E4372" s="17"/>
      <c r="F4372" s="17"/>
      <c r="G4372" s="17"/>
      <c r="H4372" s="17"/>
      <c r="I4372" s="17"/>
      <c r="J4372" s="17"/>
      <c r="K4372" s="17"/>
      <c r="L4372" s="17"/>
      <c r="M4372" s="17"/>
      <c r="N4372" s="17"/>
      <c r="O4372" s="17"/>
      <c r="P4372" s="17"/>
      <c r="Q4372" s="17"/>
      <c r="R4372" s="17"/>
      <c r="S4372" s="17"/>
      <c r="T4372" s="17"/>
      <c r="U4372" s="17"/>
      <c r="V4372" s="18">
        <v>0</v>
      </c>
      <c r="W4372" s="17">
        <f t="shared" si="136"/>
        <v>0</v>
      </c>
    </row>
    <row r="4373" spans="1:23" x14ac:dyDescent="0.25">
      <c r="A4373" s="17"/>
      <c r="B4373" s="17"/>
      <c r="C4373" s="17"/>
      <c r="D4373" s="17"/>
      <c r="E4373" s="17"/>
      <c r="F4373" s="17"/>
      <c r="G4373" s="17"/>
      <c r="H4373" s="17"/>
      <c r="I4373" s="17"/>
      <c r="J4373" s="17"/>
      <c r="K4373" s="17"/>
      <c r="L4373" s="17"/>
      <c r="M4373" s="17"/>
      <c r="N4373" s="17"/>
      <c r="O4373" s="17"/>
      <c r="P4373" s="17"/>
      <c r="Q4373" s="17"/>
      <c r="R4373" s="17"/>
      <c r="S4373" s="17"/>
      <c r="T4373" s="17"/>
      <c r="U4373" s="17"/>
      <c r="V4373" s="18">
        <v>0</v>
      </c>
      <c r="W4373" s="17">
        <f t="shared" si="136"/>
        <v>0</v>
      </c>
    </row>
    <row r="4374" spans="1:23" x14ac:dyDescent="0.25">
      <c r="A4374" s="17"/>
      <c r="B4374" s="17"/>
      <c r="C4374" s="17"/>
      <c r="D4374" s="17"/>
      <c r="E4374" s="17"/>
      <c r="F4374" s="17"/>
      <c r="G4374" s="17"/>
      <c r="H4374" s="17"/>
      <c r="I4374" s="17"/>
      <c r="J4374" s="17"/>
      <c r="K4374" s="17"/>
      <c r="L4374" s="17"/>
      <c r="M4374" s="17"/>
      <c r="N4374" s="17"/>
      <c r="O4374" s="17"/>
      <c r="P4374" s="17"/>
      <c r="Q4374" s="17"/>
      <c r="R4374" s="17"/>
      <c r="S4374" s="17"/>
      <c r="T4374" s="17"/>
      <c r="U4374" s="17"/>
      <c r="V4374" s="18">
        <v>0</v>
      </c>
      <c r="W4374" s="17">
        <f t="shared" si="136"/>
        <v>0</v>
      </c>
    </row>
    <row r="4375" spans="1:23" x14ac:dyDescent="0.25">
      <c r="A4375" s="17"/>
      <c r="B4375" s="17"/>
      <c r="C4375" s="17"/>
      <c r="D4375" s="17"/>
      <c r="E4375" s="17"/>
      <c r="F4375" s="17"/>
      <c r="G4375" s="17"/>
      <c r="H4375" s="17"/>
      <c r="I4375" s="17"/>
      <c r="J4375" s="17"/>
      <c r="K4375" s="17"/>
      <c r="L4375" s="17"/>
      <c r="M4375" s="17"/>
      <c r="N4375" s="17"/>
      <c r="O4375" s="17"/>
      <c r="P4375" s="17"/>
      <c r="Q4375" s="17"/>
      <c r="R4375" s="17"/>
      <c r="S4375" s="17"/>
      <c r="T4375" s="17"/>
      <c r="U4375" s="17"/>
      <c r="V4375" s="18">
        <v>0</v>
      </c>
      <c r="W4375" s="17">
        <f t="shared" si="136"/>
        <v>0</v>
      </c>
    </row>
    <row r="4376" spans="1:23" x14ac:dyDescent="0.25">
      <c r="A4376" s="17"/>
      <c r="B4376" s="17"/>
      <c r="C4376" s="17"/>
      <c r="D4376" s="17"/>
      <c r="E4376" s="17"/>
      <c r="F4376" s="17"/>
      <c r="G4376" s="17"/>
      <c r="H4376" s="17"/>
      <c r="I4376" s="17"/>
      <c r="J4376" s="17"/>
      <c r="K4376" s="17"/>
      <c r="L4376" s="17"/>
      <c r="M4376" s="17"/>
      <c r="N4376" s="17"/>
      <c r="O4376" s="17"/>
      <c r="P4376" s="17"/>
      <c r="Q4376" s="17"/>
      <c r="R4376" s="17"/>
      <c r="S4376" s="17"/>
      <c r="T4376" s="17"/>
      <c r="U4376" s="17"/>
      <c r="V4376" s="18">
        <v>0</v>
      </c>
      <c r="W4376" s="17">
        <f t="shared" si="136"/>
        <v>0</v>
      </c>
    </row>
    <row r="4377" spans="1:23" x14ac:dyDescent="0.25">
      <c r="A4377" s="17"/>
      <c r="B4377" s="17"/>
      <c r="C4377" s="17"/>
      <c r="D4377" s="17"/>
      <c r="E4377" s="17"/>
      <c r="F4377" s="17"/>
      <c r="G4377" s="17"/>
      <c r="H4377" s="17"/>
      <c r="I4377" s="17"/>
      <c r="J4377" s="17"/>
      <c r="K4377" s="17"/>
      <c r="L4377" s="17"/>
      <c r="M4377" s="17"/>
      <c r="N4377" s="17"/>
      <c r="O4377" s="17"/>
      <c r="P4377" s="17"/>
      <c r="Q4377" s="17"/>
      <c r="R4377" s="17"/>
      <c r="S4377" s="17"/>
      <c r="T4377" s="17"/>
      <c r="U4377" s="17"/>
      <c r="V4377" s="18">
        <v>0</v>
      </c>
      <c r="W4377" s="17">
        <f t="shared" si="136"/>
        <v>0</v>
      </c>
    </row>
    <row r="4378" spans="1:23" x14ac:dyDescent="0.25">
      <c r="A4378" s="17"/>
      <c r="B4378" s="17"/>
      <c r="C4378" s="17"/>
      <c r="D4378" s="17"/>
      <c r="E4378" s="17"/>
      <c r="F4378" s="17"/>
      <c r="G4378" s="17"/>
      <c r="H4378" s="17"/>
      <c r="I4378" s="17"/>
      <c r="J4378" s="17"/>
      <c r="K4378" s="17"/>
      <c r="L4378" s="17"/>
      <c r="M4378" s="17"/>
      <c r="N4378" s="17"/>
      <c r="O4378" s="17"/>
      <c r="P4378" s="17"/>
      <c r="Q4378" s="17"/>
      <c r="R4378" s="17"/>
      <c r="S4378" s="17"/>
      <c r="T4378" s="17"/>
      <c r="U4378" s="17"/>
      <c r="V4378" s="18">
        <v>0</v>
      </c>
      <c r="W4378" s="17">
        <f t="shared" si="136"/>
        <v>0</v>
      </c>
    </row>
    <row r="4379" spans="1:23" x14ac:dyDescent="0.25">
      <c r="A4379" s="17"/>
      <c r="B4379" s="17"/>
      <c r="C4379" s="17"/>
      <c r="D4379" s="17"/>
      <c r="E4379" s="17"/>
      <c r="F4379" s="17"/>
      <c r="G4379" s="17"/>
      <c r="H4379" s="17"/>
      <c r="I4379" s="17"/>
      <c r="J4379" s="17"/>
      <c r="K4379" s="17"/>
      <c r="L4379" s="17"/>
      <c r="M4379" s="17"/>
      <c r="N4379" s="17"/>
      <c r="O4379" s="17"/>
      <c r="P4379" s="17"/>
      <c r="Q4379" s="17"/>
      <c r="R4379" s="17"/>
      <c r="S4379" s="17"/>
      <c r="T4379" s="17"/>
      <c r="U4379" s="17"/>
      <c r="V4379" s="18">
        <v>0</v>
      </c>
      <c r="W4379" s="17">
        <f t="shared" si="136"/>
        <v>0</v>
      </c>
    </row>
    <row r="4380" spans="1:23" x14ac:dyDescent="0.25">
      <c r="A4380" s="17"/>
      <c r="B4380" s="17"/>
      <c r="C4380" s="17"/>
      <c r="D4380" s="17"/>
      <c r="E4380" s="17"/>
      <c r="F4380" s="17"/>
      <c r="G4380" s="17"/>
      <c r="H4380" s="17"/>
      <c r="I4380" s="17"/>
      <c r="J4380" s="17"/>
      <c r="K4380" s="17"/>
      <c r="L4380" s="17"/>
      <c r="M4380" s="17"/>
      <c r="N4380" s="17"/>
      <c r="O4380" s="17"/>
      <c r="P4380" s="17"/>
      <c r="Q4380" s="17"/>
      <c r="R4380" s="17"/>
      <c r="S4380" s="17"/>
      <c r="T4380" s="17"/>
      <c r="U4380" s="17"/>
      <c r="V4380" s="18">
        <v>0</v>
      </c>
      <c r="W4380" s="17">
        <f t="shared" si="136"/>
        <v>0</v>
      </c>
    </row>
    <row r="4381" spans="1:23" x14ac:dyDescent="0.25">
      <c r="A4381" s="17"/>
      <c r="B4381" s="17"/>
      <c r="C4381" s="17"/>
      <c r="D4381" s="17"/>
      <c r="E4381" s="17"/>
      <c r="F4381" s="17"/>
      <c r="G4381" s="17"/>
      <c r="H4381" s="17"/>
      <c r="I4381" s="17"/>
      <c r="J4381" s="17"/>
      <c r="K4381" s="17"/>
      <c r="L4381" s="17"/>
      <c r="M4381" s="17"/>
      <c r="N4381" s="17"/>
      <c r="O4381" s="17"/>
      <c r="P4381" s="17"/>
      <c r="Q4381" s="17"/>
      <c r="R4381" s="17"/>
      <c r="S4381" s="17"/>
      <c r="T4381" s="17"/>
      <c r="U4381" s="17"/>
      <c r="V4381" s="18">
        <v>0</v>
      </c>
      <c r="W4381" s="17">
        <f t="shared" si="136"/>
        <v>0</v>
      </c>
    </row>
    <row r="4382" spans="1:23" x14ac:dyDescent="0.25">
      <c r="A4382" s="17"/>
      <c r="B4382" s="17"/>
      <c r="C4382" s="17"/>
      <c r="D4382" s="17"/>
      <c r="E4382" s="17"/>
      <c r="F4382" s="17"/>
      <c r="G4382" s="17"/>
      <c r="H4382" s="17"/>
      <c r="I4382" s="17"/>
      <c r="J4382" s="17"/>
      <c r="K4382" s="17"/>
      <c r="L4382" s="17"/>
      <c r="M4382" s="17"/>
      <c r="N4382" s="17"/>
      <c r="O4382" s="17"/>
      <c r="P4382" s="17"/>
      <c r="Q4382" s="17"/>
      <c r="R4382" s="17"/>
      <c r="S4382" s="17"/>
      <c r="T4382" s="17"/>
      <c r="U4382" s="17"/>
      <c r="V4382" s="18">
        <v>0</v>
      </c>
      <c r="W4382" s="17">
        <f t="shared" si="136"/>
        <v>0</v>
      </c>
    </row>
    <row r="4383" spans="1:23" x14ac:dyDescent="0.25">
      <c r="A4383" s="17"/>
      <c r="B4383" s="17"/>
      <c r="C4383" s="17"/>
      <c r="D4383" s="17"/>
      <c r="E4383" s="17"/>
      <c r="F4383" s="17"/>
      <c r="G4383" s="17"/>
      <c r="H4383" s="17"/>
      <c r="I4383" s="17"/>
      <c r="J4383" s="17"/>
      <c r="K4383" s="17"/>
      <c r="L4383" s="17"/>
      <c r="M4383" s="17"/>
      <c r="N4383" s="17"/>
      <c r="O4383" s="17"/>
      <c r="P4383" s="17"/>
      <c r="Q4383" s="17"/>
      <c r="R4383" s="17"/>
      <c r="S4383" s="17"/>
      <c r="T4383" s="17"/>
      <c r="U4383" s="17"/>
      <c r="V4383" s="18">
        <v>0</v>
      </c>
      <c r="W4383" s="17">
        <f t="shared" si="136"/>
        <v>0</v>
      </c>
    </row>
    <row r="4384" spans="1:23" x14ac:dyDescent="0.25">
      <c r="A4384" s="17"/>
      <c r="B4384" s="17"/>
      <c r="C4384" s="17"/>
      <c r="D4384" s="17"/>
      <c r="E4384" s="17"/>
      <c r="F4384" s="17"/>
      <c r="G4384" s="17"/>
      <c r="H4384" s="17"/>
      <c r="I4384" s="17"/>
      <c r="J4384" s="17"/>
      <c r="K4384" s="17"/>
      <c r="L4384" s="17"/>
      <c r="M4384" s="17"/>
      <c r="N4384" s="17"/>
      <c r="O4384" s="17"/>
      <c r="P4384" s="17"/>
      <c r="Q4384" s="17"/>
      <c r="R4384" s="17"/>
      <c r="S4384" s="17"/>
      <c r="T4384" s="17"/>
      <c r="U4384" s="17"/>
      <c r="V4384" s="18">
        <v>0</v>
      </c>
      <c r="W4384" s="17">
        <f t="shared" si="136"/>
        <v>0</v>
      </c>
    </row>
    <row r="4385" spans="1:23" x14ac:dyDescent="0.25">
      <c r="A4385" s="17"/>
      <c r="B4385" s="17"/>
      <c r="C4385" s="17"/>
      <c r="D4385" s="17"/>
      <c r="E4385" s="17"/>
      <c r="F4385" s="17"/>
      <c r="G4385" s="17"/>
      <c r="H4385" s="17"/>
      <c r="I4385" s="17"/>
      <c r="J4385" s="17"/>
      <c r="K4385" s="17"/>
      <c r="L4385" s="17"/>
      <c r="M4385" s="17"/>
      <c r="N4385" s="17"/>
      <c r="O4385" s="17"/>
      <c r="P4385" s="17"/>
      <c r="Q4385" s="17"/>
      <c r="R4385" s="17"/>
      <c r="S4385" s="17"/>
      <c r="T4385" s="17"/>
      <c r="U4385" s="17"/>
      <c r="V4385" s="18">
        <v>0</v>
      </c>
      <c r="W4385" s="17">
        <f t="shared" si="136"/>
        <v>0</v>
      </c>
    </row>
    <row r="4386" spans="1:23" x14ac:dyDescent="0.25">
      <c r="A4386" s="17"/>
      <c r="B4386" s="17"/>
      <c r="C4386" s="17"/>
      <c r="D4386" s="17"/>
      <c r="E4386" s="17"/>
      <c r="F4386" s="17"/>
      <c r="G4386" s="17"/>
      <c r="H4386" s="17"/>
      <c r="I4386" s="17"/>
      <c r="J4386" s="17"/>
      <c r="K4386" s="17"/>
      <c r="L4386" s="17"/>
      <c r="M4386" s="17"/>
      <c r="N4386" s="17"/>
      <c r="O4386" s="17"/>
      <c r="P4386" s="17"/>
      <c r="Q4386" s="17"/>
      <c r="R4386" s="17"/>
      <c r="S4386" s="17"/>
      <c r="T4386" s="17"/>
      <c r="U4386" s="17"/>
      <c r="V4386" s="18">
        <v>0</v>
      </c>
      <c r="W4386" s="17">
        <f t="shared" si="136"/>
        <v>0</v>
      </c>
    </row>
    <row r="4387" spans="1:23" x14ac:dyDescent="0.25">
      <c r="A4387" s="17"/>
      <c r="B4387" s="17"/>
      <c r="C4387" s="17"/>
      <c r="D4387" s="17"/>
      <c r="E4387" s="17"/>
      <c r="F4387" s="17"/>
      <c r="G4387" s="17"/>
      <c r="H4387" s="17"/>
      <c r="I4387" s="17"/>
      <c r="J4387" s="17"/>
      <c r="K4387" s="17"/>
      <c r="L4387" s="17"/>
      <c r="M4387" s="17"/>
      <c r="N4387" s="17"/>
      <c r="O4387" s="17"/>
      <c r="P4387" s="17"/>
      <c r="Q4387" s="17"/>
      <c r="R4387" s="17"/>
      <c r="S4387" s="17"/>
      <c r="T4387" s="17"/>
      <c r="U4387" s="17"/>
      <c r="V4387" s="18">
        <v>0</v>
      </c>
      <c r="W4387" s="17">
        <f t="shared" si="136"/>
        <v>0</v>
      </c>
    </row>
    <row r="4388" spans="1:23" x14ac:dyDescent="0.25">
      <c r="A4388" s="17"/>
      <c r="B4388" s="17"/>
      <c r="C4388" s="17"/>
      <c r="D4388" s="17"/>
      <c r="E4388" s="17"/>
      <c r="F4388" s="17"/>
      <c r="G4388" s="17"/>
      <c r="H4388" s="17"/>
      <c r="I4388" s="17"/>
      <c r="J4388" s="17"/>
      <c r="K4388" s="17"/>
      <c r="L4388" s="17"/>
      <c r="M4388" s="17"/>
      <c r="N4388" s="17"/>
      <c r="O4388" s="17"/>
      <c r="P4388" s="17"/>
      <c r="Q4388" s="17"/>
      <c r="R4388" s="17"/>
      <c r="S4388" s="17"/>
      <c r="T4388" s="17"/>
      <c r="U4388" s="17"/>
      <c r="V4388" s="18">
        <v>0</v>
      </c>
      <c r="W4388" s="17">
        <f t="shared" si="136"/>
        <v>0</v>
      </c>
    </row>
    <row r="4389" spans="1:23" x14ac:dyDescent="0.25">
      <c r="A4389" s="17"/>
      <c r="B4389" s="17"/>
      <c r="C4389" s="17"/>
      <c r="D4389" s="17"/>
      <c r="E4389" s="17"/>
      <c r="F4389" s="17"/>
      <c r="G4389" s="17"/>
      <c r="H4389" s="17"/>
      <c r="I4389" s="17"/>
      <c r="J4389" s="17"/>
      <c r="K4389" s="17"/>
      <c r="L4389" s="17"/>
      <c r="M4389" s="17"/>
      <c r="N4389" s="17"/>
      <c r="O4389" s="17"/>
      <c r="P4389" s="17"/>
      <c r="Q4389" s="17"/>
      <c r="R4389" s="17"/>
      <c r="S4389" s="17"/>
      <c r="T4389" s="17"/>
      <c r="U4389" s="17"/>
      <c r="V4389" s="18">
        <v>0</v>
      </c>
      <c r="W4389" s="17">
        <f t="shared" si="136"/>
        <v>0</v>
      </c>
    </row>
    <row r="4390" spans="1:23" x14ac:dyDescent="0.25">
      <c r="A4390" s="17"/>
      <c r="B4390" s="17"/>
      <c r="C4390" s="17"/>
      <c r="D4390" s="17"/>
      <c r="E4390" s="17"/>
      <c r="F4390" s="17"/>
      <c r="G4390" s="17"/>
      <c r="H4390" s="17"/>
      <c r="I4390" s="17"/>
      <c r="J4390" s="17"/>
      <c r="K4390" s="17"/>
      <c r="L4390" s="17"/>
      <c r="M4390" s="17"/>
      <c r="N4390" s="17"/>
      <c r="O4390" s="17"/>
      <c r="P4390" s="17"/>
      <c r="Q4390" s="17"/>
      <c r="R4390" s="17"/>
      <c r="S4390" s="17"/>
      <c r="T4390" s="17"/>
      <c r="U4390" s="17"/>
      <c r="V4390" s="18">
        <v>0</v>
      </c>
      <c r="W4390" s="17">
        <f t="shared" si="136"/>
        <v>0</v>
      </c>
    </row>
    <row r="4391" spans="1:23" x14ac:dyDescent="0.25">
      <c r="A4391" s="17"/>
      <c r="B4391" s="17"/>
      <c r="C4391" s="17"/>
      <c r="D4391" s="17"/>
      <c r="E4391" s="17"/>
      <c r="F4391" s="17"/>
      <c r="G4391" s="17"/>
      <c r="H4391" s="17"/>
      <c r="I4391" s="17"/>
      <c r="J4391" s="17"/>
      <c r="K4391" s="17"/>
      <c r="L4391" s="17"/>
      <c r="M4391" s="17"/>
      <c r="N4391" s="17"/>
      <c r="O4391" s="17"/>
      <c r="P4391" s="17"/>
      <c r="Q4391" s="17"/>
      <c r="R4391" s="17"/>
      <c r="S4391" s="17"/>
      <c r="T4391" s="17"/>
      <c r="U4391" s="17"/>
      <c r="V4391" s="18">
        <v>0</v>
      </c>
      <c r="W4391" s="17">
        <f t="shared" si="136"/>
        <v>0</v>
      </c>
    </row>
    <row r="4392" spans="1:23" x14ac:dyDescent="0.25">
      <c r="A4392" s="17"/>
      <c r="B4392" s="17"/>
      <c r="C4392" s="17"/>
      <c r="D4392" s="17"/>
      <c r="E4392" s="17"/>
      <c r="F4392" s="17"/>
      <c r="G4392" s="17"/>
      <c r="H4392" s="17"/>
      <c r="I4392" s="17"/>
      <c r="J4392" s="17"/>
      <c r="K4392" s="17"/>
      <c r="L4392" s="17"/>
      <c r="M4392" s="17"/>
      <c r="N4392" s="17"/>
      <c r="O4392" s="17"/>
      <c r="P4392" s="17"/>
      <c r="Q4392" s="17"/>
      <c r="R4392" s="17"/>
      <c r="S4392" s="17"/>
      <c r="T4392" s="17"/>
      <c r="U4392" s="17"/>
      <c r="V4392" s="18">
        <v>0</v>
      </c>
      <c r="W4392" s="17">
        <f t="shared" si="136"/>
        <v>0</v>
      </c>
    </row>
    <row r="4393" spans="1:23" x14ac:dyDescent="0.25">
      <c r="A4393" s="17"/>
      <c r="B4393" s="17"/>
      <c r="C4393" s="17"/>
      <c r="D4393" s="17"/>
      <c r="E4393" s="17"/>
      <c r="F4393" s="17"/>
      <c r="G4393" s="17"/>
      <c r="H4393" s="17"/>
      <c r="I4393" s="17"/>
      <c r="J4393" s="17"/>
      <c r="K4393" s="17"/>
      <c r="L4393" s="17"/>
      <c r="M4393" s="17"/>
      <c r="N4393" s="17"/>
      <c r="O4393" s="17"/>
      <c r="P4393" s="17"/>
      <c r="Q4393" s="17"/>
      <c r="R4393" s="17"/>
      <c r="S4393" s="17"/>
      <c r="T4393" s="17"/>
      <c r="U4393" s="17"/>
      <c r="V4393" s="18">
        <v>0</v>
      </c>
      <c r="W4393" s="17">
        <f t="shared" si="136"/>
        <v>0</v>
      </c>
    </row>
    <row r="4394" spans="1:23" x14ac:dyDescent="0.25">
      <c r="A4394" s="17"/>
      <c r="B4394" s="17"/>
      <c r="C4394" s="17"/>
      <c r="D4394" s="17"/>
      <c r="E4394" s="17"/>
      <c r="F4394" s="17"/>
      <c r="G4394" s="17"/>
      <c r="H4394" s="17"/>
      <c r="I4394" s="17"/>
      <c r="J4394" s="17"/>
      <c r="K4394" s="17"/>
      <c r="L4394" s="17"/>
      <c r="M4394" s="17"/>
      <c r="N4394" s="17"/>
      <c r="O4394" s="17"/>
      <c r="P4394" s="17"/>
      <c r="Q4394" s="17"/>
      <c r="R4394" s="17"/>
      <c r="S4394" s="17"/>
      <c r="T4394" s="17"/>
      <c r="U4394" s="17"/>
      <c r="V4394" s="18">
        <v>0</v>
      </c>
      <c r="W4394" s="17">
        <f t="shared" si="136"/>
        <v>0</v>
      </c>
    </row>
    <row r="4395" spans="1:23" x14ac:dyDescent="0.25">
      <c r="A4395" s="17"/>
      <c r="B4395" s="17"/>
      <c r="C4395" s="17"/>
      <c r="D4395" s="17"/>
      <c r="E4395" s="17"/>
      <c r="F4395" s="17"/>
      <c r="G4395" s="17"/>
      <c r="H4395" s="17"/>
      <c r="I4395" s="17"/>
      <c r="J4395" s="17"/>
      <c r="K4395" s="17"/>
      <c r="L4395" s="17"/>
      <c r="M4395" s="17"/>
      <c r="N4395" s="17"/>
      <c r="O4395" s="17"/>
      <c r="P4395" s="17"/>
      <c r="Q4395" s="17"/>
      <c r="R4395" s="17"/>
      <c r="S4395" s="17"/>
      <c r="T4395" s="17"/>
      <c r="U4395" s="17"/>
      <c r="V4395" s="18">
        <v>0</v>
      </c>
      <c r="W4395" s="17">
        <f t="shared" si="136"/>
        <v>0</v>
      </c>
    </row>
    <row r="4396" spans="1:23" x14ac:dyDescent="0.25">
      <c r="A4396" s="17"/>
      <c r="B4396" s="17"/>
      <c r="C4396" s="17"/>
      <c r="D4396" s="17"/>
      <c r="E4396" s="17"/>
      <c r="F4396" s="17"/>
      <c r="G4396" s="17"/>
      <c r="H4396" s="17"/>
      <c r="I4396" s="17"/>
      <c r="J4396" s="17"/>
      <c r="K4396" s="17"/>
      <c r="L4396" s="17"/>
      <c r="M4396" s="17"/>
      <c r="N4396" s="17"/>
      <c r="O4396" s="17"/>
      <c r="P4396" s="17"/>
      <c r="Q4396" s="17"/>
      <c r="R4396" s="17"/>
      <c r="S4396" s="17"/>
      <c r="T4396" s="17"/>
      <c r="U4396" s="17"/>
      <c r="V4396" s="18">
        <v>0</v>
      </c>
      <c r="W4396" s="17">
        <f t="shared" si="136"/>
        <v>0</v>
      </c>
    </row>
    <row r="4397" spans="1:23" x14ac:dyDescent="0.25">
      <c r="A4397" s="17"/>
      <c r="B4397" s="17"/>
      <c r="C4397" s="17"/>
      <c r="D4397" s="17"/>
      <c r="E4397" s="17"/>
      <c r="F4397" s="17"/>
      <c r="G4397" s="17"/>
      <c r="H4397" s="17"/>
      <c r="I4397" s="17"/>
      <c r="J4397" s="17"/>
      <c r="K4397" s="17"/>
      <c r="L4397" s="17"/>
      <c r="M4397" s="17"/>
      <c r="N4397" s="17"/>
      <c r="O4397" s="17"/>
      <c r="P4397" s="17"/>
      <c r="Q4397" s="17"/>
      <c r="R4397" s="17"/>
      <c r="S4397" s="17"/>
      <c r="T4397" s="17"/>
      <c r="U4397" s="17"/>
      <c r="V4397" s="18">
        <v>0</v>
      </c>
      <c r="W4397" s="17">
        <f t="shared" si="136"/>
        <v>0</v>
      </c>
    </row>
    <row r="4398" spans="1:23" x14ac:dyDescent="0.25">
      <c r="A4398" s="17"/>
      <c r="B4398" s="17"/>
      <c r="C4398" s="17"/>
      <c r="D4398" s="17"/>
      <c r="E4398" s="17"/>
      <c r="F4398" s="17"/>
      <c r="G4398" s="17"/>
      <c r="H4398" s="17"/>
      <c r="I4398" s="17"/>
      <c r="J4398" s="17"/>
      <c r="K4398" s="17"/>
      <c r="L4398" s="17"/>
      <c r="M4398" s="17"/>
      <c r="N4398" s="17"/>
      <c r="O4398" s="17"/>
      <c r="P4398" s="17"/>
      <c r="Q4398" s="17"/>
      <c r="R4398" s="17"/>
      <c r="S4398" s="17"/>
      <c r="T4398" s="17"/>
      <c r="U4398" s="17"/>
      <c r="V4398" s="18">
        <v>0</v>
      </c>
      <c r="W4398" s="17">
        <f t="shared" si="136"/>
        <v>0</v>
      </c>
    </row>
    <row r="4399" spans="1:23" x14ac:dyDescent="0.25">
      <c r="A4399" s="17"/>
      <c r="B4399" s="17"/>
      <c r="C4399" s="17"/>
      <c r="D4399" s="17"/>
      <c r="E4399" s="17"/>
      <c r="F4399" s="17"/>
      <c r="G4399" s="17"/>
      <c r="H4399" s="17"/>
      <c r="I4399" s="17"/>
      <c r="J4399" s="17"/>
      <c r="K4399" s="17"/>
      <c r="L4399" s="17"/>
      <c r="M4399" s="17"/>
      <c r="N4399" s="17"/>
      <c r="O4399" s="17"/>
      <c r="P4399" s="17"/>
      <c r="Q4399" s="17"/>
      <c r="R4399" s="17"/>
      <c r="S4399" s="17"/>
      <c r="T4399" s="17"/>
      <c r="U4399" s="17"/>
      <c r="V4399" s="18">
        <v>0</v>
      </c>
      <c r="W4399" s="17">
        <f t="shared" si="136"/>
        <v>0</v>
      </c>
    </row>
    <row r="4400" spans="1:23" x14ac:dyDescent="0.25">
      <c r="A4400" s="17"/>
      <c r="B4400" s="17"/>
      <c r="C4400" s="17"/>
      <c r="D4400" s="17"/>
      <c r="E4400" s="17"/>
      <c r="F4400" s="17"/>
      <c r="G4400" s="17"/>
      <c r="H4400" s="17"/>
      <c r="I4400" s="17"/>
      <c r="J4400" s="17"/>
      <c r="K4400" s="17"/>
      <c r="L4400" s="17"/>
      <c r="M4400" s="17"/>
      <c r="N4400" s="17"/>
      <c r="O4400" s="17"/>
      <c r="P4400" s="17"/>
      <c r="Q4400" s="17"/>
      <c r="R4400" s="17"/>
      <c r="S4400" s="17"/>
      <c r="T4400" s="17"/>
      <c r="U4400" s="17"/>
      <c r="V4400" s="18">
        <v>0</v>
      </c>
      <c r="W4400" s="17">
        <f t="shared" si="136"/>
        <v>0</v>
      </c>
    </row>
    <row r="4401" spans="1:23" x14ac:dyDescent="0.25">
      <c r="A4401" s="17"/>
      <c r="B4401" s="17"/>
      <c r="C4401" s="17"/>
      <c r="D4401" s="17"/>
      <c r="E4401" s="17"/>
      <c r="F4401" s="17"/>
      <c r="G4401" s="17"/>
      <c r="H4401" s="17"/>
      <c r="I4401" s="17"/>
      <c r="J4401" s="17"/>
      <c r="K4401" s="17"/>
      <c r="L4401" s="17"/>
      <c r="M4401" s="17"/>
      <c r="N4401" s="17"/>
      <c r="O4401" s="17"/>
      <c r="P4401" s="17"/>
      <c r="Q4401" s="17"/>
      <c r="R4401" s="17"/>
      <c r="S4401" s="17"/>
      <c r="T4401" s="17"/>
      <c r="U4401" s="17"/>
      <c r="V4401" s="18">
        <v>0</v>
      </c>
      <c r="W4401" s="17">
        <f t="shared" si="136"/>
        <v>0</v>
      </c>
    </row>
    <row r="4402" spans="1:23" x14ac:dyDescent="0.25">
      <c r="A4402" s="17"/>
      <c r="B4402" s="17"/>
      <c r="C4402" s="17"/>
      <c r="D4402" s="17"/>
      <c r="E4402" s="17"/>
      <c r="F4402" s="17"/>
      <c r="G4402" s="17"/>
      <c r="H4402" s="17"/>
      <c r="I4402" s="17"/>
      <c r="J4402" s="17"/>
      <c r="K4402" s="17"/>
      <c r="L4402" s="17"/>
      <c r="M4402" s="17"/>
      <c r="N4402" s="17"/>
      <c r="O4402" s="17"/>
      <c r="P4402" s="17"/>
      <c r="Q4402" s="17"/>
      <c r="R4402" s="17"/>
      <c r="S4402" s="17"/>
      <c r="T4402" s="17"/>
      <c r="U4402" s="17"/>
      <c r="V4402" s="18">
        <v>0</v>
      </c>
      <c r="W4402" s="17">
        <f t="shared" si="136"/>
        <v>0</v>
      </c>
    </row>
    <row r="4403" spans="1:23" x14ac:dyDescent="0.25">
      <c r="A4403" s="17"/>
      <c r="B4403" s="17"/>
      <c r="C4403" s="17"/>
      <c r="D4403" s="17"/>
      <c r="E4403" s="17"/>
      <c r="F4403" s="17"/>
      <c r="G4403" s="17"/>
      <c r="H4403" s="17"/>
      <c r="I4403" s="17"/>
      <c r="J4403" s="17"/>
      <c r="K4403" s="17"/>
      <c r="L4403" s="17"/>
      <c r="M4403" s="17"/>
      <c r="N4403" s="17"/>
      <c r="O4403" s="17"/>
      <c r="P4403" s="17"/>
      <c r="Q4403" s="17"/>
      <c r="R4403" s="17"/>
      <c r="S4403" s="17"/>
      <c r="T4403" s="17"/>
      <c r="U4403" s="17"/>
      <c r="V4403" s="18">
        <v>0</v>
      </c>
      <c r="W4403" s="17">
        <f t="shared" si="136"/>
        <v>0</v>
      </c>
    </row>
    <row r="4404" spans="1:23" x14ac:dyDescent="0.25">
      <c r="A4404" s="17"/>
      <c r="B4404" s="17"/>
      <c r="C4404" s="17"/>
      <c r="D4404" s="17"/>
      <c r="E4404" s="17"/>
      <c r="F4404" s="17"/>
      <c r="G4404" s="17"/>
      <c r="H4404" s="17"/>
      <c r="I4404" s="17"/>
      <c r="J4404" s="17"/>
      <c r="K4404" s="17"/>
      <c r="L4404" s="17"/>
      <c r="M4404" s="17"/>
      <c r="N4404" s="17"/>
      <c r="O4404" s="17"/>
      <c r="P4404" s="17"/>
      <c r="Q4404" s="17"/>
      <c r="R4404" s="17"/>
      <c r="S4404" s="17"/>
      <c r="T4404" s="17"/>
      <c r="U4404" s="17"/>
      <c r="V4404" s="18">
        <v>0</v>
      </c>
      <c r="W4404" s="17">
        <f t="shared" si="136"/>
        <v>0</v>
      </c>
    </row>
    <row r="4405" spans="1:23" x14ac:dyDescent="0.25">
      <c r="A4405" s="17"/>
      <c r="B4405" s="17"/>
      <c r="C4405" s="17"/>
      <c r="D4405" s="17"/>
      <c r="E4405" s="17"/>
      <c r="F4405" s="17"/>
      <c r="G4405" s="17"/>
      <c r="H4405" s="17"/>
      <c r="I4405" s="17"/>
      <c r="J4405" s="17"/>
      <c r="K4405" s="17"/>
      <c r="L4405" s="17"/>
      <c r="M4405" s="17"/>
      <c r="N4405" s="17"/>
      <c r="O4405" s="17"/>
      <c r="P4405" s="17"/>
      <c r="Q4405" s="17"/>
      <c r="R4405" s="17"/>
      <c r="S4405" s="17"/>
      <c r="T4405" s="17"/>
      <c r="U4405" s="17"/>
      <c r="V4405" s="18">
        <v>0</v>
      </c>
      <c r="W4405" s="17">
        <f t="shared" si="136"/>
        <v>0</v>
      </c>
    </row>
    <row r="4406" spans="1:23" x14ac:dyDescent="0.25">
      <c r="A4406" s="17"/>
      <c r="B4406" s="17"/>
      <c r="C4406" s="17"/>
      <c r="D4406" s="17"/>
      <c r="E4406" s="17"/>
      <c r="F4406" s="17"/>
      <c r="G4406" s="17"/>
      <c r="H4406" s="17"/>
      <c r="I4406" s="17"/>
      <c r="J4406" s="17"/>
      <c r="K4406" s="17"/>
      <c r="L4406" s="17"/>
      <c r="M4406" s="17"/>
      <c r="N4406" s="17"/>
      <c r="O4406" s="17"/>
      <c r="P4406" s="17"/>
      <c r="Q4406" s="17"/>
      <c r="R4406" s="17"/>
      <c r="S4406" s="17"/>
      <c r="T4406" s="17"/>
      <c r="U4406" s="17"/>
      <c r="V4406" s="18">
        <v>0</v>
      </c>
      <c r="W4406" s="17">
        <f t="shared" si="136"/>
        <v>0</v>
      </c>
    </row>
    <row r="4407" spans="1:23" x14ac:dyDescent="0.25">
      <c r="A4407" s="17"/>
      <c r="B4407" s="17"/>
      <c r="C4407" s="17"/>
      <c r="D4407" s="17"/>
      <c r="E4407" s="17"/>
      <c r="F4407" s="17"/>
      <c r="G4407" s="17"/>
      <c r="H4407" s="17"/>
      <c r="I4407" s="17"/>
      <c r="J4407" s="17"/>
      <c r="K4407" s="17"/>
      <c r="L4407" s="17"/>
      <c r="M4407" s="17"/>
      <c r="N4407" s="17"/>
      <c r="O4407" s="17"/>
      <c r="P4407" s="17"/>
      <c r="Q4407" s="17"/>
      <c r="R4407" s="17"/>
      <c r="S4407" s="17"/>
      <c r="T4407" s="17"/>
      <c r="U4407" s="17"/>
      <c r="V4407" s="18">
        <v>0</v>
      </c>
      <c r="W4407" s="17">
        <f t="shared" si="136"/>
        <v>0</v>
      </c>
    </row>
    <row r="4408" spans="1:23" x14ac:dyDescent="0.25">
      <c r="A4408" s="17"/>
      <c r="B4408" s="17"/>
      <c r="C4408" s="17"/>
      <c r="D4408" s="17"/>
      <c r="E4408" s="17"/>
      <c r="F4408" s="17"/>
      <c r="G4408" s="17"/>
      <c r="H4408" s="17"/>
      <c r="I4408" s="17"/>
      <c r="J4408" s="17"/>
      <c r="K4408" s="17"/>
      <c r="L4408" s="17"/>
      <c r="M4408" s="17"/>
      <c r="N4408" s="17"/>
      <c r="O4408" s="17"/>
      <c r="P4408" s="17"/>
      <c r="Q4408" s="17"/>
      <c r="R4408" s="17"/>
      <c r="S4408" s="17"/>
      <c r="T4408" s="17"/>
      <c r="U4408" s="17"/>
      <c r="V4408" s="18">
        <v>0</v>
      </c>
      <c r="W4408" s="17">
        <f t="shared" si="136"/>
        <v>0</v>
      </c>
    </row>
    <row r="4409" spans="1:23" x14ac:dyDescent="0.25">
      <c r="A4409" s="17"/>
      <c r="B4409" s="17"/>
      <c r="C4409" s="17"/>
      <c r="D4409" s="17"/>
      <c r="E4409" s="17"/>
      <c r="F4409" s="17"/>
      <c r="G4409" s="17"/>
      <c r="H4409" s="17"/>
      <c r="I4409" s="17"/>
      <c r="J4409" s="17"/>
      <c r="K4409" s="17"/>
      <c r="L4409" s="17"/>
      <c r="M4409" s="17"/>
      <c r="N4409" s="17"/>
      <c r="O4409" s="17"/>
      <c r="P4409" s="17"/>
      <c r="Q4409" s="17"/>
      <c r="R4409" s="17"/>
      <c r="S4409" s="17"/>
      <c r="T4409" s="17"/>
      <c r="U4409" s="17"/>
      <c r="V4409" s="18">
        <v>0</v>
      </c>
      <c r="W4409" s="17">
        <f t="shared" si="136"/>
        <v>0</v>
      </c>
    </row>
    <row r="4410" spans="1:23" x14ac:dyDescent="0.25">
      <c r="A4410" s="17"/>
      <c r="B4410" s="17"/>
      <c r="C4410" s="17"/>
      <c r="D4410" s="17"/>
      <c r="E4410" s="17"/>
      <c r="F4410" s="17"/>
      <c r="G4410" s="17"/>
      <c r="H4410" s="17"/>
      <c r="I4410" s="17"/>
      <c r="J4410" s="17"/>
      <c r="K4410" s="17"/>
      <c r="L4410" s="17"/>
      <c r="M4410" s="17"/>
      <c r="N4410" s="17"/>
      <c r="O4410" s="17"/>
      <c r="P4410" s="17"/>
      <c r="Q4410" s="17"/>
      <c r="R4410" s="17"/>
      <c r="S4410" s="17"/>
      <c r="T4410" s="17"/>
      <c r="U4410" s="17"/>
      <c r="V4410" s="18">
        <v>0</v>
      </c>
      <c r="W4410" s="17">
        <f t="shared" si="136"/>
        <v>0</v>
      </c>
    </row>
    <row r="4411" spans="1:23" x14ac:dyDescent="0.25">
      <c r="A4411" s="17"/>
      <c r="B4411" s="17"/>
      <c r="C4411" s="17"/>
      <c r="D4411" s="17"/>
      <c r="E4411" s="17"/>
      <c r="F4411" s="17"/>
      <c r="G4411" s="17"/>
      <c r="H4411" s="17"/>
      <c r="I4411" s="17"/>
      <c r="J4411" s="17"/>
      <c r="K4411" s="17"/>
      <c r="L4411" s="17"/>
      <c r="M4411" s="17"/>
      <c r="N4411" s="17"/>
      <c r="O4411" s="17"/>
      <c r="P4411" s="17"/>
      <c r="Q4411" s="17"/>
      <c r="R4411" s="17"/>
      <c r="S4411" s="17"/>
      <c r="T4411" s="17"/>
      <c r="U4411" s="17"/>
      <c r="V4411" s="18">
        <v>0</v>
      </c>
      <c r="W4411" s="17">
        <f t="shared" si="136"/>
        <v>0</v>
      </c>
    </row>
    <row r="4412" spans="1:23" x14ac:dyDescent="0.25">
      <c r="A4412" s="17"/>
      <c r="B4412" s="17"/>
      <c r="C4412" s="17"/>
      <c r="D4412" s="17"/>
      <c r="E4412" s="17"/>
      <c r="F4412" s="17"/>
      <c r="G4412" s="17"/>
      <c r="H4412" s="17"/>
      <c r="I4412" s="17"/>
      <c r="J4412" s="17"/>
      <c r="K4412" s="17"/>
      <c r="L4412" s="17"/>
      <c r="M4412" s="17"/>
      <c r="N4412" s="17"/>
      <c r="O4412" s="17"/>
      <c r="P4412" s="17"/>
      <c r="Q4412" s="17"/>
      <c r="R4412" s="17"/>
      <c r="S4412" s="17"/>
      <c r="T4412" s="17"/>
      <c r="U4412" s="17"/>
      <c r="V4412" s="18">
        <v>0</v>
      </c>
      <c r="W4412" s="17">
        <f t="shared" si="136"/>
        <v>0</v>
      </c>
    </row>
    <row r="4413" spans="1:23" x14ac:dyDescent="0.25">
      <c r="A4413" s="17"/>
      <c r="B4413" s="17"/>
      <c r="C4413" s="17"/>
      <c r="D4413" s="17"/>
      <c r="E4413" s="17"/>
      <c r="F4413" s="17"/>
      <c r="G4413" s="17"/>
      <c r="H4413" s="17"/>
      <c r="I4413" s="17"/>
      <c r="J4413" s="17"/>
      <c r="K4413" s="17"/>
      <c r="L4413" s="17"/>
      <c r="M4413" s="17"/>
      <c r="N4413" s="17"/>
      <c r="O4413" s="17"/>
      <c r="P4413" s="17"/>
      <c r="Q4413" s="17"/>
      <c r="R4413" s="17"/>
      <c r="S4413" s="17"/>
      <c r="T4413" s="17"/>
      <c r="U4413" s="17"/>
      <c r="V4413" s="18">
        <v>0</v>
      </c>
      <c r="W4413" s="17">
        <f t="shared" si="136"/>
        <v>0</v>
      </c>
    </row>
    <row r="4414" spans="1:23" x14ac:dyDescent="0.25">
      <c r="A4414" s="17"/>
      <c r="B4414" s="17"/>
      <c r="C4414" s="17"/>
      <c r="D4414" s="17"/>
      <c r="E4414" s="17"/>
      <c r="F4414" s="17"/>
      <c r="G4414" s="17"/>
      <c r="H4414" s="17"/>
      <c r="I4414" s="17"/>
      <c r="J4414" s="17"/>
      <c r="K4414" s="17"/>
      <c r="L4414" s="17"/>
      <c r="M4414" s="17"/>
      <c r="N4414" s="17"/>
      <c r="O4414" s="17"/>
      <c r="P4414" s="17"/>
      <c r="Q4414" s="17"/>
      <c r="R4414" s="17"/>
      <c r="S4414" s="17"/>
      <c r="T4414" s="17"/>
      <c r="U4414" s="17"/>
      <c r="V4414" s="18">
        <v>0</v>
      </c>
      <c r="W4414" s="17">
        <f t="shared" si="136"/>
        <v>0</v>
      </c>
    </row>
    <row r="4415" spans="1:23" x14ac:dyDescent="0.25">
      <c r="A4415" s="17"/>
      <c r="B4415" s="17"/>
      <c r="C4415" s="17"/>
      <c r="D4415" s="17"/>
      <c r="E4415" s="17"/>
      <c r="F4415" s="17"/>
      <c r="G4415" s="17"/>
      <c r="H4415" s="17"/>
      <c r="I4415" s="17"/>
      <c r="J4415" s="17"/>
      <c r="K4415" s="17"/>
      <c r="L4415" s="17"/>
      <c r="M4415" s="17"/>
      <c r="N4415" s="17"/>
      <c r="O4415" s="17"/>
      <c r="P4415" s="17"/>
      <c r="Q4415" s="17"/>
      <c r="R4415" s="17"/>
      <c r="S4415" s="17"/>
      <c r="T4415" s="17"/>
      <c r="U4415" s="17"/>
      <c r="V4415" s="18">
        <v>0</v>
      </c>
      <c r="W4415" s="17">
        <f t="shared" si="136"/>
        <v>0</v>
      </c>
    </row>
    <row r="4416" spans="1:23" x14ac:dyDescent="0.25">
      <c r="A4416" s="17"/>
      <c r="B4416" s="17"/>
      <c r="C4416" s="17"/>
      <c r="D4416" s="17"/>
      <c r="E4416" s="17"/>
      <c r="F4416" s="17"/>
      <c r="G4416" s="17"/>
      <c r="H4416" s="17"/>
      <c r="I4416" s="17"/>
      <c r="J4416" s="17"/>
      <c r="K4416" s="17"/>
      <c r="L4416" s="17"/>
      <c r="M4416" s="17"/>
      <c r="N4416" s="17"/>
      <c r="O4416" s="17"/>
      <c r="P4416" s="17"/>
      <c r="Q4416" s="17"/>
      <c r="R4416" s="17"/>
      <c r="S4416" s="17"/>
      <c r="T4416" s="17"/>
      <c r="U4416" s="17"/>
      <c r="V4416" s="18">
        <v>0</v>
      </c>
      <c r="W4416" s="17">
        <f t="shared" si="136"/>
        <v>0</v>
      </c>
    </row>
    <row r="4417" spans="1:23" x14ac:dyDescent="0.25">
      <c r="A4417" s="17"/>
      <c r="B4417" s="17"/>
      <c r="C4417" s="17"/>
      <c r="D4417" s="17"/>
      <c r="E4417" s="17"/>
      <c r="F4417" s="17"/>
      <c r="G4417" s="17"/>
      <c r="H4417" s="17"/>
      <c r="I4417" s="17"/>
      <c r="J4417" s="17"/>
      <c r="K4417" s="17"/>
      <c r="L4417" s="17"/>
      <c r="M4417" s="17"/>
      <c r="N4417" s="17"/>
      <c r="O4417" s="17"/>
      <c r="P4417" s="17"/>
      <c r="Q4417" s="17"/>
      <c r="R4417" s="17"/>
      <c r="S4417" s="17"/>
      <c r="T4417" s="17"/>
      <c r="U4417" s="17"/>
      <c r="V4417" s="18">
        <v>0</v>
      </c>
      <c r="W4417" s="17">
        <f t="shared" si="136"/>
        <v>0</v>
      </c>
    </row>
    <row r="4418" spans="1:23" x14ac:dyDescent="0.25">
      <c r="A4418" s="17"/>
      <c r="B4418" s="17"/>
      <c r="C4418" s="17"/>
      <c r="D4418" s="17"/>
      <c r="E4418" s="17"/>
      <c r="F4418" s="17"/>
      <c r="G4418" s="17"/>
      <c r="H4418" s="17"/>
      <c r="I4418" s="17"/>
      <c r="J4418" s="17"/>
      <c r="K4418" s="17"/>
      <c r="L4418" s="17"/>
      <c r="M4418" s="17"/>
      <c r="N4418" s="17"/>
      <c r="O4418" s="17"/>
      <c r="P4418" s="17"/>
      <c r="Q4418" s="17"/>
      <c r="R4418" s="17"/>
      <c r="S4418" s="17"/>
      <c r="T4418" s="17"/>
      <c r="U4418" s="17"/>
      <c r="V4418" s="18">
        <v>0</v>
      </c>
      <c r="W4418" s="17">
        <f t="shared" si="136"/>
        <v>0</v>
      </c>
    </row>
    <row r="4419" spans="1:23" x14ac:dyDescent="0.25">
      <c r="A4419" s="17"/>
      <c r="B4419" s="17"/>
      <c r="C4419" s="17"/>
      <c r="D4419" s="17"/>
      <c r="E4419" s="17"/>
      <c r="F4419" s="17"/>
      <c r="G4419" s="17"/>
      <c r="H4419" s="17"/>
      <c r="I4419" s="17"/>
      <c r="J4419" s="17"/>
      <c r="K4419" s="17"/>
      <c r="L4419" s="17"/>
      <c r="M4419" s="17"/>
      <c r="N4419" s="17"/>
      <c r="O4419" s="17"/>
      <c r="P4419" s="17"/>
      <c r="Q4419" s="17"/>
      <c r="R4419" s="17"/>
      <c r="S4419" s="17"/>
      <c r="T4419" s="17"/>
      <c r="U4419" s="17"/>
      <c r="V4419" s="18">
        <v>0</v>
      </c>
      <c r="W4419" s="17">
        <f t="shared" ref="W4419:W4482" si="137">HOUR(E4419)</f>
        <v>0</v>
      </c>
    </row>
    <row r="4420" spans="1:23" x14ac:dyDescent="0.25">
      <c r="A4420" s="17"/>
      <c r="B4420" s="17"/>
      <c r="C4420" s="17"/>
      <c r="D4420" s="17"/>
      <c r="E4420" s="17"/>
      <c r="F4420" s="17"/>
      <c r="G4420" s="17"/>
      <c r="H4420" s="17"/>
      <c r="I4420" s="17"/>
      <c r="J4420" s="17"/>
      <c r="K4420" s="17"/>
      <c r="L4420" s="17"/>
      <c r="M4420" s="17"/>
      <c r="N4420" s="17"/>
      <c r="O4420" s="17"/>
      <c r="P4420" s="17"/>
      <c r="Q4420" s="17"/>
      <c r="R4420" s="17"/>
      <c r="S4420" s="17"/>
      <c r="T4420" s="17"/>
      <c r="U4420" s="17"/>
      <c r="V4420" s="18">
        <v>0</v>
      </c>
      <c r="W4420" s="17">
        <f t="shared" si="137"/>
        <v>0</v>
      </c>
    </row>
    <row r="4421" spans="1:23" x14ac:dyDescent="0.25">
      <c r="A4421" s="17"/>
      <c r="B4421" s="17"/>
      <c r="C4421" s="17"/>
      <c r="D4421" s="17"/>
      <c r="E4421" s="17"/>
      <c r="F4421" s="17"/>
      <c r="G4421" s="17"/>
      <c r="H4421" s="17"/>
      <c r="I4421" s="17"/>
      <c r="J4421" s="17"/>
      <c r="K4421" s="17"/>
      <c r="L4421" s="17"/>
      <c r="M4421" s="17"/>
      <c r="N4421" s="17"/>
      <c r="O4421" s="17"/>
      <c r="P4421" s="17"/>
      <c r="Q4421" s="17"/>
      <c r="R4421" s="17"/>
      <c r="S4421" s="17"/>
      <c r="T4421" s="17"/>
      <c r="U4421" s="17"/>
      <c r="V4421" s="18">
        <v>0</v>
      </c>
      <c r="W4421" s="17">
        <f t="shared" si="137"/>
        <v>0</v>
      </c>
    </row>
    <row r="4422" spans="1:23" x14ac:dyDescent="0.25">
      <c r="A4422" s="17"/>
      <c r="B4422" s="17"/>
      <c r="C4422" s="17"/>
      <c r="D4422" s="17"/>
      <c r="E4422" s="17"/>
      <c r="F4422" s="17"/>
      <c r="G4422" s="17"/>
      <c r="H4422" s="17"/>
      <c r="I4422" s="17"/>
      <c r="J4422" s="17"/>
      <c r="K4422" s="17"/>
      <c r="L4422" s="17"/>
      <c r="M4422" s="17"/>
      <c r="N4422" s="17"/>
      <c r="O4422" s="17"/>
      <c r="P4422" s="17"/>
      <c r="Q4422" s="17"/>
      <c r="R4422" s="17"/>
      <c r="S4422" s="17"/>
      <c r="T4422" s="17"/>
      <c r="U4422" s="17"/>
      <c r="V4422" s="18">
        <v>0</v>
      </c>
      <c r="W4422" s="17">
        <f t="shared" si="137"/>
        <v>0</v>
      </c>
    </row>
    <row r="4423" spans="1:23" x14ac:dyDescent="0.25">
      <c r="A4423" s="17"/>
      <c r="B4423" s="17"/>
      <c r="C4423" s="17"/>
      <c r="D4423" s="17"/>
      <c r="E4423" s="17"/>
      <c r="F4423" s="17"/>
      <c r="G4423" s="17"/>
      <c r="H4423" s="17"/>
      <c r="I4423" s="17"/>
      <c r="J4423" s="17"/>
      <c r="K4423" s="17"/>
      <c r="L4423" s="17"/>
      <c r="M4423" s="17"/>
      <c r="N4423" s="17"/>
      <c r="O4423" s="17"/>
      <c r="P4423" s="17"/>
      <c r="Q4423" s="17"/>
      <c r="R4423" s="17"/>
      <c r="S4423" s="17"/>
      <c r="T4423" s="17"/>
      <c r="U4423" s="17"/>
      <c r="V4423" s="18">
        <v>0</v>
      </c>
      <c r="W4423" s="17">
        <f t="shared" si="137"/>
        <v>0</v>
      </c>
    </row>
    <row r="4424" spans="1:23" x14ac:dyDescent="0.25">
      <c r="A4424" s="17"/>
      <c r="B4424" s="17"/>
      <c r="C4424" s="17"/>
      <c r="D4424" s="17"/>
      <c r="E4424" s="17"/>
      <c r="F4424" s="17"/>
      <c r="G4424" s="17"/>
      <c r="H4424" s="17"/>
      <c r="I4424" s="17"/>
      <c r="J4424" s="17"/>
      <c r="K4424" s="17"/>
      <c r="L4424" s="17"/>
      <c r="M4424" s="17"/>
      <c r="N4424" s="17"/>
      <c r="O4424" s="17"/>
      <c r="P4424" s="17"/>
      <c r="Q4424" s="17"/>
      <c r="R4424" s="17"/>
      <c r="S4424" s="17"/>
      <c r="T4424" s="17"/>
      <c r="U4424" s="17"/>
      <c r="V4424" s="18">
        <v>0</v>
      </c>
      <c r="W4424" s="17">
        <f t="shared" si="137"/>
        <v>0</v>
      </c>
    </row>
    <row r="4425" spans="1:23" x14ac:dyDescent="0.25">
      <c r="A4425" s="17"/>
      <c r="B4425" s="17"/>
      <c r="C4425" s="17"/>
      <c r="D4425" s="17"/>
      <c r="E4425" s="17"/>
      <c r="F4425" s="17"/>
      <c r="G4425" s="17"/>
      <c r="H4425" s="17"/>
      <c r="I4425" s="17"/>
      <c r="J4425" s="17"/>
      <c r="K4425" s="17"/>
      <c r="L4425" s="17"/>
      <c r="M4425" s="17"/>
      <c r="N4425" s="17"/>
      <c r="O4425" s="17"/>
      <c r="P4425" s="17"/>
      <c r="Q4425" s="17"/>
      <c r="R4425" s="17"/>
      <c r="S4425" s="17"/>
      <c r="T4425" s="17"/>
      <c r="U4425" s="17"/>
      <c r="V4425" s="18">
        <v>0</v>
      </c>
      <c r="W4425" s="17">
        <f t="shared" si="137"/>
        <v>0</v>
      </c>
    </row>
    <row r="4426" spans="1:23" x14ac:dyDescent="0.25">
      <c r="A4426" s="17"/>
      <c r="B4426" s="17"/>
      <c r="C4426" s="17"/>
      <c r="D4426" s="17"/>
      <c r="E4426" s="17"/>
      <c r="F4426" s="17"/>
      <c r="G4426" s="17"/>
      <c r="H4426" s="17"/>
      <c r="I4426" s="17"/>
      <c r="J4426" s="17"/>
      <c r="K4426" s="17"/>
      <c r="L4426" s="17"/>
      <c r="M4426" s="17"/>
      <c r="N4426" s="17"/>
      <c r="O4426" s="17"/>
      <c r="P4426" s="17"/>
      <c r="Q4426" s="17"/>
      <c r="R4426" s="17"/>
      <c r="S4426" s="17"/>
      <c r="T4426" s="17"/>
      <c r="U4426" s="17"/>
      <c r="V4426" s="18">
        <v>0</v>
      </c>
      <c r="W4426" s="17">
        <f t="shared" si="137"/>
        <v>0</v>
      </c>
    </row>
    <row r="4427" spans="1:23" x14ac:dyDescent="0.25">
      <c r="A4427" s="17"/>
      <c r="B4427" s="17"/>
      <c r="C4427" s="17"/>
      <c r="D4427" s="17"/>
      <c r="E4427" s="17"/>
      <c r="F4427" s="17"/>
      <c r="G4427" s="17"/>
      <c r="H4427" s="17"/>
      <c r="I4427" s="17"/>
      <c r="J4427" s="17"/>
      <c r="K4427" s="17"/>
      <c r="L4427" s="17"/>
      <c r="M4427" s="17"/>
      <c r="N4427" s="17"/>
      <c r="O4427" s="17"/>
      <c r="P4427" s="17"/>
      <c r="Q4427" s="17"/>
      <c r="R4427" s="17"/>
      <c r="S4427" s="17"/>
      <c r="T4427" s="17"/>
      <c r="U4427" s="17"/>
      <c r="V4427" s="18">
        <v>0</v>
      </c>
      <c r="W4427" s="17">
        <f t="shared" si="137"/>
        <v>0</v>
      </c>
    </row>
    <row r="4428" spans="1:23" x14ac:dyDescent="0.25">
      <c r="A4428" s="17"/>
      <c r="B4428" s="17"/>
      <c r="C4428" s="17"/>
      <c r="D4428" s="17"/>
      <c r="E4428" s="17"/>
      <c r="F4428" s="17"/>
      <c r="G4428" s="17"/>
      <c r="H4428" s="17"/>
      <c r="I4428" s="17"/>
      <c r="J4428" s="17"/>
      <c r="K4428" s="17"/>
      <c r="L4428" s="17"/>
      <c r="M4428" s="17"/>
      <c r="N4428" s="17"/>
      <c r="O4428" s="17"/>
      <c r="P4428" s="17"/>
      <c r="Q4428" s="17"/>
      <c r="R4428" s="17"/>
      <c r="S4428" s="17"/>
      <c r="T4428" s="17"/>
      <c r="U4428" s="17"/>
      <c r="V4428" s="18">
        <v>0</v>
      </c>
      <c r="W4428" s="17">
        <f t="shared" si="137"/>
        <v>0</v>
      </c>
    </row>
    <row r="4429" spans="1:23" x14ac:dyDescent="0.25">
      <c r="A4429" s="17"/>
      <c r="B4429" s="17"/>
      <c r="C4429" s="17"/>
      <c r="D4429" s="17"/>
      <c r="E4429" s="17"/>
      <c r="F4429" s="17"/>
      <c r="G4429" s="17"/>
      <c r="H4429" s="17"/>
      <c r="I4429" s="17"/>
      <c r="J4429" s="17"/>
      <c r="K4429" s="17"/>
      <c r="L4429" s="17"/>
      <c r="M4429" s="17"/>
      <c r="N4429" s="17"/>
      <c r="O4429" s="17"/>
      <c r="P4429" s="17"/>
      <c r="Q4429" s="17"/>
      <c r="R4429" s="17"/>
      <c r="S4429" s="17"/>
      <c r="T4429" s="17"/>
      <c r="U4429" s="17"/>
      <c r="V4429" s="18">
        <v>0</v>
      </c>
      <c r="W4429" s="17">
        <f t="shared" si="137"/>
        <v>0</v>
      </c>
    </row>
    <row r="4430" spans="1:23" x14ac:dyDescent="0.25">
      <c r="A4430" s="17"/>
      <c r="B4430" s="17"/>
      <c r="C4430" s="17"/>
      <c r="D4430" s="17"/>
      <c r="E4430" s="17"/>
      <c r="F4430" s="17"/>
      <c r="G4430" s="17"/>
      <c r="H4430" s="17"/>
      <c r="I4430" s="17"/>
      <c r="J4430" s="17"/>
      <c r="K4430" s="17"/>
      <c r="L4430" s="17"/>
      <c r="M4430" s="17"/>
      <c r="N4430" s="17"/>
      <c r="O4430" s="17"/>
      <c r="P4430" s="17"/>
      <c r="Q4430" s="17"/>
      <c r="R4430" s="17"/>
      <c r="S4430" s="17"/>
      <c r="T4430" s="17"/>
      <c r="U4430" s="17"/>
      <c r="V4430" s="18">
        <v>0</v>
      </c>
      <c r="W4430" s="17">
        <f t="shared" si="137"/>
        <v>0</v>
      </c>
    </row>
    <row r="4431" spans="1:23" x14ac:dyDescent="0.25">
      <c r="A4431" s="17"/>
      <c r="B4431" s="17"/>
      <c r="C4431" s="17"/>
      <c r="D4431" s="17"/>
      <c r="E4431" s="17"/>
      <c r="F4431" s="17"/>
      <c r="G4431" s="17"/>
      <c r="H4431" s="17"/>
      <c r="I4431" s="17"/>
      <c r="J4431" s="17"/>
      <c r="K4431" s="17"/>
      <c r="L4431" s="17"/>
      <c r="M4431" s="17"/>
      <c r="N4431" s="17"/>
      <c r="O4431" s="17"/>
      <c r="P4431" s="17"/>
      <c r="Q4431" s="17"/>
      <c r="R4431" s="17"/>
      <c r="S4431" s="17"/>
      <c r="T4431" s="17"/>
      <c r="U4431" s="17"/>
      <c r="V4431" s="18">
        <v>0</v>
      </c>
      <c r="W4431" s="17">
        <f t="shared" si="137"/>
        <v>0</v>
      </c>
    </row>
    <row r="4432" spans="1:23" x14ac:dyDescent="0.25">
      <c r="A4432" s="17"/>
      <c r="B4432" s="17"/>
      <c r="C4432" s="17"/>
      <c r="D4432" s="17"/>
      <c r="E4432" s="17"/>
      <c r="F4432" s="17"/>
      <c r="G4432" s="17"/>
      <c r="H4432" s="17"/>
      <c r="I4432" s="17"/>
      <c r="J4432" s="17"/>
      <c r="K4432" s="17"/>
      <c r="L4432" s="17"/>
      <c r="M4432" s="17"/>
      <c r="N4432" s="17"/>
      <c r="O4432" s="17"/>
      <c r="P4432" s="17"/>
      <c r="Q4432" s="17"/>
      <c r="R4432" s="17"/>
      <c r="S4432" s="17"/>
      <c r="T4432" s="17"/>
      <c r="U4432" s="17"/>
      <c r="V4432" s="18">
        <v>0</v>
      </c>
      <c r="W4432" s="17">
        <f t="shared" si="137"/>
        <v>0</v>
      </c>
    </row>
    <row r="4433" spans="1:23" x14ac:dyDescent="0.25">
      <c r="A4433" s="17"/>
      <c r="B4433" s="17"/>
      <c r="C4433" s="17"/>
      <c r="D4433" s="17"/>
      <c r="E4433" s="17"/>
      <c r="F4433" s="17"/>
      <c r="G4433" s="17"/>
      <c r="H4433" s="17"/>
      <c r="I4433" s="17"/>
      <c r="J4433" s="17"/>
      <c r="K4433" s="17"/>
      <c r="L4433" s="17"/>
      <c r="M4433" s="17"/>
      <c r="N4433" s="17"/>
      <c r="O4433" s="17"/>
      <c r="P4433" s="17"/>
      <c r="Q4433" s="17"/>
      <c r="R4433" s="17"/>
      <c r="S4433" s="17"/>
      <c r="T4433" s="17"/>
      <c r="U4433" s="17"/>
      <c r="V4433" s="18">
        <v>0</v>
      </c>
      <c r="W4433" s="17">
        <f t="shared" si="137"/>
        <v>0</v>
      </c>
    </row>
    <row r="4434" spans="1:23" x14ac:dyDescent="0.25">
      <c r="A4434" s="17"/>
      <c r="B4434" s="17"/>
      <c r="C4434" s="17"/>
      <c r="D4434" s="17"/>
      <c r="E4434" s="17"/>
      <c r="F4434" s="17"/>
      <c r="G4434" s="17"/>
      <c r="H4434" s="17"/>
      <c r="I4434" s="17"/>
      <c r="J4434" s="17"/>
      <c r="K4434" s="17"/>
      <c r="L4434" s="17"/>
      <c r="M4434" s="17"/>
      <c r="N4434" s="17"/>
      <c r="O4434" s="17"/>
      <c r="P4434" s="17"/>
      <c r="Q4434" s="17"/>
      <c r="R4434" s="17"/>
      <c r="S4434" s="17"/>
      <c r="T4434" s="17"/>
      <c r="U4434" s="17"/>
      <c r="V4434" s="18">
        <v>0</v>
      </c>
      <c r="W4434" s="17">
        <f t="shared" si="137"/>
        <v>0</v>
      </c>
    </row>
    <row r="4435" spans="1:23" x14ac:dyDescent="0.25">
      <c r="A4435" s="17"/>
      <c r="B4435" s="17"/>
      <c r="C4435" s="17"/>
      <c r="D4435" s="17"/>
      <c r="E4435" s="17"/>
      <c r="F4435" s="17"/>
      <c r="G4435" s="17"/>
      <c r="H4435" s="17"/>
      <c r="I4435" s="17"/>
      <c r="J4435" s="17"/>
      <c r="K4435" s="17"/>
      <c r="L4435" s="17"/>
      <c r="M4435" s="17"/>
      <c r="N4435" s="17"/>
      <c r="O4435" s="17"/>
      <c r="P4435" s="17"/>
      <c r="Q4435" s="17"/>
      <c r="R4435" s="17"/>
      <c r="S4435" s="17"/>
      <c r="T4435" s="17"/>
      <c r="U4435" s="17"/>
      <c r="V4435" s="18">
        <v>0</v>
      </c>
      <c r="W4435" s="17">
        <f t="shared" si="137"/>
        <v>0</v>
      </c>
    </row>
    <row r="4436" spans="1:23" x14ac:dyDescent="0.25">
      <c r="A4436" s="17"/>
      <c r="B4436" s="17"/>
      <c r="C4436" s="17"/>
      <c r="D4436" s="17"/>
      <c r="E4436" s="17"/>
      <c r="F4436" s="17"/>
      <c r="G4436" s="17"/>
      <c r="H4436" s="17"/>
      <c r="I4436" s="17"/>
      <c r="J4436" s="17"/>
      <c r="K4436" s="17"/>
      <c r="L4436" s="17"/>
      <c r="M4436" s="17"/>
      <c r="N4436" s="17"/>
      <c r="O4436" s="17"/>
      <c r="P4436" s="17"/>
      <c r="Q4436" s="17"/>
      <c r="R4436" s="17"/>
      <c r="S4436" s="17"/>
      <c r="T4436" s="17"/>
      <c r="U4436" s="17"/>
      <c r="V4436" s="18">
        <v>0</v>
      </c>
      <c r="W4436" s="17">
        <f t="shared" si="137"/>
        <v>0</v>
      </c>
    </row>
    <row r="4437" spans="1:23" x14ac:dyDescent="0.25">
      <c r="A4437" s="17"/>
      <c r="B4437" s="17"/>
      <c r="C4437" s="17"/>
      <c r="D4437" s="17"/>
      <c r="E4437" s="17"/>
      <c r="F4437" s="17"/>
      <c r="G4437" s="17"/>
      <c r="H4437" s="17"/>
      <c r="I4437" s="17"/>
      <c r="J4437" s="17"/>
      <c r="K4437" s="17"/>
      <c r="L4437" s="17"/>
      <c r="M4437" s="17"/>
      <c r="N4437" s="17"/>
      <c r="O4437" s="17"/>
      <c r="P4437" s="17"/>
      <c r="Q4437" s="17"/>
      <c r="R4437" s="17"/>
      <c r="S4437" s="17"/>
      <c r="T4437" s="17"/>
      <c r="U4437" s="17"/>
      <c r="V4437" s="18">
        <v>0</v>
      </c>
      <c r="W4437" s="17">
        <f t="shared" si="137"/>
        <v>0</v>
      </c>
    </row>
    <row r="4438" spans="1:23" x14ac:dyDescent="0.25">
      <c r="A4438" s="17"/>
      <c r="B4438" s="17"/>
      <c r="C4438" s="17"/>
      <c r="D4438" s="17"/>
      <c r="E4438" s="17"/>
      <c r="F4438" s="17"/>
      <c r="G4438" s="17"/>
      <c r="H4438" s="17"/>
      <c r="I4438" s="17"/>
      <c r="J4438" s="17"/>
      <c r="K4438" s="17"/>
      <c r="L4438" s="17"/>
      <c r="M4438" s="17"/>
      <c r="N4438" s="17"/>
      <c r="O4438" s="17"/>
      <c r="P4438" s="17"/>
      <c r="Q4438" s="17"/>
      <c r="R4438" s="17"/>
      <c r="S4438" s="17"/>
      <c r="T4438" s="17"/>
      <c r="U4438" s="17"/>
      <c r="V4438" s="18">
        <v>0</v>
      </c>
      <c r="W4438" s="17">
        <f t="shared" si="137"/>
        <v>0</v>
      </c>
    </row>
    <row r="4439" spans="1:23" x14ac:dyDescent="0.25">
      <c r="A4439" s="17"/>
      <c r="B4439" s="17"/>
      <c r="C4439" s="17"/>
      <c r="D4439" s="17"/>
      <c r="E4439" s="17"/>
      <c r="F4439" s="17"/>
      <c r="G4439" s="17"/>
      <c r="H4439" s="17"/>
      <c r="I4439" s="17"/>
      <c r="J4439" s="17"/>
      <c r="K4439" s="17"/>
      <c r="L4439" s="17"/>
      <c r="M4439" s="17"/>
      <c r="N4439" s="17"/>
      <c r="O4439" s="17"/>
      <c r="P4439" s="17"/>
      <c r="Q4439" s="17"/>
      <c r="R4439" s="17"/>
      <c r="S4439" s="17"/>
      <c r="T4439" s="17"/>
      <c r="U4439" s="17"/>
      <c r="V4439" s="18">
        <v>0</v>
      </c>
      <c r="W4439" s="17">
        <f t="shared" si="137"/>
        <v>0</v>
      </c>
    </row>
    <row r="4440" spans="1:23" x14ac:dyDescent="0.25">
      <c r="A4440" s="17"/>
      <c r="B4440" s="17"/>
      <c r="C4440" s="17"/>
      <c r="D4440" s="17"/>
      <c r="E4440" s="17"/>
      <c r="F4440" s="17"/>
      <c r="G4440" s="17"/>
      <c r="H4440" s="17"/>
      <c r="I4440" s="17"/>
      <c r="J4440" s="17"/>
      <c r="K4440" s="17"/>
      <c r="L4440" s="17"/>
      <c r="M4440" s="17"/>
      <c r="N4440" s="17"/>
      <c r="O4440" s="17"/>
      <c r="P4440" s="17"/>
      <c r="Q4440" s="17"/>
      <c r="R4440" s="17"/>
      <c r="S4440" s="17"/>
      <c r="T4440" s="17"/>
      <c r="U4440" s="17"/>
      <c r="V4440" s="18">
        <v>0</v>
      </c>
      <c r="W4440" s="17">
        <f t="shared" si="137"/>
        <v>0</v>
      </c>
    </row>
    <row r="4441" spans="1:23" x14ac:dyDescent="0.25">
      <c r="A4441" s="17"/>
      <c r="B4441" s="17"/>
      <c r="C4441" s="17"/>
      <c r="D4441" s="17"/>
      <c r="E4441" s="17"/>
      <c r="F4441" s="17"/>
      <c r="G4441" s="17"/>
      <c r="H4441" s="17"/>
      <c r="I4441" s="17"/>
      <c r="J4441" s="17"/>
      <c r="K4441" s="17"/>
      <c r="L4441" s="17"/>
      <c r="M4441" s="17"/>
      <c r="N4441" s="17"/>
      <c r="O4441" s="17"/>
      <c r="P4441" s="17"/>
      <c r="Q4441" s="17"/>
      <c r="R4441" s="17"/>
      <c r="S4441" s="17"/>
      <c r="T4441" s="17"/>
      <c r="U4441" s="17"/>
      <c r="V4441" s="18">
        <v>0</v>
      </c>
      <c r="W4441" s="17">
        <f t="shared" si="137"/>
        <v>0</v>
      </c>
    </row>
    <row r="4442" spans="1:23" x14ac:dyDescent="0.25">
      <c r="A4442" s="17"/>
      <c r="B4442" s="17"/>
      <c r="C4442" s="17"/>
      <c r="D4442" s="17"/>
      <c r="E4442" s="17"/>
      <c r="F4442" s="17"/>
      <c r="G4442" s="17"/>
      <c r="H4442" s="17"/>
      <c r="I4442" s="17"/>
      <c r="J4442" s="17"/>
      <c r="K4442" s="17"/>
      <c r="L4442" s="17"/>
      <c r="M4442" s="17"/>
      <c r="N4442" s="17"/>
      <c r="O4442" s="17"/>
      <c r="P4442" s="17"/>
      <c r="Q4442" s="17"/>
      <c r="R4442" s="17"/>
      <c r="S4442" s="17"/>
      <c r="T4442" s="17"/>
      <c r="U4442" s="17"/>
      <c r="V4442" s="18">
        <v>0</v>
      </c>
      <c r="W4442" s="17">
        <f t="shared" si="137"/>
        <v>0</v>
      </c>
    </row>
    <row r="4443" spans="1:23" x14ac:dyDescent="0.25">
      <c r="A4443" s="17"/>
      <c r="B4443" s="17"/>
      <c r="C4443" s="17"/>
      <c r="D4443" s="17"/>
      <c r="E4443" s="17"/>
      <c r="F4443" s="17"/>
      <c r="G4443" s="17"/>
      <c r="H4443" s="17"/>
      <c r="I4443" s="17"/>
      <c r="J4443" s="17"/>
      <c r="K4443" s="17"/>
      <c r="L4443" s="17"/>
      <c r="M4443" s="17"/>
      <c r="N4443" s="17"/>
      <c r="O4443" s="17"/>
      <c r="P4443" s="17"/>
      <c r="Q4443" s="17"/>
      <c r="R4443" s="17"/>
      <c r="S4443" s="17"/>
      <c r="T4443" s="17"/>
      <c r="U4443" s="17"/>
      <c r="V4443" s="18">
        <v>0</v>
      </c>
      <c r="W4443" s="17">
        <f t="shared" si="137"/>
        <v>0</v>
      </c>
    </row>
    <row r="4444" spans="1:23" x14ac:dyDescent="0.25">
      <c r="A4444" s="17"/>
      <c r="B4444" s="17"/>
      <c r="C4444" s="17"/>
      <c r="D4444" s="17"/>
      <c r="E4444" s="17"/>
      <c r="F4444" s="17"/>
      <c r="G4444" s="17"/>
      <c r="H4444" s="17"/>
      <c r="I4444" s="17"/>
      <c r="J4444" s="17"/>
      <c r="K4444" s="17"/>
      <c r="L4444" s="17"/>
      <c r="M4444" s="17"/>
      <c r="N4444" s="17"/>
      <c r="O4444" s="17"/>
      <c r="P4444" s="17"/>
      <c r="Q4444" s="17"/>
      <c r="R4444" s="17"/>
      <c r="S4444" s="17"/>
      <c r="T4444" s="17"/>
      <c r="U4444" s="17"/>
      <c r="V4444" s="18">
        <v>0</v>
      </c>
      <c r="W4444" s="17">
        <f t="shared" si="137"/>
        <v>0</v>
      </c>
    </row>
    <row r="4445" spans="1:23" x14ac:dyDescent="0.25">
      <c r="A4445" s="17"/>
      <c r="B4445" s="17"/>
      <c r="C4445" s="17"/>
      <c r="D4445" s="17"/>
      <c r="E4445" s="17"/>
      <c r="F4445" s="17"/>
      <c r="G4445" s="17"/>
      <c r="H4445" s="17"/>
      <c r="I4445" s="17"/>
      <c r="J4445" s="17"/>
      <c r="K4445" s="17"/>
      <c r="L4445" s="17"/>
      <c r="M4445" s="17"/>
      <c r="N4445" s="17"/>
      <c r="O4445" s="17"/>
      <c r="P4445" s="17"/>
      <c r="Q4445" s="17"/>
      <c r="R4445" s="17"/>
      <c r="S4445" s="17"/>
      <c r="T4445" s="17"/>
      <c r="U4445" s="17"/>
      <c r="V4445" s="18">
        <v>0</v>
      </c>
      <c r="W4445" s="17">
        <f t="shared" si="137"/>
        <v>0</v>
      </c>
    </row>
    <row r="4446" spans="1:23" x14ac:dyDescent="0.25">
      <c r="A4446" s="17"/>
      <c r="B4446" s="17"/>
      <c r="C4446" s="17"/>
      <c r="D4446" s="17"/>
      <c r="E4446" s="17"/>
      <c r="F4446" s="17"/>
      <c r="G4446" s="17"/>
      <c r="H4446" s="17"/>
      <c r="I4446" s="17"/>
      <c r="J4446" s="17"/>
      <c r="K4446" s="17"/>
      <c r="L4446" s="17"/>
      <c r="M4446" s="17"/>
      <c r="N4446" s="17"/>
      <c r="O4446" s="17"/>
      <c r="P4446" s="17"/>
      <c r="Q4446" s="17"/>
      <c r="R4446" s="17"/>
      <c r="S4446" s="17"/>
      <c r="T4446" s="17"/>
      <c r="U4446" s="17"/>
      <c r="V4446" s="18">
        <v>0</v>
      </c>
      <c r="W4446" s="17">
        <f t="shared" si="137"/>
        <v>0</v>
      </c>
    </row>
    <row r="4447" spans="1:23" x14ac:dyDescent="0.25">
      <c r="A4447" s="17"/>
      <c r="B4447" s="17"/>
      <c r="C4447" s="17"/>
      <c r="D4447" s="17"/>
      <c r="E4447" s="17"/>
      <c r="F4447" s="17"/>
      <c r="G4447" s="17"/>
      <c r="H4447" s="17"/>
      <c r="I4447" s="17"/>
      <c r="J4447" s="17"/>
      <c r="K4447" s="17"/>
      <c r="L4447" s="17"/>
      <c r="M4447" s="17"/>
      <c r="N4447" s="17"/>
      <c r="O4447" s="17"/>
      <c r="P4447" s="17"/>
      <c r="Q4447" s="17"/>
      <c r="R4447" s="17"/>
      <c r="S4447" s="17"/>
      <c r="T4447" s="17"/>
      <c r="U4447" s="17"/>
      <c r="V4447" s="18">
        <v>0</v>
      </c>
      <c r="W4447" s="17">
        <f t="shared" si="137"/>
        <v>0</v>
      </c>
    </row>
    <row r="4448" spans="1:23" x14ac:dyDescent="0.25">
      <c r="A4448" s="17"/>
      <c r="B4448" s="17"/>
      <c r="C4448" s="17"/>
      <c r="D4448" s="17"/>
      <c r="E4448" s="17"/>
      <c r="F4448" s="17"/>
      <c r="G4448" s="17"/>
      <c r="H4448" s="17"/>
      <c r="I4448" s="17"/>
      <c r="J4448" s="17"/>
      <c r="K4448" s="17"/>
      <c r="L4448" s="17"/>
      <c r="M4448" s="17"/>
      <c r="N4448" s="17"/>
      <c r="O4448" s="17"/>
      <c r="P4448" s="17"/>
      <c r="Q4448" s="17"/>
      <c r="R4448" s="17"/>
      <c r="S4448" s="17"/>
      <c r="T4448" s="17"/>
      <c r="U4448" s="17"/>
      <c r="V4448" s="18">
        <v>0</v>
      </c>
      <c r="W4448" s="17">
        <f t="shared" si="137"/>
        <v>0</v>
      </c>
    </row>
    <row r="4449" spans="1:23" x14ac:dyDescent="0.25">
      <c r="A4449" s="17"/>
      <c r="B4449" s="17"/>
      <c r="C4449" s="17"/>
      <c r="D4449" s="17"/>
      <c r="E4449" s="17"/>
      <c r="F4449" s="17"/>
      <c r="G4449" s="17"/>
      <c r="H4449" s="17"/>
      <c r="I4449" s="17"/>
      <c r="J4449" s="17"/>
      <c r="K4449" s="17"/>
      <c r="L4449" s="17"/>
      <c r="M4449" s="17"/>
      <c r="N4449" s="17"/>
      <c r="O4449" s="17"/>
      <c r="P4449" s="17"/>
      <c r="Q4449" s="17"/>
      <c r="R4449" s="17"/>
      <c r="S4449" s="17"/>
      <c r="T4449" s="17"/>
      <c r="U4449" s="17"/>
      <c r="V4449" s="18">
        <v>0</v>
      </c>
      <c r="W4449" s="17">
        <f t="shared" si="137"/>
        <v>0</v>
      </c>
    </row>
    <row r="4450" spans="1:23" x14ac:dyDescent="0.25">
      <c r="A4450" s="17"/>
      <c r="B4450" s="17"/>
      <c r="C4450" s="17"/>
      <c r="D4450" s="17"/>
      <c r="E4450" s="17"/>
      <c r="F4450" s="17"/>
      <c r="G4450" s="17"/>
      <c r="H4450" s="17"/>
      <c r="I4450" s="17"/>
      <c r="J4450" s="17"/>
      <c r="K4450" s="17"/>
      <c r="L4450" s="17"/>
      <c r="M4450" s="17"/>
      <c r="N4450" s="17"/>
      <c r="O4450" s="17"/>
      <c r="P4450" s="17"/>
      <c r="Q4450" s="17"/>
      <c r="R4450" s="17"/>
      <c r="S4450" s="17"/>
      <c r="T4450" s="17"/>
      <c r="U4450" s="17"/>
      <c r="V4450" s="18">
        <v>0</v>
      </c>
      <c r="W4450" s="17">
        <f t="shared" si="137"/>
        <v>0</v>
      </c>
    </row>
    <row r="4451" spans="1:23" x14ac:dyDescent="0.25">
      <c r="A4451" s="17"/>
      <c r="B4451" s="17"/>
      <c r="C4451" s="17"/>
      <c r="D4451" s="17"/>
      <c r="E4451" s="17"/>
      <c r="F4451" s="17"/>
      <c r="G4451" s="17"/>
      <c r="H4451" s="17"/>
      <c r="I4451" s="17"/>
      <c r="J4451" s="17"/>
      <c r="K4451" s="17"/>
      <c r="L4451" s="17"/>
      <c r="M4451" s="17"/>
      <c r="N4451" s="17"/>
      <c r="O4451" s="17"/>
      <c r="P4451" s="17"/>
      <c r="Q4451" s="17"/>
      <c r="R4451" s="17"/>
      <c r="S4451" s="17"/>
      <c r="T4451" s="17"/>
      <c r="U4451" s="17"/>
      <c r="V4451" s="18">
        <v>0</v>
      </c>
      <c r="W4451" s="17">
        <f t="shared" si="137"/>
        <v>0</v>
      </c>
    </row>
    <row r="4452" spans="1:23" x14ac:dyDescent="0.25">
      <c r="A4452" s="17"/>
      <c r="B4452" s="17"/>
      <c r="C4452" s="17"/>
      <c r="D4452" s="17"/>
      <c r="E4452" s="17"/>
      <c r="F4452" s="17"/>
      <c r="G4452" s="17"/>
      <c r="H4452" s="17"/>
      <c r="I4452" s="17"/>
      <c r="J4452" s="17"/>
      <c r="K4452" s="17"/>
      <c r="L4452" s="17"/>
      <c r="M4452" s="17"/>
      <c r="N4452" s="17"/>
      <c r="O4452" s="17"/>
      <c r="P4452" s="17"/>
      <c r="Q4452" s="17"/>
      <c r="R4452" s="17"/>
      <c r="S4452" s="17"/>
      <c r="T4452" s="17"/>
      <c r="U4452" s="17"/>
      <c r="V4452" s="18">
        <v>0</v>
      </c>
      <c r="W4452" s="17">
        <f t="shared" si="137"/>
        <v>0</v>
      </c>
    </row>
    <row r="4453" spans="1:23" x14ac:dyDescent="0.25">
      <c r="A4453" s="17"/>
      <c r="B4453" s="17"/>
      <c r="C4453" s="17"/>
      <c r="D4453" s="17"/>
      <c r="E4453" s="17"/>
      <c r="F4453" s="17"/>
      <c r="G4453" s="17"/>
      <c r="H4453" s="17"/>
      <c r="I4453" s="17"/>
      <c r="J4453" s="17"/>
      <c r="K4453" s="17"/>
      <c r="L4453" s="17"/>
      <c r="M4453" s="17"/>
      <c r="N4453" s="17"/>
      <c r="O4453" s="17"/>
      <c r="P4453" s="17"/>
      <c r="Q4453" s="17"/>
      <c r="R4453" s="17"/>
      <c r="S4453" s="17"/>
      <c r="T4453" s="17"/>
      <c r="U4453" s="17"/>
      <c r="V4453" s="18">
        <v>0</v>
      </c>
      <c r="W4453" s="17">
        <f t="shared" si="137"/>
        <v>0</v>
      </c>
    </row>
    <row r="4454" spans="1:23" x14ac:dyDescent="0.25">
      <c r="A4454" s="17"/>
      <c r="B4454" s="17"/>
      <c r="C4454" s="17"/>
      <c r="D4454" s="17"/>
      <c r="E4454" s="17"/>
      <c r="F4454" s="17"/>
      <c r="G4454" s="17"/>
      <c r="H4454" s="17"/>
      <c r="I4454" s="17"/>
      <c r="J4454" s="17"/>
      <c r="K4454" s="17"/>
      <c r="L4454" s="17"/>
      <c r="M4454" s="17"/>
      <c r="N4454" s="17"/>
      <c r="O4454" s="17"/>
      <c r="P4454" s="17"/>
      <c r="Q4454" s="17"/>
      <c r="R4454" s="17"/>
      <c r="S4454" s="17"/>
      <c r="T4454" s="17"/>
      <c r="U4454" s="17"/>
      <c r="V4454" s="18">
        <v>0</v>
      </c>
      <c r="W4454" s="17">
        <f t="shared" si="137"/>
        <v>0</v>
      </c>
    </row>
    <row r="4455" spans="1:23" x14ac:dyDescent="0.25">
      <c r="A4455" s="17"/>
      <c r="B4455" s="17"/>
      <c r="C4455" s="17"/>
      <c r="D4455" s="17"/>
      <c r="E4455" s="17"/>
      <c r="F4455" s="17"/>
      <c r="G4455" s="17"/>
      <c r="H4455" s="17"/>
      <c r="I4455" s="17"/>
      <c r="J4455" s="17"/>
      <c r="K4455" s="17"/>
      <c r="L4455" s="17"/>
      <c r="M4455" s="17"/>
      <c r="N4455" s="17"/>
      <c r="O4455" s="17"/>
      <c r="P4455" s="17"/>
      <c r="Q4455" s="17"/>
      <c r="R4455" s="17"/>
      <c r="S4455" s="17"/>
      <c r="T4455" s="17"/>
      <c r="U4455" s="17"/>
      <c r="V4455" s="18">
        <v>0</v>
      </c>
      <c r="W4455" s="17">
        <f t="shared" si="137"/>
        <v>0</v>
      </c>
    </row>
    <row r="4456" spans="1:23" x14ac:dyDescent="0.25">
      <c r="A4456" s="17"/>
      <c r="B4456" s="17"/>
      <c r="C4456" s="17"/>
      <c r="D4456" s="17"/>
      <c r="E4456" s="17"/>
      <c r="F4456" s="17"/>
      <c r="G4456" s="17"/>
      <c r="H4456" s="17"/>
      <c r="I4456" s="17"/>
      <c r="J4456" s="17"/>
      <c r="K4456" s="17"/>
      <c r="L4456" s="17"/>
      <c r="M4456" s="17"/>
      <c r="N4456" s="17"/>
      <c r="O4456" s="17"/>
      <c r="P4456" s="17"/>
      <c r="Q4456" s="17"/>
      <c r="R4456" s="17"/>
      <c r="S4456" s="17"/>
      <c r="T4456" s="17"/>
      <c r="U4456" s="17"/>
      <c r="V4456" s="18">
        <v>0</v>
      </c>
      <c r="W4456" s="17">
        <f t="shared" si="137"/>
        <v>0</v>
      </c>
    </row>
    <row r="4457" spans="1:23" x14ac:dyDescent="0.25">
      <c r="A4457" s="17"/>
      <c r="B4457" s="17"/>
      <c r="C4457" s="17"/>
      <c r="D4457" s="17"/>
      <c r="E4457" s="17"/>
      <c r="F4457" s="17"/>
      <c r="G4457" s="17"/>
      <c r="H4457" s="17"/>
      <c r="I4457" s="17"/>
      <c r="J4457" s="17"/>
      <c r="K4457" s="17"/>
      <c r="L4457" s="17"/>
      <c r="M4457" s="17"/>
      <c r="N4457" s="17"/>
      <c r="O4457" s="17"/>
      <c r="P4457" s="17"/>
      <c r="Q4457" s="17"/>
      <c r="R4457" s="17"/>
      <c r="S4457" s="17"/>
      <c r="T4457" s="17"/>
      <c r="U4457" s="17"/>
      <c r="V4457" s="18">
        <v>0</v>
      </c>
      <c r="W4457" s="17">
        <f t="shared" si="137"/>
        <v>0</v>
      </c>
    </row>
    <row r="4458" spans="1:23" x14ac:dyDescent="0.25">
      <c r="A4458" s="17"/>
      <c r="B4458" s="17"/>
      <c r="C4458" s="17"/>
      <c r="D4458" s="17"/>
      <c r="E4458" s="17"/>
      <c r="F4458" s="17"/>
      <c r="G4458" s="17"/>
      <c r="H4458" s="17"/>
      <c r="I4458" s="17"/>
      <c r="J4458" s="17"/>
      <c r="K4458" s="17"/>
      <c r="L4458" s="17"/>
      <c r="M4458" s="17"/>
      <c r="N4458" s="17"/>
      <c r="O4458" s="17"/>
      <c r="P4458" s="17"/>
      <c r="Q4458" s="17"/>
      <c r="R4458" s="17"/>
      <c r="S4458" s="17"/>
      <c r="T4458" s="17"/>
      <c r="U4458" s="17"/>
      <c r="V4458" s="18">
        <v>0</v>
      </c>
      <c r="W4458" s="17">
        <f t="shared" si="137"/>
        <v>0</v>
      </c>
    </row>
    <row r="4459" spans="1:23" x14ac:dyDescent="0.25">
      <c r="A4459" s="17"/>
      <c r="B4459" s="17"/>
      <c r="C4459" s="17"/>
      <c r="D4459" s="17"/>
      <c r="E4459" s="17"/>
      <c r="F4459" s="17"/>
      <c r="G4459" s="17"/>
      <c r="H4459" s="17"/>
      <c r="I4459" s="17"/>
      <c r="J4459" s="17"/>
      <c r="K4459" s="17"/>
      <c r="L4459" s="17"/>
      <c r="M4459" s="17"/>
      <c r="N4459" s="17"/>
      <c r="O4459" s="17"/>
      <c r="P4459" s="17"/>
      <c r="Q4459" s="17"/>
      <c r="R4459" s="17"/>
      <c r="S4459" s="17"/>
      <c r="T4459" s="17"/>
      <c r="U4459" s="17"/>
      <c r="V4459" s="18">
        <v>0</v>
      </c>
      <c r="W4459" s="17">
        <f t="shared" si="137"/>
        <v>0</v>
      </c>
    </row>
    <row r="4460" spans="1:23" x14ac:dyDescent="0.25">
      <c r="A4460" s="17"/>
      <c r="B4460" s="17"/>
      <c r="C4460" s="17"/>
      <c r="D4460" s="17"/>
      <c r="E4460" s="17"/>
      <c r="F4460" s="17"/>
      <c r="G4460" s="17"/>
      <c r="H4460" s="17"/>
      <c r="I4460" s="17"/>
      <c r="J4460" s="17"/>
      <c r="K4460" s="17"/>
      <c r="L4460" s="17"/>
      <c r="M4460" s="17"/>
      <c r="N4460" s="17"/>
      <c r="O4460" s="17"/>
      <c r="P4460" s="17"/>
      <c r="Q4460" s="17"/>
      <c r="R4460" s="17"/>
      <c r="S4460" s="17"/>
      <c r="T4460" s="17"/>
      <c r="U4460" s="17"/>
      <c r="V4460" s="18">
        <v>0</v>
      </c>
      <c r="W4460" s="17">
        <f t="shared" si="137"/>
        <v>0</v>
      </c>
    </row>
    <row r="4461" spans="1:23" x14ac:dyDescent="0.25">
      <c r="A4461" s="17"/>
      <c r="B4461" s="17"/>
      <c r="C4461" s="17"/>
      <c r="D4461" s="17"/>
      <c r="E4461" s="17"/>
      <c r="F4461" s="17"/>
      <c r="G4461" s="17"/>
      <c r="H4461" s="17"/>
      <c r="I4461" s="17"/>
      <c r="J4461" s="17"/>
      <c r="K4461" s="17"/>
      <c r="L4461" s="17"/>
      <c r="M4461" s="17"/>
      <c r="N4461" s="17"/>
      <c r="O4461" s="17"/>
      <c r="P4461" s="17"/>
      <c r="Q4461" s="17"/>
      <c r="R4461" s="17"/>
      <c r="S4461" s="17"/>
      <c r="T4461" s="17"/>
      <c r="U4461" s="17"/>
      <c r="V4461" s="18">
        <v>0</v>
      </c>
      <c r="W4461" s="17">
        <f t="shared" si="137"/>
        <v>0</v>
      </c>
    </row>
    <row r="4462" spans="1:23" x14ac:dyDescent="0.25">
      <c r="A4462" s="17"/>
      <c r="B4462" s="17"/>
      <c r="C4462" s="17"/>
      <c r="D4462" s="17"/>
      <c r="E4462" s="17"/>
      <c r="F4462" s="17"/>
      <c r="G4462" s="17"/>
      <c r="H4462" s="17"/>
      <c r="I4462" s="17"/>
      <c r="J4462" s="17"/>
      <c r="K4462" s="17"/>
      <c r="L4462" s="17"/>
      <c r="M4462" s="17"/>
      <c r="N4462" s="17"/>
      <c r="O4462" s="17"/>
      <c r="P4462" s="17"/>
      <c r="Q4462" s="17"/>
      <c r="R4462" s="17"/>
      <c r="S4462" s="17"/>
      <c r="T4462" s="17"/>
      <c r="U4462" s="17"/>
      <c r="V4462" s="18">
        <v>0</v>
      </c>
      <c r="W4462" s="17">
        <f t="shared" si="137"/>
        <v>0</v>
      </c>
    </row>
    <row r="4463" spans="1:23" x14ac:dyDescent="0.25">
      <c r="A4463" s="17"/>
      <c r="B4463" s="17"/>
      <c r="C4463" s="17"/>
      <c r="D4463" s="17"/>
      <c r="E4463" s="17"/>
      <c r="F4463" s="17"/>
      <c r="G4463" s="17"/>
      <c r="H4463" s="17"/>
      <c r="I4463" s="17"/>
      <c r="J4463" s="17"/>
      <c r="K4463" s="17"/>
      <c r="L4463" s="17"/>
      <c r="M4463" s="17"/>
      <c r="N4463" s="17"/>
      <c r="O4463" s="17"/>
      <c r="P4463" s="17"/>
      <c r="Q4463" s="17"/>
      <c r="R4463" s="17"/>
      <c r="S4463" s="17"/>
      <c r="T4463" s="17"/>
      <c r="U4463" s="17"/>
      <c r="V4463" s="18">
        <v>0</v>
      </c>
      <c r="W4463" s="17">
        <f t="shared" si="137"/>
        <v>0</v>
      </c>
    </row>
    <row r="4464" spans="1:23" x14ac:dyDescent="0.25">
      <c r="A4464" s="17"/>
      <c r="B4464" s="17"/>
      <c r="C4464" s="17"/>
      <c r="D4464" s="17"/>
      <c r="E4464" s="17"/>
      <c r="F4464" s="17"/>
      <c r="G4464" s="17"/>
      <c r="H4464" s="17"/>
      <c r="I4464" s="17"/>
      <c r="J4464" s="17"/>
      <c r="K4464" s="17"/>
      <c r="L4464" s="17"/>
      <c r="M4464" s="17"/>
      <c r="N4464" s="17"/>
      <c r="O4464" s="17"/>
      <c r="P4464" s="17"/>
      <c r="Q4464" s="17"/>
      <c r="R4464" s="17"/>
      <c r="S4464" s="17"/>
      <c r="T4464" s="17"/>
      <c r="U4464" s="17"/>
      <c r="V4464" s="18">
        <v>0</v>
      </c>
      <c r="W4464" s="17">
        <f t="shared" si="137"/>
        <v>0</v>
      </c>
    </row>
    <row r="4465" spans="1:23" x14ac:dyDescent="0.25">
      <c r="A4465" s="17"/>
      <c r="B4465" s="17"/>
      <c r="C4465" s="17"/>
      <c r="D4465" s="17"/>
      <c r="E4465" s="17"/>
      <c r="F4465" s="17"/>
      <c r="G4465" s="17"/>
      <c r="H4465" s="17"/>
      <c r="I4465" s="17"/>
      <c r="J4465" s="17"/>
      <c r="K4465" s="17"/>
      <c r="L4465" s="17"/>
      <c r="M4465" s="17"/>
      <c r="N4465" s="17"/>
      <c r="O4465" s="17"/>
      <c r="P4465" s="17"/>
      <c r="Q4465" s="17"/>
      <c r="R4465" s="17"/>
      <c r="S4465" s="17"/>
      <c r="T4465" s="17"/>
      <c r="U4465" s="17"/>
      <c r="V4465" s="18">
        <v>0</v>
      </c>
      <c r="W4465" s="17">
        <f t="shared" si="137"/>
        <v>0</v>
      </c>
    </row>
    <row r="4466" spans="1:23" x14ac:dyDescent="0.25">
      <c r="A4466" s="17"/>
      <c r="B4466" s="17"/>
      <c r="C4466" s="17"/>
      <c r="D4466" s="17"/>
      <c r="E4466" s="17"/>
      <c r="F4466" s="17"/>
      <c r="G4466" s="17"/>
      <c r="H4466" s="17"/>
      <c r="I4466" s="17"/>
      <c r="J4466" s="17"/>
      <c r="K4466" s="17"/>
      <c r="L4466" s="17"/>
      <c r="M4466" s="17"/>
      <c r="N4466" s="17"/>
      <c r="O4466" s="17"/>
      <c r="P4466" s="17"/>
      <c r="Q4466" s="17"/>
      <c r="R4466" s="17"/>
      <c r="S4466" s="17"/>
      <c r="T4466" s="17"/>
      <c r="U4466" s="17"/>
      <c r="V4466" s="18">
        <v>0</v>
      </c>
      <c r="W4466" s="17">
        <f t="shared" si="137"/>
        <v>0</v>
      </c>
    </row>
    <row r="4467" spans="1:23" x14ac:dyDescent="0.25">
      <c r="A4467" s="17"/>
      <c r="B4467" s="17"/>
      <c r="C4467" s="17"/>
      <c r="D4467" s="17"/>
      <c r="E4467" s="17"/>
      <c r="F4467" s="17"/>
      <c r="G4467" s="17"/>
      <c r="H4467" s="17"/>
      <c r="I4467" s="17"/>
      <c r="J4467" s="17"/>
      <c r="K4467" s="17"/>
      <c r="L4467" s="17"/>
      <c r="M4467" s="17"/>
      <c r="N4467" s="17"/>
      <c r="O4467" s="17"/>
      <c r="P4467" s="17"/>
      <c r="Q4467" s="17"/>
      <c r="R4467" s="17"/>
      <c r="S4467" s="17"/>
      <c r="T4467" s="17"/>
      <c r="U4467" s="17"/>
      <c r="V4467" s="18">
        <v>0</v>
      </c>
      <c r="W4467" s="17">
        <f t="shared" si="137"/>
        <v>0</v>
      </c>
    </row>
    <row r="4468" spans="1:23" x14ac:dyDescent="0.25">
      <c r="A4468" s="17"/>
      <c r="B4468" s="17"/>
      <c r="C4468" s="17"/>
      <c r="D4468" s="17"/>
      <c r="E4468" s="17"/>
      <c r="F4468" s="17"/>
      <c r="G4468" s="17"/>
      <c r="H4468" s="17"/>
      <c r="I4468" s="17"/>
      <c r="J4468" s="17"/>
      <c r="K4468" s="17"/>
      <c r="L4468" s="17"/>
      <c r="M4468" s="17"/>
      <c r="N4468" s="17"/>
      <c r="O4468" s="17"/>
      <c r="P4468" s="17"/>
      <c r="Q4468" s="17"/>
      <c r="R4468" s="17"/>
      <c r="S4468" s="17"/>
      <c r="T4468" s="17"/>
      <c r="U4468" s="17"/>
      <c r="V4468" s="18">
        <v>0</v>
      </c>
      <c r="W4468" s="17">
        <f t="shared" si="137"/>
        <v>0</v>
      </c>
    </row>
    <row r="4469" spans="1:23" x14ac:dyDescent="0.25">
      <c r="A4469" s="17"/>
      <c r="B4469" s="17"/>
      <c r="C4469" s="17"/>
      <c r="D4469" s="17"/>
      <c r="E4469" s="17"/>
      <c r="F4469" s="17"/>
      <c r="G4469" s="17"/>
      <c r="H4469" s="17"/>
      <c r="I4469" s="17"/>
      <c r="J4469" s="17"/>
      <c r="K4469" s="17"/>
      <c r="L4469" s="17"/>
      <c r="M4469" s="17"/>
      <c r="N4469" s="17"/>
      <c r="O4469" s="17"/>
      <c r="P4469" s="17"/>
      <c r="Q4469" s="17"/>
      <c r="R4469" s="17"/>
      <c r="S4469" s="17"/>
      <c r="T4469" s="17"/>
      <c r="U4469" s="17"/>
      <c r="V4469" s="18">
        <v>0</v>
      </c>
      <c r="W4469" s="17">
        <f t="shared" si="137"/>
        <v>0</v>
      </c>
    </row>
    <row r="4470" spans="1:23" x14ac:dyDescent="0.25">
      <c r="A4470" s="17"/>
      <c r="B4470" s="17"/>
      <c r="C4470" s="17"/>
      <c r="D4470" s="17"/>
      <c r="E4470" s="17"/>
      <c r="F4470" s="17"/>
      <c r="G4470" s="17"/>
      <c r="H4470" s="17"/>
      <c r="I4470" s="17"/>
      <c r="J4470" s="17"/>
      <c r="K4470" s="17"/>
      <c r="L4470" s="17"/>
      <c r="M4470" s="17"/>
      <c r="N4470" s="17"/>
      <c r="O4470" s="17"/>
      <c r="P4470" s="17"/>
      <c r="Q4470" s="17"/>
      <c r="R4470" s="17"/>
      <c r="S4470" s="17"/>
      <c r="T4470" s="17"/>
      <c r="U4470" s="17"/>
      <c r="V4470" s="18">
        <v>0</v>
      </c>
      <c r="W4470" s="17">
        <f t="shared" si="137"/>
        <v>0</v>
      </c>
    </row>
    <row r="4471" spans="1:23" x14ac:dyDescent="0.25">
      <c r="A4471" s="17"/>
      <c r="B4471" s="17"/>
      <c r="C4471" s="17"/>
      <c r="D4471" s="17"/>
      <c r="E4471" s="17"/>
      <c r="F4471" s="17"/>
      <c r="G4471" s="17"/>
      <c r="H4471" s="17"/>
      <c r="I4471" s="17"/>
      <c r="J4471" s="17"/>
      <c r="K4471" s="17"/>
      <c r="L4471" s="17"/>
      <c r="M4471" s="17"/>
      <c r="N4471" s="17"/>
      <c r="O4471" s="17"/>
      <c r="P4471" s="17"/>
      <c r="Q4471" s="17"/>
      <c r="R4471" s="17"/>
      <c r="S4471" s="17"/>
      <c r="T4471" s="17"/>
      <c r="U4471" s="17"/>
      <c r="V4471" s="18">
        <v>0</v>
      </c>
      <c r="W4471" s="17">
        <f t="shared" si="137"/>
        <v>0</v>
      </c>
    </row>
    <row r="4472" spans="1:23" x14ac:dyDescent="0.25">
      <c r="A4472" s="17"/>
      <c r="B4472" s="17"/>
      <c r="C4472" s="17"/>
      <c r="D4472" s="17"/>
      <c r="E4472" s="17"/>
      <c r="F4472" s="17"/>
      <c r="G4472" s="17"/>
      <c r="H4472" s="17"/>
      <c r="I4472" s="17"/>
      <c r="J4472" s="17"/>
      <c r="K4472" s="17"/>
      <c r="L4472" s="17"/>
      <c r="M4472" s="17"/>
      <c r="N4472" s="17"/>
      <c r="O4472" s="17"/>
      <c r="P4472" s="17"/>
      <c r="Q4472" s="17"/>
      <c r="R4472" s="17"/>
      <c r="S4472" s="17"/>
      <c r="T4472" s="17"/>
      <c r="U4472" s="17"/>
      <c r="V4472" s="18">
        <v>0</v>
      </c>
      <c r="W4472" s="17">
        <f t="shared" si="137"/>
        <v>0</v>
      </c>
    </row>
    <row r="4473" spans="1:23" x14ac:dyDescent="0.25">
      <c r="A4473" s="17"/>
      <c r="B4473" s="17"/>
      <c r="C4473" s="17"/>
      <c r="D4473" s="17"/>
      <c r="E4473" s="17"/>
      <c r="F4473" s="17"/>
      <c r="G4473" s="17"/>
      <c r="H4473" s="17"/>
      <c r="I4473" s="17"/>
      <c r="J4473" s="17"/>
      <c r="K4473" s="17"/>
      <c r="L4473" s="17"/>
      <c r="M4473" s="17"/>
      <c r="N4473" s="17"/>
      <c r="O4473" s="17"/>
      <c r="P4473" s="17"/>
      <c r="Q4473" s="17"/>
      <c r="R4473" s="17"/>
      <c r="S4473" s="17"/>
      <c r="T4473" s="17"/>
      <c r="U4473" s="17"/>
      <c r="V4473" s="18">
        <v>0</v>
      </c>
      <c r="W4473" s="17">
        <f t="shared" si="137"/>
        <v>0</v>
      </c>
    </row>
    <row r="4474" spans="1:23" x14ac:dyDescent="0.25">
      <c r="A4474" s="17"/>
      <c r="B4474" s="17"/>
      <c r="C4474" s="17"/>
      <c r="D4474" s="17"/>
      <c r="E4474" s="17"/>
      <c r="F4474" s="17"/>
      <c r="G4474" s="17"/>
      <c r="H4474" s="17"/>
      <c r="I4474" s="17"/>
      <c r="J4474" s="17"/>
      <c r="K4474" s="17"/>
      <c r="L4474" s="17"/>
      <c r="M4474" s="17"/>
      <c r="N4474" s="17"/>
      <c r="O4474" s="17"/>
      <c r="P4474" s="17"/>
      <c r="Q4474" s="17"/>
      <c r="R4474" s="17"/>
      <c r="S4474" s="17"/>
      <c r="T4474" s="17"/>
      <c r="U4474" s="17"/>
      <c r="V4474" s="18">
        <v>0</v>
      </c>
      <c r="W4474" s="17">
        <f t="shared" si="137"/>
        <v>0</v>
      </c>
    </row>
    <row r="4475" spans="1:23" x14ac:dyDescent="0.25">
      <c r="A4475" s="17"/>
      <c r="B4475" s="17"/>
      <c r="C4475" s="17"/>
      <c r="D4475" s="17"/>
      <c r="E4475" s="17"/>
      <c r="F4475" s="17"/>
      <c r="G4475" s="17"/>
      <c r="H4475" s="17"/>
      <c r="I4475" s="17"/>
      <c r="J4475" s="17"/>
      <c r="K4475" s="17"/>
      <c r="L4475" s="17"/>
      <c r="M4475" s="17"/>
      <c r="N4475" s="17"/>
      <c r="O4475" s="17"/>
      <c r="P4475" s="17"/>
      <c r="Q4475" s="17"/>
      <c r="R4475" s="17"/>
      <c r="S4475" s="17"/>
      <c r="T4475" s="17"/>
      <c r="U4475" s="17"/>
      <c r="V4475" s="18">
        <v>0</v>
      </c>
      <c r="W4475" s="17">
        <f t="shared" si="137"/>
        <v>0</v>
      </c>
    </row>
    <row r="4476" spans="1:23" x14ac:dyDescent="0.25">
      <c r="A4476" s="17"/>
      <c r="B4476" s="17"/>
      <c r="C4476" s="17"/>
      <c r="D4476" s="17"/>
      <c r="E4476" s="17"/>
      <c r="F4476" s="17"/>
      <c r="G4476" s="17"/>
      <c r="H4476" s="17"/>
      <c r="I4476" s="17"/>
      <c r="J4476" s="17"/>
      <c r="K4476" s="17"/>
      <c r="L4476" s="17"/>
      <c r="M4476" s="17"/>
      <c r="N4476" s="17"/>
      <c r="O4476" s="17"/>
      <c r="P4476" s="17"/>
      <c r="Q4476" s="17"/>
      <c r="R4476" s="17"/>
      <c r="S4476" s="17"/>
      <c r="T4476" s="17"/>
      <c r="U4476" s="17"/>
      <c r="V4476" s="18">
        <v>0</v>
      </c>
      <c r="W4476" s="17">
        <f t="shared" si="137"/>
        <v>0</v>
      </c>
    </row>
    <row r="4477" spans="1:23" x14ac:dyDescent="0.25">
      <c r="A4477" s="17"/>
      <c r="B4477" s="17"/>
      <c r="C4477" s="17"/>
      <c r="D4477" s="17"/>
      <c r="E4477" s="17"/>
      <c r="F4477" s="17"/>
      <c r="G4477" s="17"/>
      <c r="H4477" s="17"/>
      <c r="I4477" s="17"/>
      <c r="J4477" s="17"/>
      <c r="K4477" s="17"/>
      <c r="L4477" s="17"/>
      <c r="M4477" s="17"/>
      <c r="N4477" s="17"/>
      <c r="O4477" s="17"/>
      <c r="P4477" s="17"/>
      <c r="Q4477" s="17"/>
      <c r="R4477" s="17"/>
      <c r="S4477" s="17"/>
      <c r="T4477" s="17"/>
      <c r="U4477" s="17"/>
      <c r="V4477" s="18">
        <v>0</v>
      </c>
      <c r="W4477" s="17">
        <f t="shared" si="137"/>
        <v>0</v>
      </c>
    </row>
    <row r="4478" spans="1:23" x14ac:dyDescent="0.25">
      <c r="A4478" s="17"/>
      <c r="B4478" s="17"/>
      <c r="C4478" s="17"/>
      <c r="D4478" s="17"/>
      <c r="E4478" s="17"/>
      <c r="F4478" s="17"/>
      <c r="G4478" s="17"/>
      <c r="H4478" s="17"/>
      <c r="I4478" s="17"/>
      <c r="J4478" s="17"/>
      <c r="K4478" s="17"/>
      <c r="L4478" s="17"/>
      <c r="M4478" s="17"/>
      <c r="N4478" s="17"/>
      <c r="O4478" s="17"/>
      <c r="P4478" s="17"/>
      <c r="Q4478" s="17"/>
      <c r="R4478" s="17"/>
      <c r="S4478" s="17"/>
      <c r="T4478" s="17"/>
      <c r="U4478" s="17"/>
      <c r="V4478" s="18">
        <v>0</v>
      </c>
      <c r="W4478" s="17">
        <f t="shared" si="137"/>
        <v>0</v>
      </c>
    </row>
    <row r="4479" spans="1:23" x14ac:dyDescent="0.25">
      <c r="A4479" s="17"/>
      <c r="B4479" s="17"/>
      <c r="C4479" s="17"/>
      <c r="D4479" s="17"/>
      <c r="E4479" s="17"/>
      <c r="F4479" s="17"/>
      <c r="G4479" s="17"/>
      <c r="H4479" s="17"/>
      <c r="I4479" s="17"/>
      <c r="J4479" s="17"/>
      <c r="K4479" s="17"/>
      <c r="L4479" s="17"/>
      <c r="M4479" s="17"/>
      <c r="N4479" s="17"/>
      <c r="O4479" s="17"/>
      <c r="P4479" s="17"/>
      <c r="Q4479" s="17"/>
      <c r="R4479" s="17"/>
      <c r="S4479" s="17"/>
      <c r="T4479" s="17"/>
      <c r="U4479" s="17"/>
      <c r="V4479" s="18">
        <v>0</v>
      </c>
      <c r="W4479" s="17">
        <f t="shared" si="137"/>
        <v>0</v>
      </c>
    </row>
    <row r="4480" spans="1:23" x14ac:dyDescent="0.25">
      <c r="A4480" s="17"/>
      <c r="B4480" s="17"/>
      <c r="C4480" s="17"/>
      <c r="D4480" s="17"/>
      <c r="E4480" s="17"/>
      <c r="F4480" s="17"/>
      <c r="G4480" s="17"/>
      <c r="H4480" s="17"/>
      <c r="I4480" s="17"/>
      <c r="J4480" s="17"/>
      <c r="K4480" s="17"/>
      <c r="L4480" s="17"/>
      <c r="M4480" s="17"/>
      <c r="N4480" s="17"/>
      <c r="O4480" s="17"/>
      <c r="P4480" s="17"/>
      <c r="Q4480" s="17"/>
      <c r="R4480" s="17"/>
      <c r="S4480" s="17"/>
      <c r="T4480" s="17"/>
      <c r="U4480" s="17"/>
      <c r="V4480" s="18">
        <v>0</v>
      </c>
      <c r="W4480" s="17">
        <f t="shared" si="137"/>
        <v>0</v>
      </c>
    </row>
    <row r="4481" spans="1:23" x14ac:dyDescent="0.25">
      <c r="A4481" s="17"/>
      <c r="B4481" s="17"/>
      <c r="C4481" s="17"/>
      <c r="D4481" s="17"/>
      <c r="E4481" s="17"/>
      <c r="F4481" s="17"/>
      <c r="G4481" s="17"/>
      <c r="H4481" s="17"/>
      <c r="I4481" s="17"/>
      <c r="J4481" s="17"/>
      <c r="K4481" s="17"/>
      <c r="L4481" s="17"/>
      <c r="M4481" s="17"/>
      <c r="N4481" s="17"/>
      <c r="O4481" s="17"/>
      <c r="P4481" s="17"/>
      <c r="Q4481" s="17"/>
      <c r="R4481" s="17"/>
      <c r="S4481" s="17"/>
      <c r="T4481" s="17"/>
      <c r="U4481" s="17"/>
      <c r="V4481" s="18">
        <v>0</v>
      </c>
      <c r="W4481" s="17">
        <f t="shared" si="137"/>
        <v>0</v>
      </c>
    </row>
    <row r="4482" spans="1:23" x14ac:dyDescent="0.25">
      <c r="A4482" s="17"/>
      <c r="B4482" s="17"/>
      <c r="C4482" s="17"/>
      <c r="D4482" s="17"/>
      <c r="E4482" s="17"/>
      <c r="F4482" s="17"/>
      <c r="G4482" s="17"/>
      <c r="H4482" s="17"/>
      <c r="I4482" s="17"/>
      <c r="J4482" s="17"/>
      <c r="K4482" s="17"/>
      <c r="L4482" s="17"/>
      <c r="M4482" s="17"/>
      <c r="N4482" s="17"/>
      <c r="O4482" s="17"/>
      <c r="P4482" s="17"/>
      <c r="Q4482" s="17"/>
      <c r="R4482" s="17"/>
      <c r="S4482" s="17"/>
      <c r="T4482" s="17"/>
      <c r="U4482" s="17"/>
      <c r="V4482" s="18">
        <v>0</v>
      </c>
      <c r="W4482" s="17">
        <f t="shared" si="137"/>
        <v>0</v>
      </c>
    </row>
    <row r="4483" spans="1:23" x14ac:dyDescent="0.25">
      <c r="A4483" s="17"/>
      <c r="B4483" s="17"/>
      <c r="C4483" s="17"/>
      <c r="D4483" s="17"/>
      <c r="E4483" s="17"/>
      <c r="F4483" s="17"/>
      <c r="G4483" s="17"/>
      <c r="H4483" s="17"/>
      <c r="I4483" s="17"/>
      <c r="J4483" s="17"/>
      <c r="K4483" s="17"/>
      <c r="L4483" s="17"/>
      <c r="M4483" s="17"/>
      <c r="N4483" s="17"/>
      <c r="O4483" s="17"/>
      <c r="P4483" s="17"/>
      <c r="Q4483" s="17"/>
      <c r="R4483" s="17"/>
      <c r="S4483" s="17"/>
      <c r="T4483" s="17"/>
      <c r="U4483" s="17"/>
      <c r="V4483" s="18">
        <v>0</v>
      </c>
      <c r="W4483" s="17">
        <f t="shared" ref="W4483:W4546" si="138">HOUR(E4483)</f>
        <v>0</v>
      </c>
    </row>
    <row r="4484" spans="1:23" x14ac:dyDescent="0.25">
      <c r="A4484" s="17"/>
      <c r="B4484" s="17"/>
      <c r="C4484" s="17"/>
      <c r="D4484" s="17"/>
      <c r="E4484" s="17"/>
      <c r="F4484" s="17"/>
      <c r="G4484" s="17"/>
      <c r="H4484" s="17"/>
      <c r="I4484" s="17"/>
      <c r="J4484" s="17"/>
      <c r="K4484" s="17"/>
      <c r="L4484" s="17"/>
      <c r="M4484" s="17"/>
      <c r="N4484" s="17"/>
      <c r="O4484" s="17"/>
      <c r="P4484" s="17"/>
      <c r="Q4484" s="17"/>
      <c r="R4484" s="17"/>
      <c r="S4484" s="17"/>
      <c r="T4484" s="17"/>
      <c r="U4484" s="17"/>
      <c r="V4484" s="18">
        <v>0</v>
      </c>
      <c r="W4484" s="17">
        <f t="shared" si="138"/>
        <v>0</v>
      </c>
    </row>
    <row r="4485" spans="1:23" x14ac:dyDescent="0.25">
      <c r="A4485" s="17"/>
      <c r="B4485" s="17"/>
      <c r="C4485" s="17"/>
      <c r="D4485" s="17"/>
      <c r="E4485" s="17"/>
      <c r="F4485" s="17"/>
      <c r="G4485" s="17"/>
      <c r="H4485" s="17"/>
      <c r="I4485" s="17"/>
      <c r="J4485" s="17"/>
      <c r="K4485" s="17"/>
      <c r="L4485" s="17"/>
      <c r="M4485" s="17"/>
      <c r="N4485" s="17"/>
      <c r="O4485" s="17"/>
      <c r="P4485" s="17"/>
      <c r="Q4485" s="17"/>
      <c r="R4485" s="17"/>
      <c r="S4485" s="17"/>
      <c r="T4485" s="17"/>
      <c r="U4485" s="17"/>
      <c r="V4485" s="18">
        <v>0</v>
      </c>
      <c r="W4485" s="17">
        <f t="shared" si="138"/>
        <v>0</v>
      </c>
    </row>
    <row r="4486" spans="1:23" x14ac:dyDescent="0.25">
      <c r="A4486" s="17"/>
      <c r="B4486" s="17"/>
      <c r="C4486" s="17"/>
      <c r="D4486" s="17"/>
      <c r="E4486" s="17"/>
      <c r="F4486" s="17"/>
      <c r="G4486" s="17"/>
      <c r="H4486" s="17"/>
      <c r="I4486" s="17"/>
      <c r="J4486" s="17"/>
      <c r="K4486" s="17"/>
      <c r="L4486" s="17"/>
      <c r="M4486" s="17"/>
      <c r="N4486" s="17"/>
      <c r="O4486" s="17"/>
      <c r="P4486" s="17"/>
      <c r="Q4486" s="17"/>
      <c r="R4486" s="17"/>
      <c r="S4486" s="17"/>
      <c r="T4486" s="17"/>
      <c r="U4486" s="17"/>
      <c r="V4486" s="18">
        <v>0</v>
      </c>
      <c r="W4486" s="17">
        <f t="shared" si="138"/>
        <v>0</v>
      </c>
    </row>
    <row r="4487" spans="1:23" x14ac:dyDescent="0.25">
      <c r="A4487" s="17"/>
      <c r="B4487" s="17"/>
      <c r="C4487" s="17"/>
      <c r="D4487" s="17"/>
      <c r="E4487" s="17"/>
      <c r="F4487" s="17"/>
      <c r="G4487" s="17"/>
      <c r="H4487" s="17"/>
      <c r="I4487" s="17"/>
      <c r="J4487" s="17"/>
      <c r="K4487" s="17"/>
      <c r="L4487" s="17"/>
      <c r="M4487" s="17"/>
      <c r="N4487" s="17"/>
      <c r="O4487" s="17"/>
      <c r="P4487" s="17"/>
      <c r="Q4487" s="17"/>
      <c r="R4487" s="17"/>
      <c r="S4487" s="17"/>
      <c r="T4487" s="17"/>
      <c r="U4487" s="17"/>
      <c r="V4487" s="18">
        <v>0</v>
      </c>
      <c r="W4487" s="17">
        <f t="shared" si="138"/>
        <v>0</v>
      </c>
    </row>
    <row r="4488" spans="1:23" x14ac:dyDescent="0.25">
      <c r="A4488" s="17"/>
      <c r="B4488" s="17"/>
      <c r="C4488" s="17"/>
      <c r="D4488" s="17"/>
      <c r="E4488" s="17"/>
      <c r="F4488" s="17"/>
      <c r="G4488" s="17"/>
      <c r="H4488" s="17"/>
      <c r="I4488" s="17"/>
      <c r="J4488" s="17"/>
      <c r="K4488" s="17"/>
      <c r="L4488" s="17"/>
      <c r="M4488" s="17"/>
      <c r="N4488" s="17"/>
      <c r="O4488" s="17"/>
      <c r="P4488" s="17"/>
      <c r="Q4488" s="17"/>
      <c r="R4488" s="17"/>
      <c r="S4488" s="17"/>
      <c r="T4488" s="17"/>
      <c r="U4488" s="17"/>
      <c r="V4488" s="18">
        <v>0</v>
      </c>
      <c r="W4488" s="17">
        <f t="shared" si="138"/>
        <v>0</v>
      </c>
    </row>
    <row r="4489" spans="1:23" x14ac:dyDescent="0.25">
      <c r="A4489" s="17"/>
      <c r="B4489" s="17"/>
      <c r="C4489" s="17"/>
      <c r="D4489" s="17"/>
      <c r="E4489" s="17"/>
      <c r="F4489" s="17"/>
      <c r="G4489" s="17"/>
      <c r="H4489" s="17"/>
      <c r="I4489" s="17"/>
      <c r="J4489" s="17"/>
      <c r="K4489" s="17"/>
      <c r="L4489" s="17"/>
      <c r="M4489" s="17"/>
      <c r="N4489" s="17"/>
      <c r="O4489" s="17"/>
      <c r="P4489" s="17"/>
      <c r="Q4489" s="17"/>
      <c r="R4489" s="17"/>
      <c r="S4489" s="17"/>
      <c r="T4489" s="17"/>
      <c r="U4489" s="17"/>
      <c r="V4489" s="18">
        <v>0</v>
      </c>
      <c r="W4489" s="17">
        <f t="shared" si="138"/>
        <v>0</v>
      </c>
    </row>
    <row r="4490" spans="1:23" x14ac:dyDescent="0.25">
      <c r="A4490" s="17"/>
      <c r="B4490" s="17"/>
      <c r="C4490" s="17"/>
      <c r="D4490" s="17"/>
      <c r="E4490" s="17"/>
      <c r="F4490" s="17"/>
      <c r="G4490" s="17"/>
      <c r="H4490" s="17"/>
      <c r="I4490" s="17"/>
      <c r="J4490" s="17"/>
      <c r="K4490" s="17"/>
      <c r="L4490" s="17"/>
      <c r="M4490" s="17"/>
      <c r="N4490" s="17"/>
      <c r="O4490" s="17"/>
      <c r="P4490" s="17"/>
      <c r="Q4490" s="17"/>
      <c r="R4490" s="17"/>
      <c r="S4490" s="17"/>
      <c r="T4490" s="17"/>
      <c r="U4490" s="17"/>
      <c r="V4490" s="18">
        <v>0</v>
      </c>
      <c r="W4490" s="17">
        <f t="shared" si="138"/>
        <v>0</v>
      </c>
    </row>
    <row r="4491" spans="1:23" x14ac:dyDescent="0.25">
      <c r="A4491" s="17"/>
      <c r="B4491" s="17"/>
      <c r="C4491" s="17"/>
      <c r="D4491" s="17"/>
      <c r="E4491" s="17"/>
      <c r="F4491" s="17"/>
      <c r="G4491" s="17"/>
      <c r="H4491" s="17"/>
      <c r="I4491" s="17"/>
      <c r="J4491" s="17"/>
      <c r="K4491" s="17"/>
      <c r="L4491" s="17"/>
      <c r="M4491" s="17"/>
      <c r="N4491" s="17"/>
      <c r="O4491" s="17"/>
      <c r="P4491" s="17"/>
      <c r="Q4491" s="17"/>
      <c r="R4491" s="17"/>
      <c r="S4491" s="17"/>
      <c r="T4491" s="17"/>
      <c r="U4491" s="17"/>
      <c r="V4491" s="18">
        <v>0</v>
      </c>
      <c r="W4491" s="17">
        <f t="shared" si="138"/>
        <v>0</v>
      </c>
    </row>
    <row r="4492" spans="1:23" x14ac:dyDescent="0.25">
      <c r="A4492" s="17"/>
      <c r="B4492" s="17"/>
      <c r="C4492" s="17"/>
      <c r="D4492" s="17"/>
      <c r="E4492" s="17"/>
      <c r="F4492" s="17"/>
      <c r="G4492" s="17"/>
      <c r="H4492" s="17"/>
      <c r="I4492" s="17"/>
      <c r="J4492" s="17"/>
      <c r="K4492" s="17"/>
      <c r="L4492" s="17"/>
      <c r="M4492" s="17"/>
      <c r="N4492" s="17"/>
      <c r="O4492" s="17"/>
      <c r="P4492" s="17"/>
      <c r="Q4492" s="17"/>
      <c r="R4492" s="17"/>
      <c r="S4492" s="17"/>
      <c r="T4492" s="17"/>
      <c r="U4492" s="17"/>
      <c r="V4492" s="18">
        <v>0</v>
      </c>
      <c r="W4492" s="17">
        <f t="shared" si="138"/>
        <v>0</v>
      </c>
    </row>
    <row r="4493" spans="1:23" x14ac:dyDescent="0.25">
      <c r="A4493" s="17"/>
      <c r="B4493" s="17"/>
      <c r="C4493" s="17"/>
      <c r="D4493" s="17"/>
      <c r="E4493" s="17"/>
      <c r="F4493" s="17"/>
      <c r="G4493" s="17"/>
      <c r="H4493" s="17"/>
      <c r="I4493" s="17"/>
      <c r="J4493" s="17"/>
      <c r="K4493" s="17"/>
      <c r="L4493" s="17"/>
      <c r="M4493" s="17"/>
      <c r="N4493" s="17"/>
      <c r="O4493" s="17"/>
      <c r="P4493" s="17"/>
      <c r="Q4493" s="17"/>
      <c r="R4493" s="17"/>
      <c r="S4493" s="17"/>
      <c r="T4493" s="17"/>
      <c r="U4493" s="17"/>
      <c r="V4493" s="18">
        <v>0</v>
      </c>
      <c r="W4493" s="17">
        <f t="shared" si="138"/>
        <v>0</v>
      </c>
    </row>
    <row r="4494" spans="1:23" x14ac:dyDescent="0.25">
      <c r="A4494" s="17"/>
      <c r="B4494" s="17"/>
      <c r="C4494" s="17"/>
      <c r="D4494" s="17"/>
      <c r="E4494" s="17"/>
      <c r="F4494" s="17"/>
      <c r="G4494" s="17"/>
      <c r="H4494" s="17"/>
      <c r="I4494" s="17"/>
      <c r="J4494" s="17"/>
      <c r="K4494" s="17"/>
      <c r="L4494" s="17"/>
      <c r="M4494" s="17"/>
      <c r="N4494" s="17"/>
      <c r="O4494" s="17"/>
      <c r="P4494" s="17"/>
      <c r="Q4494" s="17"/>
      <c r="R4494" s="17"/>
      <c r="S4494" s="17"/>
      <c r="T4494" s="17"/>
      <c r="U4494" s="17"/>
      <c r="V4494" s="18">
        <v>0</v>
      </c>
      <c r="W4494" s="17">
        <f t="shared" si="138"/>
        <v>0</v>
      </c>
    </row>
    <row r="4495" spans="1:23" x14ac:dyDescent="0.25">
      <c r="A4495" s="17"/>
      <c r="B4495" s="17"/>
      <c r="C4495" s="17"/>
      <c r="D4495" s="17"/>
      <c r="E4495" s="17"/>
      <c r="F4495" s="17"/>
      <c r="G4495" s="17"/>
      <c r="H4495" s="17"/>
      <c r="I4495" s="17"/>
      <c r="J4495" s="17"/>
      <c r="K4495" s="17"/>
      <c r="L4495" s="17"/>
      <c r="M4495" s="17"/>
      <c r="N4495" s="17"/>
      <c r="O4495" s="17"/>
      <c r="P4495" s="17"/>
      <c r="Q4495" s="17"/>
      <c r="R4495" s="17"/>
      <c r="S4495" s="17"/>
      <c r="T4495" s="17"/>
      <c r="U4495" s="17"/>
      <c r="V4495" s="18">
        <v>0</v>
      </c>
      <c r="W4495" s="17">
        <f t="shared" si="138"/>
        <v>0</v>
      </c>
    </row>
    <row r="4496" spans="1:23" x14ac:dyDescent="0.25">
      <c r="A4496" s="17"/>
      <c r="B4496" s="17"/>
      <c r="C4496" s="17"/>
      <c r="D4496" s="17"/>
      <c r="E4496" s="17"/>
      <c r="F4496" s="17"/>
      <c r="G4496" s="17"/>
      <c r="H4496" s="17"/>
      <c r="I4496" s="17"/>
      <c r="J4496" s="17"/>
      <c r="K4496" s="17"/>
      <c r="L4496" s="17"/>
      <c r="M4496" s="17"/>
      <c r="N4496" s="17"/>
      <c r="O4496" s="17"/>
      <c r="P4496" s="17"/>
      <c r="Q4496" s="17"/>
      <c r="R4496" s="17"/>
      <c r="S4496" s="17"/>
      <c r="T4496" s="17"/>
      <c r="U4496" s="17"/>
      <c r="V4496" s="18">
        <v>0</v>
      </c>
      <c r="W4496" s="17">
        <f t="shared" si="138"/>
        <v>0</v>
      </c>
    </row>
    <row r="4497" spans="1:23" x14ac:dyDescent="0.25">
      <c r="A4497" s="17"/>
      <c r="B4497" s="17"/>
      <c r="C4497" s="17"/>
      <c r="D4497" s="17"/>
      <c r="E4497" s="17"/>
      <c r="F4497" s="17"/>
      <c r="G4497" s="17"/>
      <c r="H4497" s="17"/>
      <c r="I4497" s="17"/>
      <c r="J4497" s="17"/>
      <c r="K4497" s="17"/>
      <c r="L4497" s="17"/>
      <c r="M4497" s="17"/>
      <c r="N4497" s="17"/>
      <c r="O4497" s="17"/>
      <c r="P4497" s="17"/>
      <c r="Q4497" s="17"/>
      <c r="R4497" s="17"/>
      <c r="S4497" s="17"/>
      <c r="T4497" s="17"/>
      <c r="U4497" s="17"/>
      <c r="V4497" s="18">
        <v>0</v>
      </c>
      <c r="W4497" s="17">
        <f t="shared" si="138"/>
        <v>0</v>
      </c>
    </row>
    <row r="4498" spans="1:23" x14ac:dyDescent="0.25">
      <c r="A4498" s="17"/>
      <c r="B4498" s="17"/>
      <c r="C4498" s="17"/>
      <c r="D4498" s="17"/>
      <c r="E4498" s="17"/>
      <c r="F4498" s="17"/>
      <c r="G4498" s="17"/>
      <c r="H4498" s="17"/>
      <c r="I4498" s="17"/>
      <c r="J4498" s="17"/>
      <c r="K4498" s="17"/>
      <c r="L4498" s="17"/>
      <c r="M4498" s="17"/>
      <c r="N4498" s="17"/>
      <c r="O4498" s="17"/>
      <c r="P4498" s="17"/>
      <c r="Q4498" s="17"/>
      <c r="R4498" s="17"/>
      <c r="S4498" s="17"/>
      <c r="T4498" s="17"/>
      <c r="U4498" s="17"/>
      <c r="V4498" s="18">
        <v>0</v>
      </c>
      <c r="W4498" s="17">
        <f t="shared" si="138"/>
        <v>0</v>
      </c>
    </row>
    <row r="4499" spans="1:23" x14ac:dyDescent="0.25">
      <c r="A4499" s="17"/>
      <c r="B4499" s="17"/>
      <c r="C4499" s="17"/>
      <c r="D4499" s="17"/>
      <c r="E4499" s="17"/>
      <c r="F4499" s="17"/>
      <c r="G4499" s="17"/>
      <c r="H4499" s="17"/>
      <c r="I4499" s="17"/>
      <c r="J4499" s="17"/>
      <c r="K4499" s="17"/>
      <c r="L4499" s="17"/>
      <c r="M4499" s="17"/>
      <c r="N4499" s="17"/>
      <c r="O4499" s="17"/>
      <c r="P4499" s="17"/>
      <c r="Q4499" s="17"/>
      <c r="R4499" s="17"/>
      <c r="S4499" s="17"/>
      <c r="T4499" s="17"/>
      <c r="U4499" s="17"/>
      <c r="V4499" s="18">
        <v>0</v>
      </c>
      <c r="W4499" s="17">
        <f t="shared" si="138"/>
        <v>0</v>
      </c>
    </row>
    <row r="4500" spans="1:23" x14ac:dyDescent="0.25">
      <c r="A4500" s="17"/>
      <c r="B4500" s="17"/>
      <c r="C4500" s="17"/>
      <c r="D4500" s="17"/>
      <c r="E4500" s="17"/>
      <c r="F4500" s="17"/>
      <c r="G4500" s="17"/>
      <c r="H4500" s="17"/>
      <c r="I4500" s="17"/>
      <c r="J4500" s="17"/>
      <c r="K4500" s="17"/>
      <c r="L4500" s="17"/>
      <c r="M4500" s="17"/>
      <c r="N4500" s="17"/>
      <c r="O4500" s="17"/>
      <c r="P4500" s="17"/>
      <c r="Q4500" s="17"/>
      <c r="R4500" s="17"/>
      <c r="S4500" s="17"/>
      <c r="T4500" s="17"/>
      <c r="U4500" s="17"/>
      <c r="V4500" s="18">
        <v>0</v>
      </c>
      <c r="W4500" s="17">
        <f t="shared" si="138"/>
        <v>0</v>
      </c>
    </row>
    <row r="4501" spans="1:23" x14ac:dyDescent="0.25">
      <c r="A4501" s="17"/>
      <c r="B4501" s="17"/>
      <c r="C4501" s="17"/>
      <c r="D4501" s="17"/>
      <c r="E4501" s="17"/>
      <c r="F4501" s="17"/>
      <c r="G4501" s="17"/>
      <c r="H4501" s="17"/>
      <c r="I4501" s="17"/>
      <c r="J4501" s="17"/>
      <c r="K4501" s="17"/>
      <c r="L4501" s="17"/>
      <c r="M4501" s="17"/>
      <c r="N4501" s="17"/>
      <c r="O4501" s="17"/>
      <c r="P4501" s="17"/>
      <c r="Q4501" s="17"/>
      <c r="R4501" s="17"/>
      <c r="S4501" s="17"/>
      <c r="T4501" s="17"/>
      <c r="U4501" s="17"/>
      <c r="V4501" s="18">
        <v>0</v>
      </c>
      <c r="W4501" s="17">
        <f t="shared" si="138"/>
        <v>0</v>
      </c>
    </row>
    <row r="4502" spans="1:23" x14ac:dyDescent="0.25">
      <c r="A4502" s="17"/>
      <c r="B4502" s="17"/>
      <c r="C4502" s="17"/>
      <c r="D4502" s="17"/>
      <c r="E4502" s="17"/>
      <c r="F4502" s="17"/>
      <c r="G4502" s="17"/>
      <c r="H4502" s="17"/>
      <c r="I4502" s="17"/>
      <c r="J4502" s="17"/>
      <c r="K4502" s="17"/>
      <c r="L4502" s="17"/>
      <c r="M4502" s="17"/>
      <c r="N4502" s="17"/>
      <c r="O4502" s="17"/>
      <c r="P4502" s="17"/>
      <c r="Q4502" s="17"/>
      <c r="R4502" s="17"/>
      <c r="S4502" s="17"/>
      <c r="T4502" s="17"/>
      <c r="U4502" s="17"/>
      <c r="V4502" s="18">
        <v>0</v>
      </c>
      <c r="W4502" s="17">
        <f t="shared" si="138"/>
        <v>0</v>
      </c>
    </row>
    <row r="4503" spans="1:23" x14ac:dyDescent="0.25">
      <c r="A4503" s="17"/>
      <c r="B4503" s="17"/>
      <c r="C4503" s="17"/>
      <c r="D4503" s="17"/>
      <c r="E4503" s="17"/>
      <c r="F4503" s="17"/>
      <c r="G4503" s="17"/>
      <c r="H4503" s="17"/>
      <c r="I4503" s="17"/>
      <c r="J4503" s="17"/>
      <c r="K4503" s="17"/>
      <c r="L4503" s="17"/>
      <c r="M4503" s="17"/>
      <c r="N4503" s="17"/>
      <c r="O4503" s="17"/>
      <c r="P4503" s="17"/>
      <c r="Q4503" s="17"/>
      <c r="R4503" s="17"/>
      <c r="S4503" s="17"/>
      <c r="T4503" s="17"/>
      <c r="U4503" s="17"/>
      <c r="V4503" s="18">
        <v>0</v>
      </c>
      <c r="W4503" s="17">
        <f t="shared" si="138"/>
        <v>0</v>
      </c>
    </row>
    <row r="4504" spans="1:23" x14ac:dyDescent="0.25">
      <c r="A4504" s="17"/>
      <c r="B4504" s="17"/>
      <c r="C4504" s="17"/>
      <c r="D4504" s="17"/>
      <c r="E4504" s="17"/>
      <c r="F4504" s="17"/>
      <c r="G4504" s="17"/>
      <c r="H4504" s="17"/>
      <c r="I4504" s="17"/>
      <c r="J4504" s="17"/>
      <c r="K4504" s="17"/>
      <c r="L4504" s="17"/>
      <c r="M4504" s="17"/>
      <c r="N4504" s="17"/>
      <c r="O4504" s="17"/>
      <c r="P4504" s="17"/>
      <c r="Q4504" s="17"/>
      <c r="R4504" s="17"/>
      <c r="S4504" s="17"/>
      <c r="T4504" s="17"/>
      <c r="U4504" s="17"/>
      <c r="V4504" s="18">
        <v>0</v>
      </c>
      <c r="W4504" s="17">
        <f t="shared" si="138"/>
        <v>0</v>
      </c>
    </row>
    <row r="4505" spans="1:23" x14ac:dyDescent="0.25">
      <c r="A4505" s="17"/>
      <c r="B4505" s="17"/>
      <c r="C4505" s="17"/>
      <c r="D4505" s="17"/>
      <c r="E4505" s="17"/>
      <c r="F4505" s="17"/>
      <c r="G4505" s="17"/>
      <c r="H4505" s="17"/>
      <c r="I4505" s="17"/>
      <c r="J4505" s="17"/>
      <c r="K4505" s="17"/>
      <c r="L4505" s="17"/>
      <c r="M4505" s="17"/>
      <c r="N4505" s="17"/>
      <c r="O4505" s="17"/>
      <c r="P4505" s="17"/>
      <c r="Q4505" s="17"/>
      <c r="R4505" s="17"/>
      <c r="S4505" s="17"/>
      <c r="T4505" s="17"/>
      <c r="U4505" s="17"/>
      <c r="V4505" s="18">
        <v>0</v>
      </c>
      <c r="W4505" s="17">
        <f t="shared" si="138"/>
        <v>0</v>
      </c>
    </row>
    <row r="4506" spans="1:23" x14ac:dyDescent="0.25">
      <c r="A4506" s="17"/>
      <c r="B4506" s="17"/>
      <c r="C4506" s="17"/>
      <c r="D4506" s="17"/>
      <c r="E4506" s="17"/>
      <c r="F4506" s="17"/>
      <c r="G4506" s="17"/>
      <c r="H4506" s="17"/>
      <c r="I4506" s="17"/>
      <c r="J4506" s="17"/>
      <c r="K4506" s="17"/>
      <c r="L4506" s="17"/>
      <c r="M4506" s="17"/>
      <c r="N4506" s="17"/>
      <c r="O4506" s="17"/>
      <c r="P4506" s="17"/>
      <c r="Q4506" s="17"/>
      <c r="R4506" s="17"/>
      <c r="S4506" s="17"/>
      <c r="T4506" s="17"/>
      <c r="U4506" s="17"/>
      <c r="V4506" s="18">
        <v>0</v>
      </c>
      <c r="W4506" s="17">
        <f t="shared" si="138"/>
        <v>0</v>
      </c>
    </row>
    <row r="4507" spans="1:23" x14ac:dyDescent="0.25">
      <c r="A4507" s="17"/>
      <c r="B4507" s="17"/>
      <c r="C4507" s="17"/>
      <c r="D4507" s="17"/>
      <c r="E4507" s="17"/>
      <c r="F4507" s="17"/>
      <c r="G4507" s="17"/>
      <c r="H4507" s="17"/>
      <c r="I4507" s="17"/>
      <c r="J4507" s="17"/>
      <c r="K4507" s="17"/>
      <c r="L4507" s="17"/>
      <c r="M4507" s="17"/>
      <c r="N4507" s="17"/>
      <c r="O4507" s="17"/>
      <c r="P4507" s="17"/>
      <c r="Q4507" s="17"/>
      <c r="R4507" s="17"/>
      <c r="S4507" s="17"/>
      <c r="T4507" s="17"/>
      <c r="U4507" s="17"/>
      <c r="V4507" s="18">
        <v>0</v>
      </c>
      <c r="W4507" s="17">
        <f t="shared" si="138"/>
        <v>0</v>
      </c>
    </row>
    <row r="4508" spans="1:23" x14ac:dyDescent="0.25">
      <c r="A4508" s="17"/>
      <c r="B4508" s="17"/>
      <c r="C4508" s="17"/>
      <c r="D4508" s="17"/>
      <c r="E4508" s="17"/>
      <c r="F4508" s="17"/>
      <c r="G4508" s="17"/>
      <c r="H4508" s="17"/>
      <c r="I4508" s="17"/>
      <c r="J4508" s="17"/>
      <c r="K4508" s="17"/>
      <c r="L4508" s="17"/>
      <c r="M4508" s="17"/>
      <c r="N4508" s="17"/>
      <c r="O4508" s="17"/>
      <c r="P4508" s="17"/>
      <c r="Q4508" s="17"/>
      <c r="R4508" s="17"/>
      <c r="S4508" s="17"/>
      <c r="T4508" s="17"/>
      <c r="U4508" s="17"/>
      <c r="V4508" s="18">
        <v>0</v>
      </c>
      <c r="W4508" s="17">
        <f t="shared" si="138"/>
        <v>0</v>
      </c>
    </row>
    <row r="4509" spans="1:23" x14ac:dyDescent="0.25">
      <c r="A4509" s="17"/>
      <c r="B4509" s="17"/>
      <c r="C4509" s="17"/>
      <c r="D4509" s="17"/>
      <c r="E4509" s="17"/>
      <c r="F4509" s="17"/>
      <c r="G4509" s="17"/>
      <c r="H4509" s="17"/>
      <c r="I4509" s="17"/>
      <c r="J4509" s="17"/>
      <c r="K4509" s="17"/>
      <c r="L4509" s="17"/>
      <c r="M4509" s="17"/>
      <c r="N4509" s="17"/>
      <c r="O4509" s="17"/>
      <c r="P4509" s="17"/>
      <c r="Q4509" s="17"/>
      <c r="R4509" s="17"/>
      <c r="S4509" s="17"/>
      <c r="T4509" s="17"/>
      <c r="U4509" s="17"/>
      <c r="V4509" s="18">
        <v>0</v>
      </c>
      <c r="W4509" s="17">
        <f t="shared" si="138"/>
        <v>0</v>
      </c>
    </row>
    <row r="4510" spans="1:23" x14ac:dyDescent="0.25">
      <c r="A4510" s="17"/>
      <c r="B4510" s="17"/>
      <c r="C4510" s="17"/>
      <c r="D4510" s="17"/>
      <c r="E4510" s="17"/>
      <c r="F4510" s="17"/>
      <c r="G4510" s="17"/>
      <c r="H4510" s="17"/>
      <c r="I4510" s="17"/>
      <c r="J4510" s="17"/>
      <c r="K4510" s="17"/>
      <c r="L4510" s="17"/>
      <c r="M4510" s="17"/>
      <c r="N4510" s="17"/>
      <c r="O4510" s="17"/>
      <c r="P4510" s="17"/>
      <c r="Q4510" s="17"/>
      <c r="R4510" s="17"/>
      <c r="S4510" s="17"/>
      <c r="T4510" s="17"/>
      <c r="U4510" s="17"/>
      <c r="V4510" s="18">
        <v>0</v>
      </c>
      <c r="W4510" s="17">
        <f t="shared" si="138"/>
        <v>0</v>
      </c>
    </row>
    <row r="4511" spans="1:23" x14ac:dyDescent="0.25">
      <c r="A4511" s="17"/>
      <c r="B4511" s="17"/>
      <c r="C4511" s="17"/>
      <c r="D4511" s="17"/>
      <c r="E4511" s="17"/>
      <c r="F4511" s="17"/>
      <c r="G4511" s="17"/>
      <c r="H4511" s="17"/>
      <c r="I4511" s="17"/>
      <c r="J4511" s="17"/>
      <c r="K4511" s="17"/>
      <c r="L4511" s="17"/>
      <c r="M4511" s="17"/>
      <c r="N4511" s="17"/>
      <c r="O4511" s="17"/>
      <c r="P4511" s="17"/>
      <c r="Q4511" s="17"/>
      <c r="R4511" s="17"/>
      <c r="S4511" s="17"/>
      <c r="T4511" s="17"/>
      <c r="U4511" s="17"/>
      <c r="V4511" s="18">
        <v>0</v>
      </c>
      <c r="W4511" s="17">
        <f t="shared" si="138"/>
        <v>0</v>
      </c>
    </row>
    <row r="4512" spans="1:23" x14ac:dyDescent="0.25">
      <c r="A4512" s="17"/>
      <c r="B4512" s="17"/>
      <c r="C4512" s="17"/>
      <c r="D4512" s="17"/>
      <c r="E4512" s="17"/>
      <c r="F4512" s="17"/>
      <c r="G4512" s="17"/>
      <c r="H4512" s="17"/>
      <c r="I4512" s="17"/>
      <c r="J4512" s="17"/>
      <c r="K4512" s="17"/>
      <c r="L4512" s="17"/>
      <c r="M4512" s="17"/>
      <c r="N4512" s="17"/>
      <c r="O4512" s="17"/>
      <c r="P4512" s="17"/>
      <c r="Q4512" s="17"/>
      <c r="R4512" s="17"/>
      <c r="S4512" s="17"/>
      <c r="T4512" s="17"/>
      <c r="U4512" s="17"/>
      <c r="V4512" s="18">
        <v>0</v>
      </c>
      <c r="W4512" s="17">
        <f t="shared" si="138"/>
        <v>0</v>
      </c>
    </row>
    <row r="4513" spans="1:23" x14ac:dyDescent="0.25">
      <c r="A4513" s="17"/>
      <c r="B4513" s="17"/>
      <c r="C4513" s="17"/>
      <c r="D4513" s="17"/>
      <c r="E4513" s="17"/>
      <c r="F4513" s="17"/>
      <c r="G4513" s="17"/>
      <c r="H4513" s="17"/>
      <c r="I4513" s="17"/>
      <c r="J4513" s="17"/>
      <c r="K4513" s="17"/>
      <c r="L4513" s="17"/>
      <c r="M4513" s="17"/>
      <c r="N4513" s="17"/>
      <c r="O4513" s="17"/>
      <c r="P4513" s="17"/>
      <c r="Q4513" s="17"/>
      <c r="R4513" s="17"/>
      <c r="S4513" s="17"/>
      <c r="T4513" s="17"/>
      <c r="U4513" s="17"/>
      <c r="V4513" s="18">
        <v>0</v>
      </c>
      <c r="W4513" s="17">
        <f t="shared" si="138"/>
        <v>0</v>
      </c>
    </row>
    <row r="4514" spans="1:23" x14ac:dyDescent="0.25">
      <c r="A4514" s="17"/>
      <c r="B4514" s="17"/>
      <c r="C4514" s="17"/>
      <c r="D4514" s="17"/>
      <c r="E4514" s="17"/>
      <c r="F4514" s="17"/>
      <c r="G4514" s="17"/>
      <c r="H4514" s="17"/>
      <c r="I4514" s="17"/>
      <c r="J4514" s="17"/>
      <c r="K4514" s="17"/>
      <c r="L4514" s="17"/>
      <c r="M4514" s="17"/>
      <c r="N4514" s="17"/>
      <c r="O4514" s="17"/>
      <c r="P4514" s="17"/>
      <c r="Q4514" s="17"/>
      <c r="R4514" s="17"/>
      <c r="S4514" s="17"/>
      <c r="T4514" s="17"/>
      <c r="U4514" s="17"/>
      <c r="V4514" s="18">
        <v>0</v>
      </c>
      <c r="W4514" s="17">
        <f t="shared" si="138"/>
        <v>0</v>
      </c>
    </row>
    <row r="4515" spans="1:23" x14ac:dyDescent="0.25">
      <c r="A4515" s="17"/>
      <c r="B4515" s="17"/>
      <c r="C4515" s="17"/>
      <c r="D4515" s="17"/>
      <c r="E4515" s="17"/>
      <c r="F4515" s="17"/>
      <c r="G4515" s="17"/>
      <c r="H4515" s="17"/>
      <c r="I4515" s="17"/>
      <c r="J4515" s="17"/>
      <c r="K4515" s="17"/>
      <c r="L4515" s="17"/>
      <c r="M4515" s="17"/>
      <c r="N4515" s="17"/>
      <c r="O4515" s="17"/>
      <c r="P4515" s="17"/>
      <c r="Q4515" s="17"/>
      <c r="R4515" s="17"/>
      <c r="S4515" s="17"/>
      <c r="T4515" s="17"/>
      <c r="U4515" s="17"/>
      <c r="V4515" s="18">
        <v>0</v>
      </c>
      <c r="W4515" s="17">
        <f t="shared" si="138"/>
        <v>0</v>
      </c>
    </row>
    <row r="4516" spans="1:23" x14ac:dyDescent="0.25">
      <c r="A4516" s="17"/>
      <c r="B4516" s="17"/>
      <c r="C4516" s="17"/>
      <c r="D4516" s="17"/>
      <c r="E4516" s="17"/>
      <c r="F4516" s="17"/>
      <c r="G4516" s="17"/>
      <c r="H4516" s="17"/>
      <c r="I4516" s="17"/>
      <c r="J4516" s="17"/>
      <c r="K4516" s="17"/>
      <c r="L4516" s="17"/>
      <c r="M4516" s="17"/>
      <c r="N4516" s="17"/>
      <c r="O4516" s="17"/>
      <c r="P4516" s="17"/>
      <c r="Q4516" s="17"/>
      <c r="R4516" s="17"/>
      <c r="S4516" s="17"/>
      <c r="T4516" s="17"/>
      <c r="U4516" s="17"/>
      <c r="V4516" s="18">
        <v>0</v>
      </c>
      <c r="W4516" s="17">
        <f t="shared" si="138"/>
        <v>0</v>
      </c>
    </row>
    <row r="4517" spans="1:23" x14ac:dyDescent="0.25">
      <c r="A4517" s="17"/>
      <c r="B4517" s="17"/>
      <c r="C4517" s="17"/>
      <c r="D4517" s="17"/>
      <c r="E4517" s="17"/>
      <c r="F4517" s="17"/>
      <c r="G4517" s="17"/>
      <c r="H4517" s="17"/>
      <c r="I4517" s="17"/>
      <c r="J4517" s="17"/>
      <c r="K4517" s="17"/>
      <c r="L4517" s="17"/>
      <c r="M4517" s="17"/>
      <c r="N4517" s="17"/>
      <c r="O4517" s="17"/>
      <c r="P4517" s="17"/>
      <c r="Q4517" s="17"/>
      <c r="R4517" s="17"/>
      <c r="S4517" s="17"/>
      <c r="T4517" s="17"/>
      <c r="U4517" s="17"/>
      <c r="V4517" s="18">
        <v>0</v>
      </c>
      <c r="W4517" s="17">
        <f t="shared" si="138"/>
        <v>0</v>
      </c>
    </row>
    <row r="4518" spans="1:23" x14ac:dyDescent="0.25">
      <c r="A4518" s="17"/>
      <c r="B4518" s="17"/>
      <c r="C4518" s="17"/>
      <c r="D4518" s="17"/>
      <c r="E4518" s="17"/>
      <c r="F4518" s="17"/>
      <c r="G4518" s="17"/>
      <c r="H4518" s="17"/>
      <c r="I4518" s="17"/>
      <c r="J4518" s="17"/>
      <c r="K4518" s="17"/>
      <c r="L4518" s="17"/>
      <c r="M4518" s="17"/>
      <c r="N4518" s="17"/>
      <c r="O4518" s="17"/>
      <c r="P4518" s="17"/>
      <c r="Q4518" s="17"/>
      <c r="R4518" s="17"/>
      <c r="S4518" s="17"/>
      <c r="T4518" s="17"/>
      <c r="U4518" s="17"/>
      <c r="V4518" s="18">
        <v>0</v>
      </c>
      <c r="W4518" s="17">
        <f t="shared" si="138"/>
        <v>0</v>
      </c>
    </row>
    <row r="4519" spans="1:23" x14ac:dyDescent="0.25">
      <c r="A4519" s="17"/>
      <c r="B4519" s="17"/>
      <c r="C4519" s="17"/>
      <c r="D4519" s="17"/>
      <c r="E4519" s="17"/>
      <c r="F4519" s="17"/>
      <c r="G4519" s="17"/>
      <c r="H4519" s="17"/>
      <c r="I4519" s="17"/>
      <c r="J4519" s="17"/>
      <c r="K4519" s="17"/>
      <c r="L4519" s="17"/>
      <c r="M4519" s="17"/>
      <c r="N4519" s="17"/>
      <c r="O4519" s="17"/>
      <c r="P4519" s="17"/>
      <c r="Q4519" s="17"/>
      <c r="R4519" s="17"/>
      <c r="S4519" s="17"/>
      <c r="T4519" s="17"/>
      <c r="U4519" s="17"/>
      <c r="V4519" s="18">
        <v>0</v>
      </c>
      <c r="W4519" s="17">
        <f t="shared" si="138"/>
        <v>0</v>
      </c>
    </row>
    <row r="4520" spans="1:23" x14ac:dyDescent="0.25">
      <c r="A4520" s="17"/>
      <c r="B4520" s="17"/>
      <c r="C4520" s="17"/>
      <c r="D4520" s="17"/>
      <c r="E4520" s="17"/>
      <c r="F4520" s="17"/>
      <c r="G4520" s="17"/>
      <c r="H4520" s="17"/>
      <c r="I4520" s="17"/>
      <c r="J4520" s="17"/>
      <c r="K4520" s="17"/>
      <c r="L4520" s="17"/>
      <c r="M4520" s="17"/>
      <c r="N4520" s="17"/>
      <c r="O4520" s="17"/>
      <c r="P4520" s="17"/>
      <c r="Q4520" s="17"/>
      <c r="R4520" s="17"/>
      <c r="S4520" s="17"/>
      <c r="T4520" s="17"/>
      <c r="U4520" s="17"/>
      <c r="V4520" s="18">
        <v>0</v>
      </c>
      <c r="W4520" s="17">
        <f t="shared" si="138"/>
        <v>0</v>
      </c>
    </row>
    <row r="4521" spans="1:23" x14ac:dyDescent="0.25">
      <c r="A4521" s="17"/>
      <c r="B4521" s="17"/>
      <c r="C4521" s="17"/>
      <c r="D4521" s="17"/>
      <c r="E4521" s="17"/>
      <c r="F4521" s="17"/>
      <c r="G4521" s="17"/>
      <c r="H4521" s="17"/>
      <c r="I4521" s="17"/>
      <c r="J4521" s="17"/>
      <c r="K4521" s="17"/>
      <c r="L4521" s="17"/>
      <c r="M4521" s="17"/>
      <c r="N4521" s="17"/>
      <c r="O4521" s="17"/>
      <c r="P4521" s="17"/>
      <c r="Q4521" s="17"/>
      <c r="R4521" s="17"/>
      <c r="S4521" s="17"/>
      <c r="T4521" s="17"/>
      <c r="U4521" s="17"/>
      <c r="V4521" s="18">
        <v>0</v>
      </c>
      <c r="W4521" s="17">
        <f t="shared" si="138"/>
        <v>0</v>
      </c>
    </row>
    <row r="4522" spans="1:23" x14ac:dyDescent="0.25">
      <c r="A4522" s="17"/>
      <c r="B4522" s="17"/>
      <c r="C4522" s="17"/>
      <c r="D4522" s="17"/>
      <c r="E4522" s="17"/>
      <c r="F4522" s="17"/>
      <c r="G4522" s="17"/>
      <c r="H4522" s="17"/>
      <c r="I4522" s="17"/>
      <c r="J4522" s="17"/>
      <c r="K4522" s="17"/>
      <c r="L4522" s="17"/>
      <c r="M4522" s="17"/>
      <c r="N4522" s="17"/>
      <c r="O4522" s="17"/>
      <c r="P4522" s="17"/>
      <c r="Q4522" s="17"/>
      <c r="R4522" s="17"/>
      <c r="S4522" s="17"/>
      <c r="T4522" s="17"/>
      <c r="U4522" s="17"/>
      <c r="V4522" s="18">
        <v>0</v>
      </c>
      <c r="W4522" s="17">
        <f t="shared" si="138"/>
        <v>0</v>
      </c>
    </row>
    <row r="4523" spans="1:23" x14ac:dyDescent="0.25">
      <c r="A4523" s="17"/>
      <c r="B4523" s="17"/>
      <c r="C4523" s="17"/>
      <c r="D4523" s="17"/>
      <c r="E4523" s="17"/>
      <c r="F4523" s="17"/>
      <c r="G4523" s="17"/>
      <c r="H4523" s="17"/>
      <c r="I4523" s="17"/>
      <c r="J4523" s="17"/>
      <c r="K4523" s="17"/>
      <c r="L4523" s="17"/>
      <c r="M4523" s="17"/>
      <c r="N4523" s="17"/>
      <c r="O4523" s="17"/>
      <c r="P4523" s="17"/>
      <c r="Q4523" s="17"/>
      <c r="R4523" s="17"/>
      <c r="S4523" s="17"/>
      <c r="T4523" s="17"/>
      <c r="U4523" s="17"/>
      <c r="V4523" s="18">
        <v>0</v>
      </c>
      <c r="W4523" s="17">
        <f t="shared" si="138"/>
        <v>0</v>
      </c>
    </row>
    <row r="4524" spans="1:23" x14ac:dyDescent="0.25">
      <c r="A4524" s="17"/>
      <c r="B4524" s="17"/>
      <c r="C4524" s="17"/>
      <c r="D4524" s="17"/>
      <c r="E4524" s="17"/>
      <c r="F4524" s="17"/>
      <c r="G4524" s="17"/>
      <c r="H4524" s="17"/>
      <c r="I4524" s="17"/>
      <c r="J4524" s="17"/>
      <c r="K4524" s="17"/>
      <c r="L4524" s="17"/>
      <c r="M4524" s="17"/>
      <c r="N4524" s="17"/>
      <c r="O4524" s="17"/>
      <c r="P4524" s="17"/>
      <c r="Q4524" s="17"/>
      <c r="R4524" s="17"/>
      <c r="S4524" s="17"/>
      <c r="T4524" s="17"/>
      <c r="U4524" s="17"/>
      <c r="V4524" s="18">
        <v>0</v>
      </c>
      <c r="W4524" s="17">
        <f t="shared" si="138"/>
        <v>0</v>
      </c>
    </row>
    <row r="4525" spans="1:23" x14ac:dyDescent="0.25">
      <c r="A4525" s="17"/>
      <c r="B4525" s="17"/>
      <c r="C4525" s="17"/>
      <c r="D4525" s="17"/>
      <c r="E4525" s="17"/>
      <c r="F4525" s="17"/>
      <c r="G4525" s="17"/>
      <c r="H4525" s="17"/>
      <c r="I4525" s="17"/>
      <c r="J4525" s="17"/>
      <c r="K4525" s="17"/>
      <c r="L4525" s="17"/>
      <c r="M4525" s="17"/>
      <c r="N4525" s="17"/>
      <c r="O4525" s="17"/>
      <c r="P4525" s="17"/>
      <c r="Q4525" s="17"/>
      <c r="R4525" s="17"/>
      <c r="S4525" s="17"/>
      <c r="T4525" s="17"/>
      <c r="U4525" s="17"/>
      <c r="V4525" s="18">
        <v>0</v>
      </c>
      <c r="W4525" s="17">
        <f t="shared" si="138"/>
        <v>0</v>
      </c>
    </row>
    <row r="4526" spans="1:23" x14ac:dyDescent="0.25">
      <c r="A4526" s="17"/>
      <c r="B4526" s="17"/>
      <c r="C4526" s="17"/>
      <c r="D4526" s="17"/>
      <c r="E4526" s="17"/>
      <c r="F4526" s="17"/>
      <c r="G4526" s="17"/>
      <c r="H4526" s="17"/>
      <c r="I4526" s="17"/>
      <c r="J4526" s="17"/>
      <c r="K4526" s="17"/>
      <c r="L4526" s="17"/>
      <c r="M4526" s="17"/>
      <c r="N4526" s="17"/>
      <c r="O4526" s="17"/>
      <c r="P4526" s="17"/>
      <c r="Q4526" s="17"/>
      <c r="R4526" s="17"/>
      <c r="S4526" s="17"/>
      <c r="T4526" s="17"/>
      <c r="U4526" s="17"/>
      <c r="V4526" s="18">
        <v>0</v>
      </c>
      <c r="W4526" s="17">
        <f t="shared" si="138"/>
        <v>0</v>
      </c>
    </row>
    <row r="4527" spans="1:23" x14ac:dyDescent="0.25">
      <c r="A4527" s="17"/>
      <c r="B4527" s="17"/>
      <c r="C4527" s="17"/>
      <c r="D4527" s="17"/>
      <c r="E4527" s="17"/>
      <c r="F4527" s="17"/>
      <c r="G4527" s="17"/>
      <c r="H4527" s="17"/>
      <c r="I4527" s="17"/>
      <c r="J4527" s="17"/>
      <c r="K4527" s="17"/>
      <c r="L4527" s="17"/>
      <c r="M4527" s="17"/>
      <c r="N4527" s="17"/>
      <c r="O4527" s="17"/>
      <c r="P4527" s="17"/>
      <c r="Q4527" s="17"/>
      <c r="R4527" s="17"/>
      <c r="S4527" s="17"/>
      <c r="T4527" s="17"/>
      <c r="U4527" s="17"/>
      <c r="V4527" s="18">
        <v>0</v>
      </c>
      <c r="W4527" s="17">
        <f t="shared" si="138"/>
        <v>0</v>
      </c>
    </row>
    <row r="4528" spans="1:23" x14ac:dyDescent="0.25">
      <c r="A4528" s="17"/>
      <c r="B4528" s="17"/>
      <c r="C4528" s="17"/>
      <c r="D4528" s="17"/>
      <c r="E4528" s="17"/>
      <c r="F4528" s="17"/>
      <c r="G4528" s="17"/>
      <c r="H4528" s="17"/>
      <c r="I4528" s="17"/>
      <c r="J4528" s="17"/>
      <c r="K4528" s="17"/>
      <c r="L4528" s="17"/>
      <c r="M4528" s="17"/>
      <c r="N4528" s="17"/>
      <c r="O4528" s="17"/>
      <c r="P4528" s="17"/>
      <c r="Q4528" s="17"/>
      <c r="R4528" s="17"/>
      <c r="S4528" s="17"/>
      <c r="T4528" s="17"/>
      <c r="U4528" s="17"/>
      <c r="V4528" s="18">
        <v>0</v>
      </c>
      <c r="W4528" s="17">
        <f t="shared" si="138"/>
        <v>0</v>
      </c>
    </row>
    <row r="4529" spans="1:23" x14ac:dyDescent="0.25">
      <c r="A4529" s="17"/>
      <c r="B4529" s="17"/>
      <c r="C4529" s="17"/>
      <c r="D4529" s="17"/>
      <c r="E4529" s="17"/>
      <c r="F4529" s="17"/>
      <c r="G4529" s="17"/>
      <c r="H4529" s="17"/>
      <c r="I4529" s="17"/>
      <c r="J4529" s="17"/>
      <c r="K4529" s="17"/>
      <c r="L4529" s="17"/>
      <c r="M4529" s="17"/>
      <c r="N4529" s="17"/>
      <c r="O4529" s="17"/>
      <c r="P4529" s="17"/>
      <c r="Q4529" s="17"/>
      <c r="R4529" s="17"/>
      <c r="S4529" s="17"/>
      <c r="T4529" s="17"/>
      <c r="U4529" s="17"/>
      <c r="V4529" s="18">
        <v>0</v>
      </c>
      <c r="W4529" s="17">
        <f t="shared" si="138"/>
        <v>0</v>
      </c>
    </row>
    <row r="4530" spans="1:23" x14ac:dyDescent="0.25">
      <c r="A4530" s="17"/>
      <c r="B4530" s="17"/>
      <c r="C4530" s="17"/>
      <c r="D4530" s="17"/>
      <c r="E4530" s="17"/>
      <c r="F4530" s="17"/>
      <c r="G4530" s="17"/>
      <c r="H4530" s="17"/>
      <c r="I4530" s="17"/>
      <c r="J4530" s="17"/>
      <c r="K4530" s="17"/>
      <c r="L4530" s="17"/>
      <c r="M4530" s="17"/>
      <c r="N4530" s="17"/>
      <c r="O4530" s="17"/>
      <c r="P4530" s="17"/>
      <c r="Q4530" s="17"/>
      <c r="R4530" s="17"/>
      <c r="S4530" s="17"/>
      <c r="T4530" s="17"/>
      <c r="U4530" s="17"/>
      <c r="V4530" s="18">
        <v>0</v>
      </c>
      <c r="W4530" s="17">
        <f t="shared" si="138"/>
        <v>0</v>
      </c>
    </row>
    <row r="4531" spans="1:23" x14ac:dyDescent="0.25">
      <c r="A4531" s="17"/>
      <c r="B4531" s="17"/>
      <c r="C4531" s="17"/>
      <c r="D4531" s="17"/>
      <c r="E4531" s="17"/>
      <c r="F4531" s="17"/>
      <c r="G4531" s="17"/>
      <c r="H4531" s="17"/>
      <c r="I4531" s="17"/>
      <c r="J4531" s="17"/>
      <c r="K4531" s="17"/>
      <c r="L4531" s="17"/>
      <c r="M4531" s="17"/>
      <c r="N4531" s="17"/>
      <c r="O4531" s="17"/>
      <c r="P4531" s="17"/>
      <c r="Q4531" s="17"/>
      <c r="R4531" s="17"/>
      <c r="S4531" s="17"/>
      <c r="T4531" s="17"/>
      <c r="U4531" s="17"/>
      <c r="V4531" s="18">
        <v>0</v>
      </c>
      <c r="W4531" s="17">
        <f t="shared" si="138"/>
        <v>0</v>
      </c>
    </row>
    <row r="4532" spans="1:23" x14ac:dyDescent="0.25">
      <c r="A4532" s="17"/>
      <c r="B4532" s="17"/>
      <c r="C4532" s="17"/>
      <c r="D4532" s="17"/>
      <c r="E4532" s="17"/>
      <c r="F4532" s="17"/>
      <c r="G4532" s="17"/>
      <c r="H4532" s="17"/>
      <c r="I4532" s="17"/>
      <c r="J4532" s="17"/>
      <c r="K4532" s="17"/>
      <c r="L4532" s="17"/>
      <c r="M4532" s="17"/>
      <c r="N4532" s="17"/>
      <c r="O4532" s="17"/>
      <c r="P4532" s="17"/>
      <c r="Q4532" s="17"/>
      <c r="R4532" s="17"/>
      <c r="S4532" s="17"/>
      <c r="T4532" s="17"/>
      <c r="U4532" s="17"/>
      <c r="V4532" s="18">
        <v>0</v>
      </c>
      <c r="W4532" s="17">
        <f t="shared" si="138"/>
        <v>0</v>
      </c>
    </row>
    <row r="4533" spans="1:23" x14ac:dyDescent="0.25">
      <c r="A4533" s="17"/>
      <c r="B4533" s="17"/>
      <c r="C4533" s="17"/>
      <c r="D4533" s="17"/>
      <c r="E4533" s="17"/>
      <c r="F4533" s="17"/>
      <c r="G4533" s="17"/>
      <c r="H4533" s="17"/>
      <c r="I4533" s="17"/>
      <c r="J4533" s="17"/>
      <c r="K4533" s="17"/>
      <c r="L4533" s="17"/>
      <c r="M4533" s="17"/>
      <c r="N4533" s="17"/>
      <c r="O4533" s="17"/>
      <c r="P4533" s="17"/>
      <c r="Q4533" s="17"/>
      <c r="R4533" s="17"/>
      <c r="S4533" s="17"/>
      <c r="T4533" s="17"/>
      <c r="U4533" s="17"/>
      <c r="V4533" s="18">
        <v>0</v>
      </c>
      <c r="W4533" s="17">
        <f t="shared" si="138"/>
        <v>0</v>
      </c>
    </row>
    <row r="4534" spans="1:23" x14ac:dyDescent="0.25">
      <c r="A4534" s="17"/>
      <c r="B4534" s="17"/>
      <c r="C4534" s="17"/>
      <c r="D4534" s="17"/>
      <c r="E4534" s="17"/>
      <c r="F4534" s="17"/>
      <c r="G4534" s="17"/>
      <c r="H4534" s="17"/>
      <c r="I4534" s="17"/>
      <c r="J4534" s="17"/>
      <c r="K4534" s="17"/>
      <c r="L4534" s="17"/>
      <c r="M4534" s="17"/>
      <c r="N4534" s="17"/>
      <c r="O4534" s="17"/>
      <c r="P4534" s="17"/>
      <c r="Q4534" s="17"/>
      <c r="R4534" s="17"/>
      <c r="S4534" s="17"/>
      <c r="T4534" s="17"/>
      <c r="U4534" s="17"/>
      <c r="V4534" s="18">
        <v>0</v>
      </c>
      <c r="W4534" s="17">
        <f t="shared" si="138"/>
        <v>0</v>
      </c>
    </row>
    <row r="4535" spans="1:23" x14ac:dyDescent="0.25">
      <c r="A4535" s="17"/>
      <c r="B4535" s="17"/>
      <c r="C4535" s="17"/>
      <c r="D4535" s="17"/>
      <c r="E4535" s="17"/>
      <c r="F4535" s="17"/>
      <c r="G4535" s="17"/>
      <c r="H4535" s="17"/>
      <c r="I4535" s="17"/>
      <c r="J4535" s="17"/>
      <c r="K4535" s="17"/>
      <c r="L4535" s="17"/>
      <c r="M4535" s="17"/>
      <c r="N4535" s="17"/>
      <c r="O4535" s="17"/>
      <c r="P4535" s="17"/>
      <c r="Q4535" s="17"/>
      <c r="R4535" s="17"/>
      <c r="S4535" s="17"/>
      <c r="T4535" s="17"/>
      <c r="U4535" s="17"/>
      <c r="V4535" s="18">
        <v>0</v>
      </c>
      <c r="W4535" s="17">
        <f t="shared" si="138"/>
        <v>0</v>
      </c>
    </row>
    <row r="4536" spans="1:23" x14ac:dyDescent="0.25">
      <c r="A4536" s="17"/>
      <c r="B4536" s="17"/>
      <c r="C4536" s="17"/>
      <c r="D4536" s="17"/>
      <c r="E4536" s="17"/>
      <c r="F4536" s="17"/>
      <c r="G4536" s="17"/>
      <c r="H4536" s="17"/>
      <c r="I4536" s="17"/>
      <c r="J4536" s="17"/>
      <c r="K4536" s="17"/>
      <c r="L4536" s="17"/>
      <c r="M4536" s="17"/>
      <c r="N4536" s="17"/>
      <c r="O4536" s="17"/>
      <c r="P4536" s="17"/>
      <c r="Q4536" s="17"/>
      <c r="R4536" s="17"/>
      <c r="S4536" s="17"/>
      <c r="T4536" s="17"/>
      <c r="U4536" s="17"/>
      <c r="V4536" s="18">
        <v>0</v>
      </c>
      <c r="W4536" s="17">
        <f t="shared" si="138"/>
        <v>0</v>
      </c>
    </row>
    <row r="4537" spans="1:23" x14ac:dyDescent="0.25">
      <c r="A4537" s="17"/>
      <c r="B4537" s="17"/>
      <c r="C4537" s="17"/>
      <c r="D4537" s="17"/>
      <c r="E4537" s="17"/>
      <c r="F4537" s="17"/>
      <c r="G4537" s="17"/>
      <c r="H4537" s="17"/>
      <c r="I4537" s="17"/>
      <c r="J4537" s="17"/>
      <c r="K4537" s="17"/>
      <c r="L4537" s="17"/>
      <c r="M4537" s="17"/>
      <c r="N4537" s="17"/>
      <c r="O4537" s="17"/>
      <c r="P4537" s="17"/>
      <c r="Q4537" s="17"/>
      <c r="R4537" s="17"/>
      <c r="S4537" s="17"/>
      <c r="T4537" s="17"/>
      <c r="U4537" s="17"/>
      <c r="V4537" s="18">
        <v>0</v>
      </c>
      <c r="W4537" s="17">
        <f t="shared" si="138"/>
        <v>0</v>
      </c>
    </row>
    <row r="4538" spans="1:23" x14ac:dyDescent="0.25">
      <c r="A4538" s="17"/>
      <c r="B4538" s="17"/>
      <c r="C4538" s="17"/>
      <c r="D4538" s="17"/>
      <c r="E4538" s="17"/>
      <c r="F4538" s="17"/>
      <c r="G4538" s="17"/>
      <c r="H4538" s="17"/>
      <c r="I4538" s="17"/>
      <c r="J4538" s="17"/>
      <c r="K4538" s="17"/>
      <c r="L4538" s="17"/>
      <c r="M4538" s="17"/>
      <c r="N4538" s="17"/>
      <c r="O4538" s="17"/>
      <c r="P4538" s="17"/>
      <c r="Q4538" s="17"/>
      <c r="R4538" s="17"/>
      <c r="S4538" s="17"/>
      <c r="T4538" s="17"/>
      <c r="U4538" s="17"/>
      <c r="V4538" s="18">
        <v>0</v>
      </c>
      <c r="W4538" s="17">
        <f t="shared" si="138"/>
        <v>0</v>
      </c>
    </row>
    <row r="4539" spans="1:23" x14ac:dyDescent="0.25">
      <c r="A4539" s="17"/>
      <c r="B4539" s="17"/>
      <c r="C4539" s="17"/>
      <c r="D4539" s="17"/>
      <c r="E4539" s="17"/>
      <c r="F4539" s="17"/>
      <c r="G4539" s="17"/>
      <c r="H4539" s="17"/>
      <c r="I4539" s="17"/>
      <c r="J4539" s="17"/>
      <c r="K4539" s="17"/>
      <c r="L4539" s="17"/>
      <c r="M4539" s="17"/>
      <c r="N4539" s="17"/>
      <c r="O4539" s="17"/>
      <c r="P4539" s="17"/>
      <c r="Q4539" s="17"/>
      <c r="R4539" s="17"/>
      <c r="S4539" s="17"/>
      <c r="T4539" s="17"/>
      <c r="U4539" s="17"/>
      <c r="V4539" s="18">
        <v>0</v>
      </c>
      <c r="W4539" s="17">
        <f t="shared" si="138"/>
        <v>0</v>
      </c>
    </row>
    <row r="4540" spans="1:23" x14ac:dyDescent="0.25">
      <c r="A4540" s="17"/>
      <c r="B4540" s="17"/>
      <c r="C4540" s="17"/>
      <c r="D4540" s="17"/>
      <c r="E4540" s="17"/>
      <c r="F4540" s="17"/>
      <c r="G4540" s="17"/>
      <c r="H4540" s="17"/>
      <c r="I4540" s="17"/>
      <c r="J4540" s="17"/>
      <c r="K4540" s="17"/>
      <c r="L4540" s="17"/>
      <c r="M4540" s="17"/>
      <c r="N4540" s="17"/>
      <c r="O4540" s="17"/>
      <c r="P4540" s="17"/>
      <c r="Q4540" s="17"/>
      <c r="R4540" s="17"/>
      <c r="S4540" s="17"/>
      <c r="T4540" s="17"/>
      <c r="U4540" s="17"/>
      <c r="V4540" s="18">
        <v>0</v>
      </c>
      <c r="W4540" s="17">
        <f t="shared" si="138"/>
        <v>0</v>
      </c>
    </row>
    <row r="4541" spans="1:23" x14ac:dyDescent="0.25">
      <c r="A4541" s="17"/>
      <c r="B4541" s="17"/>
      <c r="C4541" s="17"/>
      <c r="D4541" s="17"/>
      <c r="E4541" s="17"/>
      <c r="F4541" s="17"/>
      <c r="G4541" s="17"/>
      <c r="H4541" s="17"/>
      <c r="I4541" s="17"/>
      <c r="J4541" s="17"/>
      <c r="K4541" s="17"/>
      <c r="L4541" s="17"/>
      <c r="M4541" s="17"/>
      <c r="N4541" s="17"/>
      <c r="O4541" s="17"/>
      <c r="P4541" s="17"/>
      <c r="Q4541" s="17"/>
      <c r="R4541" s="17"/>
      <c r="S4541" s="17"/>
      <c r="T4541" s="17"/>
      <c r="U4541" s="17"/>
      <c r="V4541" s="18">
        <v>0</v>
      </c>
      <c r="W4541" s="17">
        <f t="shared" si="138"/>
        <v>0</v>
      </c>
    </row>
    <row r="4542" spans="1:23" x14ac:dyDescent="0.25">
      <c r="A4542" s="17"/>
      <c r="B4542" s="17"/>
      <c r="C4542" s="17"/>
      <c r="D4542" s="17"/>
      <c r="E4542" s="17"/>
      <c r="F4542" s="17"/>
      <c r="G4542" s="17"/>
      <c r="H4542" s="17"/>
      <c r="I4542" s="17"/>
      <c r="J4542" s="17"/>
      <c r="K4542" s="17"/>
      <c r="L4542" s="17"/>
      <c r="M4542" s="17"/>
      <c r="N4542" s="17"/>
      <c r="O4542" s="17"/>
      <c r="P4542" s="17"/>
      <c r="Q4542" s="17"/>
      <c r="R4542" s="17"/>
      <c r="S4542" s="17"/>
      <c r="T4542" s="17"/>
      <c r="U4542" s="17"/>
      <c r="V4542" s="18">
        <v>0</v>
      </c>
      <c r="W4542" s="17">
        <f t="shared" si="138"/>
        <v>0</v>
      </c>
    </row>
    <row r="4543" spans="1:23" x14ac:dyDescent="0.25">
      <c r="A4543" s="17"/>
      <c r="B4543" s="17"/>
      <c r="C4543" s="17"/>
      <c r="D4543" s="17"/>
      <c r="E4543" s="17"/>
      <c r="F4543" s="17"/>
      <c r="G4543" s="17"/>
      <c r="H4543" s="17"/>
      <c r="I4543" s="17"/>
      <c r="J4543" s="17"/>
      <c r="K4543" s="17"/>
      <c r="L4543" s="17"/>
      <c r="M4543" s="17"/>
      <c r="N4543" s="17"/>
      <c r="O4543" s="17"/>
      <c r="P4543" s="17"/>
      <c r="Q4543" s="17"/>
      <c r="R4543" s="17"/>
      <c r="S4543" s="17"/>
      <c r="T4543" s="17"/>
      <c r="U4543" s="17"/>
      <c r="V4543" s="18">
        <v>0</v>
      </c>
      <c r="W4543" s="17">
        <f t="shared" si="138"/>
        <v>0</v>
      </c>
    </row>
    <row r="4544" spans="1:23" x14ac:dyDescent="0.25">
      <c r="A4544" s="17"/>
      <c r="B4544" s="17"/>
      <c r="C4544" s="17"/>
      <c r="D4544" s="17"/>
      <c r="E4544" s="17"/>
      <c r="F4544" s="17"/>
      <c r="G4544" s="17"/>
      <c r="H4544" s="17"/>
      <c r="I4544" s="17"/>
      <c r="J4544" s="17"/>
      <c r="K4544" s="17"/>
      <c r="L4544" s="17"/>
      <c r="M4544" s="17"/>
      <c r="N4544" s="17"/>
      <c r="O4544" s="17"/>
      <c r="P4544" s="17"/>
      <c r="Q4544" s="17"/>
      <c r="R4544" s="17"/>
      <c r="S4544" s="17"/>
      <c r="T4544" s="17"/>
      <c r="U4544" s="17"/>
      <c r="V4544" s="18">
        <v>0</v>
      </c>
      <c r="W4544" s="17">
        <f t="shared" si="138"/>
        <v>0</v>
      </c>
    </row>
    <row r="4545" spans="1:23" x14ac:dyDescent="0.25">
      <c r="A4545" s="17"/>
      <c r="B4545" s="17"/>
      <c r="C4545" s="17"/>
      <c r="D4545" s="17"/>
      <c r="E4545" s="17"/>
      <c r="F4545" s="17"/>
      <c r="G4545" s="17"/>
      <c r="H4545" s="17"/>
      <c r="I4545" s="17"/>
      <c r="J4545" s="17"/>
      <c r="K4545" s="17"/>
      <c r="L4545" s="17"/>
      <c r="M4545" s="17"/>
      <c r="N4545" s="17"/>
      <c r="O4545" s="17"/>
      <c r="P4545" s="17"/>
      <c r="Q4545" s="17"/>
      <c r="R4545" s="17"/>
      <c r="S4545" s="17"/>
      <c r="T4545" s="17"/>
      <c r="U4545" s="17"/>
      <c r="V4545" s="18">
        <v>0</v>
      </c>
      <c r="W4545" s="17">
        <f t="shared" si="138"/>
        <v>0</v>
      </c>
    </row>
    <row r="4546" spans="1:23" x14ac:dyDescent="0.25">
      <c r="A4546" s="17"/>
      <c r="B4546" s="17"/>
      <c r="C4546" s="17"/>
      <c r="D4546" s="17"/>
      <c r="E4546" s="17"/>
      <c r="F4546" s="17"/>
      <c r="G4546" s="17"/>
      <c r="H4546" s="17"/>
      <c r="I4546" s="17"/>
      <c r="J4546" s="17"/>
      <c r="K4546" s="17"/>
      <c r="L4546" s="17"/>
      <c r="M4546" s="17"/>
      <c r="N4546" s="17"/>
      <c r="O4546" s="17"/>
      <c r="P4546" s="17"/>
      <c r="Q4546" s="17"/>
      <c r="R4546" s="17"/>
      <c r="S4546" s="17"/>
      <c r="T4546" s="17"/>
      <c r="U4546" s="17"/>
      <c r="V4546" s="18">
        <v>0</v>
      </c>
      <c r="W4546" s="17">
        <f t="shared" si="138"/>
        <v>0</v>
      </c>
    </row>
    <row r="4547" spans="1:23" x14ac:dyDescent="0.25">
      <c r="A4547" s="17"/>
      <c r="B4547" s="17"/>
      <c r="C4547" s="17"/>
      <c r="D4547" s="17"/>
      <c r="E4547" s="17"/>
      <c r="F4547" s="17"/>
      <c r="G4547" s="17"/>
      <c r="H4547" s="17"/>
      <c r="I4547" s="17"/>
      <c r="J4547" s="17"/>
      <c r="K4547" s="17"/>
      <c r="L4547" s="17"/>
      <c r="M4547" s="17"/>
      <c r="N4547" s="17"/>
      <c r="O4547" s="17"/>
      <c r="P4547" s="17"/>
      <c r="Q4547" s="17"/>
      <c r="R4547" s="17"/>
      <c r="S4547" s="17"/>
      <c r="T4547" s="17"/>
      <c r="U4547" s="17"/>
      <c r="V4547" s="18">
        <v>0</v>
      </c>
      <c r="W4547" s="17">
        <f t="shared" ref="W4547:W4610" si="139">HOUR(E4547)</f>
        <v>0</v>
      </c>
    </row>
    <row r="4548" spans="1:23" x14ac:dyDescent="0.25">
      <c r="A4548" s="17"/>
      <c r="B4548" s="17"/>
      <c r="C4548" s="17"/>
      <c r="D4548" s="17"/>
      <c r="E4548" s="17"/>
      <c r="F4548" s="17"/>
      <c r="G4548" s="17"/>
      <c r="H4548" s="17"/>
      <c r="I4548" s="17"/>
      <c r="J4548" s="17"/>
      <c r="K4548" s="17"/>
      <c r="L4548" s="17"/>
      <c r="M4548" s="17"/>
      <c r="N4548" s="17"/>
      <c r="O4548" s="17"/>
      <c r="P4548" s="17"/>
      <c r="Q4548" s="17"/>
      <c r="R4548" s="17"/>
      <c r="S4548" s="17"/>
      <c r="T4548" s="17"/>
      <c r="U4548" s="17"/>
      <c r="V4548" s="18">
        <v>0</v>
      </c>
      <c r="W4548" s="17">
        <f t="shared" si="139"/>
        <v>0</v>
      </c>
    </row>
    <row r="4549" spans="1:23" x14ac:dyDescent="0.25">
      <c r="A4549" s="17"/>
      <c r="B4549" s="17"/>
      <c r="C4549" s="17"/>
      <c r="D4549" s="17"/>
      <c r="E4549" s="17"/>
      <c r="F4549" s="17"/>
      <c r="G4549" s="17"/>
      <c r="H4549" s="17"/>
      <c r="I4549" s="17"/>
      <c r="J4549" s="17"/>
      <c r="K4549" s="17"/>
      <c r="L4549" s="17"/>
      <c r="M4549" s="17"/>
      <c r="N4549" s="17"/>
      <c r="O4549" s="17"/>
      <c r="P4549" s="17"/>
      <c r="Q4549" s="17"/>
      <c r="R4549" s="17"/>
      <c r="S4549" s="17"/>
      <c r="T4549" s="17"/>
      <c r="U4549" s="17"/>
      <c r="V4549" s="18">
        <v>0</v>
      </c>
      <c r="W4549" s="17">
        <f t="shared" si="139"/>
        <v>0</v>
      </c>
    </row>
    <row r="4550" spans="1:23" x14ac:dyDescent="0.25">
      <c r="A4550" s="17"/>
      <c r="B4550" s="17"/>
      <c r="C4550" s="17"/>
      <c r="D4550" s="17"/>
      <c r="E4550" s="17"/>
      <c r="F4550" s="17"/>
      <c r="G4550" s="17"/>
      <c r="H4550" s="17"/>
      <c r="I4550" s="17"/>
      <c r="J4550" s="17"/>
      <c r="K4550" s="17"/>
      <c r="L4550" s="17"/>
      <c r="M4550" s="17"/>
      <c r="N4550" s="17"/>
      <c r="O4550" s="17"/>
      <c r="P4550" s="17"/>
      <c r="Q4550" s="17"/>
      <c r="R4550" s="17"/>
      <c r="S4550" s="17"/>
      <c r="T4550" s="17"/>
      <c r="U4550" s="17"/>
      <c r="V4550" s="18">
        <v>0</v>
      </c>
      <c r="W4550" s="17">
        <f t="shared" si="139"/>
        <v>0</v>
      </c>
    </row>
    <row r="4551" spans="1:23" x14ac:dyDescent="0.25">
      <c r="A4551" s="17"/>
      <c r="B4551" s="17"/>
      <c r="C4551" s="17"/>
      <c r="D4551" s="17"/>
      <c r="E4551" s="17"/>
      <c r="F4551" s="17"/>
      <c r="G4551" s="17"/>
      <c r="H4551" s="17"/>
      <c r="I4551" s="17"/>
      <c r="J4551" s="17"/>
      <c r="K4551" s="17"/>
      <c r="L4551" s="17"/>
      <c r="M4551" s="17"/>
      <c r="N4551" s="17"/>
      <c r="O4551" s="17"/>
      <c r="P4551" s="17"/>
      <c r="Q4551" s="17"/>
      <c r="R4551" s="17"/>
      <c r="S4551" s="17"/>
      <c r="T4551" s="17"/>
      <c r="U4551" s="17"/>
      <c r="V4551" s="18">
        <v>0</v>
      </c>
      <c r="W4551" s="17">
        <f t="shared" si="139"/>
        <v>0</v>
      </c>
    </row>
    <row r="4552" spans="1:23" x14ac:dyDescent="0.25">
      <c r="A4552" s="17"/>
      <c r="B4552" s="17"/>
      <c r="C4552" s="17"/>
      <c r="D4552" s="17"/>
      <c r="E4552" s="17"/>
      <c r="F4552" s="17"/>
      <c r="G4552" s="17"/>
      <c r="H4552" s="17"/>
      <c r="I4552" s="17"/>
      <c r="J4552" s="17"/>
      <c r="K4552" s="17"/>
      <c r="L4552" s="17"/>
      <c r="M4552" s="17"/>
      <c r="N4552" s="17"/>
      <c r="O4552" s="17"/>
      <c r="P4552" s="17"/>
      <c r="Q4552" s="17"/>
      <c r="R4552" s="17"/>
      <c r="S4552" s="17"/>
      <c r="T4552" s="17"/>
      <c r="U4552" s="17"/>
      <c r="V4552" s="18">
        <v>0</v>
      </c>
      <c r="W4552" s="17">
        <f t="shared" si="139"/>
        <v>0</v>
      </c>
    </row>
    <row r="4553" spans="1:23" x14ac:dyDescent="0.25">
      <c r="A4553" s="17"/>
      <c r="B4553" s="17"/>
      <c r="C4553" s="17"/>
      <c r="D4553" s="17"/>
      <c r="E4553" s="17"/>
      <c r="F4553" s="17"/>
      <c r="G4553" s="17"/>
      <c r="H4553" s="17"/>
      <c r="I4553" s="17"/>
      <c r="J4553" s="17"/>
      <c r="K4553" s="17"/>
      <c r="L4553" s="17"/>
      <c r="M4553" s="17"/>
      <c r="N4553" s="17"/>
      <c r="O4553" s="17"/>
      <c r="P4553" s="17"/>
      <c r="Q4553" s="17"/>
      <c r="R4553" s="17"/>
      <c r="S4553" s="17"/>
      <c r="T4553" s="17"/>
      <c r="U4553" s="17"/>
      <c r="V4553" s="18">
        <v>0</v>
      </c>
      <c r="W4553" s="17">
        <f t="shared" si="139"/>
        <v>0</v>
      </c>
    </row>
    <row r="4554" spans="1:23" x14ac:dyDescent="0.25">
      <c r="A4554" s="17"/>
      <c r="B4554" s="17"/>
      <c r="C4554" s="17"/>
      <c r="D4554" s="17"/>
      <c r="E4554" s="17"/>
      <c r="F4554" s="17"/>
      <c r="G4554" s="17"/>
      <c r="H4554" s="17"/>
      <c r="I4554" s="17"/>
      <c r="J4554" s="17"/>
      <c r="K4554" s="17"/>
      <c r="L4554" s="17"/>
      <c r="M4554" s="17"/>
      <c r="N4554" s="17"/>
      <c r="O4554" s="17"/>
      <c r="P4554" s="17"/>
      <c r="Q4554" s="17"/>
      <c r="R4554" s="17"/>
      <c r="S4554" s="17"/>
      <c r="T4554" s="17"/>
      <c r="U4554" s="17"/>
      <c r="V4554" s="18">
        <v>0</v>
      </c>
      <c r="W4554" s="17">
        <f t="shared" si="139"/>
        <v>0</v>
      </c>
    </row>
    <row r="4555" spans="1:23" x14ac:dyDescent="0.25">
      <c r="A4555" s="17"/>
      <c r="B4555" s="17"/>
      <c r="C4555" s="17"/>
      <c r="D4555" s="17"/>
      <c r="E4555" s="17"/>
      <c r="F4555" s="17"/>
      <c r="G4555" s="17"/>
      <c r="H4555" s="17"/>
      <c r="I4555" s="17"/>
      <c r="J4555" s="17"/>
      <c r="K4555" s="17"/>
      <c r="L4555" s="17"/>
      <c r="M4555" s="17"/>
      <c r="N4555" s="17"/>
      <c r="O4555" s="17"/>
      <c r="P4555" s="17"/>
      <c r="Q4555" s="17"/>
      <c r="R4555" s="17"/>
      <c r="S4555" s="17"/>
      <c r="T4555" s="17"/>
      <c r="U4555" s="17"/>
      <c r="V4555" s="18">
        <v>0</v>
      </c>
      <c r="W4555" s="17">
        <f t="shared" si="139"/>
        <v>0</v>
      </c>
    </row>
    <row r="4556" spans="1:23" x14ac:dyDescent="0.25">
      <c r="A4556" s="17"/>
      <c r="B4556" s="17"/>
      <c r="C4556" s="17"/>
      <c r="D4556" s="17"/>
      <c r="E4556" s="17"/>
      <c r="F4556" s="17"/>
      <c r="G4556" s="17"/>
      <c r="H4556" s="17"/>
      <c r="I4556" s="17"/>
      <c r="J4556" s="17"/>
      <c r="K4556" s="17"/>
      <c r="L4556" s="17"/>
      <c r="M4556" s="17"/>
      <c r="N4556" s="17"/>
      <c r="O4556" s="17"/>
      <c r="P4556" s="17"/>
      <c r="Q4556" s="17"/>
      <c r="R4556" s="17"/>
      <c r="S4556" s="17"/>
      <c r="T4556" s="17"/>
      <c r="U4556" s="17"/>
      <c r="V4556" s="18">
        <v>0</v>
      </c>
      <c r="W4556" s="17">
        <f t="shared" si="139"/>
        <v>0</v>
      </c>
    </row>
    <row r="4557" spans="1:23" x14ac:dyDescent="0.25">
      <c r="A4557" s="17"/>
      <c r="B4557" s="17"/>
      <c r="C4557" s="17"/>
      <c r="D4557" s="17"/>
      <c r="E4557" s="17"/>
      <c r="F4557" s="17"/>
      <c r="G4557" s="17"/>
      <c r="H4557" s="17"/>
      <c r="I4557" s="17"/>
      <c r="J4557" s="17"/>
      <c r="K4557" s="17"/>
      <c r="L4557" s="17"/>
      <c r="M4557" s="17"/>
      <c r="N4557" s="17"/>
      <c r="O4557" s="17"/>
      <c r="P4557" s="17"/>
      <c r="Q4557" s="17"/>
      <c r="R4557" s="17"/>
      <c r="S4557" s="17"/>
      <c r="T4557" s="17"/>
      <c r="U4557" s="17"/>
      <c r="V4557" s="18">
        <v>0</v>
      </c>
      <c r="W4557" s="17">
        <f t="shared" si="139"/>
        <v>0</v>
      </c>
    </row>
    <row r="4558" spans="1:23" x14ac:dyDescent="0.25">
      <c r="A4558" s="17"/>
      <c r="B4558" s="17"/>
      <c r="C4558" s="17"/>
      <c r="D4558" s="17"/>
      <c r="E4558" s="17"/>
      <c r="F4558" s="17"/>
      <c r="G4558" s="17"/>
      <c r="H4558" s="17"/>
      <c r="I4558" s="17"/>
      <c r="J4558" s="17"/>
      <c r="K4558" s="17"/>
      <c r="L4558" s="17"/>
      <c r="M4558" s="17"/>
      <c r="N4558" s="17"/>
      <c r="O4558" s="17"/>
      <c r="P4558" s="17"/>
      <c r="Q4558" s="17"/>
      <c r="R4558" s="17"/>
      <c r="S4558" s="17"/>
      <c r="T4558" s="17"/>
      <c r="U4558" s="17"/>
      <c r="V4558" s="18">
        <v>0</v>
      </c>
      <c r="W4558" s="17">
        <f t="shared" si="139"/>
        <v>0</v>
      </c>
    </row>
    <row r="4559" spans="1:23" x14ac:dyDescent="0.25">
      <c r="A4559" s="17"/>
      <c r="B4559" s="17"/>
      <c r="C4559" s="17"/>
      <c r="D4559" s="17"/>
      <c r="E4559" s="17"/>
      <c r="F4559" s="17"/>
      <c r="G4559" s="17"/>
      <c r="H4559" s="17"/>
      <c r="I4559" s="17"/>
      <c r="J4559" s="17"/>
      <c r="K4559" s="17"/>
      <c r="L4559" s="17"/>
      <c r="M4559" s="17"/>
      <c r="N4559" s="17"/>
      <c r="O4559" s="17"/>
      <c r="P4559" s="17"/>
      <c r="Q4559" s="17"/>
      <c r="R4559" s="17"/>
      <c r="S4559" s="17"/>
      <c r="T4559" s="17"/>
      <c r="U4559" s="17"/>
      <c r="V4559" s="18">
        <v>0</v>
      </c>
      <c r="W4559" s="17">
        <f t="shared" si="139"/>
        <v>0</v>
      </c>
    </row>
    <row r="4560" spans="1:23" x14ac:dyDescent="0.25">
      <c r="A4560" s="17"/>
      <c r="B4560" s="17"/>
      <c r="C4560" s="17"/>
      <c r="D4560" s="17"/>
      <c r="E4560" s="17"/>
      <c r="F4560" s="17"/>
      <c r="G4560" s="17"/>
      <c r="H4560" s="17"/>
      <c r="I4560" s="17"/>
      <c r="J4560" s="17"/>
      <c r="K4560" s="17"/>
      <c r="L4560" s="17"/>
      <c r="M4560" s="17"/>
      <c r="N4560" s="17"/>
      <c r="O4560" s="17"/>
      <c r="P4560" s="17"/>
      <c r="Q4560" s="17"/>
      <c r="R4560" s="17"/>
      <c r="S4560" s="17"/>
      <c r="T4560" s="17"/>
      <c r="U4560" s="17"/>
      <c r="V4560" s="18">
        <v>0</v>
      </c>
      <c r="W4560" s="17">
        <f t="shared" si="139"/>
        <v>0</v>
      </c>
    </row>
    <row r="4561" spans="1:23" x14ac:dyDescent="0.25">
      <c r="A4561" s="17"/>
      <c r="B4561" s="17"/>
      <c r="C4561" s="17"/>
      <c r="D4561" s="17"/>
      <c r="E4561" s="17"/>
      <c r="F4561" s="17"/>
      <c r="G4561" s="17"/>
      <c r="H4561" s="17"/>
      <c r="I4561" s="17"/>
      <c r="J4561" s="17"/>
      <c r="K4561" s="17"/>
      <c r="L4561" s="17"/>
      <c r="M4561" s="17"/>
      <c r="N4561" s="17"/>
      <c r="O4561" s="17"/>
      <c r="P4561" s="17"/>
      <c r="Q4561" s="17"/>
      <c r="R4561" s="17"/>
      <c r="S4561" s="17"/>
      <c r="T4561" s="17"/>
      <c r="U4561" s="17"/>
      <c r="V4561" s="18">
        <v>0</v>
      </c>
      <c r="W4561" s="17">
        <f t="shared" si="139"/>
        <v>0</v>
      </c>
    </row>
    <row r="4562" spans="1:23" x14ac:dyDescent="0.25">
      <c r="A4562" s="17"/>
      <c r="B4562" s="17"/>
      <c r="C4562" s="17"/>
      <c r="D4562" s="17"/>
      <c r="E4562" s="17"/>
      <c r="F4562" s="17"/>
      <c r="G4562" s="17"/>
      <c r="H4562" s="17"/>
      <c r="I4562" s="17"/>
      <c r="J4562" s="17"/>
      <c r="K4562" s="17"/>
      <c r="L4562" s="17"/>
      <c r="M4562" s="17"/>
      <c r="N4562" s="17"/>
      <c r="O4562" s="17"/>
      <c r="P4562" s="17"/>
      <c r="Q4562" s="17"/>
      <c r="R4562" s="17"/>
      <c r="S4562" s="17"/>
      <c r="T4562" s="17"/>
      <c r="U4562" s="17"/>
      <c r="V4562" s="18">
        <v>0</v>
      </c>
      <c r="W4562" s="17">
        <f t="shared" si="139"/>
        <v>0</v>
      </c>
    </row>
    <row r="4563" spans="1:23" x14ac:dyDescent="0.25">
      <c r="A4563" s="17"/>
      <c r="B4563" s="17"/>
      <c r="C4563" s="17"/>
      <c r="D4563" s="17"/>
      <c r="E4563" s="17"/>
      <c r="F4563" s="17"/>
      <c r="G4563" s="17"/>
      <c r="H4563" s="17"/>
      <c r="I4563" s="17"/>
      <c r="J4563" s="17"/>
      <c r="K4563" s="17"/>
      <c r="L4563" s="17"/>
      <c r="M4563" s="17"/>
      <c r="N4563" s="17"/>
      <c r="O4563" s="17"/>
      <c r="P4563" s="17"/>
      <c r="Q4563" s="17"/>
      <c r="R4563" s="17"/>
      <c r="S4563" s="17"/>
      <c r="T4563" s="17"/>
      <c r="U4563" s="17"/>
      <c r="V4563" s="18">
        <v>0</v>
      </c>
      <c r="W4563" s="17">
        <f t="shared" si="139"/>
        <v>0</v>
      </c>
    </row>
    <row r="4564" spans="1:23" x14ac:dyDescent="0.25">
      <c r="A4564" s="17"/>
      <c r="B4564" s="17"/>
      <c r="C4564" s="17"/>
      <c r="D4564" s="17"/>
      <c r="E4564" s="17"/>
      <c r="F4564" s="17"/>
      <c r="G4564" s="17"/>
      <c r="H4564" s="17"/>
      <c r="I4564" s="17"/>
      <c r="J4564" s="17"/>
      <c r="K4564" s="17"/>
      <c r="L4564" s="17"/>
      <c r="M4564" s="17"/>
      <c r="N4564" s="17"/>
      <c r="O4564" s="17"/>
      <c r="P4564" s="17"/>
      <c r="Q4564" s="17"/>
      <c r="R4564" s="17"/>
      <c r="S4564" s="17"/>
      <c r="T4564" s="17"/>
      <c r="U4564" s="17"/>
      <c r="V4564" s="18">
        <v>0</v>
      </c>
      <c r="W4564" s="17">
        <f t="shared" si="139"/>
        <v>0</v>
      </c>
    </row>
    <row r="4565" spans="1:23" x14ac:dyDescent="0.25">
      <c r="A4565" s="17"/>
      <c r="B4565" s="17"/>
      <c r="C4565" s="17"/>
      <c r="D4565" s="17"/>
      <c r="E4565" s="17"/>
      <c r="F4565" s="17"/>
      <c r="G4565" s="17"/>
      <c r="H4565" s="17"/>
      <c r="I4565" s="17"/>
      <c r="J4565" s="17"/>
      <c r="K4565" s="17"/>
      <c r="L4565" s="17"/>
      <c r="M4565" s="17"/>
      <c r="N4565" s="17"/>
      <c r="O4565" s="17"/>
      <c r="P4565" s="17"/>
      <c r="Q4565" s="17"/>
      <c r="R4565" s="17"/>
      <c r="S4565" s="17"/>
      <c r="T4565" s="17"/>
      <c r="U4565" s="17"/>
      <c r="V4565" s="18">
        <v>0</v>
      </c>
      <c r="W4565" s="17">
        <f t="shared" si="139"/>
        <v>0</v>
      </c>
    </row>
    <row r="4566" spans="1:23" x14ac:dyDescent="0.25">
      <c r="A4566" s="17"/>
      <c r="B4566" s="17"/>
      <c r="C4566" s="17"/>
      <c r="D4566" s="17"/>
      <c r="E4566" s="17"/>
      <c r="F4566" s="17"/>
      <c r="G4566" s="17"/>
      <c r="H4566" s="17"/>
      <c r="I4566" s="17"/>
      <c r="J4566" s="17"/>
      <c r="K4566" s="17"/>
      <c r="L4566" s="17"/>
      <c r="M4566" s="17"/>
      <c r="N4566" s="17"/>
      <c r="O4566" s="17"/>
      <c r="P4566" s="17"/>
      <c r="Q4566" s="17"/>
      <c r="R4566" s="17"/>
      <c r="S4566" s="17"/>
      <c r="T4566" s="17"/>
      <c r="U4566" s="17"/>
      <c r="V4566" s="18">
        <v>0</v>
      </c>
      <c r="W4566" s="17">
        <f t="shared" si="139"/>
        <v>0</v>
      </c>
    </row>
    <row r="4567" spans="1:23" x14ac:dyDescent="0.25">
      <c r="A4567" s="17"/>
      <c r="B4567" s="17"/>
      <c r="C4567" s="17"/>
      <c r="D4567" s="17"/>
      <c r="E4567" s="17"/>
      <c r="F4567" s="17"/>
      <c r="G4567" s="17"/>
      <c r="H4567" s="17"/>
      <c r="I4567" s="17"/>
      <c r="J4567" s="17"/>
      <c r="K4567" s="17"/>
      <c r="L4567" s="17"/>
      <c r="M4567" s="17"/>
      <c r="N4567" s="17"/>
      <c r="O4567" s="17"/>
      <c r="P4567" s="17"/>
      <c r="Q4567" s="17"/>
      <c r="R4567" s="17"/>
      <c r="S4567" s="17"/>
      <c r="T4567" s="17"/>
      <c r="U4567" s="17"/>
      <c r="V4567" s="18">
        <v>0</v>
      </c>
      <c r="W4567" s="17">
        <f t="shared" si="139"/>
        <v>0</v>
      </c>
    </row>
    <row r="4568" spans="1:23" x14ac:dyDescent="0.25">
      <c r="A4568" s="17"/>
      <c r="B4568" s="17"/>
      <c r="C4568" s="17"/>
      <c r="D4568" s="17"/>
      <c r="E4568" s="17"/>
      <c r="F4568" s="17"/>
      <c r="G4568" s="17"/>
      <c r="H4568" s="17"/>
      <c r="I4568" s="17"/>
      <c r="J4568" s="17"/>
      <c r="K4568" s="17"/>
      <c r="L4568" s="17"/>
      <c r="M4568" s="17"/>
      <c r="N4568" s="17"/>
      <c r="O4568" s="17"/>
      <c r="P4568" s="17"/>
      <c r="Q4568" s="17"/>
      <c r="R4568" s="17"/>
      <c r="S4568" s="17"/>
      <c r="T4568" s="17"/>
      <c r="U4568" s="17"/>
      <c r="V4568" s="18">
        <v>0</v>
      </c>
      <c r="W4568" s="17">
        <f t="shared" si="139"/>
        <v>0</v>
      </c>
    </row>
    <row r="4569" spans="1:23" x14ac:dyDescent="0.25">
      <c r="A4569" s="17"/>
      <c r="B4569" s="17"/>
      <c r="C4569" s="17"/>
      <c r="D4569" s="17"/>
      <c r="E4569" s="17"/>
      <c r="F4569" s="17"/>
      <c r="G4569" s="17"/>
      <c r="H4569" s="17"/>
      <c r="I4569" s="17"/>
      <c r="J4569" s="17"/>
      <c r="K4569" s="17"/>
      <c r="L4569" s="17"/>
      <c r="M4569" s="17"/>
      <c r="N4569" s="17"/>
      <c r="O4569" s="17"/>
      <c r="P4569" s="17"/>
      <c r="Q4569" s="17"/>
      <c r="R4569" s="17"/>
      <c r="S4569" s="17"/>
      <c r="T4569" s="17"/>
      <c r="U4569" s="17"/>
      <c r="V4569" s="18">
        <v>0</v>
      </c>
      <c r="W4569" s="17">
        <f t="shared" si="139"/>
        <v>0</v>
      </c>
    </row>
    <row r="4570" spans="1:23" x14ac:dyDescent="0.25">
      <c r="A4570" s="17"/>
      <c r="B4570" s="17"/>
      <c r="C4570" s="17"/>
      <c r="D4570" s="17"/>
      <c r="E4570" s="17"/>
      <c r="F4570" s="17"/>
      <c r="G4570" s="17"/>
      <c r="H4570" s="17"/>
      <c r="I4570" s="17"/>
      <c r="J4570" s="17"/>
      <c r="K4570" s="17"/>
      <c r="L4570" s="17"/>
      <c r="M4570" s="17"/>
      <c r="N4570" s="17"/>
      <c r="O4570" s="17"/>
      <c r="P4570" s="17"/>
      <c r="Q4570" s="17"/>
      <c r="R4570" s="17"/>
      <c r="S4570" s="17"/>
      <c r="T4570" s="17"/>
      <c r="U4570" s="17"/>
      <c r="V4570" s="18">
        <v>0</v>
      </c>
      <c r="W4570" s="17">
        <f t="shared" si="139"/>
        <v>0</v>
      </c>
    </row>
    <row r="4571" spans="1:23" x14ac:dyDescent="0.25">
      <c r="A4571" s="17"/>
      <c r="B4571" s="17"/>
      <c r="C4571" s="17"/>
      <c r="D4571" s="17"/>
      <c r="E4571" s="17"/>
      <c r="F4571" s="17"/>
      <c r="G4571" s="17"/>
      <c r="H4571" s="17"/>
      <c r="I4571" s="17"/>
      <c r="J4571" s="17"/>
      <c r="K4571" s="17"/>
      <c r="L4571" s="17"/>
      <c r="M4571" s="17"/>
      <c r="N4571" s="17"/>
      <c r="O4571" s="17"/>
      <c r="P4571" s="17"/>
      <c r="Q4571" s="17"/>
      <c r="R4571" s="17"/>
      <c r="S4571" s="17"/>
      <c r="T4571" s="17"/>
      <c r="U4571" s="17"/>
      <c r="V4571" s="18">
        <v>0</v>
      </c>
      <c r="W4571" s="17">
        <f t="shared" si="139"/>
        <v>0</v>
      </c>
    </row>
    <row r="4572" spans="1:23" x14ac:dyDescent="0.25">
      <c r="A4572" s="17"/>
      <c r="B4572" s="17"/>
      <c r="C4572" s="17"/>
      <c r="D4572" s="17"/>
      <c r="E4572" s="17"/>
      <c r="F4572" s="17"/>
      <c r="G4572" s="17"/>
      <c r="H4572" s="17"/>
      <c r="I4572" s="17"/>
      <c r="J4572" s="17"/>
      <c r="K4572" s="17"/>
      <c r="L4572" s="17"/>
      <c r="M4572" s="17"/>
      <c r="N4572" s="17"/>
      <c r="O4572" s="17"/>
      <c r="P4572" s="17"/>
      <c r="Q4572" s="17"/>
      <c r="R4572" s="17"/>
      <c r="S4572" s="17"/>
      <c r="T4572" s="17"/>
      <c r="U4572" s="17"/>
      <c r="V4572" s="18">
        <v>0</v>
      </c>
      <c r="W4572" s="17">
        <f t="shared" si="139"/>
        <v>0</v>
      </c>
    </row>
    <row r="4573" spans="1:23" x14ac:dyDescent="0.25">
      <c r="A4573" s="17"/>
      <c r="B4573" s="17"/>
      <c r="C4573" s="17"/>
      <c r="D4573" s="17"/>
      <c r="E4573" s="17"/>
      <c r="F4573" s="17"/>
      <c r="G4573" s="17"/>
      <c r="H4573" s="17"/>
      <c r="I4573" s="17"/>
      <c r="J4573" s="17"/>
      <c r="K4573" s="17"/>
      <c r="L4573" s="17"/>
      <c r="M4573" s="17"/>
      <c r="N4573" s="17"/>
      <c r="O4573" s="17"/>
      <c r="P4573" s="17"/>
      <c r="Q4573" s="17"/>
      <c r="R4573" s="17"/>
      <c r="S4573" s="17"/>
      <c r="T4573" s="17"/>
      <c r="U4573" s="17"/>
      <c r="V4573" s="18">
        <v>0</v>
      </c>
      <c r="W4573" s="17">
        <f t="shared" si="139"/>
        <v>0</v>
      </c>
    </row>
    <row r="4574" spans="1:23" x14ac:dyDescent="0.25">
      <c r="A4574" s="17"/>
      <c r="B4574" s="17"/>
      <c r="C4574" s="17"/>
      <c r="D4574" s="17"/>
      <c r="E4574" s="17"/>
      <c r="F4574" s="17"/>
      <c r="G4574" s="17"/>
      <c r="H4574" s="17"/>
      <c r="I4574" s="17"/>
      <c r="J4574" s="17"/>
      <c r="K4574" s="17"/>
      <c r="L4574" s="17"/>
      <c r="M4574" s="17"/>
      <c r="N4574" s="17"/>
      <c r="O4574" s="17"/>
      <c r="P4574" s="17"/>
      <c r="Q4574" s="17"/>
      <c r="R4574" s="17"/>
      <c r="S4574" s="17"/>
      <c r="T4574" s="17"/>
      <c r="U4574" s="17"/>
      <c r="V4574" s="18">
        <v>0</v>
      </c>
      <c r="W4574" s="17">
        <f t="shared" si="139"/>
        <v>0</v>
      </c>
    </row>
    <row r="4575" spans="1:23" x14ac:dyDescent="0.25">
      <c r="A4575" s="17"/>
      <c r="B4575" s="17"/>
      <c r="C4575" s="17"/>
      <c r="D4575" s="17"/>
      <c r="E4575" s="17"/>
      <c r="F4575" s="17"/>
      <c r="G4575" s="17"/>
      <c r="H4575" s="17"/>
      <c r="I4575" s="17"/>
      <c r="J4575" s="17"/>
      <c r="K4575" s="17"/>
      <c r="L4575" s="17"/>
      <c r="M4575" s="17"/>
      <c r="N4575" s="17"/>
      <c r="O4575" s="17"/>
      <c r="P4575" s="17"/>
      <c r="Q4575" s="17"/>
      <c r="R4575" s="17"/>
      <c r="S4575" s="17"/>
      <c r="T4575" s="17"/>
      <c r="U4575" s="17"/>
      <c r="V4575" s="18">
        <v>0</v>
      </c>
      <c r="W4575" s="17">
        <f t="shared" si="139"/>
        <v>0</v>
      </c>
    </row>
    <row r="4576" spans="1:23" x14ac:dyDescent="0.25">
      <c r="A4576" s="17"/>
      <c r="B4576" s="17"/>
      <c r="C4576" s="17"/>
      <c r="D4576" s="17"/>
      <c r="E4576" s="17"/>
      <c r="F4576" s="17"/>
      <c r="G4576" s="17"/>
      <c r="H4576" s="17"/>
      <c r="I4576" s="17"/>
      <c r="J4576" s="17"/>
      <c r="K4576" s="17"/>
      <c r="L4576" s="17"/>
      <c r="M4576" s="17"/>
      <c r="N4576" s="17"/>
      <c r="O4576" s="17"/>
      <c r="P4576" s="17"/>
      <c r="Q4576" s="17"/>
      <c r="R4576" s="17"/>
      <c r="S4576" s="17"/>
      <c r="T4576" s="17"/>
      <c r="U4576" s="17"/>
      <c r="V4576" s="18">
        <v>0</v>
      </c>
      <c r="W4576" s="17">
        <f t="shared" si="139"/>
        <v>0</v>
      </c>
    </row>
    <row r="4577" spans="1:23" x14ac:dyDescent="0.25">
      <c r="A4577" s="17"/>
      <c r="B4577" s="17"/>
      <c r="C4577" s="17"/>
      <c r="D4577" s="17"/>
      <c r="E4577" s="17"/>
      <c r="F4577" s="17"/>
      <c r="G4577" s="17"/>
      <c r="H4577" s="17"/>
      <c r="I4577" s="17"/>
      <c r="J4577" s="17"/>
      <c r="K4577" s="17"/>
      <c r="L4577" s="17"/>
      <c r="M4577" s="17"/>
      <c r="N4577" s="17"/>
      <c r="O4577" s="17"/>
      <c r="P4577" s="17"/>
      <c r="Q4577" s="17"/>
      <c r="R4577" s="17"/>
      <c r="S4577" s="17"/>
      <c r="T4577" s="17"/>
      <c r="U4577" s="17"/>
      <c r="V4577" s="18">
        <v>0</v>
      </c>
      <c r="W4577" s="17">
        <f t="shared" si="139"/>
        <v>0</v>
      </c>
    </row>
    <row r="4578" spans="1:23" x14ac:dyDescent="0.25">
      <c r="A4578" s="17"/>
      <c r="B4578" s="17"/>
      <c r="C4578" s="17"/>
      <c r="D4578" s="17"/>
      <c r="E4578" s="17"/>
      <c r="F4578" s="17"/>
      <c r="G4578" s="17"/>
      <c r="H4578" s="17"/>
      <c r="I4578" s="17"/>
      <c r="J4578" s="17"/>
      <c r="K4578" s="17"/>
      <c r="L4578" s="17"/>
      <c r="M4578" s="17"/>
      <c r="N4578" s="17"/>
      <c r="O4578" s="17"/>
      <c r="P4578" s="17"/>
      <c r="Q4578" s="17"/>
      <c r="R4578" s="17"/>
      <c r="S4578" s="17"/>
      <c r="T4578" s="17"/>
      <c r="U4578" s="17"/>
      <c r="V4578" s="18">
        <v>0</v>
      </c>
      <c r="W4578" s="17">
        <f t="shared" si="139"/>
        <v>0</v>
      </c>
    </row>
    <row r="4579" spans="1:23" x14ac:dyDescent="0.25">
      <c r="A4579" s="17"/>
      <c r="B4579" s="17"/>
      <c r="C4579" s="17"/>
      <c r="D4579" s="17"/>
      <c r="E4579" s="17"/>
      <c r="F4579" s="17"/>
      <c r="G4579" s="17"/>
      <c r="H4579" s="17"/>
      <c r="I4579" s="17"/>
      <c r="J4579" s="17"/>
      <c r="K4579" s="17"/>
      <c r="L4579" s="17"/>
      <c r="M4579" s="17"/>
      <c r="N4579" s="17"/>
      <c r="O4579" s="17"/>
      <c r="P4579" s="17"/>
      <c r="Q4579" s="17"/>
      <c r="R4579" s="17"/>
      <c r="S4579" s="17"/>
      <c r="T4579" s="17"/>
      <c r="U4579" s="17"/>
      <c r="V4579" s="18">
        <v>0</v>
      </c>
      <c r="W4579" s="17">
        <f t="shared" si="139"/>
        <v>0</v>
      </c>
    </row>
    <row r="4580" spans="1:23" x14ac:dyDescent="0.25">
      <c r="A4580" s="17"/>
      <c r="B4580" s="17"/>
      <c r="C4580" s="17"/>
      <c r="D4580" s="17"/>
      <c r="E4580" s="17"/>
      <c r="F4580" s="17"/>
      <c r="G4580" s="17"/>
      <c r="H4580" s="17"/>
      <c r="I4580" s="17"/>
      <c r="J4580" s="17"/>
      <c r="K4580" s="17"/>
      <c r="L4580" s="17"/>
      <c r="M4580" s="17"/>
      <c r="N4580" s="17"/>
      <c r="O4580" s="17"/>
      <c r="P4580" s="17"/>
      <c r="Q4580" s="17"/>
      <c r="R4580" s="17"/>
      <c r="S4580" s="17"/>
      <c r="T4580" s="17"/>
      <c r="U4580" s="17"/>
      <c r="V4580" s="18">
        <v>0</v>
      </c>
      <c r="W4580" s="17">
        <f t="shared" si="139"/>
        <v>0</v>
      </c>
    </row>
    <row r="4581" spans="1:23" x14ac:dyDescent="0.25">
      <c r="A4581" s="17"/>
      <c r="B4581" s="17"/>
      <c r="C4581" s="17"/>
      <c r="D4581" s="17"/>
      <c r="E4581" s="17"/>
      <c r="F4581" s="17"/>
      <c r="G4581" s="17"/>
      <c r="H4581" s="17"/>
      <c r="I4581" s="17"/>
      <c r="J4581" s="17"/>
      <c r="K4581" s="17"/>
      <c r="L4581" s="17"/>
      <c r="M4581" s="17"/>
      <c r="N4581" s="17"/>
      <c r="O4581" s="17"/>
      <c r="P4581" s="17"/>
      <c r="Q4581" s="17"/>
      <c r="R4581" s="17"/>
      <c r="S4581" s="17"/>
      <c r="T4581" s="17"/>
      <c r="U4581" s="17"/>
      <c r="V4581" s="18">
        <v>0</v>
      </c>
      <c r="W4581" s="17">
        <f t="shared" si="139"/>
        <v>0</v>
      </c>
    </row>
    <row r="4582" spans="1:23" x14ac:dyDescent="0.25">
      <c r="A4582" s="17"/>
      <c r="B4582" s="17"/>
      <c r="C4582" s="17"/>
      <c r="D4582" s="17"/>
      <c r="E4582" s="17"/>
      <c r="F4582" s="17"/>
      <c r="G4582" s="17"/>
      <c r="H4582" s="17"/>
      <c r="I4582" s="17"/>
      <c r="J4582" s="17"/>
      <c r="K4582" s="17"/>
      <c r="L4582" s="17"/>
      <c r="M4582" s="17"/>
      <c r="N4582" s="17"/>
      <c r="O4582" s="17"/>
      <c r="P4582" s="17"/>
      <c r="Q4582" s="17"/>
      <c r="R4582" s="17"/>
      <c r="S4582" s="17"/>
      <c r="T4582" s="17"/>
      <c r="U4582" s="17"/>
      <c r="V4582" s="18">
        <v>0</v>
      </c>
      <c r="W4582" s="17">
        <f t="shared" si="139"/>
        <v>0</v>
      </c>
    </row>
    <row r="4583" spans="1:23" x14ac:dyDescent="0.25">
      <c r="A4583" s="17"/>
      <c r="B4583" s="17"/>
      <c r="C4583" s="17"/>
      <c r="D4583" s="17"/>
      <c r="E4583" s="17"/>
      <c r="F4583" s="17"/>
      <c r="G4583" s="17"/>
      <c r="H4583" s="17"/>
      <c r="I4583" s="17"/>
      <c r="J4583" s="17"/>
      <c r="K4583" s="17"/>
      <c r="L4583" s="17"/>
      <c r="M4583" s="17"/>
      <c r="N4583" s="17"/>
      <c r="O4583" s="17"/>
      <c r="P4583" s="17"/>
      <c r="Q4583" s="17"/>
      <c r="R4583" s="17"/>
      <c r="S4583" s="17"/>
      <c r="T4583" s="17"/>
      <c r="U4583" s="17"/>
      <c r="V4583" s="18">
        <v>0</v>
      </c>
      <c r="W4583" s="17">
        <f t="shared" si="139"/>
        <v>0</v>
      </c>
    </row>
    <row r="4584" spans="1:23" x14ac:dyDescent="0.25">
      <c r="A4584" s="17"/>
      <c r="B4584" s="17"/>
      <c r="C4584" s="17"/>
      <c r="D4584" s="17"/>
      <c r="E4584" s="17"/>
      <c r="F4584" s="17"/>
      <c r="G4584" s="17"/>
      <c r="H4584" s="17"/>
      <c r="I4584" s="17"/>
      <c r="J4584" s="17"/>
      <c r="K4584" s="17"/>
      <c r="L4584" s="17"/>
      <c r="M4584" s="17"/>
      <c r="N4584" s="17"/>
      <c r="O4584" s="17"/>
      <c r="P4584" s="17"/>
      <c r="Q4584" s="17"/>
      <c r="R4584" s="17"/>
      <c r="S4584" s="17"/>
      <c r="T4584" s="17"/>
      <c r="U4584" s="17"/>
      <c r="V4584" s="18">
        <v>0</v>
      </c>
      <c r="W4584" s="17">
        <f t="shared" si="139"/>
        <v>0</v>
      </c>
    </row>
    <row r="4585" spans="1:23" x14ac:dyDescent="0.25">
      <c r="A4585" s="17"/>
      <c r="B4585" s="17"/>
      <c r="C4585" s="17"/>
      <c r="D4585" s="17"/>
      <c r="E4585" s="17"/>
      <c r="F4585" s="17"/>
      <c r="G4585" s="17"/>
      <c r="H4585" s="17"/>
      <c r="I4585" s="17"/>
      <c r="J4585" s="17"/>
      <c r="K4585" s="17"/>
      <c r="L4585" s="17"/>
      <c r="M4585" s="17"/>
      <c r="N4585" s="17"/>
      <c r="O4585" s="17"/>
      <c r="P4585" s="17"/>
      <c r="Q4585" s="17"/>
      <c r="R4585" s="17"/>
      <c r="S4585" s="17"/>
      <c r="T4585" s="17"/>
      <c r="U4585" s="17"/>
      <c r="V4585" s="18">
        <v>0</v>
      </c>
      <c r="W4585" s="17">
        <f t="shared" si="139"/>
        <v>0</v>
      </c>
    </row>
    <row r="4586" spans="1:23" x14ac:dyDescent="0.25">
      <c r="A4586" s="17"/>
      <c r="B4586" s="17"/>
      <c r="C4586" s="17"/>
      <c r="D4586" s="17"/>
      <c r="E4586" s="17"/>
      <c r="F4586" s="17"/>
      <c r="G4586" s="17"/>
      <c r="H4586" s="17"/>
      <c r="I4586" s="17"/>
      <c r="J4586" s="17"/>
      <c r="K4586" s="17"/>
      <c r="L4586" s="17"/>
      <c r="M4586" s="17"/>
      <c r="N4586" s="17"/>
      <c r="O4586" s="17"/>
      <c r="P4586" s="17"/>
      <c r="Q4586" s="17"/>
      <c r="R4586" s="17"/>
      <c r="S4586" s="17"/>
      <c r="T4586" s="17"/>
      <c r="U4586" s="17"/>
      <c r="V4586" s="18">
        <v>0</v>
      </c>
      <c r="W4586" s="17">
        <f t="shared" si="139"/>
        <v>0</v>
      </c>
    </row>
    <row r="4587" spans="1:23" x14ac:dyDescent="0.25">
      <c r="A4587" s="17"/>
      <c r="B4587" s="17"/>
      <c r="C4587" s="17"/>
      <c r="D4587" s="17"/>
      <c r="E4587" s="17"/>
      <c r="F4587" s="17"/>
      <c r="G4587" s="17"/>
      <c r="H4587" s="17"/>
      <c r="I4587" s="17"/>
      <c r="J4587" s="17"/>
      <c r="K4587" s="17"/>
      <c r="L4587" s="17"/>
      <c r="M4587" s="17"/>
      <c r="N4587" s="17"/>
      <c r="O4587" s="17"/>
      <c r="P4587" s="17"/>
      <c r="Q4587" s="17"/>
      <c r="R4587" s="17"/>
      <c r="S4587" s="17"/>
      <c r="T4587" s="17"/>
      <c r="U4587" s="17"/>
      <c r="V4587" s="18">
        <v>0</v>
      </c>
      <c r="W4587" s="17">
        <f t="shared" si="139"/>
        <v>0</v>
      </c>
    </row>
    <row r="4588" spans="1:23" x14ac:dyDescent="0.25">
      <c r="A4588" s="17"/>
      <c r="B4588" s="17"/>
      <c r="C4588" s="17"/>
      <c r="D4588" s="17"/>
      <c r="E4588" s="17"/>
      <c r="F4588" s="17"/>
      <c r="G4588" s="17"/>
      <c r="H4588" s="17"/>
      <c r="I4588" s="17"/>
      <c r="J4588" s="17"/>
      <c r="K4588" s="17"/>
      <c r="L4588" s="17"/>
      <c r="M4588" s="17"/>
      <c r="N4588" s="17"/>
      <c r="O4588" s="17"/>
      <c r="P4588" s="17"/>
      <c r="Q4588" s="17"/>
      <c r="R4588" s="17"/>
      <c r="S4588" s="17"/>
      <c r="T4588" s="17"/>
      <c r="U4588" s="17"/>
      <c r="V4588" s="18">
        <v>0</v>
      </c>
      <c r="W4588" s="17">
        <f t="shared" si="139"/>
        <v>0</v>
      </c>
    </row>
    <row r="4589" spans="1:23" x14ac:dyDescent="0.25">
      <c r="A4589" s="17"/>
      <c r="B4589" s="17"/>
      <c r="C4589" s="17"/>
      <c r="D4589" s="17"/>
      <c r="E4589" s="17"/>
      <c r="F4589" s="17"/>
      <c r="G4589" s="17"/>
      <c r="H4589" s="17"/>
      <c r="I4589" s="17"/>
      <c r="J4589" s="17"/>
      <c r="K4589" s="17"/>
      <c r="L4589" s="17"/>
      <c r="M4589" s="17"/>
      <c r="N4589" s="17"/>
      <c r="O4589" s="17"/>
      <c r="P4589" s="17"/>
      <c r="Q4589" s="17"/>
      <c r="R4589" s="17"/>
      <c r="S4589" s="17"/>
      <c r="T4589" s="17"/>
      <c r="U4589" s="17"/>
      <c r="V4589" s="18">
        <v>0</v>
      </c>
      <c r="W4589" s="17">
        <f t="shared" si="139"/>
        <v>0</v>
      </c>
    </row>
    <row r="4590" spans="1:23" x14ac:dyDescent="0.25">
      <c r="A4590" s="17"/>
      <c r="B4590" s="17"/>
      <c r="C4590" s="17"/>
      <c r="D4590" s="17"/>
      <c r="E4590" s="17"/>
      <c r="F4590" s="17"/>
      <c r="G4590" s="17"/>
      <c r="H4590" s="17"/>
      <c r="I4590" s="17"/>
      <c r="J4590" s="17"/>
      <c r="K4590" s="17"/>
      <c r="L4590" s="17"/>
      <c r="M4590" s="17"/>
      <c r="N4590" s="17"/>
      <c r="O4590" s="17"/>
      <c r="P4590" s="17"/>
      <c r="Q4590" s="17"/>
      <c r="R4590" s="17"/>
      <c r="S4590" s="17"/>
      <c r="T4590" s="17"/>
      <c r="U4590" s="17"/>
      <c r="V4590" s="18">
        <v>0</v>
      </c>
      <c r="W4590" s="17">
        <f t="shared" si="139"/>
        <v>0</v>
      </c>
    </row>
    <row r="4591" spans="1:23" x14ac:dyDescent="0.25">
      <c r="A4591" s="17"/>
      <c r="B4591" s="17"/>
      <c r="C4591" s="17"/>
      <c r="D4591" s="17"/>
      <c r="E4591" s="17"/>
      <c r="F4591" s="17"/>
      <c r="G4591" s="17"/>
      <c r="H4591" s="17"/>
      <c r="I4591" s="17"/>
      <c r="J4591" s="17"/>
      <c r="K4591" s="17"/>
      <c r="L4591" s="17"/>
      <c r="M4591" s="17"/>
      <c r="N4591" s="17"/>
      <c r="O4591" s="17"/>
      <c r="P4591" s="17"/>
      <c r="Q4591" s="17"/>
      <c r="R4591" s="17"/>
      <c r="S4591" s="17"/>
      <c r="T4591" s="17"/>
      <c r="U4591" s="17"/>
      <c r="V4591" s="18">
        <v>0</v>
      </c>
      <c r="W4591" s="17">
        <f t="shared" si="139"/>
        <v>0</v>
      </c>
    </row>
    <row r="4592" spans="1:23" x14ac:dyDescent="0.25">
      <c r="A4592" s="17"/>
      <c r="B4592" s="17"/>
      <c r="C4592" s="17"/>
      <c r="D4592" s="17"/>
      <c r="E4592" s="17"/>
      <c r="F4592" s="17"/>
      <c r="G4592" s="17"/>
      <c r="H4592" s="17"/>
      <c r="I4592" s="17"/>
      <c r="J4592" s="17"/>
      <c r="K4592" s="17"/>
      <c r="L4592" s="17"/>
      <c r="M4592" s="17"/>
      <c r="N4592" s="17"/>
      <c r="O4592" s="17"/>
      <c r="P4592" s="17"/>
      <c r="Q4592" s="17"/>
      <c r="R4592" s="17"/>
      <c r="S4592" s="17"/>
      <c r="T4592" s="17"/>
      <c r="U4592" s="17"/>
      <c r="V4592" s="18">
        <v>0</v>
      </c>
      <c r="W4592" s="17">
        <f t="shared" si="139"/>
        <v>0</v>
      </c>
    </row>
    <row r="4593" spans="1:23" x14ac:dyDescent="0.25">
      <c r="A4593" s="17"/>
      <c r="B4593" s="17"/>
      <c r="C4593" s="17"/>
      <c r="D4593" s="17"/>
      <c r="E4593" s="17"/>
      <c r="F4593" s="17"/>
      <c r="G4593" s="17"/>
      <c r="H4593" s="17"/>
      <c r="I4593" s="17"/>
      <c r="J4593" s="17"/>
      <c r="K4593" s="17"/>
      <c r="L4593" s="17"/>
      <c r="M4593" s="17"/>
      <c r="N4593" s="17"/>
      <c r="O4593" s="17"/>
      <c r="P4593" s="17"/>
      <c r="Q4593" s="17"/>
      <c r="R4593" s="17"/>
      <c r="S4593" s="17"/>
      <c r="T4593" s="17"/>
      <c r="U4593" s="17"/>
      <c r="V4593" s="18">
        <v>0</v>
      </c>
      <c r="W4593" s="17">
        <f t="shared" si="139"/>
        <v>0</v>
      </c>
    </row>
    <row r="4594" spans="1:23" x14ac:dyDescent="0.25">
      <c r="A4594" s="17"/>
      <c r="B4594" s="17"/>
      <c r="C4594" s="17"/>
      <c r="D4594" s="17"/>
      <c r="E4594" s="17"/>
      <c r="F4594" s="17"/>
      <c r="G4594" s="17"/>
      <c r="H4594" s="17"/>
      <c r="I4594" s="17"/>
      <c r="J4594" s="17"/>
      <c r="K4594" s="17"/>
      <c r="L4594" s="17"/>
      <c r="M4594" s="17"/>
      <c r="N4594" s="17"/>
      <c r="O4594" s="17"/>
      <c r="P4594" s="17"/>
      <c r="Q4594" s="17"/>
      <c r="R4594" s="17"/>
      <c r="S4594" s="17"/>
      <c r="T4594" s="17"/>
      <c r="U4594" s="17"/>
      <c r="V4594" s="18">
        <v>0</v>
      </c>
      <c r="W4594" s="17">
        <f t="shared" si="139"/>
        <v>0</v>
      </c>
    </row>
    <row r="4595" spans="1:23" x14ac:dyDescent="0.25">
      <c r="A4595" s="17"/>
      <c r="B4595" s="17"/>
      <c r="C4595" s="17"/>
      <c r="D4595" s="17"/>
      <c r="E4595" s="17"/>
      <c r="F4595" s="17"/>
      <c r="G4595" s="17"/>
      <c r="H4595" s="17"/>
      <c r="I4595" s="17"/>
      <c r="J4595" s="17"/>
      <c r="K4595" s="17"/>
      <c r="L4595" s="17"/>
      <c r="M4595" s="17"/>
      <c r="N4595" s="17"/>
      <c r="O4595" s="17"/>
      <c r="P4595" s="17"/>
      <c r="Q4595" s="17"/>
      <c r="R4595" s="17"/>
      <c r="S4595" s="17"/>
      <c r="T4595" s="17"/>
      <c r="U4595" s="17"/>
      <c r="V4595" s="18">
        <v>0</v>
      </c>
      <c r="W4595" s="17">
        <f t="shared" si="139"/>
        <v>0</v>
      </c>
    </row>
    <row r="4596" spans="1:23" x14ac:dyDescent="0.25">
      <c r="A4596" s="17"/>
      <c r="B4596" s="17"/>
      <c r="C4596" s="17"/>
      <c r="D4596" s="17"/>
      <c r="E4596" s="17"/>
      <c r="F4596" s="17"/>
      <c r="G4596" s="17"/>
      <c r="H4596" s="17"/>
      <c r="I4596" s="17"/>
      <c r="J4596" s="17"/>
      <c r="K4596" s="17"/>
      <c r="L4596" s="17"/>
      <c r="M4596" s="17"/>
      <c r="N4596" s="17"/>
      <c r="O4596" s="17"/>
      <c r="P4596" s="17"/>
      <c r="Q4596" s="17"/>
      <c r="R4596" s="17"/>
      <c r="S4596" s="17"/>
      <c r="T4596" s="17"/>
      <c r="U4596" s="17"/>
      <c r="V4596" s="18">
        <v>0</v>
      </c>
      <c r="W4596" s="17">
        <f t="shared" si="139"/>
        <v>0</v>
      </c>
    </row>
    <row r="4597" spans="1:23" x14ac:dyDescent="0.25">
      <c r="A4597" s="17"/>
      <c r="B4597" s="17"/>
      <c r="C4597" s="17"/>
      <c r="D4597" s="17"/>
      <c r="E4597" s="17"/>
      <c r="F4597" s="17"/>
      <c r="G4597" s="17"/>
      <c r="H4597" s="17"/>
      <c r="I4597" s="17"/>
      <c r="J4597" s="17"/>
      <c r="K4597" s="17"/>
      <c r="L4597" s="17"/>
      <c r="M4597" s="17"/>
      <c r="N4597" s="17"/>
      <c r="O4597" s="17"/>
      <c r="P4597" s="17"/>
      <c r="Q4597" s="17"/>
      <c r="R4597" s="17"/>
      <c r="S4597" s="17"/>
      <c r="T4597" s="17"/>
      <c r="U4597" s="17"/>
      <c r="V4597" s="18">
        <v>0</v>
      </c>
      <c r="W4597" s="17">
        <f t="shared" si="139"/>
        <v>0</v>
      </c>
    </row>
    <row r="4598" spans="1:23" x14ac:dyDescent="0.25">
      <c r="A4598" s="17"/>
      <c r="B4598" s="17"/>
      <c r="C4598" s="17"/>
      <c r="D4598" s="17"/>
      <c r="E4598" s="17"/>
      <c r="F4598" s="17"/>
      <c r="G4598" s="17"/>
      <c r="H4598" s="17"/>
      <c r="I4598" s="17"/>
      <c r="J4598" s="17"/>
      <c r="K4598" s="17"/>
      <c r="L4598" s="17"/>
      <c r="M4598" s="17"/>
      <c r="N4598" s="17"/>
      <c r="O4598" s="17"/>
      <c r="P4598" s="17"/>
      <c r="Q4598" s="17"/>
      <c r="R4598" s="17"/>
      <c r="S4598" s="17"/>
      <c r="T4598" s="17"/>
      <c r="U4598" s="17"/>
      <c r="V4598" s="18">
        <v>0</v>
      </c>
      <c r="W4598" s="17">
        <f t="shared" si="139"/>
        <v>0</v>
      </c>
    </row>
    <row r="4599" spans="1:23" x14ac:dyDescent="0.25">
      <c r="A4599" s="17"/>
      <c r="B4599" s="17"/>
      <c r="C4599" s="17"/>
      <c r="D4599" s="17"/>
      <c r="E4599" s="17"/>
      <c r="F4599" s="17"/>
      <c r="G4599" s="17"/>
      <c r="H4599" s="17"/>
      <c r="I4599" s="17"/>
      <c r="J4599" s="17"/>
      <c r="K4599" s="17"/>
      <c r="L4599" s="17"/>
      <c r="M4599" s="17"/>
      <c r="N4599" s="17"/>
      <c r="O4599" s="17"/>
      <c r="P4599" s="17"/>
      <c r="Q4599" s="17"/>
      <c r="R4599" s="17"/>
      <c r="S4599" s="17"/>
      <c r="T4599" s="17"/>
      <c r="U4599" s="17"/>
      <c r="V4599" s="18">
        <v>0</v>
      </c>
      <c r="W4599" s="17">
        <f t="shared" si="139"/>
        <v>0</v>
      </c>
    </row>
    <row r="4600" spans="1:23" x14ac:dyDescent="0.25">
      <c r="A4600" s="17"/>
      <c r="B4600" s="17"/>
      <c r="C4600" s="17"/>
      <c r="D4600" s="17"/>
      <c r="E4600" s="17"/>
      <c r="F4600" s="17"/>
      <c r="G4600" s="17"/>
      <c r="H4600" s="17"/>
      <c r="I4600" s="17"/>
      <c r="J4600" s="17"/>
      <c r="K4600" s="17"/>
      <c r="L4600" s="17"/>
      <c r="M4600" s="17"/>
      <c r="N4600" s="17"/>
      <c r="O4600" s="17"/>
      <c r="P4600" s="17"/>
      <c r="Q4600" s="17"/>
      <c r="R4600" s="17"/>
      <c r="S4600" s="17"/>
      <c r="T4600" s="17"/>
      <c r="U4600" s="17"/>
      <c r="V4600" s="18">
        <v>0</v>
      </c>
      <c r="W4600" s="17">
        <f t="shared" si="139"/>
        <v>0</v>
      </c>
    </row>
    <row r="4601" spans="1:23" x14ac:dyDescent="0.25">
      <c r="A4601" s="17"/>
      <c r="B4601" s="17"/>
      <c r="C4601" s="17"/>
      <c r="D4601" s="17"/>
      <c r="E4601" s="17"/>
      <c r="F4601" s="17"/>
      <c r="G4601" s="17"/>
      <c r="H4601" s="17"/>
      <c r="I4601" s="17"/>
      <c r="J4601" s="17"/>
      <c r="K4601" s="17"/>
      <c r="L4601" s="17"/>
      <c r="M4601" s="17"/>
      <c r="N4601" s="17"/>
      <c r="O4601" s="17"/>
      <c r="P4601" s="17"/>
      <c r="Q4601" s="17"/>
      <c r="R4601" s="17"/>
      <c r="S4601" s="17"/>
      <c r="T4601" s="17"/>
      <c r="U4601" s="17"/>
      <c r="V4601" s="18">
        <v>0</v>
      </c>
      <c r="W4601" s="17">
        <f t="shared" si="139"/>
        <v>0</v>
      </c>
    </row>
    <row r="4602" spans="1:23" x14ac:dyDescent="0.25">
      <c r="A4602" s="17"/>
      <c r="B4602" s="17"/>
      <c r="C4602" s="17"/>
      <c r="D4602" s="17"/>
      <c r="E4602" s="17"/>
      <c r="F4602" s="17"/>
      <c r="G4602" s="17"/>
      <c r="H4602" s="17"/>
      <c r="I4602" s="17"/>
      <c r="J4602" s="17"/>
      <c r="K4602" s="17"/>
      <c r="L4602" s="17"/>
      <c r="M4602" s="17"/>
      <c r="N4602" s="17"/>
      <c r="O4602" s="17"/>
      <c r="P4602" s="17"/>
      <c r="Q4602" s="17"/>
      <c r="R4602" s="17"/>
      <c r="S4602" s="17"/>
      <c r="T4602" s="17"/>
      <c r="U4602" s="17"/>
      <c r="V4602" s="18">
        <v>0</v>
      </c>
      <c r="W4602" s="17">
        <f t="shared" si="139"/>
        <v>0</v>
      </c>
    </row>
    <row r="4603" spans="1:23" x14ac:dyDescent="0.25">
      <c r="A4603" s="17"/>
      <c r="B4603" s="17"/>
      <c r="C4603" s="17"/>
      <c r="D4603" s="17"/>
      <c r="E4603" s="17"/>
      <c r="F4603" s="17"/>
      <c r="G4603" s="17"/>
      <c r="H4603" s="17"/>
      <c r="I4603" s="17"/>
      <c r="J4603" s="17"/>
      <c r="K4603" s="17"/>
      <c r="L4603" s="17"/>
      <c r="M4603" s="17"/>
      <c r="N4603" s="17"/>
      <c r="O4603" s="17"/>
      <c r="P4603" s="17"/>
      <c r="Q4603" s="17"/>
      <c r="R4603" s="17"/>
      <c r="S4603" s="17"/>
      <c r="T4603" s="17"/>
      <c r="U4603" s="17"/>
      <c r="V4603" s="18">
        <v>0</v>
      </c>
      <c r="W4603" s="17">
        <f t="shared" si="139"/>
        <v>0</v>
      </c>
    </row>
    <row r="4604" spans="1:23" x14ac:dyDescent="0.25">
      <c r="A4604" s="17"/>
      <c r="B4604" s="17"/>
      <c r="C4604" s="17"/>
      <c r="D4604" s="17"/>
      <c r="E4604" s="17"/>
      <c r="F4604" s="17"/>
      <c r="G4604" s="17"/>
      <c r="H4604" s="17"/>
      <c r="I4604" s="17"/>
      <c r="J4604" s="17"/>
      <c r="K4604" s="17"/>
      <c r="L4604" s="17"/>
      <c r="M4604" s="17"/>
      <c r="N4604" s="17"/>
      <c r="O4604" s="17"/>
      <c r="P4604" s="17"/>
      <c r="Q4604" s="17"/>
      <c r="R4604" s="17"/>
      <c r="S4604" s="17"/>
      <c r="T4604" s="17"/>
      <c r="U4604" s="17"/>
      <c r="V4604" s="18">
        <v>0</v>
      </c>
      <c r="W4604" s="17">
        <f t="shared" si="139"/>
        <v>0</v>
      </c>
    </row>
    <row r="4605" spans="1:23" x14ac:dyDescent="0.25">
      <c r="A4605" s="17"/>
      <c r="B4605" s="17"/>
      <c r="C4605" s="17"/>
      <c r="D4605" s="17"/>
      <c r="E4605" s="17"/>
      <c r="F4605" s="17"/>
      <c r="G4605" s="17"/>
      <c r="H4605" s="17"/>
      <c r="I4605" s="17"/>
      <c r="J4605" s="17"/>
      <c r="K4605" s="17"/>
      <c r="L4605" s="17"/>
      <c r="M4605" s="17"/>
      <c r="N4605" s="17"/>
      <c r="O4605" s="17"/>
      <c r="P4605" s="17"/>
      <c r="Q4605" s="17"/>
      <c r="R4605" s="17"/>
      <c r="S4605" s="17"/>
      <c r="T4605" s="17"/>
      <c r="U4605" s="17"/>
      <c r="V4605" s="18">
        <v>0</v>
      </c>
      <c r="W4605" s="17">
        <f t="shared" si="139"/>
        <v>0</v>
      </c>
    </row>
    <row r="4606" spans="1:23" x14ac:dyDescent="0.25">
      <c r="A4606" s="17"/>
      <c r="B4606" s="17"/>
      <c r="C4606" s="17"/>
      <c r="D4606" s="17"/>
      <c r="E4606" s="17"/>
      <c r="F4606" s="17"/>
      <c r="G4606" s="17"/>
      <c r="H4606" s="17"/>
      <c r="I4606" s="17"/>
      <c r="J4606" s="17"/>
      <c r="K4606" s="17"/>
      <c r="L4606" s="17"/>
      <c r="M4606" s="17"/>
      <c r="N4606" s="17"/>
      <c r="O4606" s="17"/>
      <c r="P4606" s="17"/>
      <c r="Q4606" s="17"/>
      <c r="R4606" s="17"/>
      <c r="S4606" s="17"/>
      <c r="T4606" s="17"/>
      <c r="U4606" s="17"/>
      <c r="V4606" s="18">
        <v>0</v>
      </c>
      <c r="W4606" s="17">
        <f t="shared" si="139"/>
        <v>0</v>
      </c>
    </row>
    <row r="4607" spans="1:23" x14ac:dyDescent="0.25">
      <c r="A4607" s="17"/>
      <c r="B4607" s="17"/>
      <c r="C4607" s="17"/>
      <c r="D4607" s="17"/>
      <c r="E4607" s="17"/>
      <c r="F4607" s="17"/>
      <c r="G4607" s="17"/>
      <c r="H4607" s="17"/>
      <c r="I4607" s="17"/>
      <c r="J4607" s="17"/>
      <c r="K4607" s="17"/>
      <c r="L4607" s="17"/>
      <c r="M4607" s="17"/>
      <c r="N4607" s="17"/>
      <c r="O4607" s="17"/>
      <c r="P4607" s="17"/>
      <c r="Q4607" s="17"/>
      <c r="R4607" s="17"/>
      <c r="S4607" s="17"/>
      <c r="T4607" s="17"/>
      <c r="U4607" s="17"/>
      <c r="V4607" s="18">
        <v>0</v>
      </c>
      <c r="W4607" s="17">
        <f t="shared" si="139"/>
        <v>0</v>
      </c>
    </row>
    <row r="4608" spans="1:23" x14ac:dyDescent="0.25">
      <c r="A4608" s="17"/>
      <c r="B4608" s="17"/>
      <c r="C4608" s="17"/>
      <c r="D4608" s="17"/>
      <c r="E4608" s="17"/>
      <c r="F4608" s="17"/>
      <c r="G4608" s="17"/>
      <c r="H4608" s="17"/>
      <c r="I4608" s="17"/>
      <c r="J4608" s="17"/>
      <c r="K4608" s="17"/>
      <c r="L4608" s="17"/>
      <c r="M4608" s="17"/>
      <c r="N4608" s="17"/>
      <c r="O4608" s="17"/>
      <c r="P4608" s="17"/>
      <c r="Q4608" s="17"/>
      <c r="R4608" s="17"/>
      <c r="S4608" s="17"/>
      <c r="T4608" s="17"/>
      <c r="U4608" s="17"/>
      <c r="V4608" s="18">
        <v>0</v>
      </c>
      <c r="W4608" s="17">
        <f t="shared" si="139"/>
        <v>0</v>
      </c>
    </row>
    <row r="4609" spans="1:23" x14ac:dyDescent="0.25">
      <c r="A4609" s="17"/>
      <c r="B4609" s="17"/>
      <c r="C4609" s="17"/>
      <c r="D4609" s="17"/>
      <c r="E4609" s="17"/>
      <c r="F4609" s="17"/>
      <c r="G4609" s="17"/>
      <c r="H4609" s="17"/>
      <c r="I4609" s="17"/>
      <c r="J4609" s="17"/>
      <c r="K4609" s="17"/>
      <c r="L4609" s="17"/>
      <c r="M4609" s="17"/>
      <c r="N4609" s="17"/>
      <c r="O4609" s="17"/>
      <c r="P4609" s="17"/>
      <c r="Q4609" s="17"/>
      <c r="R4609" s="17"/>
      <c r="S4609" s="17"/>
      <c r="T4609" s="17"/>
      <c r="U4609" s="17"/>
      <c r="V4609" s="18">
        <v>0</v>
      </c>
      <c r="W4609" s="17">
        <f t="shared" si="139"/>
        <v>0</v>
      </c>
    </row>
    <row r="4610" spans="1:23" x14ac:dyDescent="0.25">
      <c r="A4610" s="17"/>
      <c r="B4610" s="17"/>
      <c r="C4610" s="17"/>
      <c r="D4610" s="17"/>
      <c r="E4610" s="17"/>
      <c r="F4610" s="17"/>
      <c r="G4610" s="17"/>
      <c r="H4610" s="17"/>
      <c r="I4610" s="17"/>
      <c r="J4610" s="17"/>
      <c r="K4610" s="17"/>
      <c r="L4610" s="17"/>
      <c r="M4610" s="17"/>
      <c r="N4610" s="17"/>
      <c r="O4610" s="17"/>
      <c r="P4610" s="17"/>
      <c r="Q4610" s="17"/>
      <c r="R4610" s="17"/>
      <c r="S4610" s="17"/>
      <c r="T4610" s="17"/>
      <c r="U4610" s="17"/>
      <c r="V4610" s="18">
        <v>0</v>
      </c>
      <c r="W4610" s="17">
        <f t="shared" si="139"/>
        <v>0</v>
      </c>
    </row>
    <row r="4611" spans="1:23" x14ac:dyDescent="0.25">
      <c r="A4611" s="17"/>
      <c r="B4611" s="17"/>
      <c r="C4611" s="17"/>
      <c r="D4611" s="17"/>
      <c r="E4611" s="17"/>
      <c r="F4611" s="17"/>
      <c r="G4611" s="17"/>
      <c r="H4611" s="17"/>
      <c r="I4611" s="17"/>
      <c r="J4611" s="17"/>
      <c r="K4611" s="17"/>
      <c r="L4611" s="17"/>
      <c r="M4611" s="17"/>
      <c r="N4611" s="17"/>
      <c r="O4611" s="17"/>
      <c r="P4611" s="17"/>
      <c r="Q4611" s="17"/>
      <c r="R4611" s="17"/>
      <c r="S4611" s="17"/>
      <c r="T4611" s="17"/>
      <c r="U4611" s="17"/>
      <c r="V4611" s="18">
        <v>0</v>
      </c>
      <c r="W4611" s="17">
        <f t="shared" ref="W4611:W4674" si="140">HOUR(E4611)</f>
        <v>0</v>
      </c>
    </row>
    <row r="4612" spans="1:23" x14ac:dyDescent="0.25">
      <c r="A4612" s="17"/>
      <c r="B4612" s="17"/>
      <c r="C4612" s="17"/>
      <c r="D4612" s="17"/>
      <c r="E4612" s="17"/>
      <c r="F4612" s="17"/>
      <c r="G4612" s="17"/>
      <c r="H4612" s="17"/>
      <c r="I4612" s="17"/>
      <c r="J4612" s="17"/>
      <c r="K4612" s="17"/>
      <c r="L4612" s="17"/>
      <c r="M4612" s="17"/>
      <c r="N4612" s="17"/>
      <c r="O4612" s="17"/>
      <c r="P4612" s="17"/>
      <c r="Q4612" s="17"/>
      <c r="R4612" s="17"/>
      <c r="S4612" s="17"/>
      <c r="T4612" s="17"/>
      <c r="U4612" s="17"/>
      <c r="V4612" s="18">
        <v>0</v>
      </c>
      <c r="W4612" s="17">
        <f t="shared" si="140"/>
        <v>0</v>
      </c>
    </row>
    <row r="4613" spans="1:23" x14ac:dyDescent="0.25">
      <c r="A4613" s="17"/>
      <c r="B4613" s="17"/>
      <c r="C4613" s="17"/>
      <c r="D4613" s="17"/>
      <c r="E4613" s="17"/>
      <c r="F4613" s="17"/>
      <c r="G4613" s="17"/>
      <c r="H4613" s="17"/>
      <c r="I4613" s="17"/>
      <c r="J4613" s="17"/>
      <c r="K4613" s="17"/>
      <c r="L4613" s="17"/>
      <c r="M4613" s="17"/>
      <c r="N4613" s="17"/>
      <c r="O4613" s="17"/>
      <c r="P4613" s="17"/>
      <c r="Q4613" s="17"/>
      <c r="R4613" s="17"/>
      <c r="S4613" s="17"/>
      <c r="T4613" s="17"/>
      <c r="U4613" s="17"/>
      <c r="V4613" s="18">
        <v>0</v>
      </c>
      <c r="W4613" s="17">
        <f t="shared" si="140"/>
        <v>0</v>
      </c>
    </row>
    <row r="4614" spans="1:23" x14ac:dyDescent="0.25">
      <c r="A4614" s="17"/>
      <c r="B4614" s="17"/>
      <c r="C4614" s="17"/>
      <c r="D4614" s="17"/>
      <c r="E4614" s="17"/>
      <c r="F4614" s="17"/>
      <c r="G4614" s="17"/>
      <c r="H4614" s="17"/>
      <c r="I4614" s="17"/>
      <c r="J4614" s="17"/>
      <c r="K4614" s="17"/>
      <c r="L4614" s="17"/>
      <c r="M4614" s="17"/>
      <c r="N4614" s="17"/>
      <c r="O4614" s="17"/>
      <c r="P4614" s="17"/>
      <c r="Q4614" s="17"/>
      <c r="R4614" s="17"/>
      <c r="S4614" s="17"/>
      <c r="T4614" s="17"/>
      <c r="U4614" s="17"/>
      <c r="V4614" s="18">
        <v>0</v>
      </c>
      <c r="W4614" s="17">
        <f t="shared" si="140"/>
        <v>0</v>
      </c>
    </row>
    <row r="4615" spans="1:23" x14ac:dyDescent="0.25">
      <c r="A4615" s="17"/>
      <c r="B4615" s="17"/>
      <c r="C4615" s="17"/>
      <c r="D4615" s="17"/>
      <c r="E4615" s="17"/>
      <c r="F4615" s="17"/>
      <c r="G4615" s="17"/>
      <c r="H4615" s="17"/>
      <c r="I4615" s="17"/>
      <c r="J4615" s="17"/>
      <c r="K4615" s="17"/>
      <c r="L4615" s="17"/>
      <c r="M4615" s="17"/>
      <c r="N4615" s="17"/>
      <c r="O4615" s="17"/>
      <c r="P4615" s="17"/>
      <c r="Q4615" s="17"/>
      <c r="R4615" s="17"/>
      <c r="S4615" s="17"/>
      <c r="T4615" s="17"/>
      <c r="U4615" s="17"/>
      <c r="V4615" s="18">
        <v>0</v>
      </c>
      <c r="W4615" s="17">
        <f t="shared" si="140"/>
        <v>0</v>
      </c>
    </row>
    <row r="4616" spans="1:23" x14ac:dyDescent="0.25">
      <c r="A4616" s="17"/>
      <c r="B4616" s="17"/>
      <c r="C4616" s="17"/>
      <c r="D4616" s="17"/>
      <c r="E4616" s="17"/>
      <c r="F4616" s="17"/>
      <c r="G4616" s="17"/>
      <c r="H4616" s="17"/>
      <c r="I4616" s="17"/>
      <c r="J4616" s="17"/>
      <c r="K4616" s="17"/>
      <c r="L4616" s="17"/>
      <c r="M4616" s="17"/>
      <c r="N4616" s="17"/>
      <c r="O4616" s="17"/>
      <c r="P4616" s="17"/>
      <c r="Q4616" s="17"/>
      <c r="R4616" s="17"/>
      <c r="S4616" s="17"/>
      <c r="T4616" s="17"/>
      <c r="U4616" s="17"/>
      <c r="V4616" s="18">
        <v>0</v>
      </c>
      <c r="W4616" s="17">
        <f t="shared" si="140"/>
        <v>0</v>
      </c>
    </row>
    <row r="4617" spans="1:23" x14ac:dyDescent="0.25">
      <c r="A4617" s="17"/>
      <c r="B4617" s="17"/>
      <c r="C4617" s="17"/>
      <c r="D4617" s="17"/>
      <c r="E4617" s="17"/>
      <c r="F4617" s="17"/>
      <c r="G4617" s="17"/>
      <c r="H4617" s="17"/>
      <c r="I4617" s="17"/>
      <c r="J4617" s="17"/>
      <c r="K4617" s="17"/>
      <c r="L4617" s="17"/>
      <c r="M4617" s="17"/>
      <c r="N4617" s="17"/>
      <c r="O4617" s="17"/>
      <c r="P4617" s="17"/>
      <c r="Q4617" s="17"/>
      <c r="R4617" s="17"/>
      <c r="S4617" s="17"/>
      <c r="T4617" s="17"/>
      <c r="U4617" s="17"/>
      <c r="V4617" s="18">
        <v>0</v>
      </c>
      <c r="W4617" s="17">
        <f t="shared" si="140"/>
        <v>0</v>
      </c>
    </row>
    <row r="4618" spans="1:23" x14ac:dyDescent="0.25">
      <c r="A4618" s="17"/>
      <c r="B4618" s="17"/>
      <c r="C4618" s="17"/>
      <c r="D4618" s="17"/>
      <c r="E4618" s="17"/>
      <c r="F4618" s="17"/>
      <c r="G4618" s="17"/>
      <c r="H4618" s="17"/>
      <c r="I4618" s="17"/>
      <c r="J4618" s="17"/>
      <c r="K4618" s="17"/>
      <c r="L4618" s="17"/>
      <c r="M4618" s="17"/>
      <c r="N4618" s="17"/>
      <c r="O4618" s="17"/>
      <c r="P4618" s="17"/>
      <c r="Q4618" s="17"/>
      <c r="R4618" s="17"/>
      <c r="S4618" s="17"/>
      <c r="T4618" s="17"/>
      <c r="U4618" s="17"/>
      <c r="V4618" s="18">
        <v>0</v>
      </c>
      <c r="W4618" s="17">
        <f t="shared" si="140"/>
        <v>0</v>
      </c>
    </row>
    <row r="4619" spans="1:23" x14ac:dyDescent="0.25">
      <c r="A4619" s="17"/>
      <c r="B4619" s="17"/>
      <c r="C4619" s="17"/>
      <c r="D4619" s="17"/>
      <c r="E4619" s="17"/>
      <c r="F4619" s="17"/>
      <c r="G4619" s="17"/>
      <c r="H4619" s="17"/>
      <c r="I4619" s="17"/>
      <c r="J4619" s="17"/>
      <c r="K4619" s="17"/>
      <c r="L4619" s="17"/>
      <c r="M4619" s="17"/>
      <c r="N4619" s="17"/>
      <c r="O4619" s="17"/>
      <c r="P4619" s="17"/>
      <c r="Q4619" s="17"/>
      <c r="R4619" s="17"/>
      <c r="S4619" s="17"/>
      <c r="T4619" s="17"/>
      <c r="U4619" s="17"/>
      <c r="V4619" s="18">
        <v>0</v>
      </c>
      <c r="W4619" s="17">
        <f t="shared" si="140"/>
        <v>0</v>
      </c>
    </row>
    <row r="4620" spans="1:23" x14ac:dyDescent="0.25">
      <c r="A4620" s="17"/>
      <c r="B4620" s="17"/>
      <c r="C4620" s="17"/>
      <c r="D4620" s="17"/>
      <c r="E4620" s="17"/>
      <c r="F4620" s="17"/>
      <c r="G4620" s="17"/>
      <c r="H4620" s="17"/>
      <c r="I4620" s="17"/>
      <c r="J4620" s="17"/>
      <c r="K4620" s="17"/>
      <c r="L4620" s="17"/>
      <c r="M4620" s="17"/>
      <c r="N4620" s="17"/>
      <c r="O4620" s="17"/>
      <c r="P4620" s="17"/>
      <c r="Q4620" s="17"/>
      <c r="R4620" s="17"/>
      <c r="S4620" s="17"/>
      <c r="T4620" s="17"/>
      <c r="U4620" s="17"/>
      <c r="V4620" s="18">
        <v>0</v>
      </c>
      <c r="W4620" s="17">
        <f t="shared" si="140"/>
        <v>0</v>
      </c>
    </row>
    <row r="4621" spans="1:23" x14ac:dyDescent="0.25">
      <c r="A4621" s="17"/>
      <c r="B4621" s="17"/>
      <c r="C4621" s="17"/>
      <c r="D4621" s="17"/>
      <c r="E4621" s="17"/>
      <c r="F4621" s="17"/>
      <c r="G4621" s="17"/>
      <c r="H4621" s="17"/>
      <c r="I4621" s="17"/>
      <c r="J4621" s="17"/>
      <c r="K4621" s="17"/>
      <c r="L4621" s="17"/>
      <c r="M4621" s="17"/>
      <c r="N4621" s="17"/>
      <c r="O4621" s="17"/>
      <c r="P4621" s="17"/>
      <c r="Q4621" s="17"/>
      <c r="R4621" s="17"/>
      <c r="S4621" s="17"/>
      <c r="T4621" s="17"/>
      <c r="U4621" s="17"/>
      <c r="V4621" s="18">
        <v>0</v>
      </c>
      <c r="W4621" s="17">
        <f t="shared" si="140"/>
        <v>0</v>
      </c>
    </row>
    <row r="4622" spans="1:23" x14ac:dyDescent="0.25">
      <c r="A4622" s="17"/>
      <c r="B4622" s="17"/>
      <c r="C4622" s="17"/>
      <c r="D4622" s="17"/>
      <c r="E4622" s="17"/>
      <c r="F4622" s="17"/>
      <c r="G4622" s="17"/>
      <c r="H4622" s="17"/>
      <c r="I4622" s="17"/>
      <c r="J4622" s="17"/>
      <c r="K4622" s="17"/>
      <c r="L4622" s="17"/>
      <c r="M4622" s="17"/>
      <c r="N4622" s="17"/>
      <c r="O4622" s="17"/>
      <c r="P4622" s="17"/>
      <c r="Q4622" s="17"/>
      <c r="R4622" s="17"/>
      <c r="S4622" s="17"/>
      <c r="T4622" s="17"/>
      <c r="U4622" s="17"/>
      <c r="V4622" s="18">
        <v>0</v>
      </c>
      <c r="W4622" s="17">
        <f t="shared" si="140"/>
        <v>0</v>
      </c>
    </row>
    <row r="4623" spans="1:23" x14ac:dyDescent="0.25">
      <c r="A4623" s="17"/>
      <c r="B4623" s="17"/>
      <c r="C4623" s="17"/>
      <c r="D4623" s="17"/>
      <c r="E4623" s="17"/>
      <c r="F4623" s="17"/>
      <c r="G4623" s="17"/>
      <c r="H4623" s="17"/>
      <c r="I4623" s="17"/>
      <c r="J4623" s="17"/>
      <c r="K4623" s="17"/>
      <c r="L4623" s="17"/>
      <c r="M4623" s="17"/>
      <c r="N4623" s="17"/>
      <c r="O4623" s="17"/>
      <c r="P4623" s="17"/>
      <c r="Q4623" s="17"/>
      <c r="R4623" s="17"/>
      <c r="S4623" s="17"/>
      <c r="T4623" s="17"/>
      <c r="U4623" s="17"/>
      <c r="V4623" s="18">
        <v>0</v>
      </c>
      <c r="W4623" s="17">
        <f t="shared" si="140"/>
        <v>0</v>
      </c>
    </row>
    <row r="4624" spans="1:23" x14ac:dyDescent="0.25">
      <c r="A4624" s="17"/>
      <c r="B4624" s="17"/>
      <c r="C4624" s="17"/>
      <c r="D4624" s="17"/>
      <c r="E4624" s="17"/>
      <c r="F4624" s="17"/>
      <c r="G4624" s="17"/>
      <c r="H4624" s="17"/>
      <c r="I4624" s="17"/>
      <c r="J4624" s="17"/>
      <c r="K4624" s="17"/>
      <c r="L4624" s="17"/>
      <c r="M4624" s="17"/>
      <c r="N4624" s="17"/>
      <c r="O4624" s="17"/>
      <c r="P4624" s="17"/>
      <c r="Q4624" s="17"/>
      <c r="R4624" s="17"/>
      <c r="S4624" s="17"/>
      <c r="T4624" s="17"/>
      <c r="U4624" s="17"/>
      <c r="V4624" s="18">
        <v>0</v>
      </c>
      <c r="W4624" s="17">
        <f t="shared" si="140"/>
        <v>0</v>
      </c>
    </row>
    <row r="4625" spans="1:23" x14ac:dyDescent="0.25">
      <c r="A4625" s="17"/>
      <c r="B4625" s="17"/>
      <c r="C4625" s="17"/>
      <c r="D4625" s="17"/>
      <c r="E4625" s="17"/>
      <c r="F4625" s="17"/>
      <c r="G4625" s="17"/>
      <c r="H4625" s="17"/>
      <c r="I4625" s="17"/>
      <c r="J4625" s="17"/>
      <c r="K4625" s="17"/>
      <c r="L4625" s="17"/>
      <c r="M4625" s="17"/>
      <c r="N4625" s="17"/>
      <c r="O4625" s="17"/>
      <c r="P4625" s="17"/>
      <c r="Q4625" s="17"/>
      <c r="R4625" s="17"/>
      <c r="S4625" s="17"/>
      <c r="T4625" s="17"/>
      <c r="U4625" s="17"/>
      <c r="V4625" s="18">
        <v>0</v>
      </c>
      <c r="W4625" s="17">
        <f t="shared" si="140"/>
        <v>0</v>
      </c>
    </row>
    <row r="4626" spans="1:23" x14ac:dyDescent="0.25">
      <c r="A4626" s="17"/>
      <c r="B4626" s="17"/>
      <c r="C4626" s="17"/>
      <c r="D4626" s="17"/>
      <c r="E4626" s="17"/>
      <c r="F4626" s="17"/>
      <c r="G4626" s="17"/>
      <c r="H4626" s="17"/>
      <c r="I4626" s="17"/>
      <c r="J4626" s="17"/>
      <c r="K4626" s="17"/>
      <c r="L4626" s="17"/>
      <c r="M4626" s="17"/>
      <c r="N4626" s="17"/>
      <c r="O4626" s="17"/>
      <c r="P4626" s="17"/>
      <c r="Q4626" s="17"/>
      <c r="R4626" s="17"/>
      <c r="S4626" s="17"/>
      <c r="T4626" s="17"/>
      <c r="U4626" s="17"/>
      <c r="V4626" s="18">
        <v>0</v>
      </c>
      <c r="W4626" s="17">
        <f t="shared" si="140"/>
        <v>0</v>
      </c>
    </row>
    <row r="4627" spans="1:23" x14ac:dyDescent="0.25">
      <c r="A4627" s="17"/>
      <c r="B4627" s="17"/>
      <c r="C4627" s="17"/>
      <c r="D4627" s="17"/>
      <c r="E4627" s="17"/>
      <c r="F4627" s="17"/>
      <c r="G4627" s="17"/>
      <c r="H4627" s="17"/>
      <c r="I4627" s="17"/>
      <c r="J4627" s="17"/>
      <c r="K4627" s="17"/>
      <c r="L4627" s="17"/>
      <c r="M4627" s="17"/>
      <c r="N4627" s="17"/>
      <c r="O4627" s="17"/>
      <c r="P4627" s="17"/>
      <c r="Q4627" s="17"/>
      <c r="R4627" s="17"/>
      <c r="S4627" s="17"/>
      <c r="T4627" s="17"/>
      <c r="U4627" s="17"/>
      <c r="V4627" s="18">
        <v>0</v>
      </c>
      <c r="W4627" s="17">
        <f t="shared" si="140"/>
        <v>0</v>
      </c>
    </row>
    <row r="4628" spans="1:23" x14ac:dyDescent="0.25">
      <c r="A4628" s="17"/>
      <c r="B4628" s="17"/>
      <c r="C4628" s="17"/>
      <c r="D4628" s="17"/>
      <c r="E4628" s="17"/>
      <c r="F4628" s="17"/>
      <c r="G4628" s="17"/>
      <c r="H4628" s="17"/>
      <c r="I4628" s="17"/>
      <c r="J4628" s="17"/>
      <c r="K4628" s="17"/>
      <c r="L4628" s="17"/>
      <c r="M4628" s="17"/>
      <c r="N4628" s="17"/>
      <c r="O4628" s="17"/>
      <c r="P4628" s="17"/>
      <c r="Q4628" s="17"/>
      <c r="R4628" s="17"/>
      <c r="S4628" s="17"/>
      <c r="T4628" s="17"/>
      <c r="U4628" s="17"/>
      <c r="V4628" s="18">
        <v>0</v>
      </c>
      <c r="W4628" s="17">
        <f t="shared" si="140"/>
        <v>0</v>
      </c>
    </row>
    <row r="4629" spans="1:23" x14ac:dyDescent="0.25">
      <c r="A4629" s="17"/>
      <c r="B4629" s="17"/>
      <c r="C4629" s="17"/>
      <c r="D4629" s="17"/>
      <c r="E4629" s="17"/>
      <c r="F4629" s="17"/>
      <c r="G4629" s="17"/>
      <c r="H4629" s="17"/>
      <c r="I4629" s="17"/>
      <c r="J4629" s="17"/>
      <c r="K4629" s="17"/>
      <c r="L4629" s="17"/>
      <c r="M4629" s="17"/>
      <c r="N4629" s="17"/>
      <c r="O4629" s="17"/>
      <c r="P4629" s="17"/>
      <c r="Q4629" s="17"/>
      <c r="R4629" s="17"/>
      <c r="S4629" s="17"/>
      <c r="T4629" s="17"/>
      <c r="U4629" s="17"/>
      <c r="V4629" s="18">
        <v>0</v>
      </c>
      <c r="W4629" s="17">
        <f t="shared" si="140"/>
        <v>0</v>
      </c>
    </row>
    <row r="4630" spans="1:23" x14ac:dyDescent="0.25">
      <c r="A4630" s="17"/>
      <c r="B4630" s="17"/>
      <c r="C4630" s="17"/>
      <c r="D4630" s="17"/>
      <c r="E4630" s="17"/>
      <c r="F4630" s="17"/>
      <c r="G4630" s="17"/>
      <c r="H4630" s="17"/>
      <c r="I4630" s="17"/>
      <c r="J4630" s="17"/>
      <c r="K4630" s="17"/>
      <c r="L4630" s="17"/>
      <c r="M4630" s="17"/>
      <c r="N4630" s="17"/>
      <c r="O4630" s="17"/>
      <c r="P4630" s="17"/>
      <c r="Q4630" s="17"/>
      <c r="R4630" s="17"/>
      <c r="S4630" s="17"/>
      <c r="T4630" s="17"/>
      <c r="U4630" s="17"/>
      <c r="V4630" s="18">
        <v>0</v>
      </c>
      <c r="W4630" s="17">
        <f t="shared" si="140"/>
        <v>0</v>
      </c>
    </row>
    <row r="4631" spans="1:23" x14ac:dyDescent="0.25">
      <c r="A4631" s="17"/>
      <c r="B4631" s="17"/>
      <c r="C4631" s="17"/>
      <c r="D4631" s="17"/>
      <c r="E4631" s="17"/>
      <c r="F4631" s="17"/>
      <c r="G4631" s="17"/>
      <c r="H4631" s="17"/>
      <c r="I4631" s="17"/>
      <c r="J4631" s="17"/>
      <c r="K4631" s="17"/>
      <c r="L4631" s="17"/>
      <c r="M4631" s="17"/>
      <c r="N4631" s="17"/>
      <c r="O4631" s="17"/>
      <c r="P4631" s="17"/>
      <c r="Q4631" s="17"/>
      <c r="R4631" s="17"/>
      <c r="S4631" s="17"/>
      <c r="T4631" s="17"/>
      <c r="U4631" s="17"/>
      <c r="V4631" s="18">
        <v>0</v>
      </c>
      <c r="W4631" s="17">
        <f t="shared" si="140"/>
        <v>0</v>
      </c>
    </row>
    <row r="4632" spans="1:23" x14ac:dyDescent="0.25">
      <c r="A4632" s="17"/>
      <c r="B4632" s="17"/>
      <c r="C4632" s="17"/>
      <c r="D4632" s="17"/>
      <c r="E4632" s="17"/>
      <c r="F4632" s="17"/>
      <c r="G4632" s="17"/>
      <c r="H4632" s="17"/>
      <c r="I4632" s="17"/>
      <c r="J4632" s="17"/>
      <c r="K4632" s="17"/>
      <c r="L4632" s="17"/>
      <c r="M4632" s="17"/>
      <c r="N4632" s="17"/>
      <c r="O4632" s="17"/>
      <c r="P4632" s="17"/>
      <c r="Q4632" s="17"/>
      <c r="R4632" s="17"/>
      <c r="S4632" s="17"/>
      <c r="T4632" s="17"/>
      <c r="U4632" s="17"/>
      <c r="V4632" s="18">
        <v>0</v>
      </c>
      <c r="W4632" s="17">
        <f t="shared" si="140"/>
        <v>0</v>
      </c>
    </row>
    <row r="4633" spans="1:23" x14ac:dyDescent="0.25">
      <c r="A4633" s="17"/>
      <c r="B4633" s="17"/>
      <c r="C4633" s="17"/>
      <c r="D4633" s="17"/>
      <c r="E4633" s="17"/>
      <c r="F4633" s="17"/>
      <c r="G4633" s="17"/>
      <c r="H4633" s="17"/>
      <c r="I4633" s="17"/>
      <c r="J4633" s="17"/>
      <c r="K4633" s="17"/>
      <c r="L4633" s="17"/>
      <c r="M4633" s="17"/>
      <c r="N4633" s="17"/>
      <c r="O4633" s="17"/>
      <c r="P4633" s="17"/>
      <c r="Q4633" s="17"/>
      <c r="R4633" s="17"/>
      <c r="S4633" s="17"/>
      <c r="T4633" s="17"/>
      <c r="U4633" s="17"/>
      <c r="V4633" s="18">
        <v>0</v>
      </c>
      <c r="W4633" s="17">
        <f t="shared" si="140"/>
        <v>0</v>
      </c>
    </row>
    <row r="4634" spans="1:23" x14ac:dyDescent="0.25">
      <c r="A4634" s="17"/>
      <c r="B4634" s="17"/>
      <c r="C4634" s="17"/>
      <c r="D4634" s="17"/>
      <c r="E4634" s="17"/>
      <c r="F4634" s="17"/>
      <c r="G4634" s="17"/>
      <c r="H4634" s="17"/>
      <c r="I4634" s="17"/>
      <c r="J4634" s="17"/>
      <c r="K4634" s="17"/>
      <c r="L4634" s="17"/>
      <c r="M4634" s="17"/>
      <c r="N4634" s="17"/>
      <c r="O4634" s="17"/>
      <c r="P4634" s="17"/>
      <c r="Q4634" s="17"/>
      <c r="R4634" s="17"/>
      <c r="S4634" s="17"/>
      <c r="T4634" s="17"/>
      <c r="U4634" s="17"/>
      <c r="V4634" s="18">
        <v>0</v>
      </c>
      <c r="W4634" s="17">
        <f t="shared" si="140"/>
        <v>0</v>
      </c>
    </row>
    <row r="4635" spans="1:23" x14ac:dyDescent="0.25">
      <c r="A4635" s="17"/>
      <c r="B4635" s="17"/>
      <c r="C4635" s="17"/>
      <c r="D4635" s="17"/>
      <c r="E4635" s="17"/>
      <c r="F4635" s="17"/>
      <c r="G4635" s="17"/>
      <c r="H4635" s="17"/>
      <c r="I4635" s="17"/>
      <c r="J4635" s="17"/>
      <c r="K4635" s="17"/>
      <c r="L4635" s="17"/>
      <c r="M4635" s="17"/>
      <c r="N4635" s="17"/>
      <c r="O4635" s="17"/>
      <c r="P4635" s="17"/>
      <c r="Q4635" s="17"/>
      <c r="R4635" s="17"/>
      <c r="S4635" s="17"/>
      <c r="T4635" s="17"/>
      <c r="U4635" s="17"/>
      <c r="V4635" s="18">
        <v>0</v>
      </c>
      <c r="W4635" s="17">
        <f t="shared" si="140"/>
        <v>0</v>
      </c>
    </row>
    <row r="4636" spans="1:23" x14ac:dyDescent="0.25">
      <c r="A4636" s="17"/>
      <c r="B4636" s="17"/>
      <c r="C4636" s="17"/>
      <c r="D4636" s="17"/>
      <c r="E4636" s="17"/>
      <c r="F4636" s="17"/>
      <c r="G4636" s="17"/>
      <c r="H4636" s="17"/>
      <c r="I4636" s="17"/>
      <c r="J4636" s="17"/>
      <c r="K4636" s="17"/>
      <c r="L4636" s="17"/>
      <c r="M4636" s="17"/>
      <c r="N4636" s="17"/>
      <c r="O4636" s="17"/>
      <c r="P4636" s="17"/>
      <c r="Q4636" s="17"/>
      <c r="R4636" s="17"/>
      <c r="S4636" s="17"/>
      <c r="T4636" s="17"/>
      <c r="U4636" s="17"/>
      <c r="V4636" s="18">
        <v>0</v>
      </c>
      <c r="W4636" s="17">
        <f t="shared" si="140"/>
        <v>0</v>
      </c>
    </row>
    <row r="4637" spans="1:23" x14ac:dyDescent="0.25">
      <c r="A4637" s="17"/>
      <c r="B4637" s="17"/>
      <c r="C4637" s="17"/>
      <c r="D4637" s="17"/>
      <c r="E4637" s="17"/>
      <c r="F4637" s="17"/>
      <c r="G4637" s="17"/>
      <c r="H4637" s="17"/>
      <c r="I4637" s="17"/>
      <c r="J4637" s="17"/>
      <c r="K4637" s="17"/>
      <c r="L4637" s="17"/>
      <c r="M4637" s="17"/>
      <c r="N4637" s="17"/>
      <c r="O4637" s="17"/>
      <c r="P4637" s="17"/>
      <c r="Q4637" s="17"/>
      <c r="R4637" s="17"/>
      <c r="S4637" s="17"/>
      <c r="T4637" s="17"/>
      <c r="U4637" s="17"/>
      <c r="V4637" s="18">
        <v>0</v>
      </c>
      <c r="W4637" s="17">
        <f t="shared" si="140"/>
        <v>0</v>
      </c>
    </row>
    <row r="4638" spans="1:23" x14ac:dyDescent="0.25">
      <c r="A4638" s="17"/>
      <c r="B4638" s="17"/>
      <c r="C4638" s="17"/>
      <c r="D4638" s="17"/>
      <c r="E4638" s="17"/>
      <c r="F4638" s="17"/>
      <c r="G4638" s="17"/>
      <c r="H4638" s="17"/>
      <c r="I4638" s="17"/>
      <c r="J4638" s="17"/>
      <c r="K4638" s="17"/>
      <c r="L4638" s="17"/>
      <c r="M4638" s="17"/>
      <c r="N4638" s="17"/>
      <c r="O4638" s="17"/>
      <c r="P4638" s="17"/>
      <c r="Q4638" s="17"/>
      <c r="R4638" s="17"/>
      <c r="S4638" s="17"/>
      <c r="T4638" s="17"/>
      <c r="U4638" s="17"/>
      <c r="V4638" s="18">
        <v>0</v>
      </c>
      <c r="W4638" s="17">
        <f t="shared" si="140"/>
        <v>0</v>
      </c>
    </row>
    <row r="4639" spans="1:23" x14ac:dyDescent="0.25">
      <c r="A4639" s="17"/>
      <c r="B4639" s="17"/>
      <c r="C4639" s="17"/>
      <c r="D4639" s="17"/>
      <c r="E4639" s="17"/>
      <c r="F4639" s="17"/>
      <c r="G4639" s="17"/>
      <c r="H4639" s="17"/>
      <c r="I4639" s="17"/>
      <c r="J4639" s="17"/>
      <c r="K4639" s="17"/>
      <c r="L4639" s="17"/>
      <c r="M4639" s="17"/>
      <c r="N4639" s="17"/>
      <c r="O4639" s="17"/>
      <c r="P4639" s="17"/>
      <c r="Q4639" s="17"/>
      <c r="R4639" s="17"/>
      <c r="S4639" s="17"/>
      <c r="T4639" s="17"/>
      <c r="U4639" s="17"/>
      <c r="V4639" s="18">
        <v>0</v>
      </c>
      <c r="W4639" s="17">
        <f t="shared" si="140"/>
        <v>0</v>
      </c>
    </row>
    <row r="4640" spans="1:23" x14ac:dyDescent="0.25">
      <c r="A4640" s="17"/>
      <c r="B4640" s="17"/>
      <c r="C4640" s="17"/>
      <c r="D4640" s="17"/>
      <c r="E4640" s="17"/>
      <c r="F4640" s="17"/>
      <c r="G4640" s="17"/>
      <c r="H4640" s="17"/>
      <c r="I4640" s="17"/>
      <c r="J4640" s="17"/>
      <c r="K4640" s="17"/>
      <c r="L4640" s="17"/>
      <c r="M4640" s="17"/>
      <c r="N4640" s="17"/>
      <c r="O4640" s="17"/>
      <c r="P4640" s="17"/>
      <c r="Q4640" s="17"/>
      <c r="R4640" s="17"/>
      <c r="S4640" s="17"/>
      <c r="T4640" s="17"/>
      <c r="U4640" s="17"/>
      <c r="V4640" s="18">
        <v>0</v>
      </c>
      <c r="W4640" s="17">
        <f t="shared" si="140"/>
        <v>0</v>
      </c>
    </row>
    <row r="4641" spans="1:23" x14ac:dyDescent="0.25">
      <c r="A4641" s="17"/>
      <c r="B4641" s="17"/>
      <c r="C4641" s="17"/>
      <c r="D4641" s="17"/>
      <c r="E4641" s="17"/>
      <c r="F4641" s="17"/>
      <c r="G4641" s="17"/>
      <c r="H4641" s="17"/>
      <c r="I4641" s="17"/>
      <c r="J4641" s="17"/>
      <c r="K4641" s="17"/>
      <c r="L4641" s="17"/>
      <c r="M4641" s="17"/>
      <c r="N4641" s="17"/>
      <c r="O4641" s="17"/>
      <c r="P4641" s="17"/>
      <c r="Q4641" s="17"/>
      <c r="R4641" s="17"/>
      <c r="S4641" s="17"/>
      <c r="T4641" s="17"/>
      <c r="U4641" s="17"/>
      <c r="V4641" s="18">
        <v>0</v>
      </c>
      <c r="W4641" s="17">
        <f t="shared" si="140"/>
        <v>0</v>
      </c>
    </row>
    <row r="4642" spans="1:23" x14ac:dyDescent="0.25">
      <c r="A4642" s="17"/>
      <c r="B4642" s="17"/>
      <c r="C4642" s="17"/>
      <c r="D4642" s="17"/>
      <c r="E4642" s="17"/>
      <c r="F4642" s="17"/>
      <c r="G4642" s="17"/>
      <c r="H4642" s="17"/>
      <c r="I4642" s="17"/>
      <c r="J4642" s="17"/>
      <c r="K4642" s="17"/>
      <c r="L4642" s="17"/>
      <c r="M4642" s="17"/>
      <c r="N4642" s="17"/>
      <c r="O4642" s="17"/>
      <c r="P4642" s="17"/>
      <c r="Q4642" s="17"/>
      <c r="R4642" s="17"/>
      <c r="S4642" s="17"/>
      <c r="T4642" s="17"/>
      <c r="U4642" s="17"/>
      <c r="V4642" s="18">
        <v>0</v>
      </c>
      <c r="W4642" s="17">
        <f t="shared" si="140"/>
        <v>0</v>
      </c>
    </row>
    <row r="4643" spans="1:23" x14ac:dyDescent="0.25">
      <c r="A4643" s="17"/>
      <c r="B4643" s="17"/>
      <c r="C4643" s="17"/>
      <c r="D4643" s="17"/>
      <c r="E4643" s="17"/>
      <c r="F4643" s="17"/>
      <c r="G4643" s="17"/>
      <c r="H4643" s="17"/>
      <c r="I4643" s="17"/>
      <c r="J4643" s="17"/>
      <c r="K4643" s="17"/>
      <c r="L4643" s="17"/>
      <c r="M4643" s="17"/>
      <c r="N4643" s="17"/>
      <c r="O4643" s="17"/>
      <c r="P4643" s="17"/>
      <c r="Q4643" s="17"/>
      <c r="R4643" s="17"/>
      <c r="S4643" s="17"/>
      <c r="T4643" s="17"/>
      <c r="U4643" s="17"/>
      <c r="V4643" s="18">
        <v>0</v>
      </c>
      <c r="W4643" s="17">
        <f t="shared" si="140"/>
        <v>0</v>
      </c>
    </row>
    <row r="4644" spans="1:23" x14ac:dyDescent="0.25">
      <c r="A4644" s="17"/>
      <c r="B4644" s="17"/>
      <c r="C4644" s="17"/>
      <c r="D4644" s="17"/>
      <c r="E4644" s="17"/>
      <c r="F4644" s="17"/>
      <c r="G4644" s="17"/>
      <c r="H4644" s="17"/>
      <c r="I4644" s="17"/>
      <c r="J4644" s="17"/>
      <c r="K4644" s="17"/>
      <c r="L4644" s="17"/>
      <c r="M4644" s="17"/>
      <c r="N4644" s="17"/>
      <c r="O4644" s="17"/>
      <c r="P4644" s="17"/>
      <c r="Q4644" s="17"/>
      <c r="R4644" s="17"/>
      <c r="S4644" s="17"/>
      <c r="T4644" s="17"/>
      <c r="U4644" s="17"/>
      <c r="V4644" s="18">
        <v>0</v>
      </c>
      <c r="W4644" s="17">
        <f t="shared" si="140"/>
        <v>0</v>
      </c>
    </row>
    <row r="4645" spans="1:23" x14ac:dyDescent="0.25">
      <c r="A4645" s="17"/>
      <c r="B4645" s="17"/>
      <c r="C4645" s="17"/>
      <c r="D4645" s="17"/>
      <c r="E4645" s="17"/>
      <c r="F4645" s="17"/>
      <c r="G4645" s="17"/>
      <c r="H4645" s="17"/>
      <c r="I4645" s="17"/>
      <c r="J4645" s="17"/>
      <c r="K4645" s="17"/>
      <c r="L4645" s="17"/>
      <c r="M4645" s="17"/>
      <c r="N4645" s="17"/>
      <c r="O4645" s="17"/>
      <c r="P4645" s="17"/>
      <c r="Q4645" s="17"/>
      <c r="R4645" s="17"/>
      <c r="S4645" s="17"/>
      <c r="T4645" s="17"/>
      <c r="U4645" s="17"/>
      <c r="V4645" s="18">
        <v>0</v>
      </c>
      <c r="W4645" s="17">
        <f t="shared" si="140"/>
        <v>0</v>
      </c>
    </row>
    <row r="4646" spans="1:23" x14ac:dyDescent="0.25">
      <c r="A4646" s="17"/>
      <c r="B4646" s="17"/>
      <c r="C4646" s="17"/>
      <c r="D4646" s="17"/>
      <c r="E4646" s="17"/>
      <c r="F4646" s="17"/>
      <c r="G4646" s="17"/>
      <c r="H4646" s="17"/>
      <c r="I4646" s="17"/>
      <c r="J4646" s="17"/>
      <c r="K4646" s="17"/>
      <c r="L4646" s="17"/>
      <c r="M4646" s="17"/>
      <c r="N4646" s="17"/>
      <c r="O4646" s="17"/>
      <c r="P4646" s="17"/>
      <c r="Q4646" s="17"/>
      <c r="R4646" s="17"/>
      <c r="S4646" s="17"/>
      <c r="T4646" s="17"/>
      <c r="U4646" s="17"/>
      <c r="V4646" s="18">
        <v>0</v>
      </c>
      <c r="W4646" s="17">
        <f t="shared" si="140"/>
        <v>0</v>
      </c>
    </row>
    <row r="4647" spans="1:23" x14ac:dyDescent="0.25">
      <c r="A4647" s="17"/>
      <c r="B4647" s="17"/>
      <c r="C4647" s="17"/>
      <c r="D4647" s="17"/>
      <c r="E4647" s="17"/>
      <c r="F4647" s="17"/>
      <c r="G4647" s="17"/>
      <c r="H4647" s="17"/>
      <c r="I4647" s="17"/>
      <c r="J4647" s="17"/>
      <c r="K4647" s="17"/>
      <c r="L4647" s="17"/>
      <c r="M4647" s="17"/>
      <c r="N4647" s="17"/>
      <c r="O4647" s="17"/>
      <c r="P4647" s="17"/>
      <c r="Q4647" s="17"/>
      <c r="R4647" s="17"/>
      <c r="S4647" s="17"/>
      <c r="T4647" s="17"/>
      <c r="U4647" s="17"/>
      <c r="V4647" s="18">
        <v>0</v>
      </c>
      <c r="W4647" s="17">
        <f t="shared" si="140"/>
        <v>0</v>
      </c>
    </row>
    <row r="4648" spans="1:23" x14ac:dyDescent="0.25">
      <c r="A4648" s="17"/>
      <c r="B4648" s="17"/>
      <c r="C4648" s="17"/>
      <c r="D4648" s="17"/>
      <c r="E4648" s="17"/>
      <c r="F4648" s="17"/>
      <c r="G4648" s="17"/>
      <c r="H4648" s="17"/>
      <c r="I4648" s="17"/>
      <c r="J4648" s="17"/>
      <c r="K4648" s="17"/>
      <c r="L4648" s="17"/>
      <c r="M4648" s="17"/>
      <c r="N4648" s="17"/>
      <c r="O4648" s="17"/>
      <c r="P4648" s="17"/>
      <c r="Q4648" s="17"/>
      <c r="R4648" s="17"/>
      <c r="S4648" s="17"/>
      <c r="T4648" s="17"/>
      <c r="U4648" s="17"/>
      <c r="V4648" s="18">
        <v>0</v>
      </c>
      <c r="W4648" s="17">
        <f t="shared" si="140"/>
        <v>0</v>
      </c>
    </row>
    <row r="4649" spans="1:23" x14ac:dyDescent="0.25">
      <c r="A4649" s="17"/>
      <c r="B4649" s="17"/>
      <c r="C4649" s="17"/>
      <c r="D4649" s="17"/>
      <c r="E4649" s="17"/>
      <c r="F4649" s="17"/>
      <c r="G4649" s="17"/>
      <c r="H4649" s="17"/>
      <c r="I4649" s="17"/>
      <c r="J4649" s="17"/>
      <c r="K4649" s="17"/>
      <c r="L4649" s="17"/>
      <c r="M4649" s="17"/>
      <c r="N4649" s="17"/>
      <c r="O4649" s="17"/>
      <c r="P4649" s="17"/>
      <c r="Q4649" s="17"/>
      <c r="R4649" s="17"/>
      <c r="S4649" s="17"/>
      <c r="T4649" s="17"/>
      <c r="U4649" s="17"/>
      <c r="V4649" s="18">
        <v>0</v>
      </c>
      <c r="W4649" s="17">
        <f t="shared" si="140"/>
        <v>0</v>
      </c>
    </row>
    <row r="4650" spans="1:23" x14ac:dyDescent="0.25">
      <c r="A4650" s="17"/>
      <c r="B4650" s="17"/>
      <c r="C4650" s="17"/>
      <c r="D4650" s="17"/>
      <c r="E4650" s="17"/>
      <c r="F4650" s="17"/>
      <c r="G4650" s="17"/>
      <c r="H4650" s="17"/>
      <c r="I4650" s="17"/>
      <c r="J4650" s="17"/>
      <c r="K4650" s="17"/>
      <c r="L4650" s="17"/>
      <c r="M4650" s="17"/>
      <c r="N4650" s="17"/>
      <c r="O4650" s="17"/>
      <c r="P4650" s="17"/>
      <c r="Q4650" s="17"/>
      <c r="R4650" s="17"/>
      <c r="S4650" s="17"/>
      <c r="T4650" s="17"/>
      <c r="U4650" s="17"/>
      <c r="V4650" s="18">
        <v>0</v>
      </c>
      <c r="W4650" s="17">
        <f t="shared" si="140"/>
        <v>0</v>
      </c>
    </row>
    <row r="4651" spans="1:23" x14ac:dyDescent="0.25">
      <c r="A4651" s="17"/>
      <c r="B4651" s="17"/>
      <c r="C4651" s="17"/>
      <c r="D4651" s="17"/>
      <c r="E4651" s="17"/>
      <c r="F4651" s="17"/>
      <c r="G4651" s="17"/>
      <c r="H4651" s="17"/>
      <c r="I4651" s="17"/>
      <c r="J4651" s="17"/>
      <c r="K4651" s="17"/>
      <c r="L4651" s="17"/>
      <c r="M4651" s="17"/>
      <c r="N4651" s="17"/>
      <c r="O4651" s="17"/>
      <c r="P4651" s="17"/>
      <c r="Q4651" s="17"/>
      <c r="R4651" s="17"/>
      <c r="S4651" s="17"/>
      <c r="T4651" s="17"/>
      <c r="U4651" s="17"/>
      <c r="V4651" s="18">
        <v>0</v>
      </c>
      <c r="W4651" s="17">
        <f t="shared" si="140"/>
        <v>0</v>
      </c>
    </row>
    <row r="4652" spans="1:23" x14ac:dyDescent="0.25">
      <c r="A4652" s="17"/>
      <c r="B4652" s="17"/>
      <c r="C4652" s="17"/>
      <c r="D4652" s="17"/>
      <c r="E4652" s="17"/>
      <c r="F4652" s="17"/>
      <c r="G4652" s="17"/>
      <c r="H4652" s="17"/>
      <c r="I4652" s="17"/>
      <c r="J4652" s="17"/>
      <c r="K4652" s="17"/>
      <c r="L4652" s="17"/>
      <c r="M4652" s="17"/>
      <c r="N4652" s="17"/>
      <c r="O4652" s="17"/>
      <c r="P4652" s="17"/>
      <c r="Q4652" s="17"/>
      <c r="R4652" s="17"/>
      <c r="S4652" s="17"/>
      <c r="T4652" s="17"/>
      <c r="U4652" s="17"/>
      <c r="V4652" s="18">
        <v>0</v>
      </c>
      <c r="W4652" s="17">
        <f t="shared" si="140"/>
        <v>0</v>
      </c>
    </row>
    <row r="4653" spans="1:23" x14ac:dyDescent="0.25">
      <c r="A4653" s="17"/>
      <c r="B4653" s="17"/>
      <c r="C4653" s="17"/>
      <c r="D4653" s="17"/>
      <c r="E4653" s="17"/>
      <c r="F4653" s="17"/>
      <c r="G4653" s="17"/>
      <c r="H4653" s="17"/>
      <c r="I4653" s="17"/>
      <c r="J4653" s="17"/>
      <c r="K4653" s="17"/>
      <c r="L4653" s="17"/>
      <c r="M4653" s="17"/>
      <c r="N4653" s="17"/>
      <c r="O4653" s="17"/>
      <c r="P4653" s="17"/>
      <c r="Q4653" s="17"/>
      <c r="R4653" s="17"/>
      <c r="S4653" s="17"/>
      <c r="T4653" s="17"/>
      <c r="U4653" s="17"/>
      <c r="V4653" s="18">
        <v>0</v>
      </c>
      <c r="W4653" s="17">
        <f t="shared" si="140"/>
        <v>0</v>
      </c>
    </row>
    <row r="4654" spans="1:23" x14ac:dyDescent="0.25">
      <c r="A4654" s="17"/>
      <c r="B4654" s="17"/>
      <c r="C4654" s="17"/>
      <c r="D4654" s="17"/>
      <c r="E4654" s="17"/>
      <c r="F4654" s="17"/>
      <c r="G4654" s="17"/>
      <c r="H4654" s="17"/>
      <c r="I4654" s="17"/>
      <c r="J4654" s="17"/>
      <c r="K4654" s="17"/>
      <c r="L4654" s="17"/>
      <c r="M4654" s="17"/>
      <c r="N4654" s="17"/>
      <c r="O4654" s="17"/>
      <c r="P4654" s="17"/>
      <c r="Q4654" s="17"/>
      <c r="R4654" s="17"/>
      <c r="S4654" s="17"/>
      <c r="T4654" s="17"/>
      <c r="U4654" s="17"/>
      <c r="V4654" s="18">
        <v>0</v>
      </c>
      <c r="W4654" s="17">
        <f t="shared" si="140"/>
        <v>0</v>
      </c>
    </row>
    <row r="4655" spans="1:23" x14ac:dyDescent="0.25">
      <c r="A4655" s="17"/>
      <c r="B4655" s="17"/>
      <c r="C4655" s="17"/>
      <c r="D4655" s="17"/>
      <c r="E4655" s="17"/>
      <c r="F4655" s="17"/>
      <c r="G4655" s="17"/>
      <c r="H4655" s="17"/>
      <c r="I4655" s="17"/>
      <c r="J4655" s="17"/>
      <c r="K4655" s="17"/>
      <c r="L4655" s="17"/>
      <c r="M4655" s="17"/>
      <c r="N4655" s="17"/>
      <c r="O4655" s="17"/>
      <c r="P4655" s="17"/>
      <c r="Q4655" s="17"/>
      <c r="R4655" s="17"/>
      <c r="S4655" s="17"/>
      <c r="T4655" s="17"/>
      <c r="U4655" s="17"/>
      <c r="V4655" s="18">
        <v>0</v>
      </c>
      <c r="W4655" s="17">
        <f t="shared" si="140"/>
        <v>0</v>
      </c>
    </row>
    <row r="4656" spans="1:23" x14ac:dyDescent="0.25">
      <c r="A4656" s="17"/>
      <c r="B4656" s="17"/>
      <c r="C4656" s="17"/>
      <c r="D4656" s="17"/>
      <c r="E4656" s="17"/>
      <c r="F4656" s="17"/>
      <c r="G4656" s="17"/>
      <c r="H4656" s="17"/>
      <c r="I4656" s="17"/>
      <c r="J4656" s="17"/>
      <c r="K4656" s="17"/>
      <c r="L4656" s="17"/>
      <c r="M4656" s="17"/>
      <c r="N4656" s="17"/>
      <c r="O4656" s="17"/>
      <c r="P4656" s="17"/>
      <c r="Q4656" s="17"/>
      <c r="R4656" s="17"/>
      <c r="S4656" s="17"/>
      <c r="T4656" s="17"/>
      <c r="U4656" s="17"/>
      <c r="V4656" s="18">
        <v>0</v>
      </c>
      <c r="W4656" s="17">
        <f t="shared" si="140"/>
        <v>0</v>
      </c>
    </row>
    <row r="4657" spans="1:23" x14ac:dyDescent="0.25">
      <c r="A4657" s="17"/>
      <c r="B4657" s="17"/>
      <c r="C4657" s="17"/>
      <c r="D4657" s="17"/>
      <c r="E4657" s="17"/>
      <c r="F4657" s="17"/>
      <c r="G4657" s="17"/>
      <c r="H4657" s="17"/>
      <c r="I4657" s="17"/>
      <c r="J4657" s="17"/>
      <c r="K4657" s="17"/>
      <c r="L4657" s="17"/>
      <c r="M4657" s="17"/>
      <c r="N4657" s="17"/>
      <c r="O4657" s="17"/>
      <c r="P4657" s="17"/>
      <c r="Q4657" s="17"/>
      <c r="R4657" s="17"/>
      <c r="S4657" s="17"/>
      <c r="T4657" s="17"/>
      <c r="U4657" s="17"/>
      <c r="V4657" s="18">
        <v>0</v>
      </c>
      <c r="W4657" s="17">
        <f t="shared" si="140"/>
        <v>0</v>
      </c>
    </row>
    <row r="4658" spans="1:23" x14ac:dyDescent="0.25">
      <c r="A4658" s="17"/>
      <c r="B4658" s="17"/>
      <c r="C4658" s="17"/>
      <c r="D4658" s="17"/>
      <c r="E4658" s="17"/>
      <c r="F4658" s="17"/>
      <c r="G4658" s="17"/>
      <c r="H4658" s="17"/>
      <c r="I4658" s="17"/>
      <c r="J4658" s="17"/>
      <c r="K4658" s="17"/>
      <c r="L4658" s="17"/>
      <c r="M4658" s="17"/>
      <c r="N4658" s="17"/>
      <c r="O4658" s="17"/>
      <c r="P4658" s="17"/>
      <c r="Q4658" s="17"/>
      <c r="R4658" s="17"/>
      <c r="S4658" s="17"/>
      <c r="T4658" s="17"/>
      <c r="U4658" s="17"/>
      <c r="V4658" s="18">
        <v>0</v>
      </c>
      <c r="W4658" s="17">
        <f t="shared" si="140"/>
        <v>0</v>
      </c>
    </row>
    <row r="4659" spans="1:23" x14ac:dyDescent="0.25">
      <c r="A4659" s="17"/>
      <c r="B4659" s="17"/>
      <c r="C4659" s="17"/>
      <c r="D4659" s="17"/>
      <c r="E4659" s="17"/>
      <c r="F4659" s="17"/>
      <c r="G4659" s="17"/>
      <c r="H4659" s="17"/>
      <c r="I4659" s="17"/>
      <c r="J4659" s="17"/>
      <c r="K4659" s="17"/>
      <c r="L4659" s="17"/>
      <c r="M4659" s="17"/>
      <c r="N4659" s="17"/>
      <c r="O4659" s="17"/>
      <c r="P4659" s="17"/>
      <c r="Q4659" s="17"/>
      <c r="R4659" s="17"/>
      <c r="S4659" s="17"/>
      <c r="T4659" s="17"/>
      <c r="U4659" s="17"/>
      <c r="V4659" s="18">
        <v>0</v>
      </c>
      <c r="W4659" s="17">
        <f t="shared" si="140"/>
        <v>0</v>
      </c>
    </row>
    <row r="4660" spans="1:23" x14ac:dyDescent="0.25">
      <c r="A4660" s="17"/>
      <c r="B4660" s="17"/>
      <c r="C4660" s="17"/>
      <c r="D4660" s="17"/>
      <c r="E4660" s="17"/>
      <c r="F4660" s="17"/>
      <c r="G4660" s="17"/>
      <c r="H4660" s="17"/>
      <c r="I4660" s="17"/>
      <c r="J4660" s="17"/>
      <c r="K4660" s="17"/>
      <c r="L4660" s="17"/>
      <c r="M4660" s="17"/>
      <c r="N4660" s="17"/>
      <c r="O4660" s="17"/>
      <c r="P4660" s="17"/>
      <c r="Q4660" s="17"/>
      <c r="R4660" s="17"/>
      <c r="S4660" s="17"/>
      <c r="T4660" s="17"/>
      <c r="U4660" s="17"/>
      <c r="V4660" s="18">
        <v>0</v>
      </c>
      <c r="W4660" s="17">
        <f t="shared" si="140"/>
        <v>0</v>
      </c>
    </row>
    <row r="4661" spans="1:23" x14ac:dyDescent="0.25">
      <c r="A4661" s="17"/>
      <c r="B4661" s="17"/>
      <c r="C4661" s="17"/>
      <c r="D4661" s="17"/>
      <c r="E4661" s="17"/>
      <c r="F4661" s="17"/>
      <c r="G4661" s="17"/>
      <c r="H4661" s="17"/>
      <c r="I4661" s="17"/>
      <c r="J4661" s="17"/>
      <c r="K4661" s="17"/>
      <c r="L4661" s="17"/>
      <c r="M4661" s="17"/>
      <c r="N4661" s="17"/>
      <c r="O4661" s="17"/>
      <c r="P4661" s="17"/>
      <c r="Q4661" s="17"/>
      <c r="R4661" s="17"/>
      <c r="S4661" s="17"/>
      <c r="T4661" s="17"/>
      <c r="U4661" s="17"/>
      <c r="V4661" s="18">
        <v>0</v>
      </c>
      <c r="W4661" s="17">
        <f t="shared" si="140"/>
        <v>0</v>
      </c>
    </row>
    <row r="4662" spans="1:23" x14ac:dyDescent="0.25">
      <c r="A4662" s="17"/>
      <c r="B4662" s="17"/>
      <c r="C4662" s="17"/>
      <c r="D4662" s="17"/>
      <c r="E4662" s="17"/>
      <c r="F4662" s="17"/>
      <c r="G4662" s="17"/>
      <c r="H4662" s="17"/>
      <c r="I4662" s="17"/>
      <c r="J4662" s="17"/>
      <c r="K4662" s="17"/>
      <c r="L4662" s="17"/>
      <c r="M4662" s="17"/>
      <c r="N4662" s="17"/>
      <c r="O4662" s="17"/>
      <c r="P4662" s="17"/>
      <c r="Q4662" s="17"/>
      <c r="R4662" s="17"/>
      <c r="S4662" s="17"/>
      <c r="T4662" s="17"/>
      <c r="U4662" s="17"/>
      <c r="V4662" s="18">
        <v>0</v>
      </c>
      <c r="W4662" s="17">
        <f t="shared" si="140"/>
        <v>0</v>
      </c>
    </row>
    <row r="4663" spans="1:23" x14ac:dyDescent="0.25">
      <c r="A4663" s="17"/>
      <c r="B4663" s="17"/>
      <c r="C4663" s="17"/>
      <c r="D4663" s="17"/>
      <c r="E4663" s="17"/>
      <c r="F4663" s="17"/>
      <c r="G4663" s="17"/>
      <c r="H4663" s="17"/>
      <c r="I4663" s="17"/>
      <c r="J4663" s="17"/>
      <c r="K4663" s="17"/>
      <c r="L4663" s="17"/>
      <c r="M4663" s="17"/>
      <c r="N4663" s="17"/>
      <c r="O4663" s="17"/>
      <c r="P4663" s="17"/>
      <c r="Q4663" s="17"/>
      <c r="R4663" s="17"/>
      <c r="S4663" s="17"/>
      <c r="T4663" s="17"/>
      <c r="U4663" s="17"/>
      <c r="V4663" s="18">
        <v>0</v>
      </c>
      <c r="W4663" s="17">
        <f t="shared" si="140"/>
        <v>0</v>
      </c>
    </row>
    <row r="4664" spans="1:23" x14ac:dyDescent="0.25">
      <c r="A4664" s="17"/>
      <c r="B4664" s="17"/>
      <c r="C4664" s="17"/>
      <c r="D4664" s="17"/>
      <c r="E4664" s="17"/>
      <c r="F4664" s="17"/>
      <c r="G4664" s="17"/>
      <c r="H4664" s="17"/>
      <c r="I4664" s="17"/>
      <c r="J4664" s="17"/>
      <c r="K4664" s="17"/>
      <c r="L4664" s="17"/>
      <c r="M4664" s="17"/>
      <c r="N4664" s="17"/>
      <c r="O4664" s="17"/>
      <c r="P4664" s="17"/>
      <c r="Q4664" s="17"/>
      <c r="R4664" s="17"/>
      <c r="S4664" s="17"/>
      <c r="T4664" s="17"/>
      <c r="U4664" s="17"/>
      <c r="V4664" s="18">
        <v>0</v>
      </c>
      <c r="W4664" s="17">
        <f t="shared" si="140"/>
        <v>0</v>
      </c>
    </row>
    <row r="4665" spans="1:23" x14ac:dyDescent="0.25">
      <c r="A4665" s="17"/>
      <c r="B4665" s="17"/>
      <c r="C4665" s="17"/>
      <c r="D4665" s="17"/>
      <c r="E4665" s="17"/>
      <c r="F4665" s="17"/>
      <c r="G4665" s="17"/>
      <c r="H4665" s="17"/>
      <c r="I4665" s="17"/>
      <c r="J4665" s="17"/>
      <c r="K4665" s="17"/>
      <c r="L4665" s="17"/>
      <c r="M4665" s="17"/>
      <c r="N4665" s="17"/>
      <c r="O4665" s="17"/>
      <c r="P4665" s="17"/>
      <c r="Q4665" s="17"/>
      <c r="R4665" s="17"/>
      <c r="S4665" s="17"/>
      <c r="T4665" s="17"/>
      <c r="U4665" s="17"/>
      <c r="V4665" s="18">
        <v>0</v>
      </c>
      <c r="W4665" s="17">
        <f t="shared" si="140"/>
        <v>0</v>
      </c>
    </row>
    <row r="4666" spans="1:23" x14ac:dyDescent="0.25">
      <c r="A4666" s="17"/>
      <c r="B4666" s="17"/>
      <c r="C4666" s="17"/>
      <c r="D4666" s="17"/>
      <c r="E4666" s="17"/>
      <c r="F4666" s="17"/>
      <c r="G4666" s="17"/>
      <c r="H4666" s="17"/>
      <c r="I4666" s="17"/>
      <c r="J4666" s="17"/>
      <c r="K4666" s="17"/>
      <c r="L4666" s="17"/>
      <c r="M4666" s="17"/>
      <c r="N4666" s="17"/>
      <c r="O4666" s="17"/>
      <c r="P4666" s="17"/>
      <c r="Q4666" s="17"/>
      <c r="R4666" s="17"/>
      <c r="S4666" s="17"/>
      <c r="T4666" s="17"/>
      <c r="U4666" s="17"/>
      <c r="V4666" s="18">
        <v>0</v>
      </c>
      <c r="W4666" s="17">
        <f t="shared" si="140"/>
        <v>0</v>
      </c>
    </row>
    <row r="4667" spans="1:23" x14ac:dyDescent="0.25">
      <c r="A4667" s="17"/>
      <c r="B4667" s="17"/>
      <c r="C4667" s="17"/>
      <c r="D4667" s="17"/>
      <c r="E4667" s="17"/>
      <c r="F4667" s="17"/>
      <c r="G4667" s="17"/>
      <c r="H4667" s="17"/>
      <c r="I4667" s="17"/>
      <c r="J4667" s="17"/>
      <c r="K4667" s="17"/>
      <c r="L4667" s="17"/>
      <c r="M4667" s="17"/>
      <c r="N4667" s="17"/>
      <c r="O4667" s="17"/>
      <c r="P4667" s="17"/>
      <c r="Q4667" s="17"/>
      <c r="R4667" s="17"/>
      <c r="S4667" s="17"/>
      <c r="T4667" s="17"/>
      <c r="U4667" s="17"/>
      <c r="V4667" s="18">
        <v>0</v>
      </c>
      <c r="W4667" s="17">
        <f t="shared" si="140"/>
        <v>0</v>
      </c>
    </row>
    <row r="4668" spans="1:23" x14ac:dyDescent="0.25">
      <c r="A4668" s="17"/>
      <c r="B4668" s="17"/>
      <c r="C4668" s="17"/>
      <c r="D4668" s="17"/>
      <c r="E4668" s="17"/>
      <c r="F4668" s="17"/>
      <c r="G4668" s="17"/>
      <c r="H4668" s="17"/>
      <c r="I4668" s="17"/>
      <c r="J4668" s="17"/>
      <c r="K4668" s="17"/>
      <c r="L4668" s="17"/>
      <c r="M4668" s="17"/>
      <c r="N4668" s="17"/>
      <c r="O4668" s="17"/>
      <c r="P4668" s="17"/>
      <c r="Q4668" s="17"/>
      <c r="R4668" s="17"/>
      <c r="S4668" s="17"/>
      <c r="T4668" s="17"/>
      <c r="U4668" s="17"/>
      <c r="V4668" s="18">
        <v>0</v>
      </c>
      <c r="W4668" s="17">
        <f t="shared" si="140"/>
        <v>0</v>
      </c>
    </row>
    <row r="4669" spans="1:23" x14ac:dyDescent="0.25">
      <c r="A4669" s="17"/>
      <c r="B4669" s="17"/>
      <c r="C4669" s="17"/>
      <c r="D4669" s="17"/>
      <c r="E4669" s="17"/>
      <c r="F4669" s="17"/>
      <c r="G4669" s="17"/>
      <c r="H4669" s="17"/>
      <c r="I4669" s="17"/>
      <c r="J4669" s="17"/>
      <c r="K4669" s="17"/>
      <c r="L4669" s="17"/>
      <c r="M4669" s="17"/>
      <c r="N4669" s="17"/>
      <c r="O4669" s="17"/>
      <c r="P4669" s="17"/>
      <c r="Q4669" s="17"/>
      <c r="R4669" s="17"/>
      <c r="S4669" s="17"/>
      <c r="T4669" s="17"/>
      <c r="U4669" s="17"/>
      <c r="V4669" s="18">
        <v>0</v>
      </c>
      <c r="W4669" s="17">
        <f t="shared" si="140"/>
        <v>0</v>
      </c>
    </row>
    <row r="4670" spans="1:23" x14ac:dyDescent="0.25">
      <c r="A4670" s="17"/>
      <c r="B4670" s="17"/>
      <c r="C4670" s="17"/>
      <c r="D4670" s="17"/>
      <c r="E4670" s="17"/>
      <c r="F4670" s="17"/>
      <c r="G4670" s="17"/>
      <c r="H4670" s="17"/>
      <c r="I4670" s="17"/>
      <c r="J4670" s="17"/>
      <c r="K4670" s="17"/>
      <c r="L4670" s="17"/>
      <c r="M4670" s="17"/>
      <c r="N4670" s="17"/>
      <c r="O4670" s="17"/>
      <c r="P4670" s="17"/>
      <c r="Q4670" s="17"/>
      <c r="R4670" s="17"/>
      <c r="S4670" s="17"/>
      <c r="T4670" s="17"/>
      <c r="U4670" s="17"/>
      <c r="V4670" s="18">
        <v>0</v>
      </c>
      <c r="W4670" s="17">
        <f t="shared" si="140"/>
        <v>0</v>
      </c>
    </row>
    <row r="4671" spans="1:23" x14ac:dyDescent="0.25">
      <c r="A4671" s="17"/>
      <c r="B4671" s="17"/>
      <c r="C4671" s="17"/>
      <c r="D4671" s="17"/>
      <c r="E4671" s="17"/>
      <c r="F4671" s="17"/>
      <c r="G4671" s="17"/>
      <c r="H4671" s="17"/>
      <c r="I4671" s="17"/>
      <c r="J4671" s="17"/>
      <c r="K4671" s="17"/>
      <c r="L4671" s="17"/>
      <c r="M4671" s="17"/>
      <c r="N4671" s="17"/>
      <c r="O4671" s="17"/>
      <c r="P4671" s="17"/>
      <c r="Q4671" s="17"/>
      <c r="R4671" s="17"/>
      <c r="S4671" s="17"/>
      <c r="T4671" s="17"/>
      <c r="U4671" s="17"/>
      <c r="V4671" s="18">
        <v>0</v>
      </c>
      <c r="W4671" s="17">
        <f t="shared" si="140"/>
        <v>0</v>
      </c>
    </row>
    <row r="4672" spans="1:23" x14ac:dyDescent="0.25">
      <c r="A4672" s="17"/>
      <c r="B4672" s="17"/>
      <c r="C4672" s="17"/>
      <c r="D4672" s="17"/>
      <c r="E4672" s="17"/>
      <c r="F4672" s="17"/>
      <c r="G4672" s="17"/>
      <c r="H4672" s="17"/>
      <c r="I4672" s="17"/>
      <c r="J4672" s="17"/>
      <c r="K4672" s="17"/>
      <c r="L4672" s="17"/>
      <c r="M4672" s="17"/>
      <c r="N4672" s="17"/>
      <c r="O4672" s="17"/>
      <c r="P4672" s="17"/>
      <c r="Q4672" s="17"/>
      <c r="R4672" s="17"/>
      <c r="S4672" s="17"/>
      <c r="T4672" s="17"/>
      <c r="U4672" s="17"/>
      <c r="V4672" s="18">
        <v>0</v>
      </c>
      <c r="W4672" s="17">
        <f t="shared" si="140"/>
        <v>0</v>
      </c>
    </row>
    <row r="4673" spans="1:23" x14ac:dyDescent="0.25">
      <c r="A4673" s="17"/>
      <c r="B4673" s="17"/>
      <c r="C4673" s="17"/>
      <c r="D4673" s="17"/>
      <c r="E4673" s="17"/>
      <c r="F4673" s="17"/>
      <c r="G4673" s="17"/>
      <c r="H4673" s="17"/>
      <c r="I4673" s="17"/>
      <c r="J4673" s="17"/>
      <c r="K4673" s="17"/>
      <c r="L4673" s="17"/>
      <c r="M4673" s="17"/>
      <c r="N4673" s="17"/>
      <c r="O4673" s="17"/>
      <c r="P4673" s="17"/>
      <c r="Q4673" s="17"/>
      <c r="R4673" s="17"/>
      <c r="S4673" s="17"/>
      <c r="T4673" s="17"/>
      <c r="U4673" s="17"/>
      <c r="V4673" s="18">
        <v>0</v>
      </c>
      <c r="W4673" s="17">
        <f t="shared" si="140"/>
        <v>0</v>
      </c>
    </row>
    <row r="4674" spans="1:23" x14ac:dyDescent="0.25">
      <c r="A4674" s="17"/>
      <c r="B4674" s="17"/>
      <c r="C4674" s="17"/>
      <c r="D4674" s="17"/>
      <c r="E4674" s="17"/>
      <c r="F4674" s="17"/>
      <c r="G4674" s="17"/>
      <c r="H4674" s="17"/>
      <c r="I4674" s="17"/>
      <c r="J4674" s="17"/>
      <c r="K4674" s="17"/>
      <c r="L4674" s="17"/>
      <c r="M4674" s="17"/>
      <c r="N4674" s="17"/>
      <c r="O4674" s="17"/>
      <c r="P4674" s="17"/>
      <c r="Q4674" s="17"/>
      <c r="R4674" s="17"/>
      <c r="S4674" s="17"/>
      <c r="T4674" s="17"/>
      <c r="U4674" s="17"/>
      <c r="V4674" s="18">
        <v>0</v>
      </c>
      <c r="W4674" s="17">
        <f t="shared" si="140"/>
        <v>0</v>
      </c>
    </row>
    <row r="4675" spans="1:23" x14ac:dyDescent="0.25">
      <c r="A4675" s="17"/>
      <c r="B4675" s="17"/>
      <c r="C4675" s="17"/>
      <c r="D4675" s="17"/>
      <c r="E4675" s="17"/>
      <c r="F4675" s="17"/>
      <c r="G4675" s="17"/>
      <c r="H4675" s="17"/>
      <c r="I4675" s="17"/>
      <c r="J4675" s="17"/>
      <c r="K4675" s="17"/>
      <c r="L4675" s="17"/>
      <c r="M4675" s="17"/>
      <c r="N4675" s="17"/>
      <c r="O4675" s="17"/>
      <c r="P4675" s="17"/>
      <c r="Q4675" s="17"/>
      <c r="R4675" s="17"/>
      <c r="S4675" s="17"/>
      <c r="T4675" s="17"/>
      <c r="U4675" s="17"/>
      <c r="V4675" s="18">
        <v>0</v>
      </c>
      <c r="W4675" s="17">
        <f t="shared" ref="W4675:W4738" si="141">HOUR(E4675)</f>
        <v>0</v>
      </c>
    </row>
    <row r="4676" spans="1:23" x14ac:dyDescent="0.25">
      <c r="A4676" s="17"/>
      <c r="B4676" s="17"/>
      <c r="C4676" s="17"/>
      <c r="D4676" s="17"/>
      <c r="E4676" s="17"/>
      <c r="F4676" s="17"/>
      <c r="G4676" s="17"/>
      <c r="H4676" s="17"/>
      <c r="I4676" s="17"/>
      <c r="J4676" s="17"/>
      <c r="K4676" s="17"/>
      <c r="L4676" s="17"/>
      <c r="M4676" s="17"/>
      <c r="N4676" s="17"/>
      <c r="O4676" s="17"/>
      <c r="P4676" s="17"/>
      <c r="Q4676" s="17"/>
      <c r="R4676" s="17"/>
      <c r="S4676" s="17"/>
      <c r="T4676" s="17"/>
      <c r="U4676" s="17"/>
      <c r="V4676" s="18">
        <v>0</v>
      </c>
      <c r="W4676" s="17">
        <f t="shared" si="141"/>
        <v>0</v>
      </c>
    </row>
    <row r="4677" spans="1:23" x14ac:dyDescent="0.25">
      <c r="A4677" s="17"/>
      <c r="B4677" s="17"/>
      <c r="C4677" s="17"/>
      <c r="D4677" s="17"/>
      <c r="E4677" s="17"/>
      <c r="F4677" s="17"/>
      <c r="G4677" s="17"/>
      <c r="H4677" s="17"/>
      <c r="I4677" s="17"/>
      <c r="J4677" s="17"/>
      <c r="K4677" s="17"/>
      <c r="L4677" s="17"/>
      <c r="M4677" s="17"/>
      <c r="N4677" s="17"/>
      <c r="O4677" s="17"/>
      <c r="P4677" s="17"/>
      <c r="Q4677" s="17"/>
      <c r="R4677" s="17"/>
      <c r="S4677" s="17"/>
      <c r="T4677" s="17"/>
      <c r="U4677" s="17"/>
      <c r="V4677" s="18">
        <v>0</v>
      </c>
      <c r="W4677" s="17">
        <f t="shared" si="141"/>
        <v>0</v>
      </c>
    </row>
    <row r="4678" spans="1:23" x14ac:dyDescent="0.25">
      <c r="A4678" s="17"/>
      <c r="B4678" s="17"/>
      <c r="C4678" s="17"/>
      <c r="D4678" s="17"/>
      <c r="E4678" s="17"/>
      <c r="F4678" s="17"/>
      <c r="G4678" s="17"/>
      <c r="H4678" s="17"/>
      <c r="I4678" s="17"/>
      <c r="J4678" s="17"/>
      <c r="K4678" s="17"/>
      <c r="L4678" s="17"/>
      <c r="M4678" s="17"/>
      <c r="N4678" s="17"/>
      <c r="O4678" s="17"/>
      <c r="P4678" s="17"/>
      <c r="Q4678" s="17"/>
      <c r="R4678" s="17"/>
      <c r="S4678" s="17"/>
      <c r="T4678" s="17"/>
      <c r="U4678" s="17"/>
      <c r="V4678" s="18">
        <v>0</v>
      </c>
      <c r="W4678" s="17">
        <f t="shared" si="141"/>
        <v>0</v>
      </c>
    </row>
    <row r="4679" spans="1:23" x14ac:dyDescent="0.25">
      <c r="A4679" s="17"/>
      <c r="B4679" s="17"/>
      <c r="C4679" s="17"/>
      <c r="D4679" s="17"/>
      <c r="E4679" s="17"/>
      <c r="F4679" s="17"/>
      <c r="G4679" s="17"/>
      <c r="H4679" s="17"/>
      <c r="I4679" s="17"/>
      <c r="J4679" s="17"/>
      <c r="K4679" s="17"/>
      <c r="L4679" s="17"/>
      <c r="M4679" s="17"/>
      <c r="N4679" s="17"/>
      <c r="O4679" s="17"/>
      <c r="P4679" s="17"/>
      <c r="Q4679" s="17"/>
      <c r="R4679" s="17"/>
      <c r="S4679" s="17"/>
      <c r="T4679" s="17"/>
      <c r="U4679" s="17"/>
      <c r="V4679" s="18">
        <v>0</v>
      </c>
      <c r="W4679" s="17">
        <f t="shared" si="141"/>
        <v>0</v>
      </c>
    </row>
    <row r="4680" spans="1:23" x14ac:dyDescent="0.25">
      <c r="A4680" s="17"/>
      <c r="B4680" s="17"/>
      <c r="C4680" s="17"/>
      <c r="D4680" s="17"/>
      <c r="E4680" s="17"/>
      <c r="F4680" s="17"/>
      <c r="G4680" s="17"/>
      <c r="H4680" s="17"/>
      <c r="I4680" s="17"/>
      <c r="J4680" s="17"/>
      <c r="K4680" s="17"/>
      <c r="L4680" s="17"/>
      <c r="M4680" s="17"/>
      <c r="N4680" s="17"/>
      <c r="O4680" s="17"/>
      <c r="P4680" s="17"/>
      <c r="Q4680" s="17"/>
      <c r="R4680" s="17"/>
      <c r="S4680" s="17"/>
      <c r="T4680" s="17"/>
      <c r="U4680" s="17"/>
      <c r="V4680" s="18">
        <v>0</v>
      </c>
      <c r="W4680" s="17">
        <f t="shared" si="141"/>
        <v>0</v>
      </c>
    </row>
    <row r="4681" spans="1:23" x14ac:dyDescent="0.25">
      <c r="A4681" s="17"/>
      <c r="B4681" s="17"/>
      <c r="C4681" s="17"/>
      <c r="D4681" s="17"/>
      <c r="E4681" s="17"/>
      <c r="F4681" s="17"/>
      <c r="G4681" s="17"/>
      <c r="H4681" s="17"/>
      <c r="I4681" s="17"/>
      <c r="J4681" s="17"/>
      <c r="K4681" s="17"/>
      <c r="L4681" s="17"/>
      <c r="M4681" s="17"/>
      <c r="N4681" s="17"/>
      <c r="O4681" s="17"/>
      <c r="P4681" s="17"/>
      <c r="Q4681" s="17"/>
      <c r="R4681" s="17"/>
      <c r="S4681" s="17"/>
      <c r="T4681" s="17"/>
      <c r="U4681" s="17"/>
      <c r="V4681" s="18">
        <v>0</v>
      </c>
      <c r="W4681" s="17">
        <f t="shared" si="141"/>
        <v>0</v>
      </c>
    </row>
    <row r="4682" spans="1:23" x14ac:dyDescent="0.25">
      <c r="A4682" s="17"/>
      <c r="B4682" s="17"/>
      <c r="C4682" s="17"/>
      <c r="D4682" s="17"/>
      <c r="E4682" s="17"/>
      <c r="F4682" s="17"/>
      <c r="G4682" s="17"/>
      <c r="H4682" s="17"/>
      <c r="I4682" s="17"/>
      <c r="J4682" s="17"/>
      <c r="K4682" s="17"/>
      <c r="L4682" s="17"/>
      <c r="M4682" s="17"/>
      <c r="N4682" s="17"/>
      <c r="O4682" s="17"/>
      <c r="P4682" s="17"/>
      <c r="Q4682" s="17"/>
      <c r="R4682" s="17"/>
      <c r="S4682" s="17"/>
      <c r="T4682" s="17"/>
      <c r="U4682" s="17"/>
      <c r="V4682" s="18">
        <v>0</v>
      </c>
      <c r="W4682" s="17">
        <f t="shared" si="141"/>
        <v>0</v>
      </c>
    </row>
    <row r="4683" spans="1:23" x14ac:dyDescent="0.25">
      <c r="A4683" s="17"/>
      <c r="B4683" s="17"/>
      <c r="C4683" s="17"/>
      <c r="D4683" s="17"/>
      <c r="E4683" s="17"/>
      <c r="F4683" s="17"/>
      <c r="G4683" s="17"/>
      <c r="H4683" s="17"/>
      <c r="I4683" s="17"/>
      <c r="J4683" s="17"/>
      <c r="K4683" s="17"/>
      <c r="L4683" s="17"/>
      <c r="M4683" s="17"/>
      <c r="N4683" s="17"/>
      <c r="O4683" s="17"/>
      <c r="P4683" s="17"/>
      <c r="Q4683" s="17"/>
      <c r="R4683" s="17"/>
      <c r="S4683" s="17"/>
      <c r="T4683" s="17"/>
      <c r="U4683" s="17"/>
      <c r="V4683" s="18">
        <v>0</v>
      </c>
      <c r="W4683" s="17">
        <f t="shared" si="141"/>
        <v>0</v>
      </c>
    </row>
    <row r="4684" spans="1:23" x14ac:dyDescent="0.25">
      <c r="A4684" s="17"/>
      <c r="B4684" s="17"/>
      <c r="C4684" s="17"/>
      <c r="D4684" s="17"/>
      <c r="E4684" s="17"/>
      <c r="F4684" s="17"/>
      <c r="G4684" s="17"/>
      <c r="H4684" s="17"/>
      <c r="I4684" s="17"/>
      <c r="J4684" s="17"/>
      <c r="K4684" s="17"/>
      <c r="L4684" s="17"/>
      <c r="M4684" s="17"/>
      <c r="N4684" s="17"/>
      <c r="O4684" s="17"/>
      <c r="P4684" s="17"/>
      <c r="Q4684" s="17"/>
      <c r="R4684" s="17"/>
      <c r="S4684" s="17"/>
      <c r="T4684" s="17"/>
      <c r="U4684" s="17"/>
      <c r="V4684" s="18">
        <v>0</v>
      </c>
      <c r="W4684" s="17">
        <f t="shared" si="141"/>
        <v>0</v>
      </c>
    </row>
    <row r="4685" spans="1:23" x14ac:dyDescent="0.25">
      <c r="A4685" s="17"/>
      <c r="B4685" s="17"/>
      <c r="C4685" s="17"/>
      <c r="D4685" s="17"/>
      <c r="E4685" s="17"/>
      <c r="F4685" s="17"/>
      <c r="G4685" s="17"/>
      <c r="H4685" s="17"/>
      <c r="I4685" s="17"/>
      <c r="J4685" s="17"/>
      <c r="K4685" s="17"/>
      <c r="L4685" s="17"/>
      <c r="M4685" s="17"/>
      <c r="N4685" s="17"/>
      <c r="O4685" s="17"/>
      <c r="P4685" s="17"/>
      <c r="Q4685" s="17"/>
      <c r="R4685" s="17"/>
      <c r="S4685" s="17"/>
      <c r="T4685" s="17"/>
      <c r="U4685" s="17"/>
      <c r="V4685" s="18">
        <v>0</v>
      </c>
      <c r="W4685" s="17">
        <f t="shared" si="141"/>
        <v>0</v>
      </c>
    </row>
    <row r="4686" spans="1:23" x14ac:dyDescent="0.25">
      <c r="A4686" s="17"/>
      <c r="B4686" s="17"/>
      <c r="C4686" s="17"/>
      <c r="D4686" s="17"/>
      <c r="E4686" s="17"/>
      <c r="F4686" s="17"/>
      <c r="G4686" s="17"/>
      <c r="H4686" s="17"/>
      <c r="I4686" s="17"/>
      <c r="J4686" s="17"/>
      <c r="K4686" s="17"/>
      <c r="L4686" s="17"/>
      <c r="M4686" s="17"/>
      <c r="N4686" s="17"/>
      <c r="O4686" s="17"/>
      <c r="P4686" s="17"/>
      <c r="Q4686" s="17"/>
      <c r="R4686" s="17"/>
      <c r="S4686" s="17"/>
      <c r="T4686" s="17"/>
      <c r="U4686" s="17"/>
      <c r="V4686" s="18">
        <v>0</v>
      </c>
      <c r="W4686" s="17">
        <f t="shared" si="141"/>
        <v>0</v>
      </c>
    </row>
    <row r="4687" spans="1:23" x14ac:dyDescent="0.25">
      <c r="A4687" s="17"/>
      <c r="B4687" s="17"/>
      <c r="C4687" s="17"/>
      <c r="D4687" s="17"/>
      <c r="E4687" s="17"/>
      <c r="F4687" s="17"/>
      <c r="G4687" s="17"/>
      <c r="H4687" s="17"/>
      <c r="I4687" s="17"/>
      <c r="J4687" s="17"/>
      <c r="K4687" s="17"/>
      <c r="L4687" s="17"/>
      <c r="M4687" s="17"/>
      <c r="N4687" s="17"/>
      <c r="O4687" s="17"/>
      <c r="P4687" s="17"/>
      <c r="Q4687" s="17"/>
      <c r="R4687" s="17"/>
      <c r="S4687" s="17"/>
      <c r="T4687" s="17"/>
      <c r="U4687" s="17"/>
      <c r="V4687" s="18">
        <v>0</v>
      </c>
      <c r="W4687" s="17">
        <f t="shared" si="141"/>
        <v>0</v>
      </c>
    </row>
    <row r="4688" spans="1:23" x14ac:dyDescent="0.25">
      <c r="A4688" s="17"/>
      <c r="B4688" s="17"/>
      <c r="C4688" s="17"/>
      <c r="D4688" s="17"/>
      <c r="E4688" s="17"/>
      <c r="F4688" s="17"/>
      <c r="G4688" s="17"/>
      <c r="H4688" s="17"/>
      <c r="I4688" s="17"/>
      <c r="J4688" s="17"/>
      <c r="K4688" s="17"/>
      <c r="L4688" s="17"/>
      <c r="M4688" s="17"/>
      <c r="N4688" s="17"/>
      <c r="O4688" s="17"/>
      <c r="P4688" s="17"/>
      <c r="Q4688" s="17"/>
      <c r="R4688" s="17"/>
      <c r="S4688" s="17"/>
      <c r="T4688" s="17"/>
      <c r="U4688" s="17"/>
      <c r="V4688" s="18">
        <v>0</v>
      </c>
      <c r="W4688" s="17">
        <f t="shared" si="141"/>
        <v>0</v>
      </c>
    </row>
    <row r="4689" spans="1:23" x14ac:dyDescent="0.25">
      <c r="A4689" s="17"/>
      <c r="B4689" s="17"/>
      <c r="C4689" s="17"/>
      <c r="D4689" s="17"/>
      <c r="E4689" s="17"/>
      <c r="F4689" s="17"/>
      <c r="G4689" s="17"/>
      <c r="H4689" s="17"/>
      <c r="I4689" s="17"/>
      <c r="J4689" s="17"/>
      <c r="K4689" s="17"/>
      <c r="L4689" s="17"/>
      <c r="M4689" s="17"/>
      <c r="N4689" s="17"/>
      <c r="O4689" s="17"/>
      <c r="P4689" s="17"/>
      <c r="Q4689" s="17"/>
      <c r="R4689" s="17"/>
      <c r="S4689" s="17"/>
      <c r="T4689" s="17"/>
      <c r="U4689" s="17"/>
      <c r="V4689" s="18">
        <v>0</v>
      </c>
      <c r="W4689" s="17">
        <f t="shared" si="141"/>
        <v>0</v>
      </c>
    </row>
    <row r="4690" spans="1:23" x14ac:dyDescent="0.25">
      <c r="A4690" s="17"/>
      <c r="B4690" s="17"/>
      <c r="C4690" s="17"/>
      <c r="D4690" s="17"/>
      <c r="E4690" s="17"/>
      <c r="F4690" s="17"/>
      <c r="G4690" s="17"/>
      <c r="H4690" s="17"/>
      <c r="I4690" s="17"/>
      <c r="J4690" s="17"/>
      <c r="K4690" s="17"/>
      <c r="L4690" s="17"/>
      <c r="M4690" s="17"/>
      <c r="N4690" s="17"/>
      <c r="O4690" s="17"/>
      <c r="P4690" s="17"/>
      <c r="Q4690" s="17"/>
      <c r="R4690" s="17"/>
      <c r="S4690" s="17"/>
      <c r="T4690" s="17"/>
      <c r="U4690" s="17"/>
      <c r="V4690" s="18">
        <v>0</v>
      </c>
      <c r="W4690" s="17">
        <f t="shared" si="141"/>
        <v>0</v>
      </c>
    </row>
    <row r="4691" spans="1:23" x14ac:dyDescent="0.25">
      <c r="A4691" s="17"/>
      <c r="B4691" s="17"/>
      <c r="C4691" s="17"/>
      <c r="D4691" s="17"/>
      <c r="E4691" s="17"/>
      <c r="F4691" s="17"/>
      <c r="G4691" s="17"/>
      <c r="H4691" s="17"/>
      <c r="I4691" s="17"/>
      <c r="J4691" s="17"/>
      <c r="K4691" s="17"/>
      <c r="L4691" s="17"/>
      <c r="M4691" s="17"/>
      <c r="N4691" s="17"/>
      <c r="O4691" s="17"/>
      <c r="P4691" s="17"/>
      <c r="Q4691" s="17"/>
      <c r="R4691" s="17"/>
      <c r="S4691" s="17"/>
      <c r="T4691" s="17"/>
      <c r="U4691" s="17"/>
      <c r="V4691" s="18">
        <v>0</v>
      </c>
      <c r="W4691" s="17">
        <f t="shared" si="141"/>
        <v>0</v>
      </c>
    </row>
    <row r="4692" spans="1:23" x14ac:dyDescent="0.25">
      <c r="A4692" s="17"/>
      <c r="B4692" s="17"/>
      <c r="C4692" s="17"/>
      <c r="D4692" s="17"/>
      <c r="E4692" s="17"/>
      <c r="F4692" s="17"/>
      <c r="G4692" s="17"/>
      <c r="H4692" s="17"/>
      <c r="I4692" s="17"/>
      <c r="J4692" s="17"/>
      <c r="K4692" s="17"/>
      <c r="L4692" s="17"/>
      <c r="M4692" s="17"/>
      <c r="N4692" s="17"/>
      <c r="O4692" s="17"/>
      <c r="P4692" s="17"/>
      <c r="Q4692" s="17"/>
      <c r="R4692" s="17"/>
      <c r="S4692" s="17"/>
      <c r="T4692" s="17"/>
      <c r="U4692" s="17"/>
      <c r="V4692" s="18">
        <v>0</v>
      </c>
      <c r="W4692" s="17">
        <f t="shared" si="141"/>
        <v>0</v>
      </c>
    </row>
    <row r="4693" spans="1:23" x14ac:dyDescent="0.25">
      <c r="A4693" s="17"/>
      <c r="B4693" s="17"/>
      <c r="C4693" s="17"/>
      <c r="D4693" s="17"/>
      <c r="E4693" s="17"/>
      <c r="F4693" s="17"/>
      <c r="G4693" s="17"/>
      <c r="H4693" s="17"/>
      <c r="I4693" s="17"/>
      <c r="J4693" s="17"/>
      <c r="K4693" s="17"/>
      <c r="L4693" s="17"/>
      <c r="M4693" s="17"/>
      <c r="N4693" s="17"/>
      <c r="O4693" s="17"/>
      <c r="P4693" s="17"/>
      <c r="Q4693" s="17"/>
      <c r="R4693" s="17"/>
      <c r="S4693" s="17"/>
      <c r="T4693" s="17"/>
      <c r="U4693" s="17"/>
      <c r="V4693" s="18">
        <v>0</v>
      </c>
      <c r="W4693" s="17">
        <f t="shared" si="141"/>
        <v>0</v>
      </c>
    </row>
    <row r="4694" spans="1:23" x14ac:dyDescent="0.25">
      <c r="A4694" s="17"/>
      <c r="B4694" s="17"/>
      <c r="C4694" s="17"/>
      <c r="D4694" s="17"/>
      <c r="E4694" s="17"/>
      <c r="F4694" s="17"/>
      <c r="G4694" s="17"/>
      <c r="H4694" s="17"/>
      <c r="I4694" s="17"/>
      <c r="J4694" s="17"/>
      <c r="K4694" s="17"/>
      <c r="L4694" s="17"/>
      <c r="M4694" s="17"/>
      <c r="N4694" s="17"/>
      <c r="O4694" s="17"/>
      <c r="P4694" s="17"/>
      <c r="Q4694" s="17"/>
      <c r="R4694" s="17"/>
      <c r="S4694" s="17"/>
      <c r="T4694" s="17"/>
      <c r="U4694" s="17"/>
      <c r="V4694" s="18">
        <v>0</v>
      </c>
      <c r="W4694" s="17">
        <f t="shared" si="141"/>
        <v>0</v>
      </c>
    </row>
    <row r="4695" spans="1:23" x14ac:dyDescent="0.25">
      <c r="A4695" s="17"/>
      <c r="B4695" s="17"/>
      <c r="C4695" s="17"/>
      <c r="D4695" s="17"/>
      <c r="E4695" s="17"/>
      <c r="F4695" s="17"/>
      <c r="G4695" s="17"/>
      <c r="H4695" s="17"/>
      <c r="I4695" s="17"/>
      <c r="J4695" s="17"/>
      <c r="K4695" s="17"/>
      <c r="L4695" s="17"/>
      <c r="M4695" s="17"/>
      <c r="N4695" s="17"/>
      <c r="O4695" s="17"/>
      <c r="P4695" s="17"/>
      <c r="Q4695" s="17"/>
      <c r="R4695" s="17"/>
      <c r="S4695" s="17"/>
      <c r="T4695" s="17"/>
      <c r="U4695" s="17"/>
      <c r="V4695" s="18">
        <v>0</v>
      </c>
      <c r="W4695" s="17">
        <f t="shared" si="141"/>
        <v>0</v>
      </c>
    </row>
    <row r="4696" spans="1:23" x14ac:dyDescent="0.25">
      <c r="A4696" s="17"/>
      <c r="B4696" s="17"/>
      <c r="C4696" s="17"/>
      <c r="D4696" s="17"/>
      <c r="E4696" s="17"/>
      <c r="F4696" s="17"/>
      <c r="G4696" s="17"/>
      <c r="H4696" s="17"/>
      <c r="I4696" s="17"/>
      <c r="J4696" s="17"/>
      <c r="K4696" s="17"/>
      <c r="L4696" s="17"/>
      <c r="M4696" s="17"/>
      <c r="N4696" s="17"/>
      <c r="O4696" s="17"/>
      <c r="P4696" s="17"/>
      <c r="Q4696" s="17"/>
      <c r="R4696" s="17"/>
      <c r="S4696" s="17"/>
      <c r="T4696" s="17"/>
      <c r="U4696" s="17"/>
      <c r="V4696" s="18">
        <v>0</v>
      </c>
      <c r="W4696" s="17">
        <f t="shared" si="141"/>
        <v>0</v>
      </c>
    </row>
    <row r="4697" spans="1:23" x14ac:dyDescent="0.25">
      <c r="A4697" s="17"/>
      <c r="B4697" s="17"/>
      <c r="C4697" s="17"/>
      <c r="D4697" s="17"/>
      <c r="E4697" s="17"/>
      <c r="F4697" s="17"/>
      <c r="G4697" s="17"/>
      <c r="H4697" s="17"/>
      <c r="I4697" s="17"/>
      <c r="J4697" s="17"/>
      <c r="K4697" s="17"/>
      <c r="L4697" s="17"/>
      <c r="M4697" s="17"/>
      <c r="N4697" s="17"/>
      <c r="O4697" s="17"/>
      <c r="P4697" s="17"/>
      <c r="Q4697" s="17"/>
      <c r="R4697" s="17"/>
      <c r="S4697" s="17"/>
      <c r="T4697" s="17"/>
      <c r="U4697" s="17"/>
      <c r="V4697" s="18">
        <v>0</v>
      </c>
      <c r="W4697" s="17">
        <f t="shared" si="141"/>
        <v>0</v>
      </c>
    </row>
    <row r="4698" spans="1:23" x14ac:dyDescent="0.25">
      <c r="A4698" s="17"/>
      <c r="B4698" s="17"/>
      <c r="C4698" s="17"/>
      <c r="D4698" s="17"/>
      <c r="E4698" s="17"/>
      <c r="F4698" s="17"/>
      <c r="G4698" s="17"/>
      <c r="H4698" s="17"/>
      <c r="I4698" s="17"/>
      <c r="J4698" s="17"/>
      <c r="K4698" s="17"/>
      <c r="L4698" s="17"/>
      <c r="M4698" s="17"/>
      <c r="N4698" s="17"/>
      <c r="O4698" s="17"/>
      <c r="P4698" s="17"/>
      <c r="Q4698" s="17"/>
      <c r="R4698" s="17"/>
      <c r="S4698" s="17"/>
      <c r="T4698" s="17"/>
      <c r="U4698" s="17"/>
      <c r="V4698" s="18">
        <v>0</v>
      </c>
      <c r="W4698" s="17">
        <f t="shared" si="141"/>
        <v>0</v>
      </c>
    </row>
    <row r="4699" spans="1:23" x14ac:dyDescent="0.25">
      <c r="A4699" s="17"/>
      <c r="B4699" s="17"/>
      <c r="C4699" s="17"/>
      <c r="D4699" s="17"/>
      <c r="E4699" s="17"/>
      <c r="F4699" s="17"/>
      <c r="G4699" s="17"/>
      <c r="H4699" s="17"/>
      <c r="I4699" s="17"/>
      <c r="J4699" s="17"/>
      <c r="K4699" s="17"/>
      <c r="L4699" s="17"/>
      <c r="M4699" s="17"/>
      <c r="N4699" s="17"/>
      <c r="O4699" s="17"/>
      <c r="P4699" s="17"/>
      <c r="Q4699" s="17"/>
      <c r="R4699" s="17"/>
      <c r="S4699" s="17"/>
      <c r="T4699" s="17"/>
      <c r="U4699" s="17"/>
      <c r="V4699" s="18">
        <v>0</v>
      </c>
      <c r="W4699" s="17">
        <f t="shared" si="141"/>
        <v>0</v>
      </c>
    </row>
    <row r="4700" spans="1:23" x14ac:dyDescent="0.25">
      <c r="A4700" s="17"/>
      <c r="B4700" s="17"/>
      <c r="C4700" s="17"/>
      <c r="D4700" s="17"/>
      <c r="E4700" s="17"/>
      <c r="F4700" s="17"/>
      <c r="G4700" s="17"/>
      <c r="H4700" s="17"/>
      <c r="I4700" s="17"/>
      <c r="J4700" s="17"/>
      <c r="K4700" s="17"/>
      <c r="L4700" s="17"/>
      <c r="M4700" s="17"/>
      <c r="N4700" s="17"/>
      <c r="O4700" s="17"/>
      <c r="P4700" s="17"/>
      <c r="Q4700" s="17"/>
      <c r="R4700" s="17"/>
      <c r="S4700" s="17"/>
      <c r="T4700" s="17"/>
      <c r="U4700" s="17"/>
      <c r="V4700" s="18">
        <v>0</v>
      </c>
      <c r="W4700" s="17">
        <f t="shared" si="141"/>
        <v>0</v>
      </c>
    </row>
    <row r="4701" spans="1:23" x14ac:dyDescent="0.25">
      <c r="A4701" s="17"/>
      <c r="B4701" s="17"/>
      <c r="C4701" s="17"/>
      <c r="D4701" s="17"/>
      <c r="E4701" s="17"/>
      <c r="F4701" s="17"/>
      <c r="G4701" s="17"/>
      <c r="H4701" s="17"/>
      <c r="I4701" s="17"/>
      <c r="J4701" s="17"/>
      <c r="K4701" s="17"/>
      <c r="L4701" s="17"/>
      <c r="M4701" s="17"/>
      <c r="N4701" s="17"/>
      <c r="O4701" s="17"/>
      <c r="P4701" s="17"/>
      <c r="Q4701" s="17"/>
      <c r="R4701" s="17"/>
      <c r="S4701" s="17"/>
      <c r="T4701" s="17"/>
      <c r="U4701" s="17"/>
      <c r="V4701" s="18">
        <v>0</v>
      </c>
      <c r="W4701" s="17">
        <f t="shared" si="141"/>
        <v>0</v>
      </c>
    </row>
    <row r="4702" spans="1:23" x14ac:dyDescent="0.25">
      <c r="A4702" s="17"/>
      <c r="B4702" s="17"/>
      <c r="C4702" s="17"/>
      <c r="D4702" s="17"/>
      <c r="E4702" s="17"/>
      <c r="F4702" s="17"/>
      <c r="G4702" s="17"/>
      <c r="H4702" s="17"/>
      <c r="I4702" s="17"/>
      <c r="J4702" s="17"/>
      <c r="K4702" s="17"/>
      <c r="L4702" s="17"/>
      <c r="M4702" s="17"/>
      <c r="N4702" s="17"/>
      <c r="O4702" s="17"/>
      <c r="P4702" s="17"/>
      <c r="Q4702" s="17"/>
      <c r="R4702" s="17"/>
      <c r="S4702" s="17"/>
      <c r="T4702" s="17"/>
      <c r="U4702" s="17"/>
      <c r="V4702" s="18">
        <v>0</v>
      </c>
      <c r="W4702" s="17">
        <f t="shared" si="141"/>
        <v>0</v>
      </c>
    </row>
    <row r="4703" spans="1:23" x14ac:dyDescent="0.25">
      <c r="A4703" s="17"/>
      <c r="B4703" s="17"/>
      <c r="C4703" s="17"/>
      <c r="D4703" s="17"/>
      <c r="E4703" s="17"/>
      <c r="F4703" s="17"/>
      <c r="G4703" s="17"/>
      <c r="H4703" s="17"/>
      <c r="I4703" s="17"/>
      <c r="J4703" s="17"/>
      <c r="K4703" s="17"/>
      <c r="L4703" s="17"/>
      <c r="M4703" s="17"/>
      <c r="N4703" s="17"/>
      <c r="O4703" s="17"/>
      <c r="P4703" s="17"/>
      <c r="Q4703" s="17"/>
      <c r="R4703" s="17"/>
      <c r="S4703" s="17"/>
      <c r="T4703" s="17"/>
      <c r="U4703" s="17"/>
      <c r="V4703" s="18">
        <v>0</v>
      </c>
      <c r="W4703" s="17">
        <f t="shared" si="141"/>
        <v>0</v>
      </c>
    </row>
    <row r="4704" spans="1:23" x14ac:dyDescent="0.25">
      <c r="A4704" s="17"/>
      <c r="B4704" s="17"/>
      <c r="C4704" s="17"/>
      <c r="D4704" s="17"/>
      <c r="E4704" s="17"/>
      <c r="F4704" s="17"/>
      <c r="G4704" s="17"/>
      <c r="H4704" s="17"/>
      <c r="I4704" s="17"/>
      <c r="J4704" s="17"/>
      <c r="K4704" s="17"/>
      <c r="L4704" s="17"/>
      <c r="M4704" s="17"/>
      <c r="N4704" s="17"/>
      <c r="O4704" s="17"/>
      <c r="P4704" s="17"/>
      <c r="Q4704" s="17"/>
      <c r="R4704" s="17"/>
      <c r="S4704" s="17"/>
      <c r="T4704" s="17"/>
      <c r="U4704" s="17"/>
      <c r="V4704" s="18">
        <v>0</v>
      </c>
      <c r="W4704" s="17">
        <f t="shared" si="141"/>
        <v>0</v>
      </c>
    </row>
    <row r="4705" spans="1:23" x14ac:dyDescent="0.25">
      <c r="A4705" s="17"/>
      <c r="B4705" s="17"/>
      <c r="C4705" s="17"/>
      <c r="D4705" s="17"/>
      <c r="E4705" s="17"/>
      <c r="F4705" s="17"/>
      <c r="G4705" s="17"/>
      <c r="H4705" s="17"/>
      <c r="I4705" s="17"/>
      <c r="J4705" s="17"/>
      <c r="K4705" s="17"/>
      <c r="L4705" s="17"/>
      <c r="M4705" s="17"/>
      <c r="N4705" s="17"/>
      <c r="O4705" s="17"/>
      <c r="P4705" s="17"/>
      <c r="Q4705" s="17"/>
      <c r="R4705" s="17"/>
      <c r="S4705" s="17"/>
      <c r="T4705" s="17"/>
      <c r="U4705" s="17"/>
      <c r="V4705" s="18">
        <v>0</v>
      </c>
      <c r="W4705" s="17">
        <f t="shared" si="141"/>
        <v>0</v>
      </c>
    </row>
    <row r="4706" spans="1:23" x14ac:dyDescent="0.25">
      <c r="A4706" s="17"/>
      <c r="B4706" s="17"/>
      <c r="C4706" s="17"/>
      <c r="D4706" s="17"/>
      <c r="E4706" s="17"/>
      <c r="F4706" s="17"/>
      <c r="G4706" s="17"/>
      <c r="H4706" s="17"/>
      <c r="I4706" s="17"/>
      <c r="J4706" s="17"/>
      <c r="K4706" s="17"/>
      <c r="L4706" s="17"/>
      <c r="M4706" s="17"/>
      <c r="N4706" s="17"/>
      <c r="O4706" s="17"/>
      <c r="P4706" s="17"/>
      <c r="Q4706" s="17"/>
      <c r="R4706" s="17"/>
      <c r="S4706" s="17"/>
      <c r="T4706" s="17"/>
      <c r="U4706" s="17"/>
      <c r="V4706" s="18">
        <v>0</v>
      </c>
      <c r="W4706" s="17">
        <f t="shared" si="141"/>
        <v>0</v>
      </c>
    </row>
    <row r="4707" spans="1:23" x14ac:dyDescent="0.25">
      <c r="A4707" s="17"/>
      <c r="B4707" s="17"/>
      <c r="C4707" s="17"/>
      <c r="D4707" s="17"/>
      <c r="E4707" s="17"/>
      <c r="F4707" s="17"/>
      <c r="G4707" s="17"/>
      <c r="H4707" s="17"/>
      <c r="I4707" s="17"/>
      <c r="J4707" s="17"/>
      <c r="K4707" s="17"/>
      <c r="L4707" s="17"/>
      <c r="M4707" s="17"/>
      <c r="N4707" s="17"/>
      <c r="O4707" s="17"/>
      <c r="P4707" s="17"/>
      <c r="Q4707" s="17"/>
      <c r="R4707" s="17"/>
      <c r="S4707" s="17"/>
      <c r="T4707" s="17"/>
      <c r="U4707" s="17"/>
      <c r="V4707" s="18">
        <v>0</v>
      </c>
      <c r="W4707" s="17">
        <f t="shared" si="141"/>
        <v>0</v>
      </c>
    </row>
    <row r="4708" spans="1:23" x14ac:dyDescent="0.25">
      <c r="A4708" s="17"/>
      <c r="B4708" s="17"/>
      <c r="C4708" s="17"/>
      <c r="D4708" s="17"/>
      <c r="E4708" s="17"/>
      <c r="F4708" s="17"/>
      <c r="G4708" s="17"/>
      <c r="H4708" s="17"/>
      <c r="I4708" s="17"/>
      <c r="J4708" s="17"/>
      <c r="K4708" s="17"/>
      <c r="L4708" s="17"/>
      <c r="M4708" s="17"/>
      <c r="N4708" s="17"/>
      <c r="O4708" s="17"/>
      <c r="P4708" s="17"/>
      <c r="Q4708" s="17"/>
      <c r="R4708" s="17"/>
      <c r="S4708" s="17"/>
      <c r="T4708" s="17"/>
      <c r="U4708" s="17"/>
      <c r="V4708" s="18">
        <v>0</v>
      </c>
      <c r="W4708" s="17">
        <f t="shared" si="141"/>
        <v>0</v>
      </c>
    </row>
    <row r="4709" spans="1:23" x14ac:dyDescent="0.25">
      <c r="A4709" s="17"/>
      <c r="B4709" s="17"/>
      <c r="C4709" s="17"/>
      <c r="D4709" s="17"/>
      <c r="E4709" s="17"/>
      <c r="F4709" s="17"/>
      <c r="G4709" s="17"/>
      <c r="H4709" s="17"/>
      <c r="I4709" s="17"/>
      <c r="J4709" s="17"/>
      <c r="K4709" s="17"/>
      <c r="L4709" s="17"/>
      <c r="M4709" s="17"/>
      <c r="N4709" s="17"/>
      <c r="O4709" s="17"/>
      <c r="P4709" s="17"/>
      <c r="Q4709" s="17"/>
      <c r="R4709" s="17"/>
      <c r="S4709" s="17"/>
      <c r="T4709" s="17"/>
      <c r="U4709" s="17"/>
      <c r="V4709" s="18">
        <v>0</v>
      </c>
      <c r="W4709" s="17">
        <f t="shared" si="141"/>
        <v>0</v>
      </c>
    </row>
    <row r="4710" spans="1:23" x14ac:dyDescent="0.25">
      <c r="A4710" s="17"/>
      <c r="B4710" s="17"/>
      <c r="C4710" s="17"/>
      <c r="D4710" s="17"/>
      <c r="E4710" s="17"/>
      <c r="F4710" s="17"/>
      <c r="G4710" s="17"/>
      <c r="H4710" s="17"/>
      <c r="I4710" s="17"/>
      <c r="J4710" s="17"/>
      <c r="K4710" s="17"/>
      <c r="L4710" s="17"/>
      <c r="M4710" s="17"/>
      <c r="N4710" s="17"/>
      <c r="O4710" s="17"/>
      <c r="P4710" s="17"/>
      <c r="Q4710" s="17"/>
      <c r="R4710" s="17"/>
      <c r="S4710" s="17"/>
      <c r="T4710" s="17"/>
      <c r="U4710" s="17"/>
      <c r="V4710" s="18">
        <v>0</v>
      </c>
      <c r="W4710" s="17">
        <f t="shared" si="141"/>
        <v>0</v>
      </c>
    </row>
    <row r="4711" spans="1:23" x14ac:dyDescent="0.25">
      <c r="A4711" s="17"/>
      <c r="B4711" s="17"/>
      <c r="C4711" s="17"/>
      <c r="D4711" s="17"/>
      <c r="E4711" s="17"/>
      <c r="F4711" s="17"/>
      <c r="G4711" s="17"/>
      <c r="H4711" s="17"/>
      <c r="I4711" s="17"/>
      <c r="J4711" s="17"/>
      <c r="K4711" s="17"/>
      <c r="L4711" s="17"/>
      <c r="M4711" s="17"/>
      <c r="N4711" s="17"/>
      <c r="O4711" s="17"/>
      <c r="P4711" s="17"/>
      <c r="Q4711" s="17"/>
      <c r="R4711" s="17"/>
      <c r="S4711" s="17"/>
      <c r="T4711" s="17"/>
      <c r="U4711" s="17"/>
      <c r="V4711" s="18">
        <v>0</v>
      </c>
      <c r="W4711" s="17">
        <f t="shared" si="141"/>
        <v>0</v>
      </c>
    </row>
    <row r="4712" spans="1:23" x14ac:dyDescent="0.25">
      <c r="A4712" s="17"/>
      <c r="B4712" s="17"/>
      <c r="C4712" s="17"/>
      <c r="D4712" s="17"/>
      <c r="E4712" s="17"/>
      <c r="F4712" s="17"/>
      <c r="G4712" s="17"/>
      <c r="H4712" s="17"/>
      <c r="I4712" s="17"/>
      <c r="J4712" s="17"/>
      <c r="K4712" s="17"/>
      <c r="L4712" s="17"/>
      <c r="M4712" s="17"/>
      <c r="N4712" s="17"/>
      <c r="O4712" s="17"/>
      <c r="P4712" s="17"/>
      <c r="Q4712" s="17"/>
      <c r="R4712" s="17"/>
      <c r="S4712" s="17"/>
      <c r="T4712" s="17"/>
      <c r="U4712" s="17"/>
      <c r="V4712" s="18">
        <v>0</v>
      </c>
      <c r="W4712" s="17">
        <f t="shared" si="141"/>
        <v>0</v>
      </c>
    </row>
    <row r="4713" spans="1:23" x14ac:dyDescent="0.25">
      <c r="A4713" s="17"/>
      <c r="B4713" s="17"/>
      <c r="C4713" s="17"/>
      <c r="D4713" s="17"/>
      <c r="E4713" s="17"/>
      <c r="F4713" s="17"/>
      <c r="G4713" s="17"/>
      <c r="H4713" s="17"/>
      <c r="I4713" s="17"/>
      <c r="J4713" s="17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8">
        <v>0</v>
      </c>
      <c r="W4713" s="17">
        <f t="shared" si="141"/>
        <v>0</v>
      </c>
    </row>
    <row r="4714" spans="1:23" x14ac:dyDescent="0.25">
      <c r="A4714" s="17"/>
      <c r="B4714" s="17"/>
      <c r="C4714" s="17"/>
      <c r="D4714" s="17"/>
      <c r="E4714" s="17"/>
      <c r="F4714" s="17"/>
      <c r="G4714" s="17"/>
      <c r="H4714" s="17"/>
      <c r="I4714" s="17"/>
      <c r="J4714" s="17"/>
      <c r="K4714" s="17"/>
      <c r="L4714" s="17"/>
      <c r="M4714" s="17"/>
      <c r="N4714" s="17"/>
      <c r="O4714" s="17"/>
      <c r="P4714" s="17"/>
      <c r="Q4714" s="17"/>
      <c r="R4714" s="17"/>
      <c r="S4714" s="17"/>
      <c r="T4714" s="17"/>
      <c r="U4714" s="17"/>
      <c r="V4714" s="18">
        <v>0</v>
      </c>
      <c r="W4714" s="17">
        <f t="shared" si="141"/>
        <v>0</v>
      </c>
    </row>
    <row r="4715" spans="1:23" x14ac:dyDescent="0.25">
      <c r="A4715" s="17"/>
      <c r="B4715" s="17"/>
      <c r="C4715" s="17"/>
      <c r="D4715" s="17"/>
      <c r="E4715" s="17"/>
      <c r="F4715" s="17"/>
      <c r="G4715" s="17"/>
      <c r="H4715" s="17"/>
      <c r="I4715" s="17"/>
      <c r="J4715" s="17"/>
      <c r="K4715" s="17"/>
      <c r="L4715" s="17"/>
      <c r="M4715" s="17"/>
      <c r="N4715" s="17"/>
      <c r="O4715" s="17"/>
      <c r="P4715" s="17"/>
      <c r="Q4715" s="17"/>
      <c r="R4715" s="17"/>
      <c r="S4715" s="17"/>
      <c r="T4715" s="17"/>
      <c r="U4715" s="17"/>
      <c r="V4715" s="18">
        <v>0</v>
      </c>
      <c r="W4715" s="17">
        <f t="shared" si="141"/>
        <v>0</v>
      </c>
    </row>
    <row r="4716" spans="1:23" x14ac:dyDescent="0.25">
      <c r="A4716" s="17"/>
      <c r="B4716" s="17"/>
      <c r="C4716" s="17"/>
      <c r="D4716" s="17"/>
      <c r="E4716" s="17"/>
      <c r="F4716" s="17"/>
      <c r="G4716" s="17"/>
      <c r="H4716" s="17"/>
      <c r="I4716" s="17"/>
      <c r="J4716" s="17"/>
      <c r="K4716" s="17"/>
      <c r="L4716" s="17"/>
      <c r="M4716" s="17"/>
      <c r="N4716" s="17"/>
      <c r="O4716" s="17"/>
      <c r="P4716" s="17"/>
      <c r="Q4716" s="17"/>
      <c r="R4716" s="17"/>
      <c r="S4716" s="17"/>
      <c r="T4716" s="17"/>
      <c r="U4716" s="17"/>
      <c r="V4716" s="18">
        <v>0</v>
      </c>
      <c r="W4716" s="17">
        <f t="shared" si="141"/>
        <v>0</v>
      </c>
    </row>
    <row r="4717" spans="1:23" x14ac:dyDescent="0.25">
      <c r="A4717" s="17"/>
      <c r="B4717" s="17"/>
      <c r="C4717" s="17"/>
      <c r="D4717" s="17"/>
      <c r="E4717" s="17"/>
      <c r="F4717" s="17"/>
      <c r="G4717" s="17"/>
      <c r="H4717" s="17"/>
      <c r="I4717" s="17"/>
      <c r="J4717" s="17"/>
      <c r="K4717" s="17"/>
      <c r="L4717" s="17"/>
      <c r="M4717" s="17"/>
      <c r="N4717" s="17"/>
      <c r="O4717" s="17"/>
      <c r="P4717" s="17"/>
      <c r="Q4717" s="17"/>
      <c r="R4717" s="17"/>
      <c r="S4717" s="17"/>
      <c r="T4717" s="17"/>
      <c r="U4717" s="17"/>
      <c r="V4717" s="18">
        <v>0</v>
      </c>
      <c r="W4717" s="17">
        <f t="shared" si="141"/>
        <v>0</v>
      </c>
    </row>
    <row r="4718" spans="1:23" x14ac:dyDescent="0.25">
      <c r="A4718" s="17"/>
      <c r="B4718" s="17"/>
      <c r="C4718" s="17"/>
      <c r="D4718" s="17"/>
      <c r="E4718" s="17"/>
      <c r="F4718" s="17"/>
      <c r="G4718" s="17"/>
      <c r="H4718" s="17"/>
      <c r="I4718" s="17"/>
      <c r="J4718" s="17"/>
      <c r="K4718" s="17"/>
      <c r="L4718" s="17"/>
      <c r="M4718" s="17"/>
      <c r="N4718" s="17"/>
      <c r="O4718" s="17"/>
      <c r="P4718" s="17"/>
      <c r="Q4718" s="17"/>
      <c r="R4718" s="17"/>
      <c r="S4718" s="17"/>
      <c r="T4718" s="17"/>
      <c r="U4718" s="17"/>
      <c r="V4718" s="18">
        <v>0</v>
      </c>
      <c r="W4718" s="17">
        <f t="shared" si="141"/>
        <v>0</v>
      </c>
    </row>
    <row r="4719" spans="1:23" x14ac:dyDescent="0.25">
      <c r="A4719" s="17"/>
      <c r="B4719" s="17"/>
      <c r="C4719" s="17"/>
      <c r="D4719" s="17"/>
      <c r="E4719" s="17"/>
      <c r="F4719" s="17"/>
      <c r="G4719" s="17"/>
      <c r="H4719" s="17"/>
      <c r="I4719" s="17"/>
      <c r="J4719" s="17"/>
      <c r="K4719" s="17"/>
      <c r="L4719" s="17"/>
      <c r="M4719" s="17"/>
      <c r="N4719" s="17"/>
      <c r="O4719" s="17"/>
      <c r="P4719" s="17"/>
      <c r="Q4719" s="17"/>
      <c r="R4719" s="17"/>
      <c r="S4719" s="17"/>
      <c r="T4719" s="17"/>
      <c r="U4719" s="17"/>
      <c r="V4719" s="18">
        <v>0</v>
      </c>
      <c r="W4719" s="17">
        <f t="shared" si="141"/>
        <v>0</v>
      </c>
    </row>
    <row r="4720" spans="1:23" x14ac:dyDescent="0.25">
      <c r="A4720" s="17"/>
      <c r="B4720" s="17"/>
      <c r="C4720" s="17"/>
      <c r="D4720" s="17"/>
      <c r="E4720" s="17"/>
      <c r="F4720" s="17"/>
      <c r="G4720" s="17"/>
      <c r="H4720" s="17"/>
      <c r="I4720" s="17"/>
      <c r="J4720" s="17"/>
      <c r="K4720" s="17"/>
      <c r="L4720" s="17"/>
      <c r="M4720" s="17"/>
      <c r="N4720" s="17"/>
      <c r="O4720" s="17"/>
      <c r="P4720" s="17"/>
      <c r="Q4720" s="17"/>
      <c r="R4720" s="17"/>
      <c r="S4720" s="17"/>
      <c r="T4720" s="17"/>
      <c r="U4720" s="17"/>
      <c r="V4720" s="18">
        <v>0</v>
      </c>
      <c r="W4720" s="17">
        <f t="shared" si="141"/>
        <v>0</v>
      </c>
    </row>
    <row r="4721" spans="1:23" x14ac:dyDescent="0.25">
      <c r="A4721" s="17"/>
      <c r="B4721" s="17"/>
      <c r="C4721" s="17"/>
      <c r="D4721" s="17"/>
      <c r="E4721" s="17"/>
      <c r="F4721" s="17"/>
      <c r="G4721" s="17"/>
      <c r="H4721" s="17"/>
      <c r="I4721" s="17"/>
      <c r="J4721" s="17"/>
      <c r="K4721" s="17"/>
      <c r="L4721" s="17"/>
      <c r="M4721" s="17"/>
      <c r="N4721" s="17"/>
      <c r="O4721" s="17"/>
      <c r="P4721" s="17"/>
      <c r="Q4721" s="17"/>
      <c r="R4721" s="17"/>
      <c r="S4721" s="17"/>
      <c r="T4721" s="17"/>
      <c r="U4721" s="17"/>
      <c r="V4721" s="18">
        <v>0</v>
      </c>
      <c r="W4721" s="17">
        <f t="shared" si="141"/>
        <v>0</v>
      </c>
    </row>
    <row r="4722" spans="1:23" x14ac:dyDescent="0.25">
      <c r="A4722" s="17"/>
      <c r="B4722" s="17"/>
      <c r="C4722" s="17"/>
      <c r="D4722" s="17"/>
      <c r="E4722" s="17"/>
      <c r="F4722" s="17"/>
      <c r="G4722" s="17"/>
      <c r="H4722" s="17"/>
      <c r="I4722" s="17"/>
      <c r="J4722" s="17"/>
      <c r="K4722" s="17"/>
      <c r="L4722" s="17"/>
      <c r="M4722" s="17"/>
      <c r="N4722" s="17"/>
      <c r="O4722" s="17"/>
      <c r="P4722" s="17"/>
      <c r="Q4722" s="17"/>
      <c r="R4722" s="17"/>
      <c r="S4722" s="17"/>
      <c r="T4722" s="17"/>
      <c r="U4722" s="17"/>
      <c r="V4722" s="18">
        <v>0</v>
      </c>
      <c r="W4722" s="17">
        <f t="shared" si="141"/>
        <v>0</v>
      </c>
    </row>
    <row r="4723" spans="1:23" x14ac:dyDescent="0.25">
      <c r="A4723" s="17"/>
      <c r="B4723" s="17"/>
      <c r="C4723" s="17"/>
      <c r="D4723" s="17"/>
      <c r="E4723" s="17"/>
      <c r="F4723" s="17"/>
      <c r="G4723" s="17"/>
      <c r="H4723" s="17"/>
      <c r="I4723" s="17"/>
      <c r="J4723" s="17"/>
      <c r="K4723" s="17"/>
      <c r="L4723" s="17"/>
      <c r="M4723" s="17"/>
      <c r="N4723" s="17"/>
      <c r="O4723" s="17"/>
      <c r="P4723" s="17"/>
      <c r="Q4723" s="17"/>
      <c r="R4723" s="17"/>
      <c r="S4723" s="17"/>
      <c r="T4723" s="17"/>
      <c r="U4723" s="17"/>
      <c r="V4723" s="18">
        <v>0</v>
      </c>
      <c r="W4723" s="17">
        <f t="shared" si="141"/>
        <v>0</v>
      </c>
    </row>
    <row r="4724" spans="1:23" x14ac:dyDescent="0.25">
      <c r="A4724" s="17"/>
      <c r="B4724" s="17"/>
      <c r="C4724" s="17"/>
      <c r="D4724" s="17"/>
      <c r="E4724" s="17"/>
      <c r="F4724" s="17"/>
      <c r="G4724" s="17"/>
      <c r="H4724" s="17"/>
      <c r="I4724" s="17"/>
      <c r="J4724" s="17"/>
      <c r="K4724" s="17"/>
      <c r="L4724" s="17"/>
      <c r="M4724" s="17"/>
      <c r="N4724" s="17"/>
      <c r="O4724" s="17"/>
      <c r="P4724" s="17"/>
      <c r="Q4724" s="17"/>
      <c r="R4724" s="17"/>
      <c r="S4724" s="17"/>
      <c r="T4724" s="17"/>
      <c r="U4724" s="17"/>
      <c r="V4724" s="18">
        <v>0</v>
      </c>
      <c r="W4724" s="17">
        <f t="shared" si="141"/>
        <v>0</v>
      </c>
    </row>
    <row r="4725" spans="1:23" x14ac:dyDescent="0.25">
      <c r="A4725" s="17"/>
      <c r="B4725" s="17"/>
      <c r="C4725" s="17"/>
      <c r="D4725" s="17"/>
      <c r="E4725" s="17"/>
      <c r="F4725" s="17"/>
      <c r="G4725" s="17"/>
      <c r="H4725" s="17"/>
      <c r="I4725" s="17"/>
      <c r="J4725" s="17"/>
      <c r="K4725" s="17"/>
      <c r="L4725" s="17"/>
      <c r="M4725" s="17"/>
      <c r="N4725" s="17"/>
      <c r="O4725" s="17"/>
      <c r="P4725" s="17"/>
      <c r="Q4725" s="17"/>
      <c r="R4725" s="17"/>
      <c r="S4725" s="17"/>
      <c r="T4725" s="17"/>
      <c r="U4725" s="17"/>
      <c r="V4725" s="18">
        <v>0</v>
      </c>
      <c r="W4725" s="17">
        <f t="shared" si="141"/>
        <v>0</v>
      </c>
    </row>
    <row r="4726" spans="1:23" x14ac:dyDescent="0.25">
      <c r="A4726" s="17"/>
      <c r="B4726" s="17"/>
      <c r="C4726" s="17"/>
      <c r="D4726" s="17"/>
      <c r="E4726" s="17"/>
      <c r="F4726" s="17"/>
      <c r="G4726" s="17"/>
      <c r="H4726" s="17"/>
      <c r="I4726" s="17"/>
      <c r="J4726" s="17"/>
      <c r="K4726" s="17"/>
      <c r="L4726" s="17"/>
      <c r="M4726" s="17"/>
      <c r="N4726" s="17"/>
      <c r="O4726" s="17"/>
      <c r="P4726" s="17"/>
      <c r="Q4726" s="17"/>
      <c r="R4726" s="17"/>
      <c r="S4726" s="17"/>
      <c r="T4726" s="17"/>
      <c r="U4726" s="17"/>
      <c r="V4726" s="18">
        <v>0</v>
      </c>
      <c r="W4726" s="17">
        <f t="shared" si="141"/>
        <v>0</v>
      </c>
    </row>
    <row r="4727" spans="1:23" x14ac:dyDescent="0.25">
      <c r="A4727" s="17"/>
      <c r="B4727" s="17"/>
      <c r="C4727" s="17"/>
      <c r="D4727" s="17"/>
      <c r="E4727" s="17"/>
      <c r="F4727" s="17"/>
      <c r="G4727" s="17"/>
      <c r="H4727" s="17"/>
      <c r="I4727" s="17"/>
      <c r="J4727" s="17"/>
      <c r="K4727" s="17"/>
      <c r="L4727" s="17"/>
      <c r="M4727" s="17"/>
      <c r="N4727" s="17"/>
      <c r="O4727" s="17"/>
      <c r="P4727" s="17"/>
      <c r="Q4727" s="17"/>
      <c r="R4727" s="17"/>
      <c r="S4727" s="17"/>
      <c r="T4727" s="17"/>
      <c r="U4727" s="17"/>
      <c r="V4727" s="18">
        <v>0</v>
      </c>
      <c r="W4727" s="17">
        <f t="shared" si="141"/>
        <v>0</v>
      </c>
    </row>
    <row r="4728" spans="1:23" x14ac:dyDescent="0.25">
      <c r="A4728" s="17"/>
      <c r="B4728" s="17"/>
      <c r="C4728" s="17"/>
      <c r="D4728" s="17"/>
      <c r="E4728" s="17"/>
      <c r="F4728" s="17"/>
      <c r="G4728" s="17"/>
      <c r="H4728" s="17"/>
      <c r="I4728" s="17"/>
      <c r="J4728" s="17"/>
      <c r="K4728" s="17"/>
      <c r="L4728" s="17"/>
      <c r="M4728" s="17"/>
      <c r="N4728" s="17"/>
      <c r="O4728" s="17"/>
      <c r="P4728" s="17"/>
      <c r="Q4728" s="17"/>
      <c r="R4728" s="17"/>
      <c r="S4728" s="17"/>
      <c r="T4728" s="17"/>
      <c r="U4728" s="17"/>
      <c r="V4728" s="18">
        <v>0</v>
      </c>
      <c r="W4728" s="17">
        <f t="shared" si="141"/>
        <v>0</v>
      </c>
    </row>
    <row r="4729" spans="1:23" x14ac:dyDescent="0.25">
      <c r="A4729" s="17"/>
      <c r="B4729" s="17"/>
      <c r="C4729" s="17"/>
      <c r="D4729" s="17"/>
      <c r="E4729" s="17"/>
      <c r="F4729" s="17"/>
      <c r="G4729" s="17"/>
      <c r="H4729" s="17"/>
      <c r="I4729" s="17"/>
      <c r="J4729" s="17"/>
      <c r="K4729" s="17"/>
      <c r="L4729" s="17"/>
      <c r="M4729" s="17"/>
      <c r="N4729" s="17"/>
      <c r="O4729" s="17"/>
      <c r="P4729" s="17"/>
      <c r="Q4729" s="17"/>
      <c r="R4729" s="17"/>
      <c r="S4729" s="17"/>
      <c r="T4729" s="17"/>
      <c r="U4729" s="17"/>
      <c r="V4729" s="18">
        <v>0</v>
      </c>
      <c r="W4729" s="17">
        <f t="shared" si="141"/>
        <v>0</v>
      </c>
    </row>
    <row r="4730" spans="1:23" x14ac:dyDescent="0.25">
      <c r="A4730" s="17"/>
      <c r="B4730" s="17"/>
      <c r="C4730" s="17"/>
      <c r="D4730" s="17"/>
      <c r="E4730" s="17"/>
      <c r="F4730" s="17"/>
      <c r="G4730" s="17"/>
      <c r="H4730" s="17"/>
      <c r="I4730" s="17"/>
      <c r="J4730" s="17"/>
      <c r="K4730" s="17"/>
      <c r="L4730" s="17"/>
      <c r="M4730" s="17"/>
      <c r="N4730" s="17"/>
      <c r="O4730" s="17"/>
      <c r="P4730" s="17"/>
      <c r="Q4730" s="17"/>
      <c r="R4730" s="17"/>
      <c r="S4730" s="17"/>
      <c r="T4730" s="17"/>
      <c r="U4730" s="17"/>
      <c r="V4730" s="18">
        <v>0</v>
      </c>
      <c r="W4730" s="17">
        <f t="shared" si="141"/>
        <v>0</v>
      </c>
    </row>
    <row r="4731" spans="1:23" x14ac:dyDescent="0.25">
      <c r="A4731" s="17"/>
      <c r="B4731" s="17"/>
      <c r="C4731" s="17"/>
      <c r="D4731" s="17"/>
      <c r="E4731" s="17"/>
      <c r="F4731" s="17"/>
      <c r="G4731" s="17"/>
      <c r="H4731" s="17"/>
      <c r="I4731" s="17"/>
      <c r="J4731" s="17"/>
      <c r="K4731" s="17"/>
      <c r="L4731" s="17"/>
      <c r="M4731" s="17"/>
      <c r="N4731" s="17"/>
      <c r="O4731" s="17"/>
      <c r="P4731" s="17"/>
      <c r="Q4731" s="17"/>
      <c r="R4731" s="17"/>
      <c r="S4731" s="17"/>
      <c r="T4731" s="17"/>
      <c r="U4731" s="17"/>
      <c r="V4731" s="18">
        <v>0</v>
      </c>
      <c r="W4731" s="17">
        <f t="shared" si="141"/>
        <v>0</v>
      </c>
    </row>
    <row r="4732" spans="1:23" x14ac:dyDescent="0.25">
      <c r="A4732" s="17"/>
      <c r="B4732" s="17"/>
      <c r="C4732" s="17"/>
      <c r="D4732" s="17"/>
      <c r="E4732" s="17"/>
      <c r="F4732" s="17"/>
      <c r="G4732" s="17"/>
      <c r="H4732" s="17"/>
      <c r="I4732" s="17"/>
      <c r="J4732" s="17"/>
      <c r="K4732" s="17"/>
      <c r="L4732" s="17"/>
      <c r="M4732" s="17"/>
      <c r="N4732" s="17"/>
      <c r="O4732" s="17"/>
      <c r="P4732" s="17"/>
      <c r="Q4732" s="17"/>
      <c r="R4732" s="17"/>
      <c r="S4732" s="17"/>
      <c r="T4732" s="17"/>
      <c r="U4732" s="17"/>
      <c r="V4732" s="18">
        <v>0</v>
      </c>
      <c r="W4732" s="17">
        <f t="shared" si="141"/>
        <v>0</v>
      </c>
    </row>
    <row r="4733" spans="1:23" x14ac:dyDescent="0.25">
      <c r="A4733" s="17"/>
      <c r="B4733" s="17"/>
      <c r="C4733" s="17"/>
      <c r="D4733" s="17"/>
      <c r="E4733" s="17"/>
      <c r="F4733" s="17"/>
      <c r="G4733" s="17"/>
      <c r="H4733" s="17"/>
      <c r="I4733" s="17"/>
      <c r="J4733" s="17"/>
      <c r="K4733" s="17"/>
      <c r="L4733" s="17"/>
      <c r="M4733" s="17"/>
      <c r="N4733" s="17"/>
      <c r="O4733" s="17"/>
      <c r="P4733" s="17"/>
      <c r="Q4733" s="17"/>
      <c r="R4733" s="17"/>
      <c r="S4733" s="17"/>
      <c r="T4733" s="17"/>
      <c r="U4733" s="17"/>
      <c r="V4733" s="18">
        <v>0</v>
      </c>
      <c r="W4733" s="17">
        <f t="shared" si="141"/>
        <v>0</v>
      </c>
    </row>
    <row r="4734" spans="1:23" x14ac:dyDescent="0.25">
      <c r="A4734" s="17"/>
      <c r="B4734" s="17"/>
      <c r="C4734" s="17"/>
      <c r="D4734" s="17"/>
      <c r="E4734" s="17"/>
      <c r="F4734" s="17"/>
      <c r="G4734" s="17"/>
      <c r="H4734" s="17"/>
      <c r="I4734" s="17"/>
      <c r="J4734" s="17"/>
      <c r="K4734" s="17"/>
      <c r="L4734" s="17"/>
      <c r="M4734" s="17"/>
      <c r="N4734" s="17"/>
      <c r="O4734" s="17"/>
      <c r="P4734" s="17"/>
      <c r="Q4734" s="17"/>
      <c r="R4734" s="17"/>
      <c r="S4734" s="17"/>
      <c r="T4734" s="17"/>
      <c r="U4734" s="17"/>
      <c r="V4734" s="18">
        <v>0</v>
      </c>
      <c r="W4734" s="17">
        <f t="shared" si="141"/>
        <v>0</v>
      </c>
    </row>
    <row r="4735" spans="1:23" x14ac:dyDescent="0.25">
      <c r="A4735" s="17"/>
      <c r="B4735" s="17"/>
      <c r="C4735" s="17"/>
      <c r="D4735" s="17"/>
      <c r="E4735" s="17"/>
      <c r="F4735" s="17"/>
      <c r="G4735" s="17"/>
      <c r="H4735" s="17"/>
      <c r="I4735" s="17"/>
      <c r="J4735" s="17"/>
      <c r="K4735" s="17"/>
      <c r="L4735" s="17"/>
      <c r="M4735" s="17"/>
      <c r="N4735" s="17"/>
      <c r="O4735" s="17"/>
      <c r="P4735" s="17"/>
      <c r="Q4735" s="17"/>
      <c r="R4735" s="17"/>
      <c r="S4735" s="17"/>
      <c r="T4735" s="17"/>
      <c r="U4735" s="17"/>
      <c r="V4735" s="18">
        <v>0</v>
      </c>
      <c r="W4735" s="17">
        <f t="shared" si="141"/>
        <v>0</v>
      </c>
    </row>
    <row r="4736" spans="1:23" x14ac:dyDescent="0.25">
      <c r="A4736" s="17"/>
      <c r="B4736" s="17"/>
      <c r="C4736" s="17"/>
      <c r="D4736" s="17"/>
      <c r="E4736" s="17"/>
      <c r="F4736" s="17"/>
      <c r="G4736" s="17"/>
      <c r="H4736" s="17"/>
      <c r="I4736" s="17"/>
      <c r="J4736" s="17"/>
      <c r="K4736" s="17"/>
      <c r="L4736" s="17"/>
      <c r="M4736" s="17"/>
      <c r="N4736" s="17"/>
      <c r="O4736" s="17"/>
      <c r="P4736" s="17"/>
      <c r="Q4736" s="17"/>
      <c r="R4736" s="17"/>
      <c r="S4736" s="17"/>
      <c r="T4736" s="17"/>
      <c r="U4736" s="17"/>
      <c r="V4736" s="18">
        <v>0</v>
      </c>
      <c r="W4736" s="17">
        <f t="shared" si="141"/>
        <v>0</v>
      </c>
    </row>
    <row r="4737" spans="1:23" x14ac:dyDescent="0.25">
      <c r="A4737" s="17"/>
      <c r="B4737" s="17"/>
      <c r="C4737" s="17"/>
      <c r="D4737" s="17"/>
      <c r="E4737" s="17"/>
      <c r="F4737" s="17"/>
      <c r="G4737" s="17"/>
      <c r="H4737" s="17"/>
      <c r="I4737" s="17"/>
      <c r="J4737" s="17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8">
        <v>0</v>
      </c>
      <c r="W4737" s="17">
        <f t="shared" si="141"/>
        <v>0</v>
      </c>
    </row>
    <row r="4738" spans="1:23" x14ac:dyDescent="0.25">
      <c r="A4738" s="17"/>
      <c r="B4738" s="17"/>
      <c r="C4738" s="17"/>
      <c r="D4738" s="17"/>
      <c r="E4738" s="17"/>
      <c r="F4738" s="17"/>
      <c r="G4738" s="17"/>
      <c r="H4738" s="17"/>
      <c r="I4738" s="17"/>
      <c r="J4738" s="17"/>
      <c r="K4738" s="17"/>
      <c r="L4738" s="17"/>
      <c r="M4738" s="17"/>
      <c r="N4738" s="17"/>
      <c r="O4738" s="17"/>
      <c r="P4738" s="17"/>
      <c r="Q4738" s="17"/>
      <c r="R4738" s="17"/>
      <c r="S4738" s="17"/>
      <c r="T4738" s="17"/>
      <c r="U4738" s="17"/>
      <c r="V4738" s="18">
        <v>0</v>
      </c>
      <c r="W4738" s="17">
        <f t="shared" si="141"/>
        <v>0</v>
      </c>
    </row>
    <row r="4739" spans="1:23" x14ac:dyDescent="0.25">
      <c r="A4739" s="17"/>
      <c r="B4739" s="17"/>
      <c r="C4739" s="17"/>
      <c r="D4739" s="17"/>
      <c r="E4739" s="17"/>
      <c r="F4739" s="17"/>
      <c r="G4739" s="17"/>
      <c r="H4739" s="17"/>
      <c r="I4739" s="17"/>
      <c r="J4739" s="17"/>
      <c r="K4739" s="17"/>
      <c r="L4739" s="17"/>
      <c r="M4739" s="17"/>
      <c r="N4739" s="17"/>
      <c r="O4739" s="17"/>
      <c r="P4739" s="17"/>
      <c r="Q4739" s="17"/>
      <c r="R4739" s="17"/>
      <c r="S4739" s="17"/>
      <c r="T4739" s="17"/>
      <c r="U4739" s="17"/>
      <c r="V4739" s="18">
        <v>0</v>
      </c>
      <c r="W4739" s="17">
        <f t="shared" ref="W4739:W4802" si="142">HOUR(E4739)</f>
        <v>0</v>
      </c>
    </row>
    <row r="4740" spans="1:23" x14ac:dyDescent="0.25">
      <c r="A4740" s="17"/>
      <c r="B4740" s="17"/>
      <c r="C4740" s="17"/>
      <c r="D4740" s="17"/>
      <c r="E4740" s="17"/>
      <c r="F4740" s="17"/>
      <c r="G4740" s="17"/>
      <c r="H4740" s="17"/>
      <c r="I4740" s="17"/>
      <c r="J4740" s="17"/>
      <c r="K4740" s="17"/>
      <c r="L4740" s="17"/>
      <c r="M4740" s="17"/>
      <c r="N4740" s="17"/>
      <c r="O4740" s="17"/>
      <c r="P4740" s="17"/>
      <c r="Q4740" s="17"/>
      <c r="R4740" s="17"/>
      <c r="S4740" s="17"/>
      <c r="T4740" s="17"/>
      <c r="U4740" s="17"/>
      <c r="V4740" s="18">
        <v>0</v>
      </c>
      <c r="W4740" s="17">
        <f t="shared" si="142"/>
        <v>0</v>
      </c>
    </row>
    <row r="4741" spans="1:23" x14ac:dyDescent="0.25">
      <c r="A4741" s="17"/>
      <c r="B4741" s="17"/>
      <c r="C4741" s="17"/>
      <c r="D4741" s="17"/>
      <c r="E4741" s="17"/>
      <c r="F4741" s="17"/>
      <c r="G4741" s="17"/>
      <c r="H4741" s="17"/>
      <c r="I4741" s="17"/>
      <c r="J4741" s="17"/>
      <c r="K4741" s="17"/>
      <c r="L4741" s="17"/>
      <c r="M4741" s="17"/>
      <c r="N4741" s="17"/>
      <c r="O4741" s="17"/>
      <c r="P4741" s="17"/>
      <c r="Q4741" s="17"/>
      <c r="R4741" s="17"/>
      <c r="S4741" s="17"/>
      <c r="T4741" s="17"/>
      <c r="U4741" s="17"/>
      <c r="V4741" s="18">
        <v>0</v>
      </c>
      <c r="W4741" s="17">
        <f t="shared" si="142"/>
        <v>0</v>
      </c>
    </row>
    <row r="4742" spans="1:23" x14ac:dyDescent="0.25">
      <c r="A4742" s="17"/>
      <c r="B4742" s="17"/>
      <c r="C4742" s="17"/>
      <c r="D4742" s="17"/>
      <c r="E4742" s="17"/>
      <c r="F4742" s="17"/>
      <c r="G4742" s="17"/>
      <c r="H4742" s="17"/>
      <c r="I4742" s="17"/>
      <c r="J4742" s="17"/>
      <c r="K4742" s="17"/>
      <c r="L4742" s="17"/>
      <c r="M4742" s="17"/>
      <c r="N4742" s="17"/>
      <c r="O4742" s="17"/>
      <c r="P4742" s="17"/>
      <c r="Q4742" s="17"/>
      <c r="R4742" s="17"/>
      <c r="S4742" s="17"/>
      <c r="T4742" s="17"/>
      <c r="U4742" s="17"/>
      <c r="V4742" s="18">
        <v>0</v>
      </c>
      <c r="W4742" s="17">
        <f t="shared" si="142"/>
        <v>0</v>
      </c>
    </row>
    <row r="4743" spans="1:23" x14ac:dyDescent="0.25">
      <c r="A4743" s="17"/>
      <c r="B4743" s="17"/>
      <c r="C4743" s="17"/>
      <c r="D4743" s="17"/>
      <c r="E4743" s="17"/>
      <c r="F4743" s="17"/>
      <c r="G4743" s="17"/>
      <c r="H4743" s="17"/>
      <c r="I4743" s="17"/>
      <c r="J4743" s="17"/>
      <c r="K4743" s="17"/>
      <c r="L4743" s="17"/>
      <c r="M4743" s="17"/>
      <c r="N4743" s="17"/>
      <c r="O4743" s="17"/>
      <c r="P4743" s="17"/>
      <c r="Q4743" s="17"/>
      <c r="R4743" s="17"/>
      <c r="S4743" s="17"/>
      <c r="T4743" s="17"/>
      <c r="U4743" s="17"/>
      <c r="V4743" s="18">
        <v>0</v>
      </c>
      <c r="W4743" s="17">
        <f t="shared" si="142"/>
        <v>0</v>
      </c>
    </row>
    <row r="4744" spans="1:23" x14ac:dyDescent="0.25">
      <c r="A4744" s="17"/>
      <c r="B4744" s="17"/>
      <c r="C4744" s="17"/>
      <c r="D4744" s="17"/>
      <c r="E4744" s="17"/>
      <c r="F4744" s="17"/>
      <c r="G4744" s="17"/>
      <c r="H4744" s="17"/>
      <c r="I4744" s="17"/>
      <c r="J4744" s="17"/>
      <c r="K4744" s="17"/>
      <c r="L4744" s="17"/>
      <c r="M4744" s="17"/>
      <c r="N4744" s="17"/>
      <c r="O4744" s="17"/>
      <c r="P4744" s="17"/>
      <c r="Q4744" s="17"/>
      <c r="R4744" s="17"/>
      <c r="S4744" s="17"/>
      <c r="T4744" s="17"/>
      <c r="U4744" s="17"/>
      <c r="V4744" s="18">
        <v>0</v>
      </c>
      <c r="W4744" s="17">
        <f t="shared" si="142"/>
        <v>0</v>
      </c>
    </row>
    <row r="4745" spans="1:23" x14ac:dyDescent="0.25">
      <c r="A4745" s="17"/>
      <c r="B4745" s="17"/>
      <c r="C4745" s="17"/>
      <c r="D4745" s="17"/>
      <c r="E4745" s="17"/>
      <c r="F4745" s="17"/>
      <c r="G4745" s="17"/>
      <c r="H4745" s="17"/>
      <c r="I4745" s="17"/>
      <c r="J4745" s="17"/>
      <c r="K4745" s="17"/>
      <c r="L4745" s="17"/>
      <c r="M4745" s="17"/>
      <c r="N4745" s="17"/>
      <c r="O4745" s="17"/>
      <c r="P4745" s="17"/>
      <c r="Q4745" s="17"/>
      <c r="R4745" s="17"/>
      <c r="S4745" s="17"/>
      <c r="T4745" s="17"/>
      <c r="U4745" s="17"/>
      <c r="V4745" s="18">
        <v>0</v>
      </c>
      <c r="W4745" s="17">
        <f t="shared" si="142"/>
        <v>0</v>
      </c>
    </row>
    <row r="4746" spans="1:23" x14ac:dyDescent="0.25">
      <c r="A4746" s="17"/>
      <c r="B4746" s="17"/>
      <c r="C4746" s="17"/>
      <c r="D4746" s="17"/>
      <c r="E4746" s="17"/>
      <c r="F4746" s="17"/>
      <c r="G4746" s="17"/>
      <c r="H4746" s="17"/>
      <c r="I4746" s="17"/>
      <c r="J4746" s="17"/>
      <c r="K4746" s="17"/>
      <c r="L4746" s="17"/>
      <c r="M4746" s="17"/>
      <c r="N4746" s="17"/>
      <c r="O4746" s="17"/>
      <c r="P4746" s="17"/>
      <c r="Q4746" s="17"/>
      <c r="R4746" s="17"/>
      <c r="S4746" s="17"/>
      <c r="T4746" s="17"/>
      <c r="U4746" s="17"/>
      <c r="V4746" s="18">
        <v>0</v>
      </c>
      <c r="W4746" s="17">
        <f t="shared" si="142"/>
        <v>0</v>
      </c>
    </row>
    <row r="4747" spans="1:23" x14ac:dyDescent="0.25">
      <c r="A4747" s="17"/>
      <c r="B4747" s="17"/>
      <c r="C4747" s="17"/>
      <c r="D4747" s="17"/>
      <c r="E4747" s="17"/>
      <c r="F4747" s="17"/>
      <c r="G4747" s="17"/>
      <c r="H4747" s="17"/>
      <c r="I4747" s="17"/>
      <c r="J4747" s="17"/>
      <c r="K4747" s="17"/>
      <c r="L4747" s="17"/>
      <c r="M4747" s="17"/>
      <c r="N4747" s="17"/>
      <c r="O4747" s="17"/>
      <c r="P4747" s="17"/>
      <c r="Q4747" s="17"/>
      <c r="R4747" s="17"/>
      <c r="S4747" s="17"/>
      <c r="T4747" s="17"/>
      <c r="U4747" s="17"/>
      <c r="V4747" s="18">
        <v>0</v>
      </c>
      <c r="W4747" s="17">
        <f t="shared" si="142"/>
        <v>0</v>
      </c>
    </row>
    <row r="4748" spans="1:23" x14ac:dyDescent="0.25">
      <c r="A4748" s="17"/>
      <c r="B4748" s="17"/>
      <c r="C4748" s="17"/>
      <c r="D4748" s="17"/>
      <c r="E4748" s="17"/>
      <c r="F4748" s="17"/>
      <c r="G4748" s="17"/>
      <c r="H4748" s="17"/>
      <c r="I4748" s="17"/>
      <c r="J4748" s="17"/>
      <c r="K4748" s="17"/>
      <c r="L4748" s="17"/>
      <c r="M4748" s="17"/>
      <c r="N4748" s="17"/>
      <c r="O4748" s="17"/>
      <c r="P4748" s="17"/>
      <c r="Q4748" s="17"/>
      <c r="R4748" s="17"/>
      <c r="S4748" s="17"/>
      <c r="T4748" s="17"/>
      <c r="U4748" s="17"/>
      <c r="V4748" s="18">
        <v>0</v>
      </c>
      <c r="W4748" s="17">
        <f t="shared" si="142"/>
        <v>0</v>
      </c>
    </row>
    <row r="4749" spans="1:23" x14ac:dyDescent="0.25">
      <c r="A4749" s="17"/>
      <c r="B4749" s="17"/>
      <c r="C4749" s="17"/>
      <c r="D4749" s="17"/>
      <c r="E4749" s="17"/>
      <c r="F4749" s="17"/>
      <c r="G4749" s="17"/>
      <c r="H4749" s="17"/>
      <c r="I4749" s="17"/>
      <c r="J4749" s="17"/>
      <c r="K4749" s="17"/>
      <c r="L4749" s="17"/>
      <c r="M4749" s="17"/>
      <c r="N4749" s="17"/>
      <c r="O4749" s="17"/>
      <c r="P4749" s="17"/>
      <c r="Q4749" s="17"/>
      <c r="R4749" s="17"/>
      <c r="S4749" s="17"/>
      <c r="T4749" s="17"/>
      <c r="U4749" s="17"/>
      <c r="V4749" s="18">
        <v>0</v>
      </c>
      <c r="W4749" s="17">
        <f t="shared" si="142"/>
        <v>0</v>
      </c>
    </row>
    <row r="4750" spans="1:23" x14ac:dyDescent="0.25">
      <c r="A4750" s="17"/>
      <c r="B4750" s="17"/>
      <c r="C4750" s="17"/>
      <c r="D4750" s="17"/>
      <c r="E4750" s="17"/>
      <c r="F4750" s="17"/>
      <c r="G4750" s="17"/>
      <c r="H4750" s="17"/>
      <c r="I4750" s="17"/>
      <c r="J4750" s="17"/>
      <c r="K4750" s="17"/>
      <c r="L4750" s="17"/>
      <c r="M4750" s="17"/>
      <c r="N4750" s="17"/>
      <c r="O4750" s="17"/>
      <c r="P4750" s="17"/>
      <c r="Q4750" s="17"/>
      <c r="R4750" s="17"/>
      <c r="S4750" s="17"/>
      <c r="T4750" s="17"/>
      <c r="U4750" s="17"/>
      <c r="V4750" s="18">
        <v>0</v>
      </c>
      <c r="W4750" s="17">
        <f t="shared" si="142"/>
        <v>0</v>
      </c>
    </row>
    <row r="4751" spans="1:23" x14ac:dyDescent="0.25">
      <c r="A4751" s="17"/>
      <c r="B4751" s="17"/>
      <c r="C4751" s="17"/>
      <c r="D4751" s="17"/>
      <c r="E4751" s="17"/>
      <c r="F4751" s="17"/>
      <c r="G4751" s="17"/>
      <c r="H4751" s="17"/>
      <c r="I4751" s="17"/>
      <c r="J4751" s="17"/>
      <c r="K4751" s="17"/>
      <c r="L4751" s="17"/>
      <c r="M4751" s="17"/>
      <c r="N4751" s="17"/>
      <c r="O4751" s="17"/>
      <c r="P4751" s="17"/>
      <c r="Q4751" s="17"/>
      <c r="R4751" s="17"/>
      <c r="S4751" s="17"/>
      <c r="T4751" s="17"/>
      <c r="U4751" s="17"/>
      <c r="V4751" s="18">
        <v>0</v>
      </c>
      <c r="W4751" s="17">
        <f t="shared" si="142"/>
        <v>0</v>
      </c>
    </row>
    <row r="4752" spans="1:23" x14ac:dyDescent="0.25">
      <c r="A4752" s="17"/>
      <c r="B4752" s="17"/>
      <c r="C4752" s="17"/>
      <c r="D4752" s="17"/>
      <c r="E4752" s="17"/>
      <c r="F4752" s="17"/>
      <c r="G4752" s="17"/>
      <c r="H4752" s="17"/>
      <c r="I4752" s="17"/>
      <c r="J4752" s="17"/>
      <c r="K4752" s="17"/>
      <c r="L4752" s="17"/>
      <c r="M4752" s="17"/>
      <c r="N4752" s="17"/>
      <c r="O4752" s="17"/>
      <c r="P4752" s="17"/>
      <c r="Q4752" s="17"/>
      <c r="R4752" s="17"/>
      <c r="S4752" s="17"/>
      <c r="T4752" s="17"/>
      <c r="U4752" s="17"/>
      <c r="V4752" s="18">
        <v>0</v>
      </c>
      <c r="W4752" s="17">
        <f t="shared" si="142"/>
        <v>0</v>
      </c>
    </row>
    <row r="4753" spans="1:23" x14ac:dyDescent="0.25">
      <c r="A4753" s="17"/>
      <c r="B4753" s="17"/>
      <c r="C4753" s="17"/>
      <c r="D4753" s="17"/>
      <c r="E4753" s="17"/>
      <c r="F4753" s="17"/>
      <c r="G4753" s="17"/>
      <c r="H4753" s="17"/>
      <c r="I4753" s="17"/>
      <c r="J4753" s="17"/>
      <c r="K4753" s="17"/>
      <c r="L4753" s="17"/>
      <c r="M4753" s="17"/>
      <c r="N4753" s="17"/>
      <c r="O4753" s="17"/>
      <c r="P4753" s="17"/>
      <c r="Q4753" s="17"/>
      <c r="R4753" s="17"/>
      <c r="S4753" s="17"/>
      <c r="T4753" s="17"/>
      <c r="U4753" s="17"/>
      <c r="V4753" s="18">
        <v>0</v>
      </c>
      <c r="W4753" s="17">
        <f t="shared" si="142"/>
        <v>0</v>
      </c>
    </row>
    <row r="4754" spans="1:23" x14ac:dyDescent="0.25">
      <c r="A4754" s="17"/>
      <c r="B4754" s="17"/>
      <c r="C4754" s="17"/>
      <c r="D4754" s="17"/>
      <c r="E4754" s="17"/>
      <c r="F4754" s="17"/>
      <c r="G4754" s="17"/>
      <c r="H4754" s="17"/>
      <c r="I4754" s="17"/>
      <c r="J4754" s="17"/>
      <c r="K4754" s="17"/>
      <c r="L4754" s="17"/>
      <c r="M4754" s="17"/>
      <c r="N4754" s="17"/>
      <c r="O4754" s="17"/>
      <c r="P4754" s="17"/>
      <c r="Q4754" s="17"/>
      <c r="R4754" s="17"/>
      <c r="S4754" s="17"/>
      <c r="T4754" s="17"/>
      <c r="U4754" s="17"/>
      <c r="V4754" s="18">
        <v>0</v>
      </c>
      <c r="W4754" s="17">
        <f t="shared" si="142"/>
        <v>0</v>
      </c>
    </row>
    <row r="4755" spans="1:23" x14ac:dyDescent="0.25">
      <c r="A4755" s="17"/>
      <c r="B4755" s="17"/>
      <c r="C4755" s="17"/>
      <c r="D4755" s="17"/>
      <c r="E4755" s="17"/>
      <c r="F4755" s="17"/>
      <c r="G4755" s="17"/>
      <c r="H4755" s="17"/>
      <c r="I4755" s="17"/>
      <c r="J4755" s="17"/>
      <c r="K4755" s="17"/>
      <c r="L4755" s="17"/>
      <c r="M4755" s="17"/>
      <c r="N4755" s="17"/>
      <c r="O4755" s="17"/>
      <c r="P4755" s="17"/>
      <c r="Q4755" s="17"/>
      <c r="R4755" s="17"/>
      <c r="S4755" s="17"/>
      <c r="T4755" s="17"/>
      <c r="U4755" s="17"/>
      <c r="V4755" s="18">
        <v>0</v>
      </c>
      <c r="W4755" s="17">
        <f t="shared" si="142"/>
        <v>0</v>
      </c>
    </row>
    <row r="4756" spans="1:23" x14ac:dyDescent="0.25">
      <c r="A4756" s="17"/>
      <c r="B4756" s="17"/>
      <c r="C4756" s="17"/>
      <c r="D4756" s="17"/>
      <c r="E4756" s="17"/>
      <c r="F4756" s="17"/>
      <c r="G4756" s="17"/>
      <c r="H4756" s="17"/>
      <c r="I4756" s="17"/>
      <c r="J4756" s="17"/>
      <c r="K4756" s="17"/>
      <c r="L4756" s="17"/>
      <c r="M4756" s="17"/>
      <c r="N4756" s="17"/>
      <c r="O4756" s="17"/>
      <c r="P4756" s="17"/>
      <c r="Q4756" s="17"/>
      <c r="R4756" s="17"/>
      <c r="S4756" s="17"/>
      <c r="T4756" s="17"/>
      <c r="U4756" s="17"/>
      <c r="V4756" s="18">
        <v>0</v>
      </c>
      <c r="W4756" s="17">
        <f t="shared" si="142"/>
        <v>0</v>
      </c>
    </row>
    <row r="4757" spans="1:23" x14ac:dyDescent="0.25">
      <c r="A4757" s="17"/>
      <c r="B4757" s="17"/>
      <c r="C4757" s="17"/>
      <c r="D4757" s="17"/>
      <c r="E4757" s="17"/>
      <c r="F4757" s="17"/>
      <c r="G4757" s="17"/>
      <c r="H4757" s="17"/>
      <c r="I4757" s="17"/>
      <c r="J4757" s="17"/>
      <c r="K4757" s="17"/>
      <c r="L4757" s="17"/>
      <c r="M4757" s="17"/>
      <c r="N4757" s="17"/>
      <c r="O4757" s="17"/>
      <c r="P4757" s="17"/>
      <c r="Q4757" s="17"/>
      <c r="R4757" s="17"/>
      <c r="S4757" s="17"/>
      <c r="T4757" s="17"/>
      <c r="U4757" s="17"/>
      <c r="V4757" s="18">
        <v>0</v>
      </c>
      <c r="W4757" s="17">
        <f t="shared" si="142"/>
        <v>0</v>
      </c>
    </row>
    <row r="4758" spans="1:23" x14ac:dyDescent="0.25">
      <c r="A4758" s="17"/>
      <c r="B4758" s="17"/>
      <c r="C4758" s="17"/>
      <c r="D4758" s="17"/>
      <c r="E4758" s="17"/>
      <c r="F4758" s="17"/>
      <c r="G4758" s="17"/>
      <c r="H4758" s="17"/>
      <c r="I4758" s="17"/>
      <c r="J4758" s="17"/>
      <c r="K4758" s="17"/>
      <c r="L4758" s="17"/>
      <c r="M4758" s="17"/>
      <c r="N4758" s="17"/>
      <c r="O4758" s="17"/>
      <c r="P4758" s="17"/>
      <c r="Q4758" s="17"/>
      <c r="R4758" s="17"/>
      <c r="S4758" s="17"/>
      <c r="T4758" s="17"/>
      <c r="U4758" s="17"/>
      <c r="V4758" s="18">
        <v>0</v>
      </c>
      <c r="W4758" s="17">
        <f t="shared" si="142"/>
        <v>0</v>
      </c>
    </row>
    <row r="4759" spans="1:23" x14ac:dyDescent="0.25">
      <c r="A4759" s="17"/>
      <c r="B4759" s="17"/>
      <c r="C4759" s="17"/>
      <c r="D4759" s="17"/>
      <c r="E4759" s="17"/>
      <c r="F4759" s="17"/>
      <c r="G4759" s="17"/>
      <c r="H4759" s="17"/>
      <c r="I4759" s="17"/>
      <c r="J4759" s="17"/>
      <c r="K4759" s="17"/>
      <c r="L4759" s="17"/>
      <c r="M4759" s="17"/>
      <c r="N4759" s="17"/>
      <c r="O4759" s="17"/>
      <c r="P4759" s="17"/>
      <c r="Q4759" s="17"/>
      <c r="R4759" s="17"/>
      <c r="S4759" s="17"/>
      <c r="T4759" s="17"/>
      <c r="U4759" s="17"/>
      <c r="V4759" s="18">
        <v>0</v>
      </c>
      <c r="W4759" s="17">
        <f t="shared" si="142"/>
        <v>0</v>
      </c>
    </row>
    <row r="4760" spans="1:23" x14ac:dyDescent="0.25">
      <c r="A4760" s="17"/>
      <c r="B4760" s="17"/>
      <c r="C4760" s="17"/>
      <c r="D4760" s="17"/>
      <c r="E4760" s="17"/>
      <c r="F4760" s="17"/>
      <c r="G4760" s="17"/>
      <c r="H4760" s="17"/>
      <c r="I4760" s="17"/>
      <c r="J4760" s="17"/>
      <c r="K4760" s="17"/>
      <c r="L4760" s="17"/>
      <c r="M4760" s="17"/>
      <c r="N4760" s="17"/>
      <c r="O4760" s="17"/>
      <c r="P4760" s="17"/>
      <c r="Q4760" s="17"/>
      <c r="R4760" s="17"/>
      <c r="S4760" s="17"/>
      <c r="T4760" s="17"/>
      <c r="U4760" s="17"/>
      <c r="V4760" s="18">
        <v>0</v>
      </c>
      <c r="W4760" s="17">
        <f t="shared" si="142"/>
        <v>0</v>
      </c>
    </row>
    <row r="4761" spans="1:23" x14ac:dyDescent="0.25">
      <c r="A4761" s="17"/>
      <c r="B4761" s="17"/>
      <c r="C4761" s="17"/>
      <c r="D4761" s="17"/>
      <c r="E4761" s="17"/>
      <c r="F4761" s="17"/>
      <c r="G4761" s="17"/>
      <c r="H4761" s="17"/>
      <c r="I4761" s="17"/>
      <c r="J4761" s="17"/>
      <c r="K4761" s="17"/>
      <c r="L4761" s="17"/>
      <c r="M4761" s="17"/>
      <c r="N4761" s="17"/>
      <c r="O4761" s="17"/>
      <c r="P4761" s="17"/>
      <c r="Q4761" s="17"/>
      <c r="R4761" s="17"/>
      <c r="S4761" s="17"/>
      <c r="T4761" s="17"/>
      <c r="U4761" s="17"/>
      <c r="V4761" s="18">
        <v>0</v>
      </c>
      <c r="W4761" s="17">
        <f t="shared" si="142"/>
        <v>0</v>
      </c>
    </row>
    <row r="4762" spans="1:23" x14ac:dyDescent="0.25">
      <c r="A4762" s="17"/>
      <c r="B4762" s="17"/>
      <c r="C4762" s="17"/>
      <c r="D4762" s="17"/>
      <c r="E4762" s="17"/>
      <c r="F4762" s="17"/>
      <c r="G4762" s="17"/>
      <c r="H4762" s="17"/>
      <c r="I4762" s="17"/>
      <c r="J4762" s="17"/>
      <c r="K4762" s="17"/>
      <c r="L4762" s="17"/>
      <c r="M4762" s="17"/>
      <c r="N4762" s="17"/>
      <c r="O4762" s="17"/>
      <c r="P4762" s="17"/>
      <c r="Q4762" s="17"/>
      <c r="R4762" s="17"/>
      <c r="S4762" s="17"/>
      <c r="T4762" s="17"/>
      <c r="U4762" s="17"/>
      <c r="V4762" s="18">
        <v>0</v>
      </c>
      <c r="W4762" s="17">
        <f t="shared" si="142"/>
        <v>0</v>
      </c>
    </row>
    <row r="4763" spans="1:23" x14ac:dyDescent="0.25">
      <c r="A4763" s="17"/>
      <c r="B4763" s="17"/>
      <c r="C4763" s="17"/>
      <c r="D4763" s="17"/>
      <c r="E4763" s="17"/>
      <c r="F4763" s="17"/>
      <c r="G4763" s="17"/>
      <c r="H4763" s="17"/>
      <c r="I4763" s="17"/>
      <c r="J4763" s="17"/>
      <c r="K4763" s="17"/>
      <c r="L4763" s="17"/>
      <c r="M4763" s="17"/>
      <c r="N4763" s="17"/>
      <c r="O4763" s="17"/>
      <c r="P4763" s="17"/>
      <c r="Q4763" s="17"/>
      <c r="R4763" s="17"/>
      <c r="S4763" s="17"/>
      <c r="T4763" s="17"/>
      <c r="U4763" s="17"/>
      <c r="V4763" s="18">
        <v>0</v>
      </c>
      <c r="W4763" s="17">
        <f t="shared" si="142"/>
        <v>0</v>
      </c>
    </row>
    <row r="4764" spans="1:23" x14ac:dyDescent="0.25">
      <c r="A4764" s="17"/>
      <c r="B4764" s="17"/>
      <c r="C4764" s="17"/>
      <c r="D4764" s="17"/>
      <c r="E4764" s="17"/>
      <c r="F4764" s="17"/>
      <c r="G4764" s="17"/>
      <c r="H4764" s="17"/>
      <c r="I4764" s="17"/>
      <c r="J4764" s="17"/>
      <c r="K4764" s="17"/>
      <c r="L4764" s="17"/>
      <c r="M4764" s="17"/>
      <c r="N4764" s="17"/>
      <c r="O4764" s="17"/>
      <c r="P4764" s="17"/>
      <c r="Q4764" s="17"/>
      <c r="R4764" s="17"/>
      <c r="S4764" s="17"/>
      <c r="T4764" s="17"/>
      <c r="U4764" s="17"/>
      <c r="V4764" s="18">
        <v>0</v>
      </c>
      <c r="W4764" s="17">
        <f t="shared" si="142"/>
        <v>0</v>
      </c>
    </row>
    <row r="4765" spans="1:23" x14ac:dyDescent="0.25">
      <c r="A4765" s="17"/>
      <c r="B4765" s="17"/>
      <c r="C4765" s="17"/>
      <c r="D4765" s="17"/>
      <c r="E4765" s="17"/>
      <c r="F4765" s="17"/>
      <c r="G4765" s="17"/>
      <c r="H4765" s="17"/>
      <c r="I4765" s="17"/>
      <c r="J4765" s="17"/>
      <c r="K4765" s="17"/>
      <c r="L4765" s="17"/>
      <c r="M4765" s="17"/>
      <c r="N4765" s="17"/>
      <c r="O4765" s="17"/>
      <c r="P4765" s="17"/>
      <c r="Q4765" s="17"/>
      <c r="R4765" s="17"/>
      <c r="S4765" s="17"/>
      <c r="T4765" s="17"/>
      <c r="U4765" s="17"/>
      <c r="V4765" s="18">
        <v>0</v>
      </c>
      <c r="W4765" s="17">
        <f t="shared" si="142"/>
        <v>0</v>
      </c>
    </row>
    <row r="4766" spans="1:23" x14ac:dyDescent="0.25">
      <c r="A4766" s="17"/>
      <c r="B4766" s="17"/>
      <c r="C4766" s="17"/>
      <c r="D4766" s="17"/>
      <c r="E4766" s="17"/>
      <c r="F4766" s="17"/>
      <c r="G4766" s="17"/>
      <c r="H4766" s="17"/>
      <c r="I4766" s="17"/>
      <c r="J4766" s="17"/>
      <c r="K4766" s="17"/>
      <c r="L4766" s="17"/>
      <c r="M4766" s="17"/>
      <c r="N4766" s="17"/>
      <c r="O4766" s="17"/>
      <c r="P4766" s="17"/>
      <c r="Q4766" s="17"/>
      <c r="R4766" s="17"/>
      <c r="S4766" s="17"/>
      <c r="T4766" s="17"/>
      <c r="U4766" s="17"/>
      <c r="V4766" s="18">
        <v>0</v>
      </c>
      <c r="W4766" s="17">
        <f t="shared" si="142"/>
        <v>0</v>
      </c>
    </row>
    <row r="4767" spans="1:23" x14ac:dyDescent="0.25">
      <c r="A4767" s="17"/>
      <c r="B4767" s="17"/>
      <c r="C4767" s="17"/>
      <c r="D4767" s="17"/>
      <c r="E4767" s="17"/>
      <c r="F4767" s="17"/>
      <c r="G4767" s="17"/>
      <c r="H4767" s="17"/>
      <c r="I4767" s="17"/>
      <c r="J4767" s="17"/>
      <c r="K4767" s="17"/>
      <c r="L4767" s="17"/>
      <c r="M4767" s="17"/>
      <c r="N4767" s="17"/>
      <c r="O4767" s="17"/>
      <c r="P4767" s="17"/>
      <c r="Q4767" s="17"/>
      <c r="R4767" s="17"/>
      <c r="S4767" s="17"/>
      <c r="T4767" s="17"/>
      <c r="U4767" s="17"/>
      <c r="V4767" s="18">
        <v>0</v>
      </c>
      <c r="W4767" s="17">
        <f t="shared" si="142"/>
        <v>0</v>
      </c>
    </row>
    <row r="4768" spans="1:23" x14ac:dyDescent="0.25">
      <c r="A4768" s="17"/>
      <c r="B4768" s="17"/>
      <c r="C4768" s="17"/>
      <c r="D4768" s="17"/>
      <c r="E4768" s="17"/>
      <c r="F4768" s="17"/>
      <c r="G4768" s="17"/>
      <c r="H4768" s="17"/>
      <c r="I4768" s="17"/>
      <c r="J4768" s="17"/>
      <c r="K4768" s="17"/>
      <c r="L4768" s="17"/>
      <c r="M4768" s="17"/>
      <c r="N4768" s="17"/>
      <c r="O4768" s="17"/>
      <c r="P4768" s="17"/>
      <c r="Q4768" s="17"/>
      <c r="R4768" s="17"/>
      <c r="S4768" s="17"/>
      <c r="T4768" s="17"/>
      <c r="U4768" s="17"/>
      <c r="V4768" s="18">
        <v>0</v>
      </c>
      <c r="W4768" s="17">
        <f t="shared" si="142"/>
        <v>0</v>
      </c>
    </row>
    <row r="4769" spans="1:23" x14ac:dyDescent="0.25">
      <c r="A4769" s="17"/>
      <c r="B4769" s="17"/>
      <c r="C4769" s="17"/>
      <c r="D4769" s="17"/>
      <c r="E4769" s="17"/>
      <c r="F4769" s="17"/>
      <c r="G4769" s="17"/>
      <c r="H4769" s="17"/>
      <c r="I4769" s="17"/>
      <c r="J4769" s="17"/>
      <c r="K4769" s="17"/>
      <c r="L4769" s="17"/>
      <c r="M4769" s="17"/>
      <c r="N4769" s="17"/>
      <c r="O4769" s="17"/>
      <c r="P4769" s="17"/>
      <c r="Q4769" s="17"/>
      <c r="R4769" s="17"/>
      <c r="S4769" s="17"/>
      <c r="T4769" s="17"/>
      <c r="U4769" s="17"/>
      <c r="V4769" s="18">
        <v>0</v>
      </c>
      <c r="W4769" s="17">
        <f t="shared" si="142"/>
        <v>0</v>
      </c>
    </row>
    <row r="4770" spans="1:23" x14ac:dyDescent="0.25">
      <c r="A4770" s="17"/>
      <c r="B4770" s="17"/>
      <c r="C4770" s="17"/>
      <c r="D4770" s="17"/>
      <c r="E4770" s="17"/>
      <c r="F4770" s="17"/>
      <c r="G4770" s="17"/>
      <c r="H4770" s="17"/>
      <c r="I4770" s="17"/>
      <c r="J4770" s="17"/>
      <c r="K4770" s="17"/>
      <c r="L4770" s="17"/>
      <c r="M4770" s="17"/>
      <c r="N4770" s="17"/>
      <c r="O4770" s="17"/>
      <c r="P4770" s="17"/>
      <c r="Q4770" s="17"/>
      <c r="R4770" s="17"/>
      <c r="S4770" s="17"/>
      <c r="T4770" s="17"/>
      <c r="U4770" s="17"/>
      <c r="V4770" s="18">
        <v>0</v>
      </c>
      <c r="W4770" s="17">
        <f t="shared" si="142"/>
        <v>0</v>
      </c>
    </row>
    <row r="4771" spans="1:23" x14ac:dyDescent="0.25">
      <c r="A4771" s="17"/>
      <c r="B4771" s="17"/>
      <c r="C4771" s="17"/>
      <c r="D4771" s="17"/>
      <c r="E4771" s="17"/>
      <c r="F4771" s="17"/>
      <c r="G4771" s="17"/>
      <c r="H4771" s="17"/>
      <c r="I4771" s="17"/>
      <c r="J4771" s="17"/>
      <c r="K4771" s="17"/>
      <c r="L4771" s="17"/>
      <c r="M4771" s="17"/>
      <c r="N4771" s="17"/>
      <c r="O4771" s="17"/>
      <c r="P4771" s="17"/>
      <c r="Q4771" s="17"/>
      <c r="R4771" s="17"/>
      <c r="S4771" s="17"/>
      <c r="T4771" s="17"/>
      <c r="U4771" s="17"/>
      <c r="V4771" s="18">
        <v>0</v>
      </c>
      <c r="W4771" s="17">
        <f t="shared" si="142"/>
        <v>0</v>
      </c>
    </row>
    <row r="4772" spans="1:23" x14ac:dyDescent="0.25">
      <c r="A4772" s="17"/>
      <c r="B4772" s="17"/>
      <c r="C4772" s="17"/>
      <c r="D4772" s="17"/>
      <c r="E4772" s="17"/>
      <c r="F4772" s="17"/>
      <c r="G4772" s="17"/>
      <c r="H4772" s="17"/>
      <c r="I4772" s="17"/>
      <c r="J4772" s="17"/>
      <c r="K4772" s="17"/>
      <c r="L4772" s="17"/>
      <c r="M4772" s="17"/>
      <c r="N4772" s="17"/>
      <c r="O4772" s="17"/>
      <c r="P4772" s="17"/>
      <c r="Q4772" s="17"/>
      <c r="R4772" s="17"/>
      <c r="S4772" s="17"/>
      <c r="T4772" s="17"/>
      <c r="U4772" s="17"/>
      <c r="V4772" s="18">
        <v>0</v>
      </c>
      <c r="W4772" s="17">
        <f t="shared" si="142"/>
        <v>0</v>
      </c>
    </row>
    <row r="4773" spans="1:23" x14ac:dyDescent="0.25">
      <c r="A4773" s="17"/>
      <c r="B4773" s="17"/>
      <c r="C4773" s="17"/>
      <c r="D4773" s="17"/>
      <c r="E4773" s="17"/>
      <c r="F4773" s="17"/>
      <c r="G4773" s="17"/>
      <c r="H4773" s="17"/>
      <c r="I4773" s="17"/>
      <c r="J4773" s="17"/>
      <c r="K4773" s="17"/>
      <c r="L4773" s="17"/>
      <c r="M4773" s="17"/>
      <c r="N4773" s="17"/>
      <c r="O4773" s="17"/>
      <c r="P4773" s="17"/>
      <c r="Q4773" s="17"/>
      <c r="R4773" s="17"/>
      <c r="S4773" s="17"/>
      <c r="T4773" s="17"/>
      <c r="U4773" s="17"/>
      <c r="V4773" s="18">
        <v>0</v>
      </c>
      <c r="W4773" s="17">
        <f t="shared" si="142"/>
        <v>0</v>
      </c>
    </row>
    <row r="4774" spans="1:23" x14ac:dyDescent="0.25">
      <c r="A4774" s="17"/>
      <c r="B4774" s="17"/>
      <c r="C4774" s="17"/>
      <c r="D4774" s="17"/>
      <c r="E4774" s="17"/>
      <c r="F4774" s="17"/>
      <c r="G4774" s="17"/>
      <c r="H4774" s="17"/>
      <c r="I4774" s="17"/>
      <c r="J4774" s="17"/>
      <c r="K4774" s="17"/>
      <c r="L4774" s="17"/>
      <c r="M4774" s="17"/>
      <c r="N4774" s="17"/>
      <c r="O4774" s="17"/>
      <c r="P4774" s="17"/>
      <c r="Q4774" s="17"/>
      <c r="R4774" s="17"/>
      <c r="S4774" s="17"/>
      <c r="T4774" s="17"/>
      <c r="U4774" s="17"/>
      <c r="V4774" s="18">
        <v>0</v>
      </c>
      <c r="W4774" s="17">
        <f t="shared" si="142"/>
        <v>0</v>
      </c>
    </row>
    <row r="4775" spans="1:23" x14ac:dyDescent="0.25">
      <c r="A4775" s="17"/>
      <c r="B4775" s="17"/>
      <c r="C4775" s="17"/>
      <c r="D4775" s="17"/>
      <c r="E4775" s="17"/>
      <c r="F4775" s="17"/>
      <c r="G4775" s="17"/>
      <c r="H4775" s="17"/>
      <c r="I4775" s="17"/>
      <c r="J4775" s="17"/>
      <c r="K4775" s="17"/>
      <c r="L4775" s="17"/>
      <c r="M4775" s="17"/>
      <c r="N4775" s="17"/>
      <c r="O4775" s="17"/>
      <c r="P4775" s="17"/>
      <c r="Q4775" s="17"/>
      <c r="R4775" s="17"/>
      <c r="S4775" s="17"/>
      <c r="T4775" s="17"/>
      <c r="U4775" s="17"/>
      <c r="V4775" s="18">
        <v>0</v>
      </c>
      <c r="W4775" s="17">
        <f t="shared" si="142"/>
        <v>0</v>
      </c>
    </row>
    <row r="4776" spans="1:23" x14ac:dyDescent="0.25">
      <c r="A4776" s="17"/>
      <c r="B4776" s="17"/>
      <c r="C4776" s="17"/>
      <c r="D4776" s="17"/>
      <c r="E4776" s="17"/>
      <c r="F4776" s="17"/>
      <c r="G4776" s="17"/>
      <c r="H4776" s="17"/>
      <c r="I4776" s="17"/>
      <c r="J4776" s="17"/>
      <c r="K4776" s="17"/>
      <c r="L4776" s="17"/>
      <c r="M4776" s="17"/>
      <c r="N4776" s="17"/>
      <c r="O4776" s="17"/>
      <c r="P4776" s="17"/>
      <c r="Q4776" s="17"/>
      <c r="R4776" s="17"/>
      <c r="S4776" s="17"/>
      <c r="T4776" s="17"/>
      <c r="U4776" s="17"/>
      <c r="V4776" s="18">
        <v>0</v>
      </c>
      <c r="W4776" s="17">
        <f t="shared" si="142"/>
        <v>0</v>
      </c>
    </row>
    <row r="4777" spans="1:23" x14ac:dyDescent="0.25">
      <c r="A4777" s="17"/>
      <c r="B4777" s="17"/>
      <c r="C4777" s="17"/>
      <c r="D4777" s="17"/>
      <c r="E4777" s="17"/>
      <c r="F4777" s="17"/>
      <c r="G4777" s="17"/>
      <c r="H4777" s="17"/>
      <c r="I4777" s="17"/>
      <c r="J4777" s="17"/>
      <c r="K4777" s="17"/>
      <c r="L4777" s="17"/>
      <c r="M4777" s="17"/>
      <c r="N4777" s="17"/>
      <c r="O4777" s="17"/>
      <c r="P4777" s="17"/>
      <c r="Q4777" s="17"/>
      <c r="R4777" s="17"/>
      <c r="S4777" s="17"/>
      <c r="T4777" s="17"/>
      <c r="U4777" s="17"/>
      <c r="V4777" s="18">
        <v>0</v>
      </c>
      <c r="W4777" s="17">
        <f t="shared" si="142"/>
        <v>0</v>
      </c>
    </row>
    <row r="4778" spans="1:23" x14ac:dyDescent="0.25">
      <c r="A4778" s="17"/>
      <c r="B4778" s="17"/>
      <c r="C4778" s="17"/>
      <c r="D4778" s="17"/>
      <c r="E4778" s="17"/>
      <c r="F4778" s="17"/>
      <c r="G4778" s="17"/>
      <c r="H4778" s="17"/>
      <c r="I4778" s="17"/>
      <c r="J4778" s="17"/>
      <c r="K4778" s="17"/>
      <c r="L4778" s="17"/>
      <c r="M4778" s="17"/>
      <c r="N4778" s="17"/>
      <c r="O4778" s="17"/>
      <c r="P4778" s="17"/>
      <c r="Q4778" s="17"/>
      <c r="R4778" s="17"/>
      <c r="S4778" s="17"/>
      <c r="T4778" s="17"/>
      <c r="U4778" s="17"/>
      <c r="V4778" s="18">
        <v>0</v>
      </c>
      <c r="W4778" s="17">
        <f t="shared" si="142"/>
        <v>0</v>
      </c>
    </row>
    <row r="4779" spans="1:23" x14ac:dyDescent="0.25">
      <c r="A4779" s="17"/>
      <c r="B4779" s="17"/>
      <c r="C4779" s="17"/>
      <c r="D4779" s="17"/>
      <c r="E4779" s="17"/>
      <c r="F4779" s="17"/>
      <c r="G4779" s="17"/>
      <c r="H4779" s="17"/>
      <c r="I4779" s="17"/>
      <c r="J4779" s="17"/>
      <c r="K4779" s="17"/>
      <c r="L4779" s="17"/>
      <c r="M4779" s="17"/>
      <c r="N4779" s="17"/>
      <c r="O4779" s="17"/>
      <c r="P4779" s="17"/>
      <c r="Q4779" s="17"/>
      <c r="R4779" s="17"/>
      <c r="S4779" s="17"/>
      <c r="T4779" s="17"/>
      <c r="U4779" s="17"/>
      <c r="V4779" s="18">
        <v>0</v>
      </c>
      <c r="W4779" s="17">
        <f t="shared" si="142"/>
        <v>0</v>
      </c>
    </row>
    <row r="4780" spans="1:23" x14ac:dyDescent="0.25">
      <c r="A4780" s="17"/>
      <c r="B4780" s="17"/>
      <c r="C4780" s="17"/>
      <c r="D4780" s="17"/>
      <c r="E4780" s="17"/>
      <c r="F4780" s="17"/>
      <c r="G4780" s="17"/>
      <c r="H4780" s="17"/>
      <c r="I4780" s="17"/>
      <c r="J4780" s="17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8">
        <v>0</v>
      </c>
      <c r="W4780" s="17">
        <f t="shared" si="142"/>
        <v>0</v>
      </c>
    </row>
    <row r="4781" spans="1:23" x14ac:dyDescent="0.25">
      <c r="A4781" s="17"/>
      <c r="B4781" s="17"/>
      <c r="C4781" s="17"/>
      <c r="D4781" s="17"/>
      <c r="E4781" s="17"/>
      <c r="F4781" s="17"/>
      <c r="G4781" s="17"/>
      <c r="H4781" s="17"/>
      <c r="I4781" s="17"/>
      <c r="J4781" s="17"/>
      <c r="K4781" s="17"/>
      <c r="L4781" s="17"/>
      <c r="M4781" s="17"/>
      <c r="N4781" s="17"/>
      <c r="O4781" s="17"/>
      <c r="P4781" s="17"/>
      <c r="Q4781" s="17"/>
      <c r="R4781" s="17"/>
      <c r="S4781" s="17"/>
      <c r="T4781" s="17"/>
      <c r="U4781" s="17"/>
      <c r="V4781" s="18">
        <v>0</v>
      </c>
      <c r="W4781" s="17">
        <f t="shared" si="142"/>
        <v>0</v>
      </c>
    </row>
    <row r="4782" spans="1:23" x14ac:dyDescent="0.25">
      <c r="A4782" s="17"/>
      <c r="B4782" s="17"/>
      <c r="C4782" s="17"/>
      <c r="D4782" s="17"/>
      <c r="E4782" s="17"/>
      <c r="F4782" s="17"/>
      <c r="G4782" s="17"/>
      <c r="H4782" s="17"/>
      <c r="I4782" s="17"/>
      <c r="J4782" s="17"/>
      <c r="K4782" s="17"/>
      <c r="L4782" s="17"/>
      <c r="M4782" s="17"/>
      <c r="N4782" s="17"/>
      <c r="O4782" s="17"/>
      <c r="P4782" s="17"/>
      <c r="Q4782" s="17"/>
      <c r="R4782" s="17"/>
      <c r="S4782" s="17"/>
      <c r="T4782" s="17"/>
      <c r="U4782" s="17"/>
      <c r="V4782" s="18">
        <v>0</v>
      </c>
      <c r="W4782" s="17">
        <f t="shared" si="142"/>
        <v>0</v>
      </c>
    </row>
    <row r="4783" spans="1:23" x14ac:dyDescent="0.25">
      <c r="A4783" s="17"/>
      <c r="B4783" s="17"/>
      <c r="C4783" s="17"/>
      <c r="D4783" s="17"/>
      <c r="E4783" s="17"/>
      <c r="F4783" s="17"/>
      <c r="G4783" s="17"/>
      <c r="H4783" s="17"/>
      <c r="I4783" s="17"/>
      <c r="J4783" s="17"/>
      <c r="K4783" s="17"/>
      <c r="L4783" s="17"/>
      <c r="M4783" s="17"/>
      <c r="N4783" s="17"/>
      <c r="O4783" s="17"/>
      <c r="P4783" s="17"/>
      <c r="Q4783" s="17"/>
      <c r="R4783" s="17"/>
      <c r="S4783" s="17"/>
      <c r="T4783" s="17"/>
      <c r="U4783" s="17"/>
      <c r="V4783" s="18">
        <v>0</v>
      </c>
      <c r="W4783" s="17">
        <f t="shared" si="142"/>
        <v>0</v>
      </c>
    </row>
    <row r="4784" spans="1:23" x14ac:dyDescent="0.25">
      <c r="A4784" s="17"/>
      <c r="B4784" s="17"/>
      <c r="C4784" s="17"/>
      <c r="D4784" s="17"/>
      <c r="E4784" s="17"/>
      <c r="F4784" s="17"/>
      <c r="G4784" s="17"/>
      <c r="H4784" s="17"/>
      <c r="I4784" s="17"/>
      <c r="J4784" s="17"/>
      <c r="K4784" s="17"/>
      <c r="L4784" s="17"/>
      <c r="M4784" s="17"/>
      <c r="N4784" s="17"/>
      <c r="O4784" s="17"/>
      <c r="P4784" s="17"/>
      <c r="Q4784" s="17"/>
      <c r="R4784" s="17"/>
      <c r="S4784" s="17"/>
      <c r="T4784" s="17"/>
      <c r="U4784" s="17"/>
      <c r="V4784" s="18">
        <v>0</v>
      </c>
      <c r="W4784" s="17">
        <f t="shared" si="142"/>
        <v>0</v>
      </c>
    </row>
    <row r="4785" spans="1:23" x14ac:dyDescent="0.25">
      <c r="A4785" s="17"/>
      <c r="B4785" s="17"/>
      <c r="C4785" s="17"/>
      <c r="D4785" s="17"/>
      <c r="E4785" s="17"/>
      <c r="F4785" s="17"/>
      <c r="G4785" s="17"/>
      <c r="H4785" s="17"/>
      <c r="I4785" s="17"/>
      <c r="J4785" s="17"/>
      <c r="K4785" s="17"/>
      <c r="L4785" s="17"/>
      <c r="M4785" s="17"/>
      <c r="N4785" s="17"/>
      <c r="O4785" s="17"/>
      <c r="P4785" s="17"/>
      <c r="Q4785" s="17"/>
      <c r="R4785" s="17"/>
      <c r="S4785" s="17"/>
      <c r="T4785" s="17"/>
      <c r="U4785" s="17"/>
      <c r="V4785" s="18">
        <v>0</v>
      </c>
      <c r="W4785" s="17">
        <f t="shared" si="142"/>
        <v>0</v>
      </c>
    </row>
    <row r="4786" spans="1:23" x14ac:dyDescent="0.25">
      <c r="A4786" s="17"/>
      <c r="B4786" s="17"/>
      <c r="C4786" s="17"/>
      <c r="D4786" s="17"/>
      <c r="E4786" s="17"/>
      <c r="F4786" s="17"/>
      <c r="G4786" s="17"/>
      <c r="H4786" s="17"/>
      <c r="I4786" s="17"/>
      <c r="J4786" s="17"/>
      <c r="K4786" s="17"/>
      <c r="L4786" s="17"/>
      <c r="M4786" s="17"/>
      <c r="N4786" s="17"/>
      <c r="O4786" s="17"/>
      <c r="P4786" s="17"/>
      <c r="Q4786" s="17"/>
      <c r="R4786" s="17"/>
      <c r="S4786" s="17"/>
      <c r="T4786" s="17"/>
      <c r="U4786" s="17"/>
      <c r="V4786" s="18">
        <v>0</v>
      </c>
      <c r="W4786" s="17">
        <f t="shared" si="142"/>
        <v>0</v>
      </c>
    </row>
    <row r="4787" spans="1:23" x14ac:dyDescent="0.25">
      <c r="A4787" s="17"/>
      <c r="B4787" s="17"/>
      <c r="C4787" s="17"/>
      <c r="D4787" s="17"/>
      <c r="E4787" s="17"/>
      <c r="F4787" s="17"/>
      <c r="G4787" s="17"/>
      <c r="H4787" s="17"/>
      <c r="I4787" s="17"/>
      <c r="J4787" s="17"/>
      <c r="K4787" s="17"/>
      <c r="L4787" s="17"/>
      <c r="M4787" s="17"/>
      <c r="N4787" s="17"/>
      <c r="O4787" s="17"/>
      <c r="P4787" s="17"/>
      <c r="Q4787" s="17"/>
      <c r="R4787" s="17"/>
      <c r="S4787" s="17"/>
      <c r="T4787" s="17"/>
      <c r="U4787" s="17"/>
      <c r="V4787" s="18">
        <v>0</v>
      </c>
      <c r="W4787" s="17">
        <f t="shared" si="142"/>
        <v>0</v>
      </c>
    </row>
    <row r="4788" spans="1:23" x14ac:dyDescent="0.25">
      <c r="A4788" s="17"/>
      <c r="B4788" s="17"/>
      <c r="C4788" s="17"/>
      <c r="D4788" s="17"/>
      <c r="E4788" s="17"/>
      <c r="F4788" s="17"/>
      <c r="G4788" s="17"/>
      <c r="H4788" s="17"/>
      <c r="I4788" s="17"/>
      <c r="J4788" s="17"/>
      <c r="K4788" s="17"/>
      <c r="L4788" s="17"/>
      <c r="M4788" s="17"/>
      <c r="N4788" s="17"/>
      <c r="O4788" s="17"/>
      <c r="P4788" s="17"/>
      <c r="Q4788" s="17"/>
      <c r="R4788" s="17"/>
      <c r="S4788" s="17"/>
      <c r="T4788" s="17"/>
      <c r="U4788" s="17"/>
      <c r="V4788" s="18">
        <v>0</v>
      </c>
      <c r="W4788" s="17">
        <f t="shared" si="142"/>
        <v>0</v>
      </c>
    </row>
    <row r="4789" spans="1:23" x14ac:dyDescent="0.25">
      <c r="A4789" s="17"/>
      <c r="B4789" s="17"/>
      <c r="C4789" s="17"/>
      <c r="D4789" s="17"/>
      <c r="E4789" s="17"/>
      <c r="F4789" s="17"/>
      <c r="G4789" s="17"/>
      <c r="H4789" s="17"/>
      <c r="I4789" s="17"/>
      <c r="J4789" s="17"/>
      <c r="K4789" s="17"/>
      <c r="L4789" s="17"/>
      <c r="M4789" s="17"/>
      <c r="N4789" s="17"/>
      <c r="O4789" s="17"/>
      <c r="P4789" s="17"/>
      <c r="Q4789" s="17"/>
      <c r="R4789" s="17"/>
      <c r="S4789" s="17"/>
      <c r="T4789" s="17"/>
      <c r="U4789" s="17"/>
      <c r="V4789" s="18">
        <v>0</v>
      </c>
      <c r="W4789" s="17">
        <f t="shared" si="142"/>
        <v>0</v>
      </c>
    </row>
    <row r="4790" spans="1:23" x14ac:dyDescent="0.25">
      <c r="A4790" s="17"/>
      <c r="B4790" s="17"/>
      <c r="C4790" s="17"/>
      <c r="D4790" s="17"/>
      <c r="E4790" s="17"/>
      <c r="F4790" s="17"/>
      <c r="G4790" s="17"/>
      <c r="H4790" s="17"/>
      <c r="I4790" s="17"/>
      <c r="J4790" s="17"/>
      <c r="K4790" s="17"/>
      <c r="L4790" s="17"/>
      <c r="M4790" s="17"/>
      <c r="N4790" s="17"/>
      <c r="O4790" s="17"/>
      <c r="P4790" s="17"/>
      <c r="Q4790" s="17"/>
      <c r="R4790" s="17"/>
      <c r="S4790" s="17"/>
      <c r="T4790" s="17"/>
      <c r="U4790" s="17"/>
      <c r="V4790" s="18">
        <v>0</v>
      </c>
      <c r="W4790" s="17">
        <f t="shared" si="142"/>
        <v>0</v>
      </c>
    </row>
    <row r="4791" spans="1:23" x14ac:dyDescent="0.25">
      <c r="A4791" s="17"/>
      <c r="B4791" s="17"/>
      <c r="C4791" s="17"/>
      <c r="D4791" s="17"/>
      <c r="E4791" s="17"/>
      <c r="F4791" s="17"/>
      <c r="G4791" s="17"/>
      <c r="H4791" s="17"/>
      <c r="I4791" s="17"/>
      <c r="J4791" s="17"/>
      <c r="K4791" s="17"/>
      <c r="L4791" s="17"/>
      <c r="M4791" s="17"/>
      <c r="N4791" s="17"/>
      <c r="O4791" s="17"/>
      <c r="P4791" s="17"/>
      <c r="Q4791" s="17"/>
      <c r="R4791" s="17"/>
      <c r="S4791" s="17"/>
      <c r="T4791" s="17"/>
      <c r="U4791" s="17"/>
      <c r="V4791" s="18">
        <v>0</v>
      </c>
      <c r="W4791" s="17">
        <f t="shared" si="142"/>
        <v>0</v>
      </c>
    </row>
    <row r="4792" spans="1:23" x14ac:dyDescent="0.25">
      <c r="A4792" s="17"/>
      <c r="B4792" s="17"/>
      <c r="C4792" s="17"/>
      <c r="D4792" s="17"/>
      <c r="E4792" s="17"/>
      <c r="F4792" s="17"/>
      <c r="G4792" s="17"/>
      <c r="H4792" s="17"/>
      <c r="I4792" s="17"/>
      <c r="J4792" s="17"/>
      <c r="K4792" s="17"/>
      <c r="L4792" s="17"/>
      <c r="M4792" s="17"/>
      <c r="N4792" s="17"/>
      <c r="O4792" s="17"/>
      <c r="P4792" s="17"/>
      <c r="Q4792" s="17"/>
      <c r="R4792" s="17"/>
      <c r="S4792" s="17"/>
      <c r="T4792" s="17"/>
      <c r="U4792" s="17"/>
      <c r="V4792" s="18">
        <v>0</v>
      </c>
      <c r="W4792" s="17">
        <f t="shared" si="142"/>
        <v>0</v>
      </c>
    </row>
    <row r="4793" spans="1:23" x14ac:dyDescent="0.25">
      <c r="A4793" s="17"/>
      <c r="B4793" s="17"/>
      <c r="C4793" s="17"/>
      <c r="D4793" s="17"/>
      <c r="E4793" s="17"/>
      <c r="F4793" s="17"/>
      <c r="G4793" s="17"/>
      <c r="H4793" s="17"/>
      <c r="I4793" s="17"/>
      <c r="J4793" s="17"/>
      <c r="K4793" s="17"/>
      <c r="L4793" s="17"/>
      <c r="M4793" s="17"/>
      <c r="N4793" s="17"/>
      <c r="O4793" s="17"/>
      <c r="P4793" s="17"/>
      <c r="Q4793" s="17"/>
      <c r="R4793" s="17"/>
      <c r="S4793" s="17"/>
      <c r="T4793" s="17"/>
      <c r="U4793" s="17"/>
      <c r="V4793" s="18">
        <v>0</v>
      </c>
      <c r="W4793" s="17">
        <f t="shared" si="142"/>
        <v>0</v>
      </c>
    </row>
    <row r="4794" spans="1:23" x14ac:dyDescent="0.25">
      <c r="A4794" s="17"/>
      <c r="B4794" s="17"/>
      <c r="C4794" s="17"/>
      <c r="D4794" s="17"/>
      <c r="E4794" s="17"/>
      <c r="F4794" s="17"/>
      <c r="G4794" s="17"/>
      <c r="H4794" s="17"/>
      <c r="I4794" s="17"/>
      <c r="J4794" s="17"/>
      <c r="K4794" s="17"/>
      <c r="L4794" s="17"/>
      <c r="M4794" s="17"/>
      <c r="N4794" s="17"/>
      <c r="O4794" s="17"/>
      <c r="P4794" s="17"/>
      <c r="Q4794" s="17"/>
      <c r="R4794" s="17"/>
      <c r="S4794" s="17"/>
      <c r="T4794" s="17"/>
      <c r="U4794" s="17"/>
      <c r="V4794" s="18">
        <v>0</v>
      </c>
      <c r="W4794" s="17">
        <f t="shared" si="142"/>
        <v>0</v>
      </c>
    </row>
    <row r="4795" spans="1:23" x14ac:dyDescent="0.25">
      <c r="A4795" s="17"/>
      <c r="B4795" s="17"/>
      <c r="C4795" s="17"/>
      <c r="D4795" s="17"/>
      <c r="E4795" s="17"/>
      <c r="F4795" s="17"/>
      <c r="G4795" s="17"/>
      <c r="H4795" s="17"/>
      <c r="I4795" s="17"/>
      <c r="J4795" s="17"/>
      <c r="K4795" s="17"/>
      <c r="L4795" s="17"/>
      <c r="M4795" s="17"/>
      <c r="N4795" s="17"/>
      <c r="O4795" s="17"/>
      <c r="P4795" s="17"/>
      <c r="Q4795" s="17"/>
      <c r="R4795" s="17"/>
      <c r="S4795" s="17"/>
      <c r="T4795" s="17"/>
      <c r="U4795" s="17"/>
      <c r="V4795" s="18">
        <v>0</v>
      </c>
      <c r="W4795" s="17">
        <f t="shared" si="142"/>
        <v>0</v>
      </c>
    </row>
    <row r="4796" spans="1:23" x14ac:dyDescent="0.25">
      <c r="A4796" s="17"/>
      <c r="B4796" s="17"/>
      <c r="C4796" s="17"/>
      <c r="D4796" s="17"/>
      <c r="E4796" s="17"/>
      <c r="F4796" s="17"/>
      <c r="G4796" s="17"/>
      <c r="H4796" s="17"/>
      <c r="I4796" s="17"/>
      <c r="J4796" s="17"/>
      <c r="K4796" s="17"/>
      <c r="L4796" s="17"/>
      <c r="M4796" s="17"/>
      <c r="N4796" s="17"/>
      <c r="O4796" s="17"/>
      <c r="P4796" s="17"/>
      <c r="Q4796" s="17"/>
      <c r="R4796" s="17"/>
      <c r="S4796" s="17"/>
      <c r="T4796" s="17"/>
      <c r="U4796" s="17"/>
      <c r="V4796" s="18">
        <v>0</v>
      </c>
      <c r="W4796" s="17">
        <f t="shared" si="142"/>
        <v>0</v>
      </c>
    </row>
    <row r="4797" spans="1:23" x14ac:dyDescent="0.25">
      <c r="A4797" s="17"/>
      <c r="B4797" s="17"/>
      <c r="C4797" s="17"/>
      <c r="D4797" s="17"/>
      <c r="E4797" s="17"/>
      <c r="F4797" s="17"/>
      <c r="G4797" s="17"/>
      <c r="H4797" s="17"/>
      <c r="I4797" s="17"/>
      <c r="J4797" s="17"/>
      <c r="K4797" s="17"/>
      <c r="L4797" s="17"/>
      <c r="M4797" s="17"/>
      <c r="N4797" s="17"/>
      <c r="O4797" s="17"/>
      <c r="P4797" s="17"/>
      <c r="Q4797" s="17"/>
      <c r="R4797" s="17"/>
      <c r="S4797" s="17"/>
      <c r="T4797" s="17"/>
      <c r="U4797" s="17"/>
      <c r="V4797" s="18">
        <v>0</v>
      </c>
      <c r="W4797" s="17">
        <f t="shared" si="142"/>
        <v>0</v>
      </c>
    </row>
    <row r="4798" spans="1:23" x14ac:dyDescent="0.25">
      <c r="A4798" s="17"/>
      <c r="B4798" s="17"/>
      <c r="C4798" s="17"/>
      <c r="D4798" s="17"/>
      <c r="E4798" s="17"/>
      <c r="F4798" s="17"/>
      <c r="G4798" s="17"/>
      <c r="H4798" s="17"/>
      <c r="I4798" s="17"/>
      <c r="J4798" s="17"/>
      <c r="K4798" s="17"/>
      <c r="L4798" s="17"/>
      <c r="M4798" s="17"/>
      <c r="N4798" s="17"/>
      <c r="O4798" s="17"/>
      <c r="P4798" s="17"/>
      <c r="Q4798" s="17"/>
      <c r="R4798" s="17"/>
      <c r="S4798" s="17"/>
      <c r="T4798" s="17"/>
      <c r="U4798" s="17"/>
      <c r="V4798" s="18">
        <v>0</v>
      </c>
      <c r="W4798" s="17">
        <f t="shared" si="142"/>
        <v>0</v>
      </c>
    </row>
    <row r="4799" spans="1:23" x14ac:dyDescent="0.25">
      <c r="A4799" s="17"/>
      <c r="B4799" s="17"/>
      <c r="C4799" s="17"/>
      <c r="D4799" s="17"/>
      <c r="E4799" s="17"/>
      <c r="F4799" s="17"/>
      <c r="G4799" s="17"/>
      <c r="H4799" s="17"/>
      <c r="I4799" s="17"/>
      <c r="J4799" s="17"/>
      <c r="K4799" s="17"/>
      <c r="L4799" s="17"/>
      <c r="M4799" s="17"/>
      <c r="N4799" s="17"/>
      <c r="O4799" s="17"/>
      <c r="P4799" s="17"/>
      <c r="Q4799" s="17"/>
      <c r="R4799" s="17"/>
      <c r="S4799" s="17"/>
      <c r="T4799" s="17"/>
      <c r="U4799" s="17"/>
      <c r="V4799" s="18">
        <v>0</v>
      </c>
      <c r="W4799" s="17">
        <f t="shared" si="142"/>
        <v>0</v>
      </c>
    </row>
    <row r="4800" spans="1:23" x14ac:dyDescent="0.25">
      <c r="A4800" s="17"/>
      <c r="B4800" s="17"/>
      <c r="C4800" s="17"/>
      <c r="D4800" s="17"/>
      <c r="E4800" s="17"/>
      <c r="F4800" s="17"/>
      <c r="G4800" s="17"/>
      <c r="H4800" s="17"/>
      <c r="I4800" s="17"/>
      <c r="J4800" s="17"/>
      <c r="K4800" s="17"/>
      <c r="L4800" s="17"/>
      <c r="M4800" s="17"/>
      <c r="N4800" s="17"/>
      <c r="O4800" s="17"/>
      <c r="P4800" s="17"/>
      <c r="Q4800" s="17"/>
      <c r="R4800" s="17"/>
      <c r="S4800" s="17"/>
      <c r="T4800" s="17"/>
      <c r="U4800" s="17"/>
      <c r="V4800" s="18">
        <v>0</v>
      </c>
      <c r="W4800" s="17">
        <f t="shared" si="142"/>
        <v>0</v>
      </c>
    </row>
    <row r="4801" spans="1:23" x14ac:dyDescent="0.25">
      <c r="A4801" s="17"/>
      <c r="B4801" s="17"/>
      <c r="C4801" s="17"/>
      <c r="D4801" s="17"/>
      <c r="E4801" s="17"/>
      <c r="F4801" s="17"/>
      <c r="G4801" s="17"/>
      <c r="H4801" s="17"/>
      <c r="I4801" s="17"/>
      <c r="J4801" s="17"/>
      <c r="K4801" s="17"/>
      <c r="L4801" s="17"/>
      <c r="M4801" s="17"/>
      <c r="N4801" s="17"/>
      <c r="O4801" s="17"/>
      <c r="P4801" s="17"/>
      <c r="Q4801" s="17"/>
      <c r="R4801" s="17"/>
      <c r="S4801" s="17"/>
      <c r="T4801" s="17"/>
      <c r="U4801" s="17"/>
      <c r="V4801" s="18">
        <v>0</v>
      </c>
      <c r="W4801" s="17">
        <f t="shared" si="142"/>
        <v>0</v>
      </c>
    </row>
    <row r="4802" spans="1:23" x14ac:dyDescent="0.25">
      <c r="A4802" s="17"/>
      <c r="B4802" s="17"/>
      <c r="C4802" s="17"/>
      <c r="D4802" s="17"/>
      <c r="E4802" s="17"/>
      <c r="F4802" s="17"/>
      <c r="G4802" s="17"/>
      <c r="H4802" s="17"/>
      <c r="I4802" s="17"/>
      <c r="J4802" s="17"/>
      <c r="K4802" s="17"/>
      <c r="L4802" s="17"/>
      <c r="M4802" s="17"/>
      <c r="N4802" s="17"/>
      <c r="O4802" s="17"/>
      <c r="P4802" s="17"/>
      <c r="Q4802" s="17"/>
      <c r="R4802" s="17"/>
      <c r="S4802" s="17"/>
      <c r="T4802" s="17"/>
      <c r="U4802" s="17"/>
      <c r="V4802" s="18">
        <v>0</v>
      </c>
      <c r="W4802" s="17">
        <f t="shared" si="142"/>
        <v>0</v>
      </c>
    </row>
    <row r="4803" spans="1:23" x14ac:dyDescent="0.25">
      <c r="A4803" s="17"/>
      <c r="B4803" s="17"/>
      <c r="C4803" s="17"/>
      <c r="D4803" s="17"/>
      <c r="E4803" s="17"/>
      <c r="F4803" s="17"/>
      <c r="G4803" s="17"/>
      <c r="H4803" s="17"/>
      <c r="I4803" s="17"/>
      <c r="J4803" s="17"/>
      <c r="K4803" s="17"/>
      <c r="L4803" s="17"/>
      <c r="M4803" s="17"/>
      <c r="N4803" s="17"/>
      <c r="O4803" s="17"/>
      <c r="P4803" s="17"/>
      <c r="Q4803" s="17"/>
      <c r="R4803" s="17"/>
      <c r="S4803" s="17"/>
      <c r="T4803" s="17"/>
      <c r="U4803" s="17"/>
      <c r="V4803" s="18">
        <v>0</v>
      </c>
      <c r="W4803" s="17">
        <f t="shared" ref="W4803:W4866" si="143">HOUR(E4803)</f>
        <v>0</v>
      </c>
    </row>
    <row r="4804" spans="1:23" x14ac:dyDescent="0.25">
      <c r="A4804" s="17"/>
      <c r="B4804" s="17"/>
      <c r="C4804" s="17"/>
      <c r="D4804" s="17"/>
      <c r="E4804" s="17"/>
      <c r="F4804" s="17"/>
      <c r="G4804" s="17"/>
      <c r="H4804" s="17"/>
      <c r="I4804" s="17"/>
      <c r="J4804" s="17"/>
      <c r="K4804" s="17"/>
      <c r="L4804" s="17"/>
      <c r="M4804" s="17"/>
      <c r="N4804" s="17"/>
      <c r="O4804" s="17"/>
      <c r="P4804" s="17"/>
      <c r="Q4804" s="17"/>
      <c r="R4804" s="17"/>
      <c r="S4804" s="17"/>
      <c r="T4804" s="17"/>
      <c r="U4804" s="17"/>
      <c r="V4804" s="18">
        <v>0</v>
      </c>
      <c r="W4804" s="17">
        <f t="shared" si="143"/>
        <v>0</v>
      </c>
    </row>
    <row r="4805" spans="1:23" x14ac:dyDescent="0.25">
      <c r="A4805" s="17"/>
      <c r="B4805" s="17"/>
      <c r="C4805" s="17"/>
      <c r="D4805" s="17"/>
      <c r="E4805" s="17"/>
      <c r="F4805" s="17"/>
      <c r="G4805" s="17"/>
      <c r="H4805" s="17"/>
      <c r="I4805" s="17"/>
      <c r="J4805" s="17"/>
      <c r="K4805" s="17"/>
      <c r="L4805" s="17"/>
      <c r="M4805" s="17"/>
      <c r="N4805" s="17"/>
      <c r="O4805" s="17"/>
      <c r="P4805" s="17"/>
      <c r="Q4805" s="17"/>
      <c r="R4805" s="17"/>
      <c r="S4805" s="17"/>
      <c r="T4805" s="17"/>
      <c r="U4805" s="17"/>
      <c r="V4805" s="18">
        <v>0</v>
      </c>
      <c r="W4805" s="17">
        <f t="shared" si="143"/>
        <v>0</v>
      </c>
    </row>
    <row r="4806" spans="1:23" x14ac:dyDescent="0.25">
      <c r="A4806" s="17"/>
      <c r="B4806" s="17"/>
      <c r="C4806" s="17"/>
      <c r="D4806" s="17"/>
      <c r="E4806" s="17"/>
      <c r="F4806" s="17"/>
      <c r="G4806" s="17"/>
      <c r="H4806" s="17"/>
      <c r="I4806" s="17"/>
      <c r="J4806" s="17"/>
      <c r="K4806" s="17"/>
      <c r="L4806" s="17"/>
      <c r="M4806" s="17"/>
      <c r="N4806" s="17"/>
      <c r="O4806" s="17"/>
      <c r="P4806" s="17"/>
      <c r="Q4806" s="17"/>
      <c r="R4806" s="17"/>
      <c r="S4806" s="17"/>
      <c r="T4806" s="17"/>
      <c r="U4806" s="17"/>
      <c r="V4806" s="18">
        <v>0</v>
      </c>
      <c r="W4806" s="17">
        <f t="shared" si="143"/>
        <v>0</v>
      </c>
    </row>
    <row r="4807" spans="1:23" x14ac:dyDescent="0.25">
      <c r="A4807" s="17"/>
      <c r="B4807" s="17"/>
      <c r="C4807" s="17"/>
      <c r="D4807" s="17"/>
      <c r="E4807" s="17"/>
      <c r="F4807" s="17"/>
      <c r="G4807" s="17"/>
      <c r="H4807" s="17"/>
      <c r="I4807" s="17"/>
      <c r="J4807" s="17"/>
      <c r="K4807" s="17"/>
      <c r="L4807" s="17"/>
      <c r="M4807" s="17"/>
      <c r="N4807" s="17"/>
      <c r="O4807" s="17"/>
      <c r="P4807" s="17"/>
      <c r="Q4807" s="17"/>
      <c r="R4807" s="17"/>
      <c r="S4807" s="17"/>
      <c r="T4807" s="17"/>
      <c r="U4807" s="17"/>
      <c r="V4807" s="18">
        <v>0</v>
      </c>
      <c r="W4807" s="17">
        <f t="shared" si="143"/>
        <v>0</v>
      </c>
    </row>
    <row r="4808" spans="1:23" x14ac:dyDescent="0.25">
      <c r="A4808" s="17"/>
      <c r="B4808" s="17"/>
      <c r="C4808" s="17"/>
      <c r="D4808" s="17"/>
      <c r="E4808" s="17"/>
      <c r="F4808" s="17"/>
      <c r="G4808" s="17"/>
      <c r="H4808" s="17"/>
      <c r="I4808" s="17"/>
      <c r="J4808" s="17"/>
      <c r="K4808" s="17"/>
      <c r="L4808" s="17"/>
      <c r="M4808" s="17"/>
      <c r="N4808" s="17"/>
      <c r="O4808" s="17"/>
      <c r="P4808" s="17"/>
      <c r="Q4808" s="17"/>
      <c r="R4808" s="17"/>
      <c r="S4808" s="17"/>
      <c r="T4808" s="17"/>
      <c r="U4808" s="17"/>
      <c r="V4808" s="18">
        <v>0</v>
      </c>
      <c r="W4808" s="17">
        <f t="shared" si="143"/>
        <v>0</v>
      </c>
    </row>
    <row r="4809" spans="1:23" x14ac:dyDescent="0.25">
      <c r="A4809" s="17"/>
      <c r="B4809" s="17"/>
      <c r="C4809" s="17"/>
      <c r="D4809" s="17"/>
      <c r="E4809" s="17"/>
      <c r="F4809" s="17"/>
      <c r="G4809" s="17"/>
      <c r="H4809" s="17"/>
      <c r="I4809" s="17"/>
      <c r="J4809" s="17"/>
      <c r="K4809" s="17"/>
      <c r="L4809" s="17"/>
      <c r="M4809" s="17"/>
      <c r="N4809" s="17"/>
      <c r="O4809" s="17"/>
      <c r="P4809" s="17"/>
      <c r="Q4809" s="17"/>
      <c r="R4809" s="17"/>
      <c r="S4809" s="17"/>
      <c r="T4809" s="17"/>
      <c r="U4809" s="17"/>
      <c r="V4809" s="18">
        <v>0</v>
      </c>
      <c r="W4809" s="17">
        <f t="shared" si="143"/>
        <v>0</v>
      </c>
    </row>
    <row r="4810" spans="1:23" x14ac:dyDescent="0.25">
      <c r="A4810" s="17"/>
      <c r="B4810" s="17"/>
      <c r="C4810" s="17"/>
      <c r="D4810" s="17"/>
      <c r="E4810" s="17"/>
      <c r="F4810" s="17"/>
      <c r="G4810" s="17"/>
      <c r="H4810" s="17"/>
      <c r="I4810" s="17"/>
      <c r="J4810" s="17"/>
      <c r="K4810" s="17"/>
      <c r="L4810" s="17"/>
      <c r="M4810" s="17"/>
      <c r="N4810" s="17"/>
      <c r="O4810" s="17"/>
      <c r="P4810" s="17"/>
      <c r="Q4810" s="17"/>
      <c r="R4810" s="17"/>
      <c r="S4810" s="17"/>
      <c r="T4810" s="17"/>
      <c r="U4810" s="17"/>
      <c r="V4810" s="18">
        <v>0</v>
      </c>
      <c r="W4810" s="17">
        <f t="shared" si="143"/>
        <v>0</v>
      </c>
    </row>
    <row r="4811" spans="1:23" x14ac:dyDescent="0.25">
      <c r="A4811" s="17"/>
      <c r="B4811" s="17"/>
      <c r="C4811" s="17"/>
      <c r="D4811" s="17"/>
      <c r="E4811" s="17"/>
      <c r="F4811" s="17"/>
      <c r="G4811" s="17"/>
      <c r="H4811" s="17"/>
      <c r="I4811" s="17"/>
      <c r="J4811" s="17"/>
      <c r="K4811" s="17"/>
      <c r="L4811" s="17"/>
      <c r="M4811" s="17"/>
      <c r="N4811" s="17"/>
      <c r="O4811" s="17"/>
      <c r="P4811" s="17"/>
      <c r="Q4811" s="17"/>
      <c r="R4811" s="17"/>
      <c r="S4811" s="17"/>
      <c r="T4811" s="17"/>
      <c r="U4811" s="17"/>
      <c r="V4811" s="18">
        <v>0</v>
      </c>
      <c r="W4811" s="17">
        <f t="shared" si="143"/>
        <v>0</v>
      </c>
    </row>
    <row r="4812" spans="1:23" x14ac:dyDescent="0.25">
      <c r="A4812" s="17"/>
      <c r="B4812" s="17"/>
      <c r="C4812" s="17"/>
      <c r="D4812" s="17"/>
      <c r="E4812" s="17"/>
      <c r="F4812" s="17"/>
      <c r="G4812" s="17"/>
      <c r="H4812" s="17"/>
      <c r="I4812" s="17"/>
      <c r="J4812" s="17"/>
      <c r="K4812" s="17"/>
      <c r="L4812" s="17"/>
      <c r="M4812" s="17"/>
      <c r="N4812" s="17"/>
      <c r="O4812" s="17"/>
      <c r="P4812" s="17"/>
      <c r="Q4812" s="17"/>
      <c r="R4812" s="17"/>
      <c r="S4812" s="17"/>
      <c r="T4812" s="17"/>
      <c r="U4812" s="17"/>
      <c r="V4812" s="18">
        <v>0</v>
      </c>
      <c r="W4812" s="17">
        <f t="shared" si="143"/>
        <v>0</v>
      </c>
    </row>
    <row r="4813" spans="1:23" x14ac:dyDescent="0.25">
      <c r="A4813" s="17"/>
      <c r="B4813" s="17"/>
      <c r="C4813" s="17"/>
      <c r="D4813" s="17"/>
      <c r="E4813" s="17"/>
      <c r="F4813" s="17"/>
      <c r="G4813" s="17"/>
      <c r="H4813" s="17"/>
      <c r="I4813" s="17"/>
      <c r="J4813" s="17"/>
      <c r="K4813" s="17"/>
      <c r="L4813" s="17"/>
      <c r="M4813" s="17"/>
      <c r="N4813" s="17"/>
      <c r="O4813" s="17"/>
      <c r="P4813" s="17"/>
      <c r="Q4813" s="17"/>
      <c r="R4813" s="17"/>
      <c r="S4813" s="17"/>
      <c r="T4813" s="17"/>
      <c r="U4813" s="17"/>
      <c r="V4813" s="18">
        <v>0</v>
      </c>
      <c r="W4813" s="17">
        <f t="shared" si="143"/>
        <v>0</v>
      </c>
    </row>
    <row r="4814" spans="1:23" x14ac:dyDescent="0.25">
      <c r="A4814" s="17"/>
      <c r="B4814" s="17"/>
      <c r="C4814" s="17"/>
      <c r="D4814" s="17"/>
      <c r="E4814" s="17"/>
      <c r="F4814" s="17"/>
      <c r="G4814" s="17"/>
      <c r="H4814" s="17"/>
      <c r="I4814" s="17"/>
      <c r="J4814" s="17"/>
      <c r="K4814" s="17"/>
      <c r="L4814" s="17"/>
      <c r="M4814" s="17"/>
      <c r="N4814" s="17"/>
      <c r="O4814" s="17"/>
      <c r="P4814" s="17"/>
      <c r="Q4814" s="17"/>
      <c r="R4814" s="17"/>
      <c r="S4814" s="17"/>
      <c r="T4814" s="17"/>
      <c r="U4814" s="17"/>
      <c r="V4814" s="18">
        <v>0</v>
      </c>
      <c r="W4814" s="17">
        <f t="shared" si="143"/>
        <v>0</v>
      </c>
    </row>
    <row r="4815" spans="1:23" x14ac:dyDescent="0.25">
      <c r="A4815" s="17"/>
      <c r="B4815" s="17"/>
      <c r="C4815" s="17"/>
      <c r="D4815" s="17"/>
      <c r="E4815" s="17"/>
      <c r="F4815" s="17"/>
      <c r="G4815" s="17"/>
      <c r="H4815" s="17"/>
      <c r="I4815" s="17"/>
      <c r="J4815" s="17"/>
      <c r="K4815" s="17"/>
      <c r="L4815" s="17"/>
      <c r="M4815" s="17"/>
      <c r="N4815" s="17"/>
      <c r="O4815" s="17"/>
      <c r="P4815" s="17"/>
      <c r="Q4815" s="17"/>
      <c r="R4815" s="17"/>
      <c r="S4815" s="17"/>
      <c r="T4815" s="17"/>
      <c r="U4815" s="17"/>
      <c r="V4815" s="18">
        <v>0</v>
      </c>
      <c r="W4815" s="17">
        <f t="shared" si="143"/>
        <v>0</v>
      </c>
    </row>
    <row r="4816" spans="1:23" x14ac:dyDescent="0.25">
      <c r="A4816" s="17"/>
      <c r="B4816" s="17"/>
      <c r="C4816" s="17"/>
      <c r="D4816" s="17"/>
      <c r="E4816" s="17"/>
      <c r="F4816" s="17"/>
      <c r="G4816" s="17"/>
      <c r="H4816" s="17"/>
      <c r="I4816" s="17"/>
      <c r="J4816" s="17"/>
      <c r="K4816" s="17"/>
      <c r="L4816" s="17"/>
      <c r="M4816" s="17"/>
      <c r="N4816" s="17"/>
      <c r="O4816" s="17"/>
      <c r="P4816" s="17"/>
      <c r="Q4816" s="17"/>
      <c r="R4816" s="17"/>
      <c r="S4816" s="17"/>
      <c r="T4816" s="17"/>
      <c r="U4816" s="17"/>
      <c r="V4816" s="18">
        <v>0</v>
      </c>
      <c r="W4816" s="17">
        <f t="shared" si="143"/>
        <v>0</v>
      </c>
    </row>
    <row r="4817" spans="1:23" x14ac:dyDescent="0.25">
      <c r="A4817" s="17"/>
      <c r="B4817" s="17"/>
      <c r="C4817" s="17"/>
      <c r="D4817" s="17"/>
      <c r="E4817" s="17"/>
      <c r="F4817" s="17"/>
      <c r="G4817" s="17"/>
      <c r="H4817" s="17"/>
      <c r="I4817" s="17"/>
      <c r="J4817" s="17"/>
      <c r="K4817" s="17"/>
      <c r="L4817" s="17"/>
      <c r="M4817" s="17"/>
      <c r="N4817" s="17"/>
      <c r="O4817" s="17"/>
      <c r="P4817" s="17"/>
      <c r="Q4817" s="17"/>
      <c r="R4817" s="17"/>
      <c r="S4817" s="17"/>
      <c r="T4817" s="17"/>
      <c r="U4817" s="17"/>
      <c r="V4817" s="18">
        <v>0</v>
      </c>
      <c r="W4817" s="17">
        <f t="shared" si="143"/>
        <v>0</v>
      </c>
    </row>
    <row r="4818" spans="1:23" x14ac:dyDescent="0.25">
      <c r="A4818" s="17"/>
      <c r="B4818" s="17"/>
      <c r="C4818" s="17"/>
      <c r="D4818" s="17"/>
      <c r="E4818" s="17"/>
      <c r="F4818" s="17"/>
      <c r="G4818" s="17"/>
      <c r="H4818" s="17"/>
      <c r="I4818" s="17"/>
      <c r="J4818" s="17"/>
      <c r="K4818" s="17"/>
      <c r="L4818" s="17"/>
      <c r="M4818" s="17"/>
      <c r="N4818" s="17"/>
      <c r="O4818" s="17"/>
      <c r="P4818" s="17"/>
      <c r="Q4818" s="17"/>
      <c r="R4818" s="17"/>
      <c r="S4818" s="17"/>
      <c r="T4818" s="17"/>
      <c r="U4818" s="17"/>
      <c r="V4818" s="18">
        <v>0</v>
      </c>
      <c r="W4818" s="17">
        <f t="shared" si="143"/>
        <v>0</v>
      </c>
    </row>
    <row r="4819" spans="1:23" x14ac:dyDescent="0.25">
      <c r="A4819" s="17"/>
      <c r="B4819" s="17"/>
      <c r="C4819" s="17"/>
      <c r="D4819" s="17"/>
      <c r="E4819" s="17"/>
      <c r="F4819" s="17"/>
      <c r="G4819" s="17"/>
      <c r="H4819" s="17"/>
      <c r="I4819" s="17"/>
      <c r="J4819" s="17"/>
      <c r="K4819" s="17"/>
      <c r="L4819" s="17"/>
      <c r="M4819" s="17"/>
      <c r="N4819" s="17"/>
      <c r="O4819" s="17"/>
      <c r="P4819" s="17"/>
      <c r="Q4819" s="17"/>
      <c r="R4819" s="17"/>
      <c r="S4819" s="17"/>
      <c r="T4819" s="17"/>
      <c r="U4819" s="17"/>
      <c r="V4819" s="18">
        <v>0</v>
      </c>
      <c r="W4819" s="17">
        <f t="shared" si="143"/>
        <v>0</v>
      </c>
    </row>
    <row r="4820" spans="1:23" x14ac:dyDescent="0.25">
      <c r="A4820" s="17"/>
      <c r="B4820" s="17"/>
      <c r="C4820" s="17"/>
      <c r="D4820" s="17"/>
      <c r="E4820" s="17"/>
      <c r="F4820" s="17"/>
      <c r="G4820" s="17"/>
      <c r="H4820" s="17"/>
      <c r="I4820" s="17"/>
      <c r="J4820" s="17"/>
      <c r="K4820" s="17"/>
      <c r="L4820" s="17"/>
      <c r="M4820" s="17"/>
      <c r="N4820" s="17"/>
      <c r="O4820" s="17"/>
      <c r="P4820" s="17"/>
      <c r="Q4820" s="17"/>
      <c r="R4820" s="17"/>
      <c r="S4820" s="17"/>
      <c r="T4820" s="17"/>
      <c r="U4820" s="17"/>
      <c r="V4820" s="18">
        <v>0</v>
      </c>
      <c r="W4820" s="17">
        <f t="shared" si="143"/>
        <v>0</v>
      </c>
    </row>
    <row r="4821" spans="1:23" x14ac:dyDescent="0.25">
      <c r="A4821" s="17"/>
      <c r="B4821" s="17"/>
      <c r="C4821" s="17"/>
      <c r="D4821" s="17"/>
      <c r="E4821" s="17"/>
      <c r="F4821" s="17"/>
      <c r="G4821" s="17"/>
      <c r="H4821" s="17"/>
      <c r="I4821" s="17"/>
      <c r="J4821" s="17"/>
      <c r="K4821" s="17"/>
      <c r="L4821" s="17"/>
      <c r="M4821" s="17"/>
      <c r="N4821" s="17"/>
      <c r="O4821" s="17"/>
      <c r="P4821" s="17"/>
      <c r="Q4821" s="17"/>
      <c r="R4821" s="17"/>
      <c r="S4821" s="17"/>
      <c r="T4821" s="17"/>
      <c r="U4821" s="17"/>
      <c r="V4821" s="18">
        <v>0</v>
      </c>
      <c r="W4821" s="17">
        <f t="shared" si="143"/>
        <v>0</v>
      </c>
    </row>
    <row r="4822" spans="1:23" x14ac:dyDescent="0.25">
      <c r="A4822" s="17"/>
      <c r="B4822" s="17"/>
      <c r="C4822" s="17"/>
      <c r="D4822" s="17"/>
      <c r="E4822" s="17"/>
      <c r="F4822" s="17"/>
      <c r="G4822" s="17"/>
      <c r="H4822" s="17"/>
      <c r="I4822" s="17"/>
      <c r="J4822" s="17"/>
      <c r="K4822" s="17"/>
      <c r="L4822" s="17"/>
      <c r="M4822" s="17"/>
      <c r="N4822" s="17"/>
      <c r="O4822" s="17"/>
      <c r="P4822" s="17"/>
      <c r="Q4822" s="17"/>
      <c r="R4822" s="17"/>
      <c r="S4822" s="17"/>
      <c r="T4822" s="17"/>
      <c r="U4822" s="17"/>
      <c r="V4822" s="18">
        <v>0</v>
      </c>
      <c r="W4822" s="17">
        <f t="shared" si="143"/>
        <v>0</v>
      </c>
    </row>
    <row r="4823" spans="1:23" x14ac:dyDescent="0.25">
      <c r="A4823" s="17"/>
      <c r="B4823" s="17"/>
      <c r="C4823" s="17"/>
      <c r="D4823" s="17"/>
      <c r="E4823" s="17"/>
      <c r="F4823" s="17"/>
      <c r="G4823" s="17"/>
      <c r="H4823" s="17"/>
      <c r="I4823" s="17"/>
      <c r="J4823" s="17"/>
      <c r="K4823" s="17"/>
      <c r="L4823" s="17"/>
      <c r="M4823" s="17"/>
      <c r="N4823" s="17"/>
      <c r="O4823" s="17"/>
      <c r="P4823" s="17"/>
      <c r="Q4823" s="17"/>
      <c r="R4823" s="17"/>
      <c r="S4823" s="17"/>
      <c r="T4823" s="17"/>
      <c r="U4823" s="17"/>
      <c r="V4823" s="18">
        <v>0</v>
      </c>
      <c r="W4823" s="17">
        <f t="shared" si="143"/>
        <v>0</v>
      </c>
    </row>
    <row r="4824" spans="1:23" x14ac:dyDescent="0.25">
      <c r="A4824" s="17"/>
      <c r="B4824" s="17"/>
      <c r="C4824" s="17"/>
      <c r="D4824" s="17"/>
      <c r="E4824" s="17"/>
      <c r="F4824" s="17"/>
      <c r="G4824" s="17"/>
      <c r="H4824" s="17"/>
      <c r="I4824" s="17"/>
      <c r="J4824" s="17"/>
      <c r="K4824" s="17"/>
      <c r="L4824" s="17"/>
      <c r="M4824" s="17"/>
      <c r="N4824" s="17"/>
      <c r="O4824" s="17"/>
      <c r="P4824" s="17"/>
      <c r="Q4824" s="17"/>
      <c r="R4824" s="17"/>
      <c r="S4824" s="17"/>
      <c r="T4824" s="17"/>
      <c r="U4824" s="17"/>
      <c r="V4824" s="18">
        <v>0</v>
      </c>
      <c r="W4824" s="17">
        <f t="shared" si="143"/>
        <v>0</v>
      </c>
    </row>
    <row r="4825" spans="1:23" x14ac:dyDescent="0.25">
      <c r="A4825" s="17"/>
      <c r="B4825" s="17"/>
      <c r="C4825" s="17"/>
      <c r="D4825" s="17"/>
      <c r="E4825" s="17"/>
      <c r="F4825" s="17"/>
      <c r="G4825" s="17"/>
      <c r="H4825" s="17"/>
      <c r="I4825" s="17"/>
      <c r="J4825" s="17"/>
      <c r="K4825" s="17"/>
      <c r="L4825" s="17"/>
      <c r="M4825" s="17"/>
      <c r="N4825" s="17"/>
      <c r="O4825" s="17"/>
      <c r="P4825" s="17"/>
      <c r="Q4825" s="17"/>
      <c r="R4825" s="17"/>
      <c r="S4825" s="17"/>
      <c r="T4825" s="17"/>
      <c r="U4825" s="17"/>
      <c r="V4825" s="18">
        <v>0</v>
      </c>
      <c r="W4825" s="17">
        <f t="shared" si="143"/>
        <v>0</v>
      </c>
    </row>
    <row r="4826" spans="1:23" x14ac:dyDescent="0.25">
      <c r="A4826" s="17"/>
      <c r="B4826" s="17"/>
      <c r="C4826" s="17"/>
      <c r="D4826" s="17"/>
      <c r="E4826" s="17"/>
      <c r="F4826" s="17"/>
      <c r="G4826" s="17"/>
      <c r="H4826" s="17"/>
      <c r="I4826" s="17"/>
      <c r="J4826" s="17"/>
      <c r="K4826" s="17"/>
      <c r="L4826" s="17"/>
      <c r="M4826" s="17"/>
      <c r="N4826" s="17"/>
      <c r="O4826" s="17"/>
      <c r="P4826" s="17"/>
      <c r="Q4826" s="17"/>
      <c r="R4826" s="17"/>
      <c r="S4826" s="17"/>
      <c r="T4826" s="17"/>
      <c r="U4826" s="17"/>
      <c r="V4826" s="18">
        <v>0</v>
      </c>
      <c r="W4826" s="17">
        <f t="shared" si="143"/>
        <v>0</v>
      </c>
    </row>
    <row r="4827" spans="1:23" x14ac:dyDescent="0.25">
      <c r="A4827" s="17"/>
      <c r="B4827" s="17"/>
      <c r="C4827" s="17"/>
      <c r="D4827" s="17"/>
      <c r="E4827" s="17"/>
      <c r="F4827" s="17"/>
      <c r="G4827" s="17"/>
      <c r="H4827" s="17"/>
      <c r="I4827" s="17"/>
      <c r="J4827" s="17"/>
      <c r="K4827" s="17"/>
      <c r="L4827" s="17"/>
      <c r="M4827" s="17"/>
      <c r="N4827" s="17"/>
      <c r="O4827" s="17"/>
      <c r="P4827" s="17"/>
      <c r="Q4827" s="17"/>
      <c r="R4827" s="17"/>
      <c r="S4827" s="17"/>
      <c r="T4827" s="17"/>
      <c r="U4827" s="17"/>
      <c r="V4827" s="18">
        <v>0</v>
      </c>
      <c r="W4827" s="17">
        <f t="shared" si="143"/>
        <v>0</v>
      </c>
    </row>
    <row r="4828" spans="1:23" x14ac:dyDescent="0.25">
      <c r="A4828" s="17"/>
      <c r="B4828" s="17"/>
      <c r="C4828" s="17"/>
      <c r="D4828" s="17"/>
      <c r="E4828" s="17"/>
      <c r="F4828" s="17"/>
      <c r="G4828" s="17"/>
      <c r="H4828" s="17"/>
      <c r="I4828" s="17"/>
      <c r="J4828" s="17"/>
      <c r="K4828" s="17"/>
      <c r="L4828" s="17"/>
      <c r="M4828" s="17"/>
      <c r="N4828" s="17"/>
      <c r="O4828" s="17"/>
      <c r="P4828" s="17"/>
      <c r="Q4828" s="17"/>
      <c r="R4828" s="17"/>
      <c r="S4828" s="17"/>
      <c r="T4828" s="17"/>
      <c r="U4828" s="17"/>
      <c r="V4828" s="18">
        <v>0</v>
      </c>
      <c r="W4828" s="17">
        <f t="shared" si="143"/>
        <v>0</v>
      </c>
    </row>
    <row r="4829" spans="1:23" x14ac:dyDescent="0.25">
      <c r="A4829" s="17"/>
      <c r="B4829" s="17"/>
      <c r="C4829" s="17"/>
      <c r="D4829" s="17"/>
      <c r="E4829" s="17"/>
      <c r="F4829" s="17"/>
      <c r="G4829" s="17"/>
      <c r="H4829" s="17"/>
      <c r="I4829" s="17"/>
      <c r="J4829" s="17"/>
      <c r="K4829" s="17"/>
      <c r="L4829" s="17"/>
      <c r="M4829" s="17"/>
      <c r="N4829" s="17"/>
      <c r="O4829" s="17"/>
      <c r="P4829" s="17"/>
      <c r="Q4829" s="17"/>
      <c r="R4829" s="17"/>
      <c r="S4829" s="17"/>
      <c r="T4829" s="17"/>
      <c r="U4829" s="17"/>
      <c r="V4829" s="18">
        <v>0</v>
      </c>
      <c r="W4829" s="17">
        <f t="shared" si="143"/>
        <v>0</v>
      </c>
    </row>
    <row r="4830" spans="1:23" x14ac:dyDescent="0.25">
      <c r="A4830" s="17"/>
      <c r="B4830" s="17"/>
      <c r="C4830" s="17"/>
      <c r="D4830" s="17"/>
      <c r="E4830" s="17"/>
      <c r="F4830" s="17"/>
      <c r="G4830" s="17"/>
      <c r="H4830" s="17"/>
      <c r="I4830" s="17"/>
      <c r="J4830" s="17"/>
      <c r="K4830" s="17"/>
      <c r="L4830" s="17"/>
      <c r="M4830" s="17"/>
      <c r="N4830" s="17"/>
      <c r="O4830" s="17"/>
      <c r="P4830" s="17"/>
      <c r="Q4830" s="17"/>
      <c r="R4830" s="17"/>
      <c r="S4830" s="17"/>
      <c r="T4830" s="17"/>
      <c r="U4830" s="17"/>
      <c r="V4830" s="18">
        <v>0</v>
      </c>
      <c r="W4830" s="17">
        <f t="shared" si="143"/>
        <v>0</v>
      </c>
    </row>
    <row r="4831" spans="1:23" x14ac:dyDescent="0.25">
      <c r="A4831" s="17"/>
      <c r="B4831" s="17"/>
      <c r="C4831" s="17"/>
      <c r="D4831" s="17"/>
      <c r="E4831" s="17"/>
      <c r="F4831" s="17"/>
      <c r="G4831" s="17"/>
      <c r="H4831" s="17"/>
      <c r="I4831" s="17"/>
      <c r="J4831" s="17"/>
      <c r="K4831" s="17"/>
      <c r="L4831" s="17"/>
      <c r="M4831" s="17"/>
      <c r="N4831" s="17"/>
      <c r="O4831" s="17"/>
      <c r="P4831" s="17"/>
      <c r="Q4831" s="17"/>
      <c r="R4831" s="17"/>
      <c r="S4831" s="17"/>
      <c r="T4831" s="17"/>
      <c r="U4831" s="17"/>
      <c r="V4831" s="18">
        <v>0</v>
      </c>
      <c r="W4831" s="17">
        <f t="shared" si="143"/>
        <v>0</v>
      </c>
    </row>
    <row r="4832" spans="1:23" x14ac:dyDescent="0.25">
      <c r="A4832" s="17"/>
      <c r="B4832" s="17"/>
      <c r="C4832" s="17"/>
      <c r="D4832" s="17"/>
      <c r="E4832" s="17"/>
      <c r="F4832" s="17"/>
      <c r="G4832" s="17"/>
      <c r="H4832" s="17"/>
      <c r="I4832" s="17"/>
      <c r="J4832" s="17"/>
      <c r="K4832" s="17"/>
      <c r="L4832" s="17"/>
      <c r="M4832" s="17"/>
      <c r="N4832" s="17"/>
      <c r="O4832" s="17"/>
      <c r="P4832" s="17"/>
      <c r="Q4832" s="17"/>
      <c r="R4832" s="17"/>
      <c r="S4832" s="17"/>
      <c r="T4832" s="17"/>
      <c r="U4832" s="17"/>
      <c r="V4832" s="18">
        <v>0</v>
      </c>
      <c r="W4832" s="17">
        <f t="shared" si="143"/>
        <v>0</v>
      </c>
    </row>
    <row r="4833" spans="1:23" x14ac:dyDescent="0.25">
      <c r="A4833" s="17"/>
      <c r="B4833" s="17"/>
      <c r="C4833" s="17"/>
      <c r="D4833" s="17"/>
      <c r="E4833" s="17"/>
      <c r="F4833" s="17"/>
      <c r="G4833" s="17"/>
      <c r="H4833" s="17"/>
      <c r="I4833" s="17"/>
      <c r="J4833" s="17"/>
      <c r="K4833" s="17"/>
      <c r="L4833" s="17"/>
      <c r="M4833" s="17"/>
      <c r="N4833" s="17"/>
      <c r="O4833" s="17"/>
      <c r="P4833" s="17"/>
      <c r="Q4833" s="17"/>
      <c r="R4833" s="17"/>
      <c r="S4833" s="17"/>
      <c r="T4833" s="17"/>
      <c r="U4833" s="17"/>
      <c r="V4833" s="18">
        <v>0</v>
      </c>
      <c r="W4833" s="17">
        <f t="shared" si="143"/>
        <v>0</v>
      </c>
    </row>
    <row r="4834" spans="1:23" x14ac:dyDescent="0.25">
      <c r="A4834" s="17"/>
      <c r="B4834" s="17"/>
      <c r="C4834" s="17"/>
      <c r="D4834" s="17"/>
      <c r="E4834" s="17"/>
      <c r="F4834" s="17"/>
      <c r="G4834" s="17"/>
      <c r="H4834" s="17"/>
      <c r="I4834" s="17"/>
      <c r="J4834" s="17"/>
      <c r="K4834" s="17"/>
      <c r="L4834" s="17"/>
      <c r="M4834" s="17"/>
      <c r="N4834" s="17"/>
      <c r="O4834" s="17"/>
      <c r="P4834" s="17"/>
      <c r="Q4834" s="17"/>
      <c r="R4834" s="17"/>
      <c r="S4834" s="17"/>
      <c r="T4834" s="17"/>
      <c r="U4834" s="17"/>
      <c r="V4834" s="18">
        <v>0</v>
      </c>
      <c r="W4834" s="17">
        <f t="shared" si="143"/>
        <v>0</v>
      </c>
    </row>
    <row r="4835" spans="1:23" x14ac:dyDescent="0.25">
      <c r="A4835" s="17"/>
      <c r="B4835" s="17"/>
      <c r="C4835" s="17"/>
      <c r="D4835" s="17"/>
      <c r="E4835" s="17"/>
      <c r="F4835" s="17"/>
      <c r="G4835" s="17"/>
      <c r="H4835" s="17"/>
      <c r="I4835" s="17"/>
      <c r="J4835" s="17"/>
      <c r="K4835" s="17"/>
      <c r="L4835" s="17"/>
      <c r="M4835" s="17"/>
      <c r="N4835" s="17"/>
      <c r="O4835" s="17"/>
      <c r="P4835" s="17"/>
      <c r="Q4835" s="17"/>
      <c r="R4835" s="17"/>
      <c r="S4835" s="17"/>
      <c r="T4835" s="17"/>
      <c r="U4835" s="17"/>
      <c r="V4835" s="18">
        <v>0</v>
      </c>
      <c r="W4835" s="17">
        <f t="shared" si="143"/>
        <v>0</v>
      </c>
    </row>
    <row r="4836" spans="1:23" x14ac:dyDescent="0.25">
      <c r="A4836" s="17"/>
      <c r="B4836" s="17"/>
      <c r="C4836" s="17"/>
      <c r="D4836" s="17"/>
      <c r="E4836" s="17"/>
      <c r="F4836" s="17"/>
      <c r="G4836" s="17"/>
      <c r="H4836" s="17"/>
      <c r="I4836" s="17"/>
      <c r="J4836" s="17"/>
      <c r="K4836" s="17"/>
      <c r="L4836" s="17"/>
      <c r="M4836" s="17"/>
      <c r="N4836" s="17"/>
      <c r="O4836" s="17"/>
      <c r="P4836" s="17"/>
      <c r="Q4836" s="17"/>
      <c r="R4836" s="17"/>
      <c r="S4836" s="17"/>
      <c r="T4836" s="17"/>
      <c r="U4836" s="17"/>
      <c r="V4836" s="18">
        <v>0</v>
      </c>
      <c r="W4836" s="17">
        <f t="shared" si="143"/>
        <v>0</v>
      </c>
    </row>
    <row r="4837" spans="1:23" x14ac:dyDescent="0.25">
      <c r="A4837" s="17"/>
      <c r="B4837" s="17"/>
      <c r="C4837" s="17"/>
      <c r="D4837" s="17"/>
      <c r="E4837" s="17"/>
      <c r="F4837" s="17"/>
      <c r="G4837" s="17"/>
      <c r="H4837" s="17"/>
      <c r="I4837" s="17"/>
      <c r="J4837" s="17"/>
      <c r="K4837" s="17"/>
      <c r="L4837" s="17"/>
      <c r="M4837" s="17"/>
      <c r="N4837" s="17"/>
      <c r="O4837" s="17"/>
      <c r="P4837" s="17"/>
      <c r="Q4837" s="17"/>
      <c r="R4837" s="17"/>
      <c r="S4837" s="17"/>
      <c r="T4837" s="17"/>
      <c r="U4837" s="17"/>
      <c r="V4837" s="18">
        <v>0</v>
      </c>
      <c r="W4837" s="17">
        <f t="shared" si="143"/>
        <v>0</v>
      </c>
    </row>
    <row r="4838" spans="1:23" x14ac:dyDescent="0.25">
      <c r="A4838" s="17"/>
      <c r="B4838" s="17"/>
      <c r="C4838" s="17"/>
      <c r="D4838" s="17"/>
      <c r="E4838" s="17"/>
      <c r="F4838" s="17"/>
      <c r="G4838" s="17"/>
      <c r="H4838" s="17"/>
      <c r="I4838" s="17"/>
      <c r="J4838" s="17"/>
      <c r="K4838" s="17"/>
      <c r="L4838" s="17"/>
      <c r="M4838" s="17"/>
      <c r="N4838" s="17"/>
      <c r="O4838" s="17"/>
      <c r="P4838" s="17"/>
      <c r="Q4838" s="17"/>
      <c r="R4838" s="17"/>
      <c r="S4838" s="17"/>
      <c r="T4838" s="17"/>
      <c r="U4838" s="17"/>
      <c r="V4838" s="18">
        <v>0</v>
      </c>
      <c r="W4838" s="17">
        <f t="shared" si="143"/>
        <v>0</v>
      </c>
    </row>
    <row r="4839" spans="1:23" x14ac:dyDescent="0.25">
      <c r="A4839" s="17"/>
      <c r="B4839" s="17"/>
      <c r="C4839" s="17"/>
      <c r="D4839" s="17"/>
      <c r="E4839" s="17"/>
      <c r="F4839" s="17"/>
      <c r="G4839" s="17"/>
      <c r="H4839" s="17"/>
      <c r="I4839" s="17"/>
      <c r="J4839" s="17"/>
      <c r="K4839" s="17"/>
      <c r="L4839" s="17"/>
      <c r="M4839" s="17"/>
      <c r="N4839" s="17"/>
      <c r="O4839" s="17"/>
      <c r="P4839" s="17"/>
      <c r="Q4839" s="17"/>
      <c r="R4839" s="17"/>
      <c r="S4839" s="17"/>
      <c r="T4839" s="17"/>
      <c r="U4839" s="17"/>
      <c r="V4839" s="18">
        <v>0</v>
      </c>
      <c r="W4839" s="17">
        <f t="shared" si="143"/>
        <v>0</v>
      </c>
    </row>
    <row r="4840" spans="1:23" x14ac:dyDescent="0.25">
      <c r="A4840" s="17"/>
      <c r="B4840" s="17"/>
      <c r="C4840" s="17"/>
      <c r="D4840" s="17"/>
      <c r="E4840" s="17"/>
      <c r="F4840" s="17"/>
      <c r="G4840" s="17"/>
      <c r="H4840" s="17"/>
      <c r="I4840" s="17"/>
      <c r="J4840" s="17"/>
      <c r="K4840" s="17"/>
      <c r="L4840" s="17"/>
      <c r="M4840" s="17"/>
      <c r="N4840" s="17"/>
      <c r="O4840" s="17"/>
      <c r="P4840" s="17"/>
      <c r="Q4840" s="17"/>
      <c r="R4840" s="17"/>
      <c r="S4840" s="17"/>
      <c r="T4840" s="17"/>
      <c r="U4840" s="17"/>
      <c r="V4840" s="18">
        <v>0</v>
      </c>
      <c r="W4840" s="17">
        <f t="shared" si="143"/>
        <v>0</v>
      </c>
    </row>
    <row r="4841" spans="1:23" x14ac:dyDescent="0.25">
      <c r="A4841" s="17"/>
      <c r="B4841" s="17"/>
      <c r="C4841" s="17"/>
      <c r="D4841" s="17"/>
      <c r="E4841" s="17"/>
      <c r="F4841" s="17"/>
      <c r="G4841" s="17"/>
      <c r="H4841" s="17"/>
      <c r="I4841" s="17"/>
      <c r="J4841" s="17"/>
      <c r="K4841" s="17"/>
      <c r="L4841" s="17"/>
      <c r="M4841" s="17"/>
      <c r="N4841" s="17"/>
      <c r="O4841" s="17"/>
      <c r="P4841" s="17"/>
      <c r="Q4841" s="17"/>
      <c r="R4841" s="17"/>
      <c r="S4841" s="17"/>
      <c r="T4841" s="17"/>
      <c r="U4841" s="17"/>
      <c r="V4841" s="18">
        <v>0</v>
      </c>
      <c r="W4841" s="17">
        <f t="shared" si="143"/>
        <v>0</v>
      </c>
    </row>
    <row r="4842" spans="1:23" x14ac:dyDescent="0.25">
      <c r="A4842" s="17"/>
      <c r="B4842" s="17"/>
      <c r="C4842" s="17"/>
      <c r="D4842" s="17"/>
      <c r="E4842" s="17"/>
      <c r="F4842" s="17"/>
      <c r="G4842" s="17"/>
      <c r="H4842" s="17"/>
      <c r="I4842" s="17"/>
      <c r="J4842" s="17"/>
      <c r="K4842" s="17"/>
      <c r="L4842" s="17"/>
      <c r="M4842" s="17"/>
      <c r="N4842" s="17"/>
      <c r="O4842" s="17"/>
      <c r="P4842" s="17"/>
      <c r="Q4842" s="17"/>
      <c r="R4842" s="17"/>
      <c r="S4842" s="17"/>
      <c r="T4842" s="17"/>
      <c r="U4842" s="17"/>
      <c r="V4842" s="18">
        <v>0</v>
      </c>
      <c r="W4842" s="17">
        <f t="shared" si="143"/>
        <v>0</v>
      </c>
    </row>
    <row r="4843" spans="1:23" x14ac:dyDescent="0.25">
      <c r="A4843" s="17"/>
      <c r="B4843" s="17"/>
      <c r="C4843" s="17"/>
      <c r="D4843" s="17"/>
      <c r="E4843" s="17"/>
      <c r="F4843" s="17"/>
      <c r="G4843" s="17"/>
      <c r="H4843" s="17"/>
      <c r="I4843" s="17"/>
      <c r="J4843" s="17"/>
      <c r="K4843" s="17"/>
      <c r="L4843" s="17"/>
      <c r="M4843" s="17"/>
      <c r="N4843" s="17"/>
      <c r="O4843" s="17"/>
      <c r="P4843" s="17"/>
      <c r="Q4843" s="17"/>
      <c r="R4843" s="17"/>
      <c r="S4843" s="17"/>
      <c r="T4843" s="17"/>
      <c r="U4843" s="17"/>
      <c r="V4843" s="18">
        <v>0</v>
      </c>
      <c r="W4843" s="17">
        <f t="shared" si="143"/>
        <v>0</v>
      </c>
    </row>
    <row r="4844" spans="1:23" x14ac:dyDescent="0.25">
      <c r="A4844" s="17"/>
      <c r="B4844" s="17"/>
      <c r="C4844" s="17"/>
      <c r="D4844" s="17"/>
      <c r="E4844" s="17"/>
      <c r="F4844" s="17"/>
      <c r="G4844" s="17"/>
      <c r="H4844" s="17"/>
      <c r="I4844" s="17"/>
      <c r="J4844" s="17"/>
      <c r="K4844" s="17"/>
      <c r="L4844" s="17"/>
      <c r="M4844" s="17"/>
      <c r="N4844" s="17"/>
      <c r="O4844" s="17"/>
      <c r="P4844" s="17"/>
      <c r="Q4844" s="17"/>
      <c r="R4844" s="17"/>
      <c r="S4844" s="17"/>
      <c r="T4844" s="17"/>
      <c r="U4844" s="17"/>
      <c r="V4844" s="18">
        <v>0</v>
      </c>
      <c r="W4844" s="17">
        <f t="shared" si="143"/>
        <v>0</v>
      </c>
    </row>
    <row r="4845" spans="1:23" x14ac:dyDescent="0.25">
      <c r="A4845" s="17"/>
      <c r="B4845" s="17"/>
      <c r="C4845" s="17"/>
      <c r="D4845" s="17"/>
      <c r="E4845" s="17"/>
      <c r="F4845" s="17"/>
      <c r="G4845" s="17"/>
      <c r="H4845" s="17"/>
      <c r="I4845" s="17"/>
      <c r="J4845" s="17"/>
      <c r="K4845" s="17"/>
      <c r="L4845" s="17"/>
      <c r="M4845" s="17"/>
      <c r="N4845" s="17"/>
      <c r="O4845" s="17"/>
      <c r="P4845" s="17"/>
      <c r="Q4845" s="17"/>
      <c r="R4845" s="17"/>
      <c r="S4845" s="17"/>
      <c r="T4845" s="17"/>
      <c r="U4845" s="17"/>
      <c r="V4845" s="18">
        <v>0</v>
      </c>
      <c r="W4845" s="17">
        <f t="shared" si="143"/>
        <v>0</v>
      </c>
    </row>
    <row r="4846" spans="1:23" x14ac:dyDescent="0.25">
      <c r="A4846" s="17"/>
      <c r="B4846" s="17"/>
      <c r="C4846" s="17"/>
      <c r="D4846" s="17"/>
      <c r="E4846" s="17"/>
      <c r="F4846" s="17"/>
      <c r="G4846" s="17"/>
      <c r="H4846" s="17"/>
      <c r="I4846" s="17"/>
      <c r="J4846" s="17"/>
      <c r="K4846" s="17"/>
      <c r="L4846" s="17"/>
      <c r="M4846" s="17"/>
      <c r="N4846" s="17"/>
      <c r="O4846" s="17"/>
      <c r="P4846" s="17"/>
      <c r="Q4846" s="17"/>
      <c r="R4846" s="17"/>
      <c r="S4846" s="17"/>
      <c r="T4846" s="17"/>
      <c r="U4846" s="17"/>
      <c r="V4846" s="18">
        <v>0</v>
      </c>
      <c r="W4846" s="17">
        <f t="shared" si="143"/>
        <v>0</v>
      </c>
    </row>
    <row r="4847" spans="1:23" x14ac:dyDescent="0.25">
      <c r="A4847" s="17"/>
      <c r="B4847" s="17"/>
      <c r="C4847" s="17"/>
      <c r="D4847" s="17"/>
      <c r="E4847" s="17"/>
      <c r="F4847" s="17"/>
      <c r="G4847" s="17"/>
      <c r="H4847" s="17"/>
      <c r="I4847" s="17"/>
      <c r="J4847" s="17"/>
      <c r="K4847" s="17"/>
      <c r="L4847" s="17"/>
      <c r="M4847" s="17"/>
      <c r="N4847" s="17"/>
      <c r="O4847" s="17"/>
      <c r="P4847" s="17"/>
      <c r="Q4847" s="17"/>
      <c r="R4847" s="17"/>
      <c r="S4847" s="17"/>
      <c r="T4847" s="17"/>
      <c r="U4847" s="17"/>
      <c r="V4847" s="18">
        <v>0</v>
      </c>
      <c r="W4847" s="17">
        <f t="shared" si="143"/>
        <v>0</v>
      </c>
    </row>
    <row r="4848" spans="1:23" x14ac:dyDescent="0.25">
      <c r="A4848" s="17"/>
      <c r="B4848" s="17"/>
      <c r="C4848" s="17"/>
      <c r="D4848" s="17"/>
      <c r="E4848" s="17"/>
      <c r="F4848" s="17"/>
      <c r="G4848" s="17"/>
      <c r="H4848" s="17"/>
      <c r="I4848" s="17"/>
      <c r="J4848" s="17"/>
      <c r="K4848" s="17"/>
      <c r="L4848" s="17"/>
      <c r="M4848" s="17"/>
      <c r="N4848" s="17"/>
      <c r="O4848" s="17"/>
      <c r="P4848" s="17"/>
      <c r="Q4848" s="17"/>
      <c r="R4848" s="17"/>
      <c r="S4848" s="17"/>
      <c r="T4848" s="17"/>
      <c r="U4848" s="17"/>
      <c r="V4848" s="18">
        <v>0</v>
      </c>
      <c r="W4848" s="17">
        <f t="shared" si="143"/>
        <v>0</v>
      </c>
    </row>
    <row r="4849" spans="1:23" x14ac:dyDescent="0.25">
      <c r="A4849" s="17"/>
      <c r="B4849" s="17"/>
      <c r="C4849" s="17"/>
      <c r="D4849" s="17"/>
      <c r="E4849" s="17"/>
      <c r="F4849" s="17"/>
      <c r="G4849" s="17"/>
      <c r="H4849" s="17"/>
      <c r="I4849" s="17"/>
      <c r="J4849" s="17"/>
      <c r="K4849" s="17"/>
      <c r="L4849" s="17"/>
      <c r="M4849" s="17"/>
      <c r="N4849" s="17"/>
      <c r="O4849" s="17"/>
      <c r="P4849" s="17"/>
      <c r="Q4849" s="17"/>
      <c r="R4849" s="17"/>
      <c r="S4849" s="17"/>
      <c r="T4849" s="17"/>
      <c r="U4849" s="17"/>
      <c r="V4849" s="18">
        <v>0</v>
      </c>
      <c r="W4849" s="17">
        <f t="shared" si="143"/>
        <v>0</v>
      </c>
    </row>
    <row r="4850" spans="1:23" x14ac:dyDescent="0.25">
      <c r="A4850" s="17"/>
      <c r="B4850" s="17"/>
      <c r="C4850" s="17"/>
      <c r="D4850" s="17"/>
      <c r="E4850" s="17"/>
      <c r="F4850" s="17"/>
      <c r="G4850" s="17"/>
      <c r="H4850" s="17"/>
      <c r="I4850" s="17"/>
      <c r="J4850" s="17"/>
      <c r="K4850" s="17"/>
      <c r="L4850" s="17"/>
      <c r="M4850" s="17"/>
      <c r="N4850" s="17"/>
      <c r="O4850" s="17"/>
      <c r="P4850" s="17"/>
      <c r="Q4850" s="17"/>
      <c r="R4850" s="17"/>
      <c r="S4850" s="17"/>
      <c r="T4850" s="17"/>
      <c r="U4850" s="17"/>
      <c r="V4850" s="18">
        <v>0</v>
      </c>
      <c r="W4850" s="17">
        <f t="shared" si="143"/>
        <v>0</v>
      </c>
    </row>
    <row r="4851" spans="1:23" x14ac:dyDescent="0.25">
      <c r="A4851" s="17"/>
      <c r="B4851" s="17"/>
      <c r="C4851" s="17"/>
      <c r="D4851" s="17"/>
      <c r="E4851" s="17"/>
      <c r="F4851" s="17"/>
      <c r="G4851" s="17"/>
      <c r="H4851" s="17"/>
      <c r="I4851" s="17"/>
      <c r="J4851" s="17"/>
      <c r="K4851" s="17"/>
      <c r="L4851" s="17"/>
      <c r="M4851" s="17"/>
      <c r="N4851" s="17"/>
      <c r="O4851" s="17"/>
      <c r="P4851" s="17"/>
      <c r="Q4851" s="17"/>
      <c r="R4851" s="17"/>
      <c r="S4851" s="17"/>
      <c r="T4851" s="17"/>
      <c r="U4851" s="17"/>
      <c r="V4851" s="18">
        <v>0</v>
      </c>
      <c r="W4851" s="17">
        <f t="shared" si="143"/>
        <v>0</v>
      </c>
    </row>
    <row r="4852" spans="1:23" x14ac:dyDescent="0.25">
      <c r="A4852" s="17"/>
      <c r="B4852" s="17"/>
      <c r="C4852" s="17"/>
      <c r="D4852" s="17"/>
      <c r="E4852" s="17"/>
      <c r="F4852" s="17"/>
      <c r="G4852" s="17"/>
      <c r="H4852" s="17"/>
      <c r="I4852" s="17"/>
      <c r="J4852" s="17"/>
      <c r="K4852" s="17"/>
      <c r="L4852" s="17"/>
      <c r="M4852" s="17"/>
      <c r="N4852" s="17"/>
      <c r="O4852" s="17"/>
      <c r="P4852" s="17"/>
      <c r="Q4852" s="17"/>
      <c r="R4852" s="17"/>
      <c r="S4852" s="17"/>
      <c r="T4852" s="17"/>
      <c r="U4852" s="17"/>
      <c r="V4852" s="18">
        <v>0</v>
      </c>
      <c r="W4852" s="17">
        <f t="shared" si="143"/>
        <v>0</v>
      </c>
    </row>
    <row r="4853" spans="1:23" x14ac:dyDescent="0.25">
      <c r="A4853" s="17"/>
      <c r="B4853" s="17"/>
      <c r="C4853" s="17"/>
      <c r="D4853" s="17"/>
      <c r="E4853" s="17"/>
      <c r="F4853" s="17"/>
      <c r="G4853" s="17"/>
      <c r="H4853" s="17"/>
      <c r="I4853" s="17"/>
      <c r="J4853" s="17"/>
      <c r="K4853" s="17"/>
      <c r="L4853" s="17"/>
      <c r="M4853" s="17"/>
      <c r="N4853" s="17"/>
      <c r="O4853" s="17"/>
      <c r="P4853" s="17"/>
      <c r="Q4853" s="17"/>
      <c r="R4853" s="17"/>
      <c r="S4853" s="17"/>
      <c r="T4853" s="17"/>
      <c r="U4853" s="17"/>
      <c r="V4853" s="18">
        <v>0</v>
      </c>
      <c r="W4853" s="17">
        <f t="shared" si="143"/>
        <v>0</v>
      </c>
    </row>
    <row r="4854" spans="1:23" x14ac:dyDescent="0.25">
      <c r="A4854" s="17"/>
      <c r="B4854" s="17"/>
      <c r="C4854" s="17"/>
      <c r="D4854" s="17"/>
      <c r="E4854" s="17"/>
      <c r="F4854" s="17"/>
      <c r="G4854" s="17"/>
      <c r="H4854" s="17"/>
      <c r="I4854" s="17"/>
      <c r="J4854" s="17"/>
      <c r="K4854" s="17"/>
      <c r="L4854" s="17"/>
      <c r="M4854" s="17"/>
      <c r="N4854" s="17"/>
      <c r="O4854" s="17"/>
      <c r="P4854" s="17"/>
      <c r="Q4854" s="17"/>
      <c r="R4854" s="17"/>
      <c r="S4854" s="17"/>
      <c r="T4854" s="17"/>
      <c r="U4854" s="17"/>
      <c r="V4854" s="18">
        <v>0</v>
      </c>
      <c r="W4854" s="17">
        <f t="shared" si="143"/>
        <v>0</v>
      </c>
    </row>
    <row r="4855" spans="1:23" x14ac:dyDescent="0.25">
      <c r="A4855" s="17"/>
      <c r="B4855" s="17"/>
      <c r="C4855" s="17"/>
      <c r="D4855" s="17"/>
      <c r="E4855" s="17"/>
      <c r="F4855" s="17"/>
      <c r="G4855" s="17"/>
      <c r="H4855" s="17"/>
      <c r="I4855" s="17"/>
      <c r="J4855" s="17"/>
      <c r="K4855" s="17"/>
      <c r="L4855" s="17"/>
      <c r="M4855" s="17"/>
      <c r="N4855" s="17"/>
      <c r="O4855" s="17"/>
      <c r="P4855" s="17"/>
      <c r="Q4855" s="17"/>
      <c r="R4855" s="17"/>
      <c r="S4855" s="17"/>
      <c r="T4855" s="17"/>
      <c r="U4855" s="17"/>
      <c r="V4855" s="18">
        <v>0</v>
      </c>
      <c r="W4855" s="17">
        <f t="shared" si="143"/>
        <v>0</v>
      </c>
    </row>
    <row r="4856" spans="1:23" x14ac:dyDescent="0.25">
      <c r="A4856" s="17"/>
      <c r="B4856" s="17"/>
      <c r="C4856" s="17"/>
      <c r="D4856" s="17"/>
      <c r="E4856" s="17"/>
      <c r="F4856" s="17"/>
      <c r="G4856" s="17"/>
      <c r="H4856" s="17"/>
      <c r="I4856" s="17"/>
      <c r="J4856" s="17"/>
      <c r="K4856" s="17"/>
      <c r="L4856" s="17"/>
      <c r="M4856" s="17"/>
      <c r="N4856" s="17"/>
      <c r="O4856" s="17"/>
      <c r="P4856" s="17"/>
      <c r="Q4856" s="17"/>
      <c r="R4856" s="17"/>
      <c r="S4856" s="17"/>
      <c r="T4856" s="17"/>
      <c r="U4856" s="17"/>
      <c r="V4856" s="18">
        <v>0</v>
      </c>
      <c r="W4856" s="17">
        <f t="shared" si="143"/>
        <v>0</v>
      </c>
    </row>
    <row r="4857" spans="1:23" x14ac:dyDescent="0.25">
      <c r="A4857" s="17"/>
      <c r="B4857" s="17"/>
      <c r="C4857" s="17"/>
      <c r="D4857" s="17"/>
      <c r="E4857" s="17"/>
      <c r="F4857" s="17"/>
      <c r="G4857" s="17"/>
      <c r="H4857" s="17"/>
      <c r="I4857" s="17"/>
      <c r="J4857" s="17"/>
      <c r="K4857" s="17"/>
      <c r="L4857" s="17"/>
      <c r="M4857" s="17"/>
      <c r="N4857" s="17"/>
      <c r="O4857" s="17"/>
      <c r="P4857" s="17"/>
      <c r="Q4857" s="17"/>
      <c r="R4857" s="17"/>
      <c r="S4857" s="17"/>
      <c r="T4857" s="17"/>
      <c r="U4857" s="17"/>
      <c r="V4857" s="18">
        <v>0</v>
      </c>
      <c r="W4857" s="17">
        <f t="shared" si="143"/>
        <v>0</v>
      </c>
    </row>
    <row r="4858" spans="1:23" x14ac:dyDescent="0.25">
      <c r="A4858" s="17"/>
      <c r="B4858" s="17"/>
      <c r="C4858" s="17"/>
      <c r="D4858" s="17"/>
      <c r="E4858" s="17"/>
      <c r="F4858" s="17"/>
      <c r="G4858" s="17"/>
      <c r="H4858" s="17"/>
      <c r="I4858" s="17"/>
      <c r="J4858" s="17"/>
      <c r="K4858" s="17"/>
      <c r="L4858" s="17"/>
      <c r="M4858" s="17"/>
      <c r="N4858" s="17"/>
      <c r="O4858" s="17"/>
      <c r="P4858" s="17"/>
      <c r="Q4858" s="17"/>
      <c r="R4858" s="17"/>
      <c r="S4858" s="17"/>
      <c r="T4858" s="17"/>
      <c r="U4858" s="17"/>
      <c r="V4858" s="18">
        <v>0</v>
      </c>
      <c r="W4858" s="17">
        <f t="shared" si="143"/>
        <v>0</v>
      </c>
    </row>
    <row r="4859" spans="1:23" x14ac:dyDescent="0.25">
      <c r="A4859" s="17"/>
      <c r="B4859" s="17"/>
      <c r="C4859" s="17"/>
      <c r="D4859" s="17"/>
      <c r="E4859" s="17"/>
      <c r="F4859" s="17"/>
      <c r="G4859" s="17"/>
      <c r="H4859" s="17"/>
      <c r="I4859" s="17"/>
      <c r="J4859" s="17"/>
      <c r="K4859" s="17"/>
      <c r="L4859" s="17"/>
      <c r="M4859" s="17"/>
      <c r="N4859" s="17"/>
      <c r="O4859" s="17"/>
      <c r="P4859" s="17"/>
      <c r="Q4859" s="17"/>
      <c r="R4859" s="17"/>
      <c r="S4859" s="17"/>
      <c r="T4859" s="17"/>
      <c r="U4859" s="17"/>
      <c r="V4859" s="18">
        <v>0</v>
      </c>
      <c r="W4859" s="17">
        <f t="shared" si="143"/>
        <v>0</v>
      </c>
    </row>
    <row r="4860" spans="1:23" x14ac:dyDescent="0.25">
      <c r="A4860" s="17"/>
      <c r="B4860" s="17"/>
      <c r="C4860" s="17"/>
      <c r="D4860" s="17"/>
      <c r="E4860" s="17"/>
      <c r="F4860" s="17"/>
      <c r="G4860" s="17"/>
      <c r="H4860" s="17"/>
      <c r="I4860" s="17"/>
      <c r="J4860" s="17"/>
      <c r="K4860" s="17"/>
      <c r="L4860" s="17"/>
      <c r="M4860" s="17"/>
      <c r="N4860" s="17"/>
      <c r="O4860" s="17"/>
      <c r="P4860" s="17"/>
      <c r="Q4860" s="17"/>
      <c r="R4860" s="17"/>
      <c r="S4860" s="17"/>
      <c r="T4860" s="17"/>
      <c r="U4860" s="17"/>
      <c r="V4860" s="18">
        <v>0</v>
      </c>
      <c r="W4860" s="17">
        <f t="shared" si="143"/>
        <v>0</v>
      </c>
    </row>
    <row r="4861" spans="1:23" x14ac:dyDescent="0.25">
      <c r="A4861" s="17"/>
      <c r="B4861" s="17"/>
      <c r="C4861" s="17"/>
      <c r="D4861" s="17"/>
      <c r="E4861" s="17"/>
      <c r="F4861" s="17"/>
      <c r="G4861" s="17"/>
      <c r="H4861" s="17"/>
      <c r="I4861" s="17"/>
      <c r="J4861" s="17"/>
      <c r="K4861" s="17"/>
      <c r="L4861" s="17"/>
      <c r="M4861" s="17"/>
      <c r="N4861" s="17"/>
      <c r="O4861" s="17"/>
      <c r="P4861" s="17"/>
      <c r="Q4861" s="17"/>
      <c r="R4861" s="17"/>
      <c r="S4861" s="17"/>
      <c r="T4861" s="17"/>
      <c r="U4861" s="17"/>
      <c r="V4861" s="18">
        <v>0</v>
      </c>
      <c r="W4861" s="17">
        <f t="shared" si="143"/>
        <v>0</v>
      </c>
    </row>
    <row r="4862" spans="1:23" x14ac:dyDescent="0.25">
      <c r="A4862" s="17"/>
      <c r="B4862" s="17"/>
      <c r="C4862" s="17"/>
      <c r="D4862" s="17"/>
      <c r="E4862" s="17"/>
      <c r="F4862" s="17"/>
      <c r="G4862" s="17"/>
      <c r="H4862" s="17"/>
      <c r="I4862" s="17"/>
      <c r="J4862" s="17"/>
      <c r="K4862" s="17"/>
      <c r="L4862" s="17"/>
      <c r="M4862" s="17"/>
      <c r="N4862" s="17"/>
      <c r="O4862" s="17"/>
      <c r="P4862" s="17"/>
      <c r="Q4862" s="17"/>
      <c r="R4862" s="17"/>
      <c r="S4862" s="17"/>
      <c r="T4862" s="17"/>
      <c r="U4862" s="17"/>
      <c r="V4862" s="18">
        <v>0</v>
      </c>
      <c r="W4862" s="17">
        <f t="shared" si="143"/>
        <v>0</v>
      </c>
    </row>
    <row r="4863" spans="1:23" x14ac:dyDescent="0.25">
      <c r="A4863" s="17"/>
      <c r="B4863" s="17"/>
      <c r="C4863" s="17"/>
      <c r="D4863" s="17"/>
      <c r="E4863" s="17"/>
      <c r="F4863" s="17"/>
      <c r="G4863" s="17"/>
      <c r="H4863" s="17"/>
      <c r="I4863" s="17"/>
      <c r="J4863" s="17"/>
      <c r="K4863" s="17"/>
      <c r="L4863" s="17"/>
      <c r="M4863" s="17"/>
      <c r="N4863" s="17"/>
      <c r="O4863" s="17"/>
      <c r="P4863" s="17"/>
      <c r="Q4863" s="17"/>
      <c r="R4863" s="17"/>
      <c r="S4863" s="17"/>
      <c r="T4863" s="17"/>
      <c r="U4863" s="17"/>
      <c r="V4863" s="18">
        <v>0</v>
      </c>
      <c r="W4863" s="17">
        <f t="shared" si="143"/>
        <v>0</v>
      </c>
    </row>
    <row r="4864" spans="1:23" x14ac:dyDescent="0.25">
      <c r="A4864" s="17"/>
      <c r="B4864" s="17"/>
      <c r="C4864" s="17"/>
      <c r="D4864" s="17"/>
      <c r="E4864" s="17"/>
      <c r="F4864" s="17"/>
      <c r="G4864" s="17"/>
      <c r="H4864" s="17"/>
      <c r="I4864" s="17"/>
      <c r="J4864" s="17"/>
      <c r="K4864" s="17"/>
      <c r="L4864" s="17"/>
      <c r="M4864" s="17"/>
      <c r="N4864" s="17"/>
      <c r="O4864" s="17"/>
      <c r="P4864" s="17"/>
      <c r="Q4864" s="17"/>
      <c r="R4864" s="17"/>
      <c r="S4864" s="17"/>
      <c r="T4864" s="17"/>
      <c r="U4864" s="17"/>
      <c r="V4864" s="18">
        <v>0</v>
      </c>
      <c r="W4864" s="17">
        <f t="shared" si="143"/>
        <v>0</v>
      </c>
    </row>
    <row r="4865" spans="1:23" x14ac:dyDescent="0.25">
      <c r="A4865" s="17"/>
      <c r="B4865" s="17"/>
      <c r="C4865" s="17"/>
      <c r="D4865" s="17"/>
      <c r="E4865" s="17"/>
      <c r="F4865" s="17"/>
      <c r="G4865" s="17"/>
      <c r="H4865" s="17"/>
      <c r="I4865" s="17"/>
      <c r="J4865" s="17"/>
      <c r="K4865" s="17"/>
      <c r="L4865" s="17"/>
      <c r="M4865" s="17"/>
      <c r="N4865" s="17"/>
      <c r="O4865" s="17"/>
      <c r="P4865" s="17"/>
      <c r="Q4865" s="17"/>
      <c r="R4865" s="17"/>
      <c r="S4865" s="17"/>
      <c r="T4865" s="17"/>
      <c r="U4865" s="17"/>
      <c r="V4865" s="18">
        <v>0</v>
      </c>
      <c r="W4865" s="17">
        <f t="shared" si="143"/>
        <v>0</v>
      </c>
    </row>
    <row r="4866" spans="1:23" x14ac:dyDescent="0.25">
      <c r="A4866" s="17"/>
      <c r="B4866" s="17"/>
      <c r="C4866" s="17"/>
      <c r="D4866" s="17"/>
      <c r="E4866" s="17"/>
      <c r="F4866" s="17"/>
      <c r="G4866" s="17"/>
      <c r="H4866" s="17"/>
      <c r="I4866" s="17"/>
      <c r="J4866" s="17"/>
      <c r="K4866" s="17"/>
      <c r="L4866" s="17"/>
      <c r="M4866" s="17"/>
      <c r="N4866" s="17"/>
      <c r="O4866" s="17"/>
      <c r="P4866" s="17"/>
      <c r="Q4866" s="17"/>
      <c r="R4866" s="17"/>
      <c r="S4866" s="17"/>
      <c r="T4866" s="17"/>
      <c r="U4866" s="17"/>
      <c r="V4866" s="18">
        <v>0</v>
      </c>
      <c r="W4866" s="17">
        <f t="shared" si="143"/>
        <v>0</v>
      </c>
    </row>
    <row r="4867" spans="1:23" x14ac:dyDescent="0.25">
      <c r="A4867" s="17"/>
      <c r="B4867" s="17"/>
      <c r="C4867" s="17"/>
      <c r="D4867" s="17"/>
      <c r="E4867" s="17"/>
      <c r="F4867" s="17"/>
      <c r="G4867" s="17"/>
      <c r="H4867" s="17"/>
      <c r="I4867" s="17"/>
      <c r="J4867" s="17"/>
      <c r="K4867" s="17"/>
      <c r="L4867" s="17"/>
      <c r="M4867" s="17"/>
      <c r="N4867" s="17"/>
      <c r="O4867" s="17"/>
      <c r="P4867" s="17"/>
      <c r="Q4867" s="17"/>
      <c r="R4867" s="17"/>
      <c r="S4867" s="17"/>
      <c r="T4867" s="17"/>
      <c r="U4867" s="17"/>
      <c r="V4867" s="18">
        <v>0</v>
      </c>
      <c r="W4867" s="17">
        <f t="shared" ref="W4867:W4930" si="144">HOUR(E4867)</f>
        <v>0</v>
      </c>
    </row>
    <row r="4868" spans="1:23" x14ac:dyDescent="0.25">
      <c r="A4868" s="17"/>
      <c r="B4868" s="17"/>
      <c r="C4868" s="17"/>
      <c r="D4868" s="17"/>
      <c r="E4868" s="17"/>
      <c r="F4868" s="17"/>
      <c r="G4868" s="17"/>
      <c r="H4868" s="17"/>
      <c r="I4868" s="17"/>
      <c r="J4868" s="17"/>
      <c r="K4868" s="17"/>
      <c r="L4868" s="17"/>
      <c r="M4868" s="17"/>
      <c r="N4868" s="17"/>
      <c r="O4868" s="17"/>
      <c r="P4868" s="17"/>
      <c r="Q4868" s="17"/>
      <c r="R4868" s="17"/>
      <c r="S4868" s="17"/>
      <c r="T4868" s="17"/>
      <c r="U4868" s="17"/>
      <c r="V4868" s="18">
        <v>0</v>
      </c>
      <c r="W4868" s="17">
        <f t="shared" si="144"/>
        <v>0</v>
      </c>
    </row>
    <row r="4869" spans="1:23" x14ac:dyDescent="0.25">
      <c r="A4869" s="17"/>
      <c r="B4869" s="17"/>
      <c r="C4869" s="17"/>
      <c r="D4869" s="17"/>
      <c r="E4869" s="17"/>
      <c r="F4869" s="17"/>
      <c r="G4869" s="17"/>
      <c r="H4869" s="17"/>
      <c r="I4869" s="17"/>
      <c r="J4869" s="17"/>
      <c r="K4869" s="17"/>
      <c r="L4869" s="17"/>
      <c r="M4869" s="17"/>
      <c r="N4869" s="17"/>
      <c r="O4869" s="17"/>
      <c r="P4869" s="17"/>
      <c r="Q4869" s="17"/>
      <c r="R4869" s="17"/>
      <c r="S4869" s="17"/>
      <c r="T4869" s="17"/>
      <c r="U4869" s="17"/>
      <c r="V4869" s="18">
        <v>0</v>
      </c>
      <c r="W4869" s="17">
        <f t="shared" si="144"/>
        <v>0</v>
      </c>
    </row>
    <row r="4870" spans="1:23" x14ac:dyDescent="0.25">
      <c r="A4870" s="17"/>
      <c r="B4870" s="17"/>
      <c r="C4870" s="17"/>
      <c r="D4870" s="17"/>
      <c r="E4870" s="17"/>
      <c r="F4870" s="17"/>
      <c r="G4870" s="17"/>
      <c r="H4870" s="17"/>
      <c r="I4870" s="17"/>
      <c r="J4870" s="17"/>
      <c r="K4870" s="17"/>
      <c r="L4870" s="17"/>
      <c r="M4870" s="17"/>
      <c r="N4870" s="17"/>
      <c r="O4870" s="17"/>
      <c r="P4870" s="17"/>
      <c r="Q4870" s="17"/>
      <c r="R4870" s="17"/>
      <c r="S4870" s="17"/>
      <c r="T4870" s="17"/>
      <c r="U4870" s="17"/>
      <c r="V4870" s="18">
        <v>0</v>
      </c>
      <c r="W4870" s="17">
        <f t="shared" si="144"/>
        <v>0</v>
      </c>
    </row>
    <row r="4871" spans="1:23" x14ac:dyDescent="0.25">
      <c r="A4871" s="17"/>
      <c r="B4871" s="17"/>
      <c r="C4871" s="17"/>
      <c r="D4871" s="17"/>
      <c r="E4871" s="17"/>
      <c r="F4871" s="17"/>
      <c r="G4871" s="17"/>
      <c r="H4871" s="17"/>
      <c r="I4871" s="17"/>
      <c r="J4871" s="17"/>
      <c r="K4871" s="17"/>
      <c r="L4871" s="17"/>
      <c r="M4871" s="17"/>
      <c r="N4871" s="17"/>
      <c r="O4871" s="17"/>
      <c r="P4871" s="17"/>
      <c r="Q4871" s="17"/>
      <c r="R4871" s="17"/>
      <c r="S4871" s="17"/>
      <c r="T4871" s="17"/>
      <c r="U4871" s="17"/>
      <c r="V4871" s="18">
        <v>0</v>
      </c>
      <c r="W4871" s="17">
        <f t="shared" si="144"/>
        <v>0</v>
      </c>
    </row>
    <row r="4872" spans="1:23" x14ac:dyDescent="0.25">
      <c r="A4872" s="17"/>
      <c r="B4872" s="17"/>
      <c r="C4872" s="17"/>
      <c r="D4872" s="17"/>
      <c r="E4872" s="17"/>
      <c r="F4872" s="17"/>
      <c r="G4872" s="17"/>
      <c r="H4872" s="17"/>
      <c r="I4872" s="17"/>
      <c r="J4872" s="17"/>
      <c r="K4872" s="17"/>
      <c r="L4872" s="17"/>
      <c r="M4872" s="17"/>
      <c r="N4872" s="17"/>
      <c r="O4872" s="17"/>
      <c r="P4872" s="17"/>
      <c r="Q4872" s="17"/>
      <c r="R4872" s="17"/>
      <c r="S4872" s="17"/>
      <c r="T4872" s="17"/>
      <c r="U4872" s="17"/>
      <c r="V4872" s="18">
        <v>0</v>
      </c>
      <c r="W4872" s="17">
        <f t="shared" si="144"/>
        <v>0</v>
      </c>
    </row>
    <row r="4873" spans="1:23" x14ac:dyDescent="0.25">
      <c r="A4873" s="17"/>
      <c r="B4873" s="17"/>
      <c r="C4873" s="17"/>
      <c r="D4873" s="17"/>
      <c r="E4873" s="17"/>
      <c r="F4873" s="17"/>
      <c r="G4873" s="17"/>
      <c r="H4873" s="17"/>
      <c r="I4873" s="17"/>
      <c r="J4873" s="17"/>
      <c r="K4873" s="17"/>
      <c r="L4873" s="17"/>
      <c r="M4873" s="17"/>
      <c r="N4873" s="17"/>
      <c r="O4873" s="17"/>
      <c r="P4873" s="17"/>
      <c r="Q4873" s="17"/>
      <c r="R4873" s="17"/>
      <c r="S4873" s="17"/>
      <c r="T4873" s="17"/>
      <c r="U4873" s="17"/>
      <c r="V4873" s="18">
        <v>0</v>
      </c>
      <c r="W4873" s="17">
        <f t="shared" si="144"/>
        <v>0</v>
      </c>
    </row>
    <row r="4874" spans="1:23" x14ac:dyDescent="0.25">
      <c r="A4874" s="17"/>
      <c r="B4874" s="17"/>
      <c r="C4874" s="17"/>
      <c r="D4874" s="17"/>
      <c r="E4874" s="17"/>
      <c r="F4874" s="17"/>
      <c r="G4874" s="17"/>
      <c r="H4874" s="17"/>
      <c r="I4874" s="17"/>
      <c r="J4874" s="17"/>
      <c r="K4874" s="17"/>
      <c r="L4874" s="17"/>
      <c r="M4874" s="17"/>
      <c r="N4874" s="17"/>
      <c r="O4874" s="17"/>
      <c r="P4874" s="17"/>
      <c r="Q4874" s="17"/>
      <c r="R4874" s="17"/>
      <c r="S4874" s="17"/>
      <c r="T4874" s="17"/>
      <c r="U4874" s="17"/>
      <c r="V4874" s="18">
        <v>0</v>
      </c>
      <c r="W4874" s="17">
        <f t="shared" si="144"/>
        <v>0</v>
      </c>
    </row>
    <row r="4875" spans="1:23" x14ac:dyDescent="0.25">
      <c r="A4875" s="17"/>
      <c r="B4875" s="17"/>
      <c r="C4875" s="17"/>
      <c r="D4875" s="17"/>
      <c r="E4875" s="17"/>
      <c r="F4875" s="17"/>
      <c r="G4875" s="17"/>
      <c r="H4875" s="17"/>
      <c r="I4875" s="17"/>
      <c r="J4875" s="17"/>
      <c r="K4875" s="17"/>
      <c r="L4875" s="17"/>
      <c r="M4875" s="17"/>
      <c r="N4875" s="17"/>
      <c r="O4875" s="17"/>
      <c r="P4875" s="17"/>
      <c r="Q4875" s="17"/>
      <c r="R4875" s="17"/>
      <c r="S4875" s="17"/>
      <c r="T4875" s="17"/>
      <c r="U4875" s="17"/>
      <c r="V4875" s="18">
        <v>0</v>
      </c>
      <c r="W4875" s="17">
        <f t="shared" si="144"/>
        <v>0</v>
      </c>
    </row>
    <row r="4876" spans="1:23" x14ac:dyDescent="0.25">
      <c r="A4876" s="17"/>
      <c r="B4876" s="17"/>
      <c r="C4876" s="17"/>
      <c r="D4876" s="17"/>
      <c r="E4876" s="17"/>
      <c r="F4876" s="17"/>
      <c r="G4876" s="17"/>
      <c r="H4876" s="17"/>
      <c r="I4876" s="17"/>
      <c r="J4876" s="17"/>
      <c r="K4876" s="17"/>
      <c r="L4876" s="17"/>
      <c r="M4876" s="17"/>
      <c r="N4876" s="17"/>
      <c r="O4876" s="17"/>
      <c r="P4876" s="17"/>
      <c r="Q4876" s="17"/>
      <c r="R4876" s="17"/>
      <c r="S4876" s="17"/>
      <c r="T4876" s="17"/>
      <c r="U4876" s="17"/>
      <c r="V4876" s="18">
        <v>0</v>
      </c>
      <c r="W4876" s="17">
        <f t="shared" si="144"/>
        <v>0</v>
      </c>
    </row>
    <row r="4877" spans="1:23" x14ac:dyDescent="0.25">
      <c r="A4877" s="17"/>
      <c r="B4877" s="17"/>
      <c r="C4877" s="17"/>
      <c r="D4877" s="17"/>
      <c r="E4877" s="17"/>
      <c r="F4877" s="17"/>
      <c r="G4877" s="17"/>
      <c r="H4877" s="17"/>
      <c r="I4877" s="17"/>
      <c r="J4877" s="17"/>
      <c r="K4877" s="17"/>
      <c r="L4877" s="17"/>
      <c r="M4877" s="17"/>
      <c r="N4877" s="17"/>
      <c r="O4877" s="17"/>
      <c r="P4877" s="17"/>
      <c r="Q4877" s="17"/>
      <c r="R4877" s="17"/>
      <c r="S4877" s="17"/>
      <c r="T4877" s="17"/>
      <c r="U4877" s="17"/>
      <c r="V4877" s="18">
        <v>0</v>
      </c>
      <c r="W4877" s="17">
        <f t="shared" si="144"/>
        <v>0</v>
      </c>
    </row>
    <row r="4878" spans="1:23" x14ac:dyDescent="0.25">
      <c r="A4878" s="17"/>
      <c r="B4878" s="17"/>
      <c r="C4878" s="17"/>
      <c r="D4878" s="17"/>
      <c r="E4878" s="17"/>
      <c r="F4878" s="17"/>
      <c r="G4878" s="17"/>
      <c r="H4878" s="17"/>
      <c r="I4878" s="17"/>
      <c r="J4878" s="17"/>
      <c r="K4878" s="17"/>
      <c r="L4878" s="17"/>
      <c r="M4878" s="17"/>
      <c r="N4878" s="17"/>
      <c r="O4878" s="17"/>
      <c r="P4878" s="17"/>
      <c r="Q4878" s="17"/>
      <c r="R4878" s="17"/>
      <c r="S4878" s="17"/>
      <c r="T4878" s="17"/>
      <c r="U4878" s="17"/>
      <c r="V4878" s="18">
        <v>0</v>
      </c>
      <c r="W4878" s="17">
        <f t="shared" si="144"/>
        <v>0</v>
      </c>
    </row>
    <row r="4879" spans="1:23" x14ac:dyDescent="0.25">
      <c r="A4879" s="17"/>
      <c r="B4879" s="17"/>
      <c r="C4879" s="17"/>
      <c r="D4879" s="17"/>
      <c r="E4879" s="17"/>
      <c r="F4879" s="17"/>
      <c r="G4879" s="17"/>
      <c r="H4879" s="17"/>
      <c r="I4879" s="17"/>
      <c r="J4879" s="17"/>
      <c r="K4879" s="17"/>
      <c r="L4879" s="17"/>
      <c r="M4879" s="17"/>
      <c r="N4879" s="17"/>
      <c r="O4879" s="17"/>
      <c r="P4879" s="17"/>
      <c r="Q4879" s="17"/>
      <c r="R4879" s="17"/>
      <c r="S4879" s="17"/>
      <c r="T4879" s="17"/>
      <c r="U4879" s="17"/>
      <c r="V4879" s="18">
        <v>0</v>
      </c>
      <c r="W4879" s="17">
        <f t="shared" si="144"/>
        <v>0</v>
      </c>
    </row>
    <row r="4880" spans="1:23" x14ac:dyDescent="0.25">
      <c r="A4880" s="17"/>
      <c r="B4880" s="17"/>
      <c r="C4880" s="17"/>
      <c r="D4880" s="17"/>
      <c r="E4880" s="17"/>
      <c r="F4880" s="17"/>
      <c r="G4880" s="17"/>
      <c r="H4880" s="17"/>
      <c r="I4880" s="17"/>
      <c r="J4880" s="17"/>
      <c r="K4880" s="17"/>
      <c r="L4880" s="17"/>
      <c r="M4880" s="17"/>
      <c r="N4880" s="17"/>
      <c r="O4880" s="17"/>
      <c r="P4880" s="17"/>
      <c r="Q4880" s="17"/>
      <c r="R4880" s="17"/>
      <c r="S4880" s="17"/>
      <c r="T4880" s="17"/>
      <c r="U4880" s="17"/>
      <c r="V4880" s="18">
        <v>0</v>
      </c>
      <c r="W4880" s="17">
        <f t="shared" si="144"/>
        <v>0</v>
      </c>
    </row>
    <row r="4881" spans="1:23" x14ac:dyDescent="0.25">
      <c r="A4881" s="17"/>
      <c r="B4881" s="17"/>
      <c r="C4881" s="17"/>
      <c r="D4881" s="17"/>
      <c r="E4881" s="17"/>
      <c r="F4881" s="17"/>
      <c r="G4881" s="17"/>
      <c r="H4881" s="17"/>
      <c r="I4881" s="17"/>
      <c r="J4881" s="17"/>
      <c r="K4881" s="17"/>
      <c r="L4881" s="17"/>
      <c r="M4881" s="17"/>
      <c r="N4881" s="17"/>
      <c r="O4881" s="17"/>
      <c r="P4881" s="17"/>
      <c r="Q4881" s="17"/>
      <c r="R4881" s="17"/>
      <c r="S4881" s="17"/>
      <c r="T4881" s="17"/>
      <c r="U4881" s="17"/>
      <c r="V4881" s="18">
        <v>0</v>
      </c>
      <c r="W4881" s="17">
        <f t="shared" si="144"/>
        <v>0</v>
      </c>
    </row>
    <row r="4882" spans="1:23" x14ac:dyDescent="0.25">
      <c r="A4882" s="17"/>
      <c r="B4882" s="17"/>
      <c r="C4882" s="17"/>
      <c r="D4882" s="17"/>
      <c r="E4882" s="17"/>
      <c r="F4882" s="17"/>
      <c r="G4882" s="17"/>
      <c r="H4882" s="17"/>
      <c r="I4882" s="17"/>
      <c r="J4882" s="17"/>
      <c r="K4882" s="17"/>
      <c r="L4882" s="17"/>
      <c r="M4882" s="17"/>
      <c r="N4882" s="17"/>
      <c r="O4882" s="17"/>
      <c r="P4882" s="17"/>
      <c r="Q4882" s="17"/>
      <c r="R4882" s="17"/>
      <c r="S4882" s="17"/>
      <c r="T4882" s="17"/>
      <c r="U4882" s="17"/>
      <c r="V4882" s="18">
        <v>0</v>
      </c>
      <c r="W4882" s="17">
        <f t="shared" si="144"/>
        <v>0</v>
      </c>
    </row>
    <row r="4883" spans="1:23" x14ac:dyDescent="0.25">
      <c r="A4883" s="17"/>
      <c r="B4883" s="17"/>
      <c r="C4883" s="17"/>
      <c r="D4883" s="17"/>
      <c r="E4883" s="17"/>
      <c r="F4883" s="17"/>
      <c r="G4883" s="17"/>
      <c r="H4883" s="17"/>
      <c r="I4883" s="17"/>
      <c r="J4883" s="17"/>
      <c r="K4883" s="17"/>
      <c r="L4883" s="17"/>
      <c r="M4883" s="17"/>
      <c r="N4883" s="17"/>
      <c r="O4883" s="17"/>
      <c r="P4883" s="17"/>
      <c r="Q4883" s="17"/>
      <c r="R4883" s="17"/>
      <c r="S4883" s="17"/>
      <c r="T4883" s="17"/>
      <c r="U4883" s="17"/>
      <c r="V4883" s="18">
        <v>0</v>
      </c>
      <c r="W4883" s="17">
        <f t="shared" si="144"/>
        <v>0</v>
      </c>
    </row>
    <row r="4884" spans="1:23" x14ac:dyDescent="0.25">
      <c r="A4884" s="17"/>
      <c r="B4884" s="17"/>
      <c r="C4884" s="17"/>
      <c r="D4884" s="17"/>
      <c r="E4884" s="17"/>
      <c r="F4884" s="17"/>
      <c r="G4884" s="17"/>
      <c r="H4884" s="17"/>
      <c r="I4884" s="17"/>
      <c r="J4884" s="17"/>
      <c r="K4884" s="17"/>
      <c r="L4884" s="17"/>
      <c r="M4884" s="17"/>
      <c r="N4884" s="17"/>
      <c r="O4884" s="17"/>
      <c r="P4884" s="17"/>
      <c r="Q4884" s="17"/>
      <c r="R4884" s="17"/>
      <c r="S4884" s="17"/>
      <c r="T4884" s="17"/>
      <c r="U4884" s="17"/>
      <c r="V4884" s="18">
        <v>0</v>
      </c>
      <c r="W4884" s="17">
        <f t="shared" si="144"/>
        <v>0</v>
      </c>
    </row>
    <row r="4885" spans="1:23" x14ac:dyDescent="0.25">
      <c r="A4885" s="17"/>
      <c r="B4885" s="17"/>
      <c r="C4885" s="17"/>
      <c r="D4885" s="17"/>
      <c r="E4885" s="17"/>
      <c r="F4885" s="17"/>
      <c r="G4885" s="17"/>
      <c r="H4885" s="17"/>
      <c r="I4885" s="17"/>
      <c r="J4885" s="17"/>
      <c r="K4885" s="17"/>
      <c r="L4885" s="17"/>
      <c r="M4885" s="17"/>
      <c r="N4885" s="17"/>
      <c r="O4885" s="17"/>
      <c r="P4885" s="17"/>
      <c r="Q4885" s="17"/>
      <c r="R4885" s="17"/>
      <c r="S4885" s="17"/>
      <c r="T4885" s="17"/>
      <c r="U4885" s="17"/>
      <c r="V4885" s="18">
        <v>0</v>
      </c>
      <c r="W4885" s="17">
        <f t="shared" si="144"/>
        <v>0</v>
      </c>
    </row>
    <row r="4886" spans="1:23" x14ac:dyDescent="0.25">
      <c r="A4886" s="17"/>
      <c r="B4886" s="17"/>
      <c r="C4886" s="17"/>
      <c r="D4886" s="17"/>
      <c r="E4886" s="17"/>
      <c r="F4886" s="17"/>
      <c r="G4886" s="17"/>
      <c r="H4886" s="17"/>
      <c r="I4886" s="17"/>
      <c r="J4886" s="17"/>
      <c r="K4886" s="17"/>
      <c r="L4886" s="17"/>
      <c r="M4886" s="17"/>
      <c r="N4886" s="17"/>
      <c r="O4886" s="17"/>
      <c r="P4886" s="17"/>
      <c r="Q4886" s="17"/>
      <c r="R4886" s="17"/>
      <c r="S4886" s="17"/>
      <c r="T4886" s="17"/>
      <c r="U4886" s="17"/>
      <c r="V4886" s="18">
        <v>0</v>
      </c>
      <c r="W4886" s="17">
        <f t="shared" si="144"/>
        <v>0</v>
      </c>
    </row>
    <row r="4887" spans="1:23" x14ac:dyDescent="0.25">
      <c r="A4887" s="17"/>
      <c r="B4887" s="17"/>
      <c r="C4887" s="17"/>
      <c r="D4887" s="17"/>
      <c r="E4887" s="17"/>
      <c r="F4887" s="17"/>
      <c r="G4887" s="17"/>
      <c r="H4887" s="17"/>
      <c r="I4887" s="17"/>
      <c r="J4887" s="17"/>
      <c r="K4887" s="17"/>
      <c r="L4887" s="17"/>
      <c r="M4887" s="17"/>
      <c r="N4887" s="17"/>
      <c r="O4887" s="17"/>
      <c r="P4887" s="17"/>
      <c r="Q4887" s="17"/>
      <c r="R4887" s="17"/>
      <c r="S4887" s="17"/>
      <c r="T4887" s="17"/>
      <c r="U4887" s="17"/>
      <c r="V4887" s="18">
        <v>0</v>
      </c>
      <c r="W4887" s="17">
        <f t="shared" si="144"/>
        <v>0</v>
      </c>
    </row>
    <row r="4888" spans="1:23" x14ac:dyDescent="0.25">
      <c r="A4888" s="17"/>
      <c r="B4888" s="17"/>
      <c r="C4888" s="17"/>
      <c r="D4888" s="17"/>
      <c r="E4888" s="17"/>
      <c r="F4888" s="17"/>
      <c r="G4888" s="17"/>
      <c r="H4888" s="17"/>
      <c r="I4888" s="17"/>
      <c r="J4888" s="17"/>
      <c r="K4888" s="17"/>
      <c r="L4888" s="17"/>
      <c r="M4888" s="17"/>
      <c r="N4888" s="17"/>
      <c r="O4888" s="17"/>
      <c r="P4888" s="17"/>
      <c r="Q4888" s="17"/>
      <c r="R4888" s="17"/>
      <c r="S4888" s="17"/>
      <c r="T4888" s="17"/>
      <c r="U4888" s="17"/>
      <c r="V4888" s="18">
        <v>0</v>
      </c>
      <c r="W4888" s="17">
        <f t="shared" si="144"/>
        <v>0</v>
      </c>
    </row>
    <row r="4889" spans="1:23" x14ac:dyDescent="0.25">
      <c r="A4889" s="17"/>
      <c r="B4889" s="17"/>
      <c r="C4889" s="17"/>
      <c r="D4889" s="17"/>
      <c r="E4889" s="17"/>
      <c r="F4889" s="17"/>
      <c r="G4889" s="17"/>
      <c r="H4889" s="17"/>
      <c r="I4889" s="17"/>
      <c r="J4889" s="17"/>
      <c r="K4889" s="17"/>
      <c r="L4889" s="17"/>
      <c r="M4889" s="17"/>
      <c r="N4889" s="17"/>
      <c r="O4889" s="17"/>
      <c r="P4889" s="17"/>
      <c r="Q4889" s="17"/>
      <c r="R4889" s="17"/>
      <c r="S4889" s="17"/>
      <c r="T4889" s="17"/>
      <c r="U4889" s="17"/>
      <c r="V4889" s="18">
        <v>0</v>
      </c>
      <c r="W4889" s="17">
        <f t="shared" si="144"/>
        <v>0</v>
      </c>
    </row>
    <row r="4890" spans="1:23" x14ac:dyDescent="0.25">
      <c r="A4890" s="17"/>
      <c r="B4890" s="17"/>
      <c r="C4890" s="17"/>
      <c r="D4890" s="17"/>
      <c r="E4890" s="17"/>
      <c r="F4890" s="17"/>
      <c r="G4890" s="17"/>
      <c r="H4890" s="17"/>
      <c r="I4890" s="17"/>
      <c r="J4890" s="17"/>
      <c r="K4890" s="17"/>
      <c r="L4890" s="17"/>
      <c r="M4890" s="17"/>
      <c r="N4890" s="17"/>
      <c r="O4890" s="17"/>
      <c r="P4890" s="17"/>
      <c r="Q4890" s="17"/>
      <c r="R4890" s="17"/>
      <c r="S4890" s="17"/>
      <c r="T4890" s="17"/>
      <c r="U4890" s="17"/>
      <c r="V4890" s="18">
        <v>0</v>
      </c>
      <c r="W4890" s="17">
        <f t="shared" si="144"/>
        <v>0</v>
      </c>
    </row>
    <row r="4891" spans="1:23" x14ac:dyDescent="0.25">
      <c r="A4891" s="17"/>
      <c r="B4891" s="17"/>
      <c r="C4891" s="17"/>
      <c r="D4891" s="17"/>
      <c r="E4891" s="17"/>
      <c r="F4891" s="17"/>
      <c r="G4891" s="17"/>
      <c r="H4891" s="17"/>
      <c r="I4891" s="17"/>
      <c r="J4891" s="17"/>
      <c r="K4891" s="17"/>
      <c r="L4891" s="17"/>
      <c r="M4891" s="17"/>
      <c r="N4891" s="17"/>
      <c r="O4891" s="17"/>
      <c r="P4891" s="17"/>
      <c r="Q4891" s="17"/>
      <c r="R4891" s="17"/>
      <c r="S4891" s="17"/>
      <c r="T4891" s="17"/>
      <c r="U4891" s="17"/>
      <c r="V4891" s="18">
        <v>0</v>
      </c>
      <c r="W4891" s="17">
        <f t="shared" si="144"/>
        <v>0</v>
      </c>
    </row>
    <row r="4892" spans="1:23" x14ac:dyDescent="0.25">
      <c r="A4892" s="17"/>
      <c r="B4892" s="17"/>
      <c r="C4892" s="17"/>
      <c r="D4892" s="17"/>
      <c r="E4892" s="17"/>
      <c r="F4892" s="17"/>
      <c r="G4892" s="17"/>
      <c r="H4892" s="17"/>
      <c r="I4892" s="17"/>
      <c r="J4892" s="17"/>
      <c r="K4892" s="17"/>
      <c r="L4892" s="17"/>
      <c r="M4892" s="17"/>
      <c r="N4892" s="17"/>
      <c r="O4892" s="17"/>
      <c r="P4892" s="17"/>
      <c r="Q4892" s="17"/>
      <c r="R4892" s="17"/>
      <c r="S4892" s="17"/>
      <c r="T4892" s="17"/>
      <c r="U4892" s="17"/>
      <c r="V4892" s="18">
        <v>0</v>
      </c>
      <c r="W4892" s="17">
        <f t="shared" si="144"/>
        <v>0</v>
      </c>
    </row>
    <row r="4893" spans="1:23" x14ac:dyDescent="0.25">
      <c r="A4893" s="17"/>
      <c r="B4893" s="17"/>
      <c r="C4893" s="17"/>
      <c r="D4893" s="17"/>
      <c r="E4893" s="17"/>
      <c r="F4893" s="17"/>
      <c r="G4893" s="17"/>
      <c r="H4893" s="17"/>
      <c r="I4893" s="17"/>
      <c r="J4893" s="17"/>
      <c r="K4893" s="17"/>
      <c r="L4893" s="17"/>
      <c r="M4893" s="17"/>
      <c r="N4893" s="17"/>
      <c r="O4893" s="17"/>
      <c r="P4893" s="17"/>
      <c r="Q4893" s="17"/>
      <c r="R4893" s="17"/>
      <c r="S4893" s="17"/>
      <c r="T4893" s="17"/>
      <c r="U4893" s="17"/>
      <c r="V4893" s="18">
        <v>0</v>
      </c>
      <c r="W4893" s="17">
        <f t="shared" si="144"/>
        <v>0</v>
      </c>
    </row>
    <row r="4894" spans="1:23" x14ac:dyDescent="0.25">
      <c r="A4894" s="17"/>
      <c r="B4894" s="17"/>
      <c r="C4894" s="17"/>
      <c r="D4894" s="17"/>
      <c r="E4894" s="17"/>
      <c r="F4894" s="17"/>
      <c r="G4894" s="17"/>
      <c r="H4894" s="17"/>
      <c r="I4894" s="17"/>
      <c r="J4894" s="17"/>
      <c r="K4894" s="17"/>
      <c r="L4894" s="17"/>
      <c r="M4894" s="17"/>
      <c r="N4894" s="17"/>
      <c r="O4894" s="17"/>
      <c r="P4894" s="17"/>
      <c r="Q4894" s="17"/>
      <c r="R4894" s="17"/>
      <c r="S4894" s="17"/>
      <c r="T4894" s="17"/>
      <c r="U4894" s="17"/>
      <c r="V4894" s="18">
        <v>0</v>
      </c>
      <c r="W4894" s="17">
        <f t="shared" si="144"/>
        <v>0</v>
      </c>
    </row>
    <row r="4895" spans="1:23" x14ac:dyDescent="0.25">
      <c r="A4895" s="17"/>
      <c r="B4895" s="17"/>
      <c r="C4895" s="17"/>
      <c r="D4895" s="17"/>
      <c r="E4895" s="17"/>
      <c r="F4895" s="17"/>
      <c r="G4895" s="17"/>
      <c r="H4895" s="17"/>
      <c r="I4895" s="17"/>
      <c r="J4895" s="17"/>
      <c r="K4895" s="17"/>
      <c r="L4895" s="17"/>
      <c r="M4895" s="17"/>
      <c r="N4895" s="17"/>
      <c r="O4895" s="17"/>
      <c r="P4895" s="17"/>
      <c r="Q4895" s="17"/>
      <c r="R4895" s="17"/>
      <c r="S4895" s="17"/>
      <c r="T4895" s="17"/>
      <c r="U4895" s="17"/>
      <c r="V4895" s="18">
        <v>0</v>
      </c>
      <c r="W4895" s="17">
        <f t="shared" si="144"/>
        <v>0</v>
      </c>
    </row>
    <row r="4896" spans="1:23" x14ac:dyDescent="0.25">
      <c r="A4896" s="17"/>
      <c r="B4896" s="17"/>
      <c r="C4896" s="17"/>
      <c r="D4896" s="17"/>
      <c r="E4896" s="17"/>
      <c r="F4896" s="17"/>
      <c r="G4896" s="17"/>
      <c r="H4896" s="17"/>
      <c r="I4896" s="17"/>
      <c r="J4896" s="17"/>
      <c r="K4896" s="17"/>
      <c r="L4896" s="17"/>
      <c r="M4896" s="17"/>
      <c r="N4896" s="17"/>
      <c r="O4896" s="17"/>
      <c r="P4896" s="17"/>
      <c r="Q4896" s="17"/>
      <c r="R4896" s="17"/>
      <c r="S4896" s="17"/>
      <c r="T4896" s="17"/>
      <c r="U4896" s="17"/>
      <c r="V4896" s="18">
        <v>0</v>
      </c>
      <c r="W4896" s="17">
        <f t="shared" si="144"/>
        <v>0</v>
      </c>
    </row>
    <row r="4897" spans="1:23" x14ac:dyDescent="0.25">
      <c r="A4897" s="17"/>
      <c r="B4897" s="17"/>
      <c r="C4897" s="17"/>
      <c r="D4897" s="17"/>
      <c r="E4897" s="17"/>
      <c r="F4897" s="17"/>
      <c r="G4897" s="17"/>
      <c r="H4897" s="17"/>
      <c r="I4897" s="17"/>
      <c r="J4897" s="17"/>
      <c r="K4897" s="17"/>
      <c r="L4897" s="17"/>
      <c r="M4897" s="17"/>
      <c r="N4897" s="17"/>
      <c r="O4897" s="17"/>
      <c r="P4897" s="17"/>
      <c r="Q4897" s="17"/>
      <c r="R4897" s="17"/>
      <c r="S4897" s="17"/>
      <c r="T4897" s="17"/>
      <c r="U4897" s="17"/>
      <c r="V4897" s="18">
        <v>0</v>
      </c>
      <c r="W4897" s="17">
        <f t="shared" si="144"/>
        <v>0</v>
      </c>
    </row>
    <row r="4898" spans="1:23" x14ac:dyDescent="0.25">
      <c r="A4898" s="17"/>
      <c r="B4898" s="17"/>
      <c r="C4898" s="17"/>
      <c r="D4898" s="17"/>
      <c r="E4898" s="17"/>
      <c r="F4898" s="17"/>
      <c r="G4898" s="17"/>
      <c r="H4898" s="17"/>
      <c r="I4898" s="17"/>
      <c r="J4898" s="17"/>
      <c r="K4898" s="17"/>
      <c r="L4898" s="17"/>
      <c r="M4898" s="17"/>
      <c r="N4898" s="17"/>
      <c r="O4898" s="17"/>
      <c r="P4898" s="17"/>
      <c r="Q4898" s="17"/>
      <c r="R4898" s="17"/>
      <c r="S4898" s="17"/>
      <c r="T4898" s="17"/>
      <c r="U4898" s="17"/>
      <c r="V4898" s="18">
        <v>0</v>
      </c>
      <c r="W4898" s="17">
        <f t="shared" si="144"/>
        <v>0</v>
      </c>
    </row>
    <row r="4899" spans="1:23" x14ac:dyDescent="0.25">
      <c r="A4899" s="17"/>
      <c r="B4899" s="17"/>
      <c r="C4899" s="17"/>
      <c r="D4899" s="17"/>
      <c r="E4899" s="17"/>
      <c r="F4899" s="17"/>
      <c r="G4899" s="17"/>
      <c r="H4899" s="17"/>
      <c r="I4899" s="17"/>
      <c r="J4899" s="17"/>
      <c r="K4899" s="17"/>
      <c r="L4899" s="17"/>
      <c r="M4899" s="17"/>
      <c r="N4899" s="17"/>
      <c r="O4899" s="17"/>
      <c r="P4899" s="17"/>
      <c r="Q4899" s="17"/>
      <c r="R4899" s="17"/>
      <c r="S4899" s="17"/>
      <c r="T4899" s="17"/>
      <c r="U4899" s="17"/>
      <c r="V4899" s="18">
        <v>0</v>
      </c>
      <c r="W4899" s="17">
        <f t="shared" si="144"/>
        <v>0</v>
      </c>
    </row>
    <row r="4900" spans="1:23" x14ac:dyDescent="0.25">
      <c r="A4900" s="17"/>
      <c r="B4900" s="17"/>
      <c r="C4900" s="17"/>
      <c r="D4900" s="17"/>
      <c r="E4900" s="17"/>
      <c r="F4900" s="17"/>
      <c r="G4900" s="17"/>
      <c r="H4900" s="17"/>
      <c r="I4900" s="17"/>
      <c r="J4900" s="17"/>
      <c r="K4900" s="17"/>
      <c r="L4900" s="17"/>
      <c r="M4900" s="17"/>
      <c r="N4900" s="17"/>
      <c r="O4900" s="17"/>
      <c r="P4900" s="17"/>
      <c r="Q4900" s="17"/>
      <c r="R4900" s="17"/>
      <c r="S4900" s="17"/>
      <c r="T4900" s="17"/>
      <c r="U4900" s="17"/>
      <c r="V4900" s="18">
        <v>0</v>
      </c>
      <c r="W4900" s="17">
        <f t="shared" si="144"/>
        <v>0</v>
      </c>
    </row>
    <row r="4901" spans="1:23" x14ac:dyDescent="0.25">
      <c r="A4901" s="17"/>
      <c r="B4901" s="17"/>
      <c r="C4901" s="17"/>
      <c r="D4901" s="17"/>
      <c r="E4901" s="17"/>
      <c r="F4901" s="17"/>
      <c r="G4901" s="17"/>
      <c r="H4901" s="17"/>
      <c r="I4901" s="17"/>
      <c r="J4901" s="17"/>
      <c r="K4901" s="17"/>
      <c r="L4901" s="17"/>
      <c r="M4901" s="17"/>
      <c r="N4901" s="17"/>
      <c r="O4901" s="17"/>
      <c r="P4901" s="17"/>
      <c r="Q4901" s="17"/>
      <c r="R4901" s="17"/>
      <c r="S4901" s="17"/>
      <c r="T4901" s="17"/>
      <c r="U4901" s="17"/>
      <c r="V4901" s="18">
        <v>0</v>
      </c>
      <c r="W4901" s="17">
        <f t="shared" si="144"/>
        <v>0</v>
      </c>
    </row>
    <row r="4902" spans="1:23" x14ac:dyDescent="0.25">
      <c r="A4902" s="17"/>
      <c r="B4902" s="17"/>
      <c r="C4902" s="17"/>
      <c r="D4902" s="17"/>
      <c r="E4902" s="17"/>
      <c r="F4902" s="17"/>
      <c r="G4902" s="17"/>
      <c r="H4902" s="17"/>
      <c r="I4902" s="17"/>
      <c r="J4902" s="17"/>
      <c r="K4902" s="17"/>
      <c r="L4902" s="17"/>
      <c r="M4902" s="17"/>
      <c r="N4902" s="17"/>
      <c r="O4902" s="17"/>
      <c r="P4902" s="17"/>
      <c r="Q4902" s="17"/>
      <c r="R4902" s="17"/>
      <c r="S4902" s="17"/>
      <c r="T4902" s="17"/>
      <c r="U4902" s="17"/>
      <c r="V4902" s="18">
        <v>0</v>
      </c>
      <c r="W4902" s="17">
        <f t="shared" si="144"/>
        <v>0</v>
      </c>
    </row>
    <row r="4903" spans="1:23" x14ac:dyDescent="0.25">
      <c r="A4903" s="17"/>
      <c r="B4903" s="17"/>
      <c r="C4903" s="17"/>
      <c r="D4903" s="17"/>
      <c r="E4903" s="17"/>
      <c r="F4903" s="17"/>
      <c r="G4903" s="17"/>
      <c r="H4903" s="17"/>
      <c r="I4903" s="17"/>
      <c r="J4903" s="17"/>
      <c r="K4903" s="17"/>
      <c r="L4903" s="17"/>
      <c r="M4903" s="17"/>
      <c r="N4903" s="17"/>
      <c r="O4903" s="17"/>
      <c r="P4903" s="17"/>
      <c r="Q4903" s="17"/>
      <c r="R4903" s="17"/>
      <c r="S4903" s="17"/>
      <c r="T4903" s="17"/>
      <c r="U4903" s="17"/>
      <c r="V4903" s="18">
        <v>0</v>
      </c>
      <c r="W4903" s="17">
        <f t="shared" si="144"/>
        <v>0</v>
      </c>
    </row>
    <row r="4904" spans="1:23" x14ac:dyDescent="0.25">
      <c r="A4904" s="17"/>
      <c r="B4904" s="17"/>
      <c r="C4904" s="17"/>
      <c r="D4904" s="17"/>
      <c r="E4904" s="17"/>
      <c r="F4904" s="17"/>
      <c r="G4904" s="17"/>
      <c r="H4904" s="17"/>
      <c r="I4904" s="17"/>
      <c r="J4904" s="17"/>
      <c r="K4904" s="17"/>
      <c r="L4904" s="17"/>
      <c r="M4904" s="17"/>
      <c r="N4904" s="17"/>
      <c r="O4904" s="17"/>
      <c r="P4904" s="17"/>
      <c r="Q4904" s="17"/>
      <c r="R4904" s="17"/>
      <c r="S4904" s="17"/>
      <c r="T4904" s="17"/>
      <c r="U4904" s="17"/>
      <c r="V4904" s="18">
        <v>0</v>
      </c>
      <c r="W4904" s="17">
        <f t="shared" si="144"/>
        <v>0</v>
      </c>
    </row>
    <row r="4905" spans="1:23" x14ac:dyDescent="0.25">
      <c r="A4905" s="17"/>
      <c r="B4905" s="17"/>
      <c r="C4905" s="17"/>
      <c r="D4905" s="17"/>
      <c r="E4905" s="17"/>
      <c r="F4905" s="17"/>
      <c r="G4905" s="17"/>
      <c r="H4905" s="17"/>
      <c r="I4905" s="17"/>
      <c r="J4905" s="17"/>
      <c r="K4905" s="17"/>
      <c r="L4905" s="17"/>
      <c r="M4905" s="17"/>
      <c r="N4905" s="17"/>
      <c r="O4905" s="17"/>
      <c r="P4905" s="17"/>
      <c r="Q4905" s="17"/>
      <c r="R4905" s="17"/>
      <c r="S4905" s="17"/>
      <c r="T4905" s="17"/>
      <c r="U4905" s="17"/>
      <c r="V4905" s="18">
        <v>0</v>
      </c>
      <c r="W4905" s="17">
        <f t="shared" si="144"/>
        <v>0</v>
      </c>
    </row>
    <row r="4906" spans="1:23" x14ac:dyDescent="0.25">
      <c r="A4906" s="17"/>
      <c r="B4906" s="17"/>
      <c r="C4906" s="17"/>
      <c r="D4906" s="17"/>
      <c r="E4906" s="17"/>
      <c r="F4906" s="17"/>
      <c r="G4906" s="17"/>
      <c r="H4906" s="17"/>
      <c r="I4906" s="17"/>
      <c r="J4906" s="17"/>
      <c r="K4906" s="17"/>
      <c r="L4906" s="17"/>
      <c r="M4906" s="17"/>
      <c r="N4906" s="17"/>
      <c r="O4906" s="17"/>
      <c r="P4906" s="17"/>
      <c r="Q4906" s="17"/>
      <c r="R4906" s="17"/>
      <c r="S4906" s="17"/>
      <c r="T4906" s="17"/>
      <c r="U4906" s="17"/>
      <c r="V4906" s="18">
        <v>0</v>
      </c>
      <c r="W4906" s="17">
        <f t="shared" si="144"/>
        <v>0</v>
      </c>
    </row>
    <row r="4907" spans="1:23" x14ac:dyDescent="0.25">
      <c r="A4907" s="17"/>
      <c r="B4907" s="17"/>
      <c r="C4907" s="17"/>
      <c r="D4907" s="17"/>
      <c r="E4907" s="17"/>
      <c r="F4907" s="17"/>
      <c r="G4907" s="17"/>
      <c r="H4907" s="17"/>
      <c r="I4907" s="17"/>
      <c r="J4907" s="17"/>
      <c r="K4907" s="17"/>
      <c r="L4907" s="17"/>
      <c r="M4907" s="17"/>
      <c r="N4907" s="17"/>
      <c r="O4907" s="17"/>
      <c r="P4907" s="17"/>
      <c r="Q4907" s="17"/>
      <c r="R4907" s="17"/>
      <c r="S4907" s="17"/>
      <c r="T4907" s="17"/>
      <c r="U4907" s="17"/>
      <c r="V4907" s="18">
        <v>0</v>
      </c>
      <c r="W4907" s="17">
        <f t="shared" si="144"/>
        <v>0</v>
      </c>
    </row>
    <row r="4908" spans="1:23" x14ac:dyDescent="0.25">
      <c r="A4908" s="17"/>
      <c r="B4908" s="17"/>
      <c r="C4908" s="17"/>
      <c r="D4908" s="17"/>
      <c r="E4908" s="17"/>
      <c r="F4908" s="17"/>
      <c r="G4908" s="17"/>
      <c r="H4908" s="17"/>
      <c r="I4908" s="17"/>
      <c r="J4908" s="17"/>
      <c r="K4908" s="17"/>
      <c r="L4908" s="17"/>
      <c r="M4908" s="17"/>
      <c r="N4908" s="17"/>
      <c r="O4908" s="17"/>
      <c r="P4908" s="17"/>
      <c r="Q4908" s="17"/>
      <c r="R4908" s="17"/>
      <c r="S4908" s="17"/>
      <c r="T4908" s="17"/>
      <c r="U4908" s="17"/>
      <c r="V4908" s="18">
        <v>0</v>
      </c>
      <c r="W4908" s="17">
        <f t="shared" si="144"/>
        <v>0</v>
      </c>
    </row>
    <row r="4909" spans="1:23" x14ac:dyDescent="0.25">
      <c r="A4909" s="17"/>
      <c r="B4909" s="17"/>
      <c r="C4909" s="17"/>
      <c r="D4909" s="17"/>
      <c r="E4909" s="17"/>
      <c r="F4909" s="17"/>
      <c r="G4909" s="17"/>
      <c r="H4909" s="17"/>
      <c r="I4909" s="17"/>
      <c r="J4909" s="17"/>
      <c r="K4909" s="17"/>
      <c r="L4909" s="17"/>
      <c r="M4909" s="17"/>
      <c r="N4909" s="17"/>
      <c r="O4909" s="17"/>
      <c r="P4909" s="17"/>
      <c r="Q4909" s="17"/>
      <c r="R4909" s="17"/>
      <c r="S4909" s="17"/>
      <c r="T4909" s="17"/>
      <c r="U4909" s="17"/>
      <c r="V4909" s="18">
        <v>0</v>
      </c>
      <c r="W4909" s="17">
        <f t="shared" si="144"/>
        <v>0</v>
      </c>
    </row>
    <row r="4910" spans="1:23" x14ac:dyDescent="0.25">
      <c r="A4910" s="17"/>
      <c r="B4910" s="17"/>
      <c r="C4910" s="17"/>
      <c r="D4910" s="17"/>
      <c r="E4910" s="17"/>
      <c r="F4910" s="17"/>
      <c r="G4910" s="17"/>
      <c r="H4910" s="17"/>
      <c r="I4910" s="17"/>
      <c r="J4910" s="17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8">
        <v>0</v>
      </c>
      <c r="W4910" s="17">
        <f t="shared" si="144"/>
        <v>0</v>
      </c>
    </row>
    <row r="4911" spans="1:23" x14ac:dyDescent="0.25">
      <c r="A4911" s="17"/>
      <c r="B4911" s="17"/>
      <c r="C4911" s="17"/>
      <c r="D4911" s="17"/>
      <c r="E4911" s="17"/>
      <c r="F4911" s="17"/>
      <c r="G4911" s="17"/>
      <c r="H4911" s="17"/>
      <c r="I4911" s="17"/>
      <c r="J4911" s="17"/>
      <c r="K4911" s="17"/>
      <c r="L4911" s="17"/>
      <c r="M4911" s="17"/>
      <c r="N4911" s="17"/>
      <c r="O4911" s="17"/>
      <c r="P4911" s="17"/>
      <c r="Q4911" s="17"/>
      <c r="R4911" s="17"/>
      <c r="S4911" s="17"/>
      <c r="T4911" s="17"/>
      <c r="U4911" s="17"/>
      <c r="V4911" s="18">
        <v>0</v>
      </c>
      <c r="W4911" s="17">
        <f t="shared" si="144"/>
        <v>0</v>
      </c>
    </row>
    <row r="4912" spans="1:23" x14ac:dyDescent="0.25">
      <c r="A4912" s="17"/>
      <c r="B4912" s="17"/>
      <c r="C4912" s="17"/>
      <c r="D4912" s="17"/>
      <c r="E4912" s="17"/>
      <c r="F4912" s="17"/>
      <c r="G4912" s="17"/>
      <c r="H4912" s="17"/>
      <c r="I4912" s="17"/>
      <c r="J4912" s="17"/>
      <c r="K4912" s="17"/>
      <c r="L4912" s="17"/>
      <c r="M4912" s="17"/>
      <c r="N4912" s="17"/>
      <c r="O4912" s="17"/>
      <c r="P4912" s="17"/>
      <c r="Q4912" s="17"/>
      <c r="R4912" s="17"/>
      <c r="S4912" s="17"/>
      <c r="T4912" s="17"/>
      <c r="U4912" s="17"/>
      <c r="V4912" s="18">
        <v>0</v>
      </c>
      <c r="W4912" s="17">
        <f t="shared" si="144"/>
        <v>0</v>
      </c>
    </row>
    <row r="4913" spans="1:23" x14ac:dyDescent="0.25">
      <c r="A4913" s="17"/>
      <c r="B4913" s="17"/>
      <c r="C4913" s="17"/>
      <c r="D4913" s="17"/>
      <c r="E4913" s="17"/>
      <c r="F4913" s="17"/>
      <c r="G4913" s="17"/>
      <c r="H4913" s="17"/>
      <c r="I4913" s="17"/>
      <c r="J4913" s="17"/>
      <c r="K4913" s="17"/>
      <c r="L4913" s="17"/>
      <c r="M4913" s="17"/>
      <c r="N4913" s="17"/>
      <c r="O4913" s="17"/>
      <c r="P4913" s="17"/>
      <c r="Q4913" s="17"/>
      <c r="R4913" s="17"/>
      <c r="S4913" s="17"/>
      <c r="T4913" s="17"/>
      <c r="U4913" s="17"/>
      <c r="V4913" s="18">
        <v>0</v>
      </c>
      <c r="W4913" s="17">
        <f t="shared" si="144"/>
        <v>0</v>
      </c>
    </row>
    <row r="4914" spans="1:23" x14ac:dyDescent="0.25">
      <c r="A4914" s="17"/>
      <c r="B4914" s="17"/>
      <c r="C4914" s="17"/>
      <c r="D4914" s="17"/>
      <c r="E4914" s="17"/>
      <c r="F4914" s="17"/>
      <c r="G4914" s="17"/>
      <c r="H4914" s="17"/>
      <c r="I4914" s="17"/>
      <c r="J4914" s="17"/>
      <c r="K4914" s="17"/>
      <c r="L4914" s="17"/>
      <c r="M4914" s="17"/>
      <c r="N4914" s="17"/>
      <c r="O4914" s="17"/>
      <c r="P4914" s="17"/>
      <c r="Q4914" s="17"/>
      <c r="R4914" s="17"/>
      <c r="S4914" s="17"/>
      <c r="T4914" s="17"/>
      <c r="U4914" s="17"/>
      <c r="V4914" s="18">
        <v>0</v>
      </c>
      <c r="W4914" s="17">
        <f t="shared" si="144"/>
        <v>0</v>
      </c>
    </row>
    <row r="4915" spans="1:23" x14ac:dyDescent="0.25">
      <c r="A4915" s="17"/>
      <c r="B4915" s="17"/>
      <c r="C4915" s="17"/>
      <c r="D4915" s="17"/>
      <c r="E4915" s="17"/>
      <c r="F4915" s="17"/>
      <c r="G4915" s="17"/>
      <c r="H4915" s="17"/>
      <c r="I4915" s="17"/>
      <c r="J4915" s="17"/>
      <c r="K4915" s="17"/>
      <c r="L4915" s="17"/>
      <c r="M4915" s="17"/>
      <c r="N4915" s="17"/>
      <c r="O4915" s="17"/>
      <c r="P4915" s="17"/>
      <c r="Q4915" s="17"/>
      <c r="R4915" s="17"/>
      <c r="S4915" s="17"/>
      <c r="T4915" s="17"/>
      <c r="U4915" s="17"/>
      <c r="V4915" s="18">
        <v>0</v>
      </c>
      <c r="W4915" s="17">
        <f t="shared" si="144"/>
        <v>0</v>
      </c>
    </row>
    <row r="4916" spans="1:23" x14ac:dyDescent="0.25">
      <c r="A4916" s="17"/>
      <c r="B4916" s="17"/>
      <c r="C4916" s="17"/>
      <c r="D4916" s="17"/>
      <c r="E4916" s="17"/>
      <c r="F4916" s="17"/>
      <c r="G4916" s="17"/>
      <c r="H4916" s="17"/>
      <c r="I4916" s="17"/>
      <c r="J4916" s="17"/>
      <c r="K4916" s="17"/>
      <c r="L4916" s="17"/>
      <c r="M4916" s="17"/>
      <c r="N4916" s="17"/>
      <c r="O4916" s="17"/>
      <c r="P4916" s="17"/>
      <c r="Q4916" s="17"/>
      <c r="R4916" s="17"/>
      <c r="S4916" s="17"/>
      <c r="T4916" s="17"/>
      <c r="U4916" s="17"/>
      <c r="V4916" s="18">
        <v>0</v>
      </c>
      <c r="W4916" s="17">
        <f t="shared" si="144"/>
        <v>0</v>
      </c>
    </row>
    <row r="4917" spans="1:23" x14ac:dyDescent="0.25">
      <c r="A4917" s="17"/>
      <c r="B4917" s="17"/>
      <c r="C4917" s="17"/>
      <c r="D4917" s="17"/>
      <c r="E4917" s="17"/>
      <c r="F4917" s="17"/>
      <c r="G4917" s="17"/>
      <c r="H4917" s="17"/>
      <c r="I4917" s="17"/>
      <c r="J4917" s="17"/>
      <c r="K4917" s="17"/>
      <c r="L4917" s="17"/>
      <c r="M4917" s="17"/>
      <c r="N4917" s="17"/>
      <c r="O4917" s="17"/>
      <c r="P4917" s="17"/>
      <c r="Q4917" s="17"/>
      <c r="R4917" s="17"/>
      <c r="S4917" s="17"/>
      <c r="T4917" s="17"/>
      <c r="U4917" s="17"/>
      <c r="V4917" s="18">
        <v>0</v>
      </c>
      <c r="W4917" s="17">
        <f t="shared" si="144"/>
        <v>0</v>
      </c>
    </row>
    <row r="4918" spans="1:23" x14ac:dyDescent="0.25">
      <c r="A4918" s="17"/>
      <c r="B4918" s="17"/>
      <c r="C4918" s="17"/>
      <c r="D4918" s="17"/>
      <c r="E4918" s="17"/>
      <c r="F4918" s="17"/>
      <c r="G4918" s="17"/>
      <c r="H4918" s="17"/>
      <c r="I4918" s="17"/>
      <c r="J4918" s="17"/>
      <c r="K4918" s="17"/>
      <c r="L4918" s="17"/>
      <c r="M4918" s="17"/>
      <c r="N4918" s="17"/>
      <c r="O4918" s="17"/>
      <c r="P4918" s="17"/>
      <c r="Q4918" s="17"/>
      <c r="R4918" s="17"/>
      <c r="S4918" s="17"/>
      <c r="T4918" s="17"/>
      <c r="U4918" s="17"/>
      <c r="V4918" s="18">
        <v>0</v>
      </c>
      <c r="W4918" s="17">
        <f t="shared" si="144"/>
        <v>0</v>
      </c>
    </row>
    <row r="4919" spans="1:23" x14ac:dyDescent="0.25">
      <c r="A4919" s="17"/>
      <c r="B4919" s="17"/>
      <c r="C4919" s="17"/>
      <c r="D4919" s="17"/>
      <c r="E4919" s="17"/>
      <c r="F4919" s="17"/>
      <c r="G4919" s="17"/>
      <c r="H4919" s="17"/>
      <c r="I4919" s="17"/>
      <c r="J4919" s="17"/>
      <c r="K4919" s="17"/>
      <c r="L4919" s="17"/>
      <c r="M4919" s="17"/>
      <c r="N4919" s="17"/>
      <c r="O4919" s="17"/>
      <c r="P4919" s="17"/>
      <c r="Q4919" s="17"/>
      <c r="R4919" s="17"/>
      <c r="S4919" s="17"/>
      <c r="T4919" s="17"/>
      <c r="U4919" s="17"/>
      <c r="V4919" s="18">
        <v>0</v>
      </c>
      <c r="W4919" s="17">
        <f t="shared" si="144"/>
        <v>0</v>
      </c>
    </row>
    <row r="4920" spans="1:23" x14ac:dyDescent="0.25">
      <c r="A4920" s="17"/>
      <c r="B4920" s="17"/>
      <c r="C4920" s="17"/>
      <c r="D4920" s="17"/>
      <c r="E4920" s="17"/>
      <c r="F4920" s="17"/>
      <c r="G4920" s="17"/>
      <c r="H4920" s="17"/>
      <c r="I4920" s="17"/>
      <c r="J4920" s="17"/>
      <c r="K4920" s="17"/>
      <c r="L4920" s="17"/>
      <c r="M4920" s="17"/>
      <c r="N4920" s="17"/>
      <c r="O4920" s="17"/>
      <c r="P4920" s="17"/>
      <c r="Q4920" s="17"/>
      <c r="R4920" s="17"/>
      <c r="S4920" s="17"/>
      <c r="T4920" s="17"/>
      <c r="U4920" s="17"/>
      <c r="V4920" s="18">
        <v>0</v>
      </c>
      <c r="W4920" s="17">
        <f t="shared" si="144"/>
        <v>0</v>
      </c>
    </row>
    <row r="4921" spans="1:23" x14ac:dyDescent="0.25">
      <c r="A4921" s="17"/>
      <c r="B4921" s="17"/>
      <c r="C4921" s="17"/>
      <c r="D4921" s="17"/>
      <c r="E4921" s="17"/>
      <c r="F4921" s="17"/>
      <c r="G4921" s="17"/>
      <c r="H4921" s="17"/>
      <c r="I4921" s="17"/>
      <c r="J4921" s="17"/>
      <c r="K4921" s="17"/>
      <c r="L4921" s="17"/>
      <c r="M4921" s="17"/>
      <c r="N4921" s="17"/>
      <c r="O4921" s="17"/>
      <c r="P4921" s="17"/>
      <c r="Q4921" s="17"/>
      <c r="R4921" s="17"/>
      <c r="S4921" s="17"/>
      <c r="T4921" s="17"/>
      <c r="U4921" s="17"/>
      <c r="V4921" s="18">
        <v>0</v>
      </c>
      <c r="W4921" s="17">
        <f t="shared" si="144"/>
        <v>0</v>
      </c>
    </row>
    <row r="4922" spans="1:23" x14ac:dyDescent="0.25">
      <c r="A4922" s="17"/>
      <c r="B4922" s="17"/>
      <c r="C4922" s="17"/>
      <c r="D4922" s="17"/>
      <c r="E4922" s="17"/>
      <c r="F4922" s="17"/>
      <c r="G4922" s="17"/>
      <c r="H4922" s="17"/>
      <c r="I4922" s="17"/>
      <c r="J4922" s="17"/>
      <c r="K4922" s="17"/>
      <c r="L4922" s="17"/>
      <c r="M4922" s="17"/>
      <c r="N4922" s="17"/>
      <c r="O4922" s="17"/>
      <c r="P4922" s="17"/>
      <c r="Q4922" s="17"/>
      <c r="R4922" s="17"/>
      <c r="S4922" s="17"/>
      <c r="T4922" s="17"/>
      <c r="U4922" s="17"/>
      <c r="V4922" s="18">
        <v>0</v>
      </c>
      <c r="W4922" s="17">
        <f t="shared" si="144"/>
        <v>0</v>
      </c>
    </row>
    <row r="4923" spans="1:23" x14ac:dyDescent="0.25">
      <c r="A4923" s="17"/>
      <c r="B4923" s="17"/>
      <c r="C4923" s="17"/>
      <c r="D4923" s="17"/>
      <c r="E4923" s="17"/>
      <c r="F4923" s="17"/>
      <c r="G4923" s="17"/>
      <c r="H4923" s="17"/>
      <c r="I4923" s="17"/>
      <c r="J4923" s="17"/>
      <c r="K4923" s="17"/>
      <c r="L4923" s="17"/>
      <c r="M4923" s="17"/>
      <c r="N4923" s="17"/>
      <c r="O4923" s="17"/>
      <c r="P4923" s="17"/>
      <c r="Q4923" s="17"/>
      <c r="R4923" s="17"/>
      <c r="S4923" s="17"/>
      <c r="T4923" s="17"/>
      <c r="U4923" s="17"/>
      <c r="V4923" s="18">
        <v>0</v>
      </c>
      <c r="W4923" s="17">
        <f t="shared" si="144"/>
        <v>0</v>
      </c>
    </row>
    <row r="4924" spans="1:23" x14ac:dyDescent="0.25">
      <c r="A4924" s="17"/>
      <c r="B4924" s="17"/>
      <c r="C4924" s="17"/>
      <c r="D4924" s="17"/>
      <c r="E4924" s="17"/>
      <c r="F4924" s="17"/>
      <c r="G4924" s="17"/>
      <c r="H4924" s="17"/>
      <c r="I4924" s="17"/>
      <c r="J4924" s="17"/>
      <c r="K4924" s="17"/>
      <c r="L4924" s="17"/>
      <c r="M4924" s="17"/>
      <c r="N4924" s="17"/>
      <c r="O4924" s="17"/>
      <c r="P4924" s="17"/>
      <c r="Q4924" s="17"/>
      <c r="R4924" s="17"/>
      <c r="S4924" s="17"/>
      <c r="T4924" s="17"/>
      <c r="U4924" s="17"/>
      <c r="V4924" s="18">
        <v>0</v>
      </c>
      <c r="W4924" s="17">
        <f t="shared" si="144"/>
        <v>0</v>
      </c>
    </row>
    <row r="4925" spans="1:23" x14ac:dyDescent="0.25">
      <c r="A4925" s="17"/>
      <c r="B4925" s="17"/>
      <c r="C4925" s="17"/>
      <c r="D4925" s="17"/>
      <c r="E4925" s="17"/>
      <c r="F4925" s="17"/>
      <c r="G4925" s="17"/>
      <c r="H4925" s="17"/>
      <c r="I4925" s="17"/>
      <c r="J4925" s="17"/>
      <c r="K4925" s="17"/>
      <c r="L4925" s="17"/>
      <c r="M4925" s="17"/>
      <c r="N4925" s="17"/>
      <c r="O4925" s="17"/>
      <c r="P4925" s="17"/>
      <c r="Q4925" s="17"/>
      <c r="R4925" s="17"/>
      <c r="S4925" s="17"/>
      <c r="T4925" s="17"/>
      <c r="U4925" s="17"/>
      <c r="V4925" s="18">
        <v>0</v>
      </c>
      <c r="W4925" s="17">
        <f t="shared" si="144"/>
        <v>0</v>
      </c>
    </row>
    <row r="4926" spans="1:23" x14ac:dyDescent="0.25">
      <c r="A4926" s="17"/>
      <c r="B4926" s="17"/>
      <c r="C4926" s="17"/>
      <c r="D4926" s="17"/>
      <c r="E4926" s="17"/>
      <c r="F4926" s="17"/>
      <c r="G4926" s="17"/>
      <c r="H4926" s="17"/>
      <c r="I4926" s="17"/>
      <c r="J4926" s="17"/>
      <c r="K4926" s="17"/>
      <c r="L4926" s="17"/>
      <c r="M4926" s="17"/>
      <c r="N4926" s="17"/>
      <c r="O4926" s="17"/>
      <c r="P4926" s="17"/>
      <c r="Q4926" s="17"/>
      <c r="R4926" s="17"/>
      <c r="S4926" s="17"/>
      <c r="T4926" s="17"/>
      <c r="U4926" s="17"/>
      <c r="V4926" s="18">
        <v>0</v>
      </c>
      <c r="W4926" s="17">
        <f t="shared" si="144"/>
        <v>0</v>
      </c>
    </row>
    <row r="4927" spans="1:23" x14ac:dyDescent="0.25">
      <c r="A4927" s="17"/>
      <c r="B4927" s="17"/>
      <c r="C4927" s="17"/>
      <c r="D4927" s="17"/>
      <c r="E4927" s="17"/>
      <c r="F4927" s="17"/>
      <c r="G4927" s="17"/>
      <c r="H4927" s="17"/>
      <c r="I4927" s="17"/>
      <c r="J4927" s="17"/>
      <c r="K4927" s="17"/>
      <c r="L4927" s="17"/>
      <c r="M4927" s="17"/>
      <c r="N4927" s="17"/>
      <c r="O4927" s="17"/>
      <c r="P4927" s="17"/>
      <c r="Q4927" s="17"/>
      <c r="R4927" s="17"/>
      <c r="S4927" s="17"/>
      <c r="T4927" s="17"/>
      <c r="U4927" s="17"/>
      <c r="V4927" s="18">
        <v>0</v>
      </c>
      <c r="W4927" s="17">
        <f t="shared" si="144"/>
        <v>0</v>
      </c>
    </row>
    <row r="4928" spans="1:23" x14ac:dyDescent="0.25">
      <c r="A4928" s="17"/>
      <c r="B4928" s="17"/>
      <c r="C4928" s="17"/>
      <c r="D4928" s="17"/>
      <c r="E4928" s="17"/>
      <c r="F4928" s="17"/>
      <c r="G4928" s="17"/>
      <c r="H4928" s="17"/>
      <c r="I4928" s="17"/>
      <c r="J4928" s="17"/>
      <c r="K4928" s="17"/>
      <c r="L4928" s="17"/>
      <c r="M4928" s="17"/>
      <c r="N4928" s="17"/>
      <c r="O4928" s="17"/>
      <c r="P4928" s="17"/>
      <c r="Q4928" s="17"/>
      <c r="R4928" s="17"/>
      <c r="S4928" s="17"/>
      <c r="T4928" s="17"/>
      <c r="U4928" s="17"/>
      <c r="V4928" s="18">
        <v>0</v>
      </c>
      <c r="W4928" s="17">
        <f t="shared" si="144"/>
        <v>0</v>
      </c>
    </row>
    <row r="4929" spans="1:23" x14ac:dyDescent="0.25">
      <c r="A4929" s="17"/>
      <c r="B4929" s="17"/>
      <c r="C4929" s="17"/>
      <c r="D4929" s="17"/>
      <c r="E4929" s="17"/>
      <c r="F4929" s="17"/>
      <c r="G4929" s="17"/>
      <c r="H4929" s="17"/>
      <c r="I4929" s="17"/>
      <c r="J4929" s="17"/>
      <c r="K4929" s="17"/>
      <c r="L4929" s="17"/>
      <c r="M4929" s="17"/>
      <c r="N4929" s="17"/>
      <c r="O4929" s="17"/>
      <c r="P4929" s="17"/>
      <c r="Q4929" s="17"/>
      <c r="R4929" s="17"/>
      <c r="S4929" s="17"/>
      <c r="T4929" s="17"/>
      <c r="U4929" s="17"/>
      <c r="V4929" s="18">
        <v>0</v>
      </c>
      <c r="W4929" s="17">
        <f t="shared" si="144"/>
        <v>0</v>
      </c>
    </row>
    <row r="4930" spans="1:23" x14ac:dyDescent="0.25">
      <c r="A4930" s="17"/>
      <c r="B4930" s="17"/>
      <c r="C4930" s="17"/>
      <c r="D4930" s="17"/>
      <c r="E4930" s="17"/>
      <c r="F4930" s="17"/>
      <c r="G4930" s="17"/>
      <c r="H4930" s="17"/>
      <c r="I4930" s="17"/>
      <c r="J4930" s="17"/>
      <c r="K4930" s="17"/>
      <c r="L4930" s="17"/>
      <c r="M4930" s="17"/>
      <c r="N4930" s="17"/>
      <c r="O4930" s="17"/>
      <c r="P4930" s="17"/>
      <c r="Q4930" s="17"/>
      <c r="R4930" s="17"/>
      <c r="S4930" s="17"/>
      <c r="T4930" s="17"/>
      <c r="U4930" s="17"/>
      <c r="V4930" s="18">
        <v>0</v>
      </c>
      <c r="W4930" s="17">
        <f t="shared" si="144"/>
        <v>0</v>
      </c>
    </row>
    <row r="4931" spans="1:23" x14ac:dyDescent="0.25">
      <c r="A4931" s="17"/>
      <c r="B4931" s="17"/>
      <c r="C4931" s="17"/>
      <c r="D4931" s="17"/>
      <c r="E4931" s="17"/>
      <c r="F4931" s="17"/>
      <c r="G4931" s="17"/>
      <c r="H4931" s="17"/>
      <c r="I4931" s="17"/>
      <c r="J4931" s="17"/>
      <c r="K4931" s="17"/>
      <c r="L4931" s="17"/>
      <c r="M4931" s="17"/>
      <c r="N4931" s="17"/>
      <c r="O4931" s="17"/>
      <c r="P4931" s="17"/>
      <c r="Q4931" s="17"/>
      <c r="R4931" s="17"/>
      <c r="S4931" s="17"/>
      <c r="T4931" s="17"/>
      <c r="U4931" s="17"/>
      <c r="V4931" s="18">
        <v>0</v>
      </c>
      <c r="W4931" s="17">
        <f t="shared" ref="W4931:W4994" si="145">HOUR(E4931)</f>
        <v>0</v>
      </c>
    </row>
    <row r="4932" spans="1:23" x14ac:dyDescent="0.25">
      <c r="A4932" s="17"/>
      <c r="B4932" s="17"/>
      <c r="C4932" s="17"/>
      <c r="D4932" s="17"/>
      <c r="E4932" s="17"/>
      <c r="F4932" s="17"/>
      <c r="G4932" s="17"/>
      <c r="H4932" s="17"/>
      <c r="I4932" s="17"/>
      <c r="J4932" s="17"/>
      <c r="K4932" s="17"/>
      <c r="L4932" s="17"/>
      <c r="M4932" s="17"/>
      <c r="N4932" s="17"/>
      <c r="O4932" s="17"/>
      <c r="P4932" s="17"/>
      <c r="Q4932" s="17"/>
      <c r="R4932" s="17"/>
      <c r="S4932" s="17"/>
      <c r="T4932" s="17"/>
      <c r="U4932" s="17"/>
      <c r="V4932" s="18">
        <v>0</v>
      </c>
      <c r="W4932" s="17">
        <f t="shared" si="145"/>
        <v>0</v>
      </c>
    </row>
    <row r="4933" spans="1:23" x14ac:dyDescent="0.25">
      <c r="A4933" s="17"/>
      <c r="B4933" s="17"/>
      <c r="C4933" s="17"/>
      <c r="D4933" s="17"/>
      <c r="E4933" s="17"/>
      <c r="F4933" s="17"/>
      <c r="G4933" s="17"/>
      <c r="H4933" s="17"/>
      <c r="I4933" s="17"/>
      <c r="J4933" s="17"/>
      <c r="K4933" s="17"/>
      <c r="L4933" s="17"/>
      <c r="M4933" s="17"/>
      <c r="N4933" s="17"/>
      <c r="O4933" s="17"/>
      <c r="P4933" s="17"/>
      <c r="Q4933" s="17"/>
      <c r="R4933" s="17"/>
      <c r="S4933" s="17"/>
      <c r="T4933" s="17"/>
      <c r="U4933" s="17"/>
      <c r="V4933" s="18">
        <v>0</v>
      </c>
      <c r="W4933" s="17">
        <f t="shared" si="145"/>
        <v>0</v>
      </c>
    </row>
    <row r="4934" spans="1:23" x14ac:dyDescent="0.25">
      <c r="A4934" s="17"/>
      <c r="B4934" s="17"/>
      <c r="C4934" s="17"/>
      <c r="D4934" s="17"/>
      <c r="E4934" s="17"/>
      <c r="F4934" s="17"/>
      <c r="G4934" s="17"/>
      <c r="H4934" s="17"/>
      <c r="I4934" s="17"/>
      <c r="J4934" s="17"/>
      <c r="K4934" s="17"/>
      <c r="L4934" s="17"/>
      <c r="M4934" s="17"/>
      <c r="N4934" s="17"/>
      <c r="O4934" s="17"/>
      <c r="P4934" s="17"/>
      <c r="Q4934" s="17"/>
      <c r="R4934" s="17"/>
      <c r="S4934" s="17"/>
      <c r="T4934" s="17"/>
      <c r="U4934" s="17"/>
      <c r="V4934" s="18">
        <v>0</v>
      </c>
      <c r="W4934" s="17">
        <f t="shared" si="145"/>
        <v>0</v>
      </c>
    </row>
    <row r="4935" spans="1:23" x14ac:dyDescent="0.25">
      <c r="A4935" s="17"/>
      <c r="B4935" s="17"/>
      <c r="C4935" s="17"/>
      <c r="D4935" s="17"/>
      <c r="E4935" s="17"/>
      <c r="F4935" s="17"/>
      <c r="G4935" s="17"/>
      <c r="H4935" s="17"/>
      <c r="I4935" s="17"/>
      <c r="J4935" s="17"/>
      <c r="K4935" s="17"/>
      <c r="L4935" s="17"/>
      <c r="M4935" s="17"/>
      <c r="N4935" s="17"/>
      <c r="O4935" s="17"/>
      <c r="P4935" s="17"/>
      <c r="Q4935" s="17"/>
      <c r="R4935" s="17"/>
      <c r="S4935" s="17"/>
      <c r="T4935" s="17"/>
      <c r="U4935" s="17"/>
      <c r="V4935" s="18">
        <v>0</v>
      </c>
      <c r="W4935" s="17">
        <f t="shared" si="145"/>
        <v>0</v>
      </c>
    </row>
    <row r="4936" spans="1:23" x14ac:dyDescent="0.25">
      <c r="A4936" s="17"/>
      <c r="B4936" s="17"/>
      <c r="C4936" s="17"/>
      <c r="D4936" s="17"/>
      <c r="E4936" s="17"/>
      <c r="F4936" s="17"/>
      <c r="G4936" s="17"/>
      <c r="H4936" s="17"/>
      <c r="I4936" s="17"/>
      <c r="J4936" s="17"/>
      <c r="K4936" s="17"/>
      <c r="L4936" s="17"/>
      <c r="M4936" s="17"/>
      <c r="N4936" s="17"/>
      <c r="O4936" s="17"/>
      <c r="P4936" s="17"/>
      <c r="Q4936" s="17"/>
      <c r="R4936" s="17"/>
      <c r="S4936" s="17"/>
      <c r="T4936" s="17"/>
      <c r="U4936" s="17"/>
      <c r="V4936" s="18">
        <v>0</v>
      </c>
      <c r="W4936" s="17">
        <f t="shared" si="145"/>
        <v>0</v>
      </c>
    </row>
    <row r="4937" spans="1:23" x14ac:dyDescent="0.25">
      <c r="A4937" s="17"/>
      <c r="B4937" s="17"/>
      <c r="C4937" s="17"/>
      <c r="D4937" s="17"/>
      <c r="E4937" s="17"/>
      <c r="F4937" s="17"/>
      <c r="G4937" s="17"/>
      <c r="H4937" s="17"/>
      <c r="I4937" s="17"/>
      <c r="J4937" s="17"/>
      <c r="K4937" s="17"/>
      <c r="L4937" s="17"/>
      <c r="M4937" s="17"/>
      <c r="N4937" s="17"/>
      <c r="O4937" s="17"/>
      <c r="P4937" s="17"/>
      <c r="Q4937" s="17"/>
      <c r="R4937" s="17"/>
      <c r="S4937" s="17"/>
      <c r="T4937" s="17"/>
      <c r="U4937" s="17"/>
      <c r="V4937" s="18">
        <v>0</v>
      </c>
      <c r="W4937" s="17">
        <f t="shared" si="145"/>
        <v>0</v>
      </c>
    </row>
    <row r="4938" spans="1:23" x14ac:dyDescent="0.25">
      <c r="A4938" s="17"/>
      <c r="B4938" s="17"/>
      <c r="C4938" s="17"/>
      <c r="D4938" s="17"/>
      <c r="E4938" s="17"/>
      <c r="F4938" s="17"/>
      <c r="G4938" s="17"/>
      <c r="H4938" s="17"/>
      <c r="I4938" s="17"/>
      <c r="J4938" s="17"/>
      <c r="K4938" s="17"/>
      <c r="L4938" s="17"/>
      <c r="M4938" s="17"/>
      <c r="N4938" s="17"/>
      <c r="O4938" s="17"/>
      <c r="P4938" s="17"/>
      <c r="Q4938" s="17"/>
      <c r="R4938" s="17"/>
      <c r="S4938" s="17"/>
      <c r="T4938" s="17"/>
      <c r="U4938" s="17"/>
      <c r="V4938" s="18">
        <v>0</v>
      </c>
      <c r="W4938" s="17">
        <f t="shared" si="145"/>
        <v>0</v>
      </c>
    </row>
    <row r="4939" spans="1:23" x14ac:dyDescent="0.25">
      <c r="A4939" s="17"/>
      <c r="B4939" s="17"/>
      <c r="C4939" s="17"/>
      <c r="D4939" s="17"/>
      <c r="E4939" s="17"/>
      <c r="F4939" s="17"/>
      <c r="G4939" s="17"/>
      <c r="H4939" s="17"/>
      <c r="I4939" s="17"/>
      <c r="J4939" s="17"/>
      <c r="K4939" s="17"/>
      <c r="L4939" s="17"/>
      <c r="M4939" s="17"/>
      <c r="N4939" s="17"/>
      <c r="O4939" s="17"/>
      <c r="P4939" s="17"/>
      <c r="Q4939" s="17"/>
      <c r="R4939" s="17"/>
      <c r="S4939" s="17"/>
      <c r="T4939" s="17"/>
      <c r="U4939" s="17"/>
      <c r="V4939" s="18">
        <v>0</v>
      </c>
      <c r="W4939" s="17">
        <f t="shared" si="145"/>
        <v>0</v>
      </c>
    </row>
    <row r="4940" spans="1:23" x14ac:dyDescent="0.25">
      <c r="A4940" s="17"/>
      <c r="B4940" s="17"/>
      <c r="C4940" s="17"/>
      <c r="D4940" s="17"/>
      <c r="E4940" s="17"/>
      <c r="F4940" s="17"/>
      <c r="G4940" s="17"/>
      <c r="H4940" s="17"/>
      <c r="I4940" s="17"/>
      <c r="J4940" s="17"/>
      <c r="K4940" s="17"/>
      <c r="L4940" s="17"/>
      <c r="M4940" s="17"/>
      <c r="N4940" s="17"/>
      <c r="O4940" s="17"/>
      <c r="P4940" s="17"/>
      <c r="Q4940" s="17"/>
      <c r="R4940" s="17"/>
      <c r="S4940" s="17"/>
      <c r="T4940" s="17"/>
      <c r="U4940" s="17"/>
      <c r="V4940" s="18">
        <v>0</v>
      </c>
      <c r="W4940" s="17">
        <f t="shared" si="145"/>
        <v>0</v>
      </c>
    </row>
    <row r="4941" spans="1:23" x14ac:dyDescent="0.25">
      <c r="A4941" s="17"/>
      <c r="B4941" s="17"/>
      <c r="C4941" s="17"/>
      <c r="D4941" s="17"/>
      <c r="E4941" s="17"/>
      <c r="F4941" s="17"/>
      <c r="G4941" s="17"/>
      <c r="H4941" s="17"/>
      <c r="I4941" s="17"/>
      <c r="J4941" s="17"/>
      <c r="K4941" s="17"/>
      <c r="L4941" s="17"/>
      <c r="M4941" s="17"/>
      <c r="N4941" s="17"/>
      <c r="O4941" s="17"/>
      <c r="P4941" s="17"/>
      <c r="Q4941" s="17"/>
      <c r="R4941" s="17"/>
      <c r="S4941" s="17"/>
      <c r="T4941" s="17"/>
      <c r="U4941" s="17"/>
      <c r="V4941" s="18">
        <v>0</v>
      </c>
      <c r="W4941" s="17">
        <f t="shared" si="145"/>
        <v>0</v>
      </c>
    </row>
    <row r="4942" spans="1:23" x14ac:dyDescent="0.25">
      <c r="A4942" s="17"/>
      <c r="B4942" s="17"/>
      <c r="C4942" s="17"/>
      <c r="D4942" s="17"/>
      <c r="E4942" s="17"/>
      <c r="F4942" s="17"/>
      <c r="G4942" s="17"/>
      <c r="H4942" s="17"/>
      <c r="I4942" s="17"/>
      <c r="J4942" s="17"/>
      <c r="K4942" s="17"/>
      <c r="L4942" s="17"/>
      <c r="M4942" s="17"/>
      <c r="N4942" s="17"/>
      <c r="O4942" s="17"/>
      <c r="P4942" s="17"/>
      <c r="Q4942" s="17"/>
      <c r="R4942" s="17"/>
      <c r="S4942" s="17"/>
      <c r="T4942" s="17"/>
      <c r="U4942" s="17"/>
      <c r="V4942" s="18">
        <v>0</v>
      </c>
      <c r="W4942" s="17">
        <f t="shared" si="145"/>
        <v>0</v>
      </c>
    </row>
    <row r="4943" spans="1:23" x14ac:dyDescent="0.25">
      <c r="A4943" s="17"/>
      <c r="B4943" s="17"/>
      <c r="C4943" s="17"/>
      <c r="D4943" s="17"/>
      <c r="E4943" s="17"/>
      <c r="F4943" s="17"/>
      <c r="G4943" s="17"/>
      <c r="H4943" s="17"/>
      <c r="I4943" s="17"/>
      <c r="J4943" s="17"/>
      <c r="K4943" s="17"/>
      <c r="L4943" s="17"/>
      <c r="M4943" s="17"/>
      <c r="N4943" s="17"/>
      <c r="O4943" s="17"/>
      <c r="P4943" s="17"/>
      <c r="Q4943" s="17"/>
      <c r="R4943" s="17"/>
      <c r="S4943" s="17"/>
      <c r="T4943" s="17"/>
      <c r="U4943" s="17"/>
      <c r="V4943" s="18">
        <v>0</v>
      </c>
      <c r="W4943" s="17">
        <f t="shared" si="145"/>
        <v>0</v>
      </c>
    </row>
    <row r="4944" spans="1:23" x14ac:dyDescent="0.25">
      <c r="A4944" s="17"/>
      <c r="B4944" s="17"/>
      <c r="C4944" s="17"/>
      <c r="D4944" s="17"/>
      <c r="E4944" s="17"/>
      <c r="F4944" s="17"/>
      <c r="G4944" s="17"/>
      <c r="H4944" s="17"/>
      <c r="I4944" s="17"/>
      <c r="J4944" s="17"/>
      <c r="K4944" s="17"/>
      <c r="L4944" s="17"/>
      <c r="M4944" s="17"/>
      <c r="N4944" s="17"/>
      <c r="O4944" s="17"/>
      <c r="P4944" s="17"/>
      <c r="Q4944" s="17"/>
      <c r="R4944" s="17"/>
      <c r="S4944" s="17"/>
      <c r="T4944" s="17"/>
      <c r="U4944" s="17"/>
      <c r="V4944" s="18">
        <v>0</v>
      </c>
      <c r="W4944" s="17">
        <f t="shared" si="145"/>
        <v>0</v>
      </c>
    </row>
    <row r="4945" spans="1:23" x14ac:dyDescent="0.25">
      <c r="A4945" s="17"/>
      <c r="B4945" s="17"/>
      <c r="C4945" s="17"/>
      <c r="D4945" s="17"/>
      <c r="E4945" s="17"/>
      <c r="F4945" s="17"/>
      <c r="G4945" s="17"/>
      <c r="H4945" s="17"/>
      <c r="I4945" s="17"/>
      <c r="J4945" s="17"/>
      <c r="K4945" s="17"/>
      <c r="L4945" s="17"/>
      <c r="M4945" s="17"/>
      <c r="N4945" s="17"/>
      <c r="O4945" s="17"/>
      <c r="P4945" s="17"/>
      <c r="Q4945" s="17"/>
      <c r="R4945" s="17"/>
      <c r="S4945" s="17"/>
      <c r="T4945" s="17"/>
      <c r="U4945" s="17"/>
      <c r="V4945" s="18">
        <v>0</v>
      </c>
      <c r="W4945" s="17">
        <f t="shared" si="145"/>
        <v>0</v>
      </c>
    </row>
    <row r="4946" spans="1:23" x14ac:dyDescent="0.25">
      <c r="A4946" s="17"/>
      <c r="B4946" s="17"/>
      <c r="C4946" s="17"/>
      <c r="D4946" s="17"/>
      <c r="E4946" s="17"/>
      <c r="F4946" s="17"/>
      <c r="G4946" s="17"/>
      <c r="H4946" s="17"/>
      <c r="I4946" s="17"/>
      <c r="J4946" s="17"/>
      <c r="K4946" s="17"/>
      <c r="L4946" s="17"/>
      <c r="M4946" s="17"/>
      <c r="N4946" s="17"/>
      <c r="O4946" s="17"/>
      <c r="P4946" s="17"/>
      <c r="Q4946" s="17"/>
      <c r="R4946" s="17"/>
      <c r="S4946" s="17"/>
      <c r="T4946" s="17"/>
      <c r="U4946" s="17"/>
      <c r="V4946" s="18">
        <v>0</v>
      </c>
      <c r="W4946" s="17">
        <f t="shared" si="145"/>
        <v>0</v>
      </c>
    </row>
    <row r="4947" spans="1:23" x14ac:dyDescent="0.25">
      <c r="A4947" s="17"/>
      <c r="B4947" s="17"/>
      <c r="C4947" s="17"/>
      <c r="D4947" s="17"/>
      <c r="E4947" s="17"/>
      <c r="F4947" s="17"/>
      <c r="G4947" s="17"/>
      <c r="H4947" s="17"/>
      <c r="I4947" s="17"/>
      <c r="J4947" s="17"/>
      <c r="K4947" s="17"/>
      <c r="L4947" s="17"/>
      <c r="M4947" s="17"/>
      <c r="N4947" s="17"/>
      <c r="O4947" s="17"/>
      <c r="P4947" s="17"/>
      <c r="Q4947" s="17"/>
      <c r="R4947" s="17"/>
      <c r="S4947" s="17"/>
      <c r="T4947" s="17"/>
      <c r="U4947" s="17"/>
      <c r="V4947" s="18">
        <v>0</v>
      </c>
      <c r="W4947" s="17">
        <f t="shared" si="145"/>
        <v>0</v>
      </c>
    </row>
    <row r="4948" spans="1:23" x14ac:dyDescent="0.25">
      <c r="A4948" s="17"/>
      <c r="B4948" s="17"/>
      <c r="C4948" s="17"/>
      <c r="D4948" s="17"/>
      <c r="E4948" s="17"/>
      <c r="F4948" s="17"/>
      <c r="G4948" s="17"/>
      <c r="H4948" s="17"/>
      <c r="I4948" s="17"/>
      <c r="J4948" s="17"/>
      <c r="K4948" s="17"/>
      <c r="L4948" s="17"/>
      <c r="M4948" s="17"/>
      <c r="N4948" s="17"/>
      <c r="O4948" s="17"/>
      <c r="P4948" s="17"/>
      <c r="Q4948" s="17"/>
      <c r="R4948" s="17"/>
      <c r="S4948" s="17"/>
      <c r="T4948" s="17"/>
      <c r="U4948" s="17"/>
      <c r="V4948" s="18">
        <v>0</v>
      </c>
      <c r="W4948" s="17">
        <f t="shared" si="145"/>
        <v>0</v>
      </c>
    </row>
    <row r="4949" spans="1:23" x14ac:dyDescent="0.25">
      <c r="A4949" s="17"/>
      <c r="B4949" s="17"/>
      <c r="C4949" s="17"/>
      <c r="D4949" s="17"/>
      <c r="E4949" s="17"/>
      <c r="F4949" s="17"/>
      <c r="G4949" s="17"/>
      <c r="H4949" s="17"/>
      <c r="I4949" s="17"/>
      <c r="J4949" s="17"/>
      <c r="K4949" s="17"/>
      <c r="L4949" s="17"/>
      <c r="M4949" s="17"/>
      <c r="N4949" s="17"/>
      <c r="O4949" s="17"/>
      <c r="P4949" s="17"/>
      <c r="Q4949" s="17"/>
      <c r="R4949" s="17"/>
      <c r="S4949" s="17"/>
      <c r="T4949" s="17"/>
      <c r="U4949" s="17"/>
      <c r="V4949" s="18">
        <v>0</v>
      </c>
      <c r="W4949" s="17">
        <f t="shared" si="145"/>
        <v>0</v>
      </c>
    </row>
    <row r="4950" spans="1:23" x14ac:dyDescent="0.25">
      <c r="A4950" s="17"/>
      <c r="B4950" s="17"/>
      <c r="C4950" s="17"/>
      <c r="D4950" s="17"/>
      <c r="E4950" s="17"/>
      <c r="F4950" s="17"/>
      <c r="G4950" s="17"/>
      <c r="H4950" s="17"/>
      <c r="I4950" s="17"/>
      <c r="J4950" s="17"/>
      <c r="K4950" s="17"/>
      <c r="L4950" s="17"/>
      <c r="M4950" s="17"/>
      <c r="N4950" s="17"/>
      <c r="O4950" s="17"/>
      <c r="P4950" s="17"/>
      <c r="Q4950" s="17"/>
      <c r="R4950" s="17"/>
      <c r="S4950" s="17"/>
      <c r="T4950" s="17"/>
      <c r="U4950" s="17"/>
      <c r="V4950" s="18">
        <v>0</v>
      </c>
      <c r="W4950" s="17">
        <f t="shared" si="145"/>
        <v>0</v>
      </c>
    </row>
    <row r="4951" spans="1:23" x14ac:dyDescent="0.25">
      <c r="A4951" s="17"/>
      <c r="B4951" s="17"/>
      <c r="C4951" s="17"/>
      <c r="D4951" s="17"/>
      <c r="E4951" s="17"/>
      <c r="F4951" s="17"/>
      <c r="G4951" s="17"/>
      <c r="H4951" s="17"/>
      <c r="I4951" s="17"/>
      <c r="J4951" s="17"/>
      <c r="K4951" s="17"/>
      <c r="L4951" s="17"/>
      <c r="M4951" s="17"/>
      <c r="N4951" s="17"/>
      <c r="O4951" s="17"/>
      <c r="P4951" s="17"/>
      <c r="Q4951" s="17"/>
      <c r="R4951" s="17"/>
      <c r="S4951" s="17"/>
      <c r="T4951" s="17"/>
      <c r="U4951" s="17"/>
      <c r="V4951" s="18">
        <v>0</v>
      </c>
      <c r="W4951" s="17">
        <f t="shared" si="145"/>
        <v>0</v>
      </c>
    </row>
    <row r="4952" spans="1:23" x14ac:dyDescent="0.25">
      <c r="A4952" s="17"/>
      <c r="B4952" s="17"/>
      <c r="C4952" s="17"/>
      <c r="D4952" s="17"/>
      <c r="E4952" s="17"/>
      <c r="F4952" s="17"/>
      <c r="G4952" s="17"/>
      <c r="H4952" s="17"/>
      <c r="I4952" s="17"/>
      <c r="J4952" s="17"/>
      <c r="K4952" s="17"/>
      <c r="L4952" s="17"/>
      <c r="M4952" s="17"/>
      <c r="N4952" s="17"/>
      <c r="O4952" s="17"/>
      <c r="P4952" s="17"/>
      <c r="Q4952" s="17"/>
      <c r="R4952" s="17"/>
      <c r="S4952" s="17"/>
      <c r="T4952" s="17"/>
      <c r="U4952" s="17"/>
      <c r="V4952" s="18">
        <v>0</v>
      </c>
      <c r="W4952" s="17">
        <f t="shared" si="145"/>
        <v>0</v>
      </c>
    </row>
    <row r="4953" spans="1:23" x14ac:dyDescent="0.25">
      <c r="A4953" s="17"/>
      <c r="B4953" s="17"/>
      <c r="C4953" s="17"/>
      <c r="D4953" s="17"/>
      <c r="E4953" s="17"/>
      <c r="F4953" s="17"/>
      <c r="G4953" s="17"/>
      <c r="H4953" s="17"/>
      <c r="I4953" s="17"/>
      <c r="J4953" s="17"/>
      <c r="K4953" s="17"/>
      <c r="L4953" s="17"/>
      <c r="M4953" s="17"/>
      <c r="N4953" s="17"/>
      <c r="O4953" s="17"/>
      <c r="P4953" s="17"/>
      <c r="Q4953" s="17"/>
      <c r="R4953" s="17"/>
      <c r="S4953" s="17"/>
      <c r="T4953" s="17"/>
      <c r="U4953" s="17"/>
      <c r="V4953" s="18">
        <v>0</v>
      </c>
      <c r="W4953" s="17">
        <f t="shared" si="145"/>
        <v>0</v>
      </c>
    </row>
    <row r="4954" spans="1:23" x14ac:dyDescent="0.25">
      <c r="A4954" s="17"/>
      <c r="B4954" s="17"/>
      <c r="C4954" s="17"/>
      <c r="D4954" s="17"/>
      <c r="E4954" s="17"/>
      <c r="F4954" s="17"/>
      <c r="G4954" s="17"/>
      <c r="H4954" s="17"/>
      <c r="I4954" s="17"/>
      <c r="J4954" s="17"/>
      <c r="K4954" s="17"/>
      <c r="L4954" s="17"/>
      <c r="M4954" s="17"/>
      <c r="N4954" s="17"/>
      <c r="O4954" s="17"/>
      <c r="P4954" s="17"/>
      <c r="Q4954" s="17"/>
      <c r="R4954" s="17"/>
      <c r="S4954" s="17"/>
      <c r="T4954" s="17"/>
      <c r="U4954" s="17"/>
      <c r="V4954" s="18">
        <v>0</v>
      </c>
      <c r="W4954" s="17">
        <f t="shared" si="145"/>
        <v>0</v>
      </c>
    </row>
    <row r="4955" spans="1:23" x14ac:dyDescent="0.25">
      <c r="A4955" s="17"/>
      <c r="B4955" s="17"/>
      <c r="C4955" s="17"/>
      <c r="D4955" s="17"/>
      <c r="E4955" s="17"/>
      <c r="F4955" s="17"/>
      <c r="G4955" s="17"/>
      <c r="H4955" s="17"/>
      <c r="I4955" s="17"/>
      <c r="J4955" s="17"/>
      <c r="K4955" s="17"/>
      <c r="L4955" s="17"/>
      <c r="M4955" s="17"/>
      <c r="N4955" s="17"/>
      <c r="O4955" s="17"/>
      <c r="P4955" s="17"/>
      <c r="Q4955" s="17"/>
      <c r="R4955" s="17"/>
      <c r="S4955" s="17"/>
      <c r="T4955" s="17"/>
      <c r="U4955" s="17"/>
      <c r="V4955" s="18">
        <v>0</v>
      </c>
      <c r="W4955" s="17">
        <f t="shared" si="145"/>
        <v>0</v>
      </c>
    </row>
    <row r="4956" spans="1:23" x14ac:dyDescent="0.25">
      <c r="A4956" s="17"/>
      <c r="B4956" s="17"/>
      <c r="C4956" s="17"/>
      <c r="D4956" s="17"/>
      <c r="E4956" s="17"/>
      <c r="F4956" s="17"/>
      <c r="G4956" s="17"/>
      <c r="H4956" s="17"/>
      <c r="I4956" s="17"/>
      <c r="J4956" s="17"/>
      <c r="K4956" s="17"/>
      <c r="L4956" s="17"/>
      <c r="M4956" s="17"/>
      <c r="N4956" s="17"/>
      <c r="O4956" s="17"/>
      <c r="P4956" s="17"/>
      <c r="Q4956" s="17"/>
      <c r="R4956" s="17"/>
      <c r="S4956" s="17"/>
      <c r="T4956" s="17"/>
      <c r="U4956" s="17"/>
      <c r="V4956" s="18">
        <v>0</v>
      </c>
      <c r="W4956" s="17">
        <f t="shared" si="145"/>
        <v>0</v>
      </c>
    </row>
    <row r="4957" spans="1:23" x14ac:dyDescent="0.25">
      <c r="A4957" s="17"/>
      <c r="B4957" s="17"/>
      <c r="C4957" s="17"/>
      <c r="D4957" s="17"/>
      <c r="E4957" s="17"/>
      <c r="F4957" s="17"/>
      <c r="G4957" s="17"/>
      <c r="H4957" s="17"/>
      <c r="I4957" s="17"/>
      <c r="J4957" s="17"/>
      <c r="K4957" s="17"/>
      <c r="L4957" s="17"/>
      <c r="M4957" s="17"/>
      <c r="N4957" s="17"/>
      <c r="O4957" s="17"/>
      <c r="P4957" s="17"/>
      <c r="Q4957" s="17"/>
      <c r="R4957" s="17"/>
      <c r="S4957" s="17"/>
      <c r="T4957" s="17"/>
      <c r="U4957" s="17"/>
      <c r="V4957" s="18">
        <v>0</v>
      </c>
      <c r="W4957" s="17">
        <f t="shared" si="145"/>
        <v>0</v>
      </c>
    </row>
    <row r="4958" spans="1:23" x14ac:dyDescent="0.25">
      <c r="A4958" s="17"/>
      <c r="B4958" s="17"/>
      <c r="C4958" s="17"/>
      <c r="D4958" s="17"/>
      <c r="E4958" s="17"/>
      <c r="F4958" s="17"/>
      <c r="G4958" s="17"/>
      <c r="H4958" s="17"/>
      <c r="I4958" s="17"/>
      <c r="J4958" s="17"/>
      <c r="K4958" s="17"/>
      <c r="L4958" s="17"/>
      <c r="M4958" s="17"/>
      <c r="N4958" s="17"/>
      <c r="O4958" s="17"/>
      <c r="P4958" s="17"/>
      <c r="Q4958" s="17"/>
      <c r="R4958" s="17"/>
      <c r="S4958" s="17"/>
      <c r="T4958" s="17"/>
      <c r="U4958" s="17"/>
      <c r="V4958" s="18">
        <v>0</v>
      </c>
      <c r="W4958" s="17">
        <f t="shared" si="145"/>
        <v>0</v>
      </c>
    </row>
    <row r="4959" spans="1:23" x14ac:dyDescent="0.25">
      <c r="A4959" s="17"/>
      <c r="B4959" s="17"/>
      <c r="C4959" s="17"/>
      <c r="D4959" s="17"/>
      <c r="E4959" s="17"/>
      <c r="F4959" s="17"/>
      <c r="G4959" s="17"/>
      <c r="H4959" s="17"/>
      <c r="I4959" s="17"/>
      <c r="J4959" s="17"/>
      <c r="K4959" s="17"/>
      <c r="L4959" s="17"/>
      <c r="M4959" s="17"/>
      <c r="N4959" s="17"/>
      <c r="O4959" s="17"/>
      <c r="P4959" s="17"/>
      <c r="Q4959" s="17"/>
      <c r="R4959" s="17"/>
      <c r="S4959" s="17"/>
      <c r="T4959" s="17"/>
      <c r="U4959" s="17"/>
      <c r="V4959" s="18">
        <v>0</v>
      </c>
      <c r="W4959" s="17">
        <f t="shared" si="145"/>
        <v>0</v>
      </c>
    </row>
    <row r="4960" spans="1:23" x14ac:dyDescent="0.25">
      <c r="A4960" s="17"/>
      <c r="B4960" s="17"/>
      <c r="C4960" s="17"/>
      <c r="D4960" s="17"/>
      <c r="E4960" s="17"/>
      <c r="F4960" s="17"/>
      <c r="G4960" s="17"/>
      <c r="H4960" s="17"/>
      <c r="I4960" s="17"/>
      <c r="J4960" s="17"/>
      <c r="K4960" s="17"/>
      <c r="L4960" s="17"/>
      <c r="M4960" s="17"/>
      <c r="N4960" s="17"/>
      <c r="O4960" s="17"/>
      <c r="P4960" s="17"/>
      <c r="Q4960" s="17"/>
      <c r="R4960" s="17"/>
      <c r="S4960" s="17"/>
      <c r="T4960" s="17"/>
      <c r="U4960" s="17"/>
      <c r="V4960" s="18">
        <v>0</v>
      </c>
      <c r="W4960" s="17">
        <f t="shared" si="145"/>
        <v>0</v>
      </c>
    </row>
    <row r="4961" spans="1:23" x14ac:dyDescent="0.25">
      <c r="A4961" s="17"/>
      <c r="B4961" s="17"/>
      <c r="C4961" s="17"/>
      <c r="D4961" s="17"/>
      <c r="E4961" s="17"/>
      <c r="F4961" s="17"/>
      <c r="G4961" s="17"/>
      <c r="H4961" s="17"/>
      <c r="I4961" s="17"/>
      <c r="J4961" s="17"/>
      <c r="K4961" s="17"/>
      <c r="L4961" s="17"/>
      <c r="M4961" s="17"/>
      <c r="N4961" s="17"/>
      <c r="O4961" s="17"/>
      <c r="P4961" s="17"/>
      <c r="Q4961" s="17"/>
      <c r="R4961" s="17"/>
      <c r="S4961" s="17"/>
      <c r="T4961" s="17"/>
      <c r="U4961" s="17"/>
      <c r="V4961" s="18">
        <v>0</v>
      </c>
      <c r="W4961" s="17">
        <f t="shared" si="145"/>
        <v>0</v>
      </c>
    </row>
    <row r="4962" spans="1:23" x14ac:dyDescent="0.25">
      <c r="A4962" s="17"/>
      <c r="B4962" s="17"/>
      <c r="C4962" s="17"/>
      <c r="D4962" s="17"/>
      <c r="E4962" s="17"/>
      <c r="F4962" s="17"/>
      <c r="G4962" s="17"/>
      <c r="H4962" s="17"/>
      <c r="I4962" s="17"/>
      <c r="J4962" s="17"/>
      <c r="K4962" s="17"/>
      <c r="L4962" s="17"/>
      <c r="M4962" s="17"/>
      <c r="N4962" s="17"/>
      <c r="O4962" s="17"/>
      <c r="P4962" s="17"/>
      <c r="Q4962" s="17"/>
      <c r="R4962" s="17"/>
      <c r="S4962" s="17"/>
      <c r="T4962" s="17"/>
      <c r="U4962" s="17"/>
      <c r="V4962" s="18">
        <v>0</v>
      </c>
      <c r="W4962" s="17">
        <f t="shared" si="145"/>
        <v>0</v>
      </c>
    </row>
    <row r="4963" spans="1:23" x14ac:dyDescent="0.25">
      <c r="A4963" s="17"/>
      <c r="B4963" s="17"/>
      <c r="C4963" s="17"/>
      <c r="D4963" s="17"/>
      <c r="E4963" s="17"/>
      <c r="F4963" s="17"/>
      <c r="G4963" s="17"/>
      <c r="H4963" s="17"/>
      <c r="I4963" s="17"/>
      <c r="J4963" s="17"/>
      <c r="K4963" s="17"/>
      <c r="L4963" s="17"/>
      <c r="M4963" s="17"/>
      <c r="N4963" s="17"/>
      <c r="O4963" s="17"/>
      <c r="P4963" s="17"/>
      <c r="Q4963" s="17"/>
      <c r="R4963" s="17"/>
      <c r="S4963" s="17"/>
      <c r="T4963" s="17"/>
      <c r="U4963" s="17"/>
      <c r="V4963" s="18">
        <v>0</v>
      </c>
      <c r="W4963" s="17">
        <f t="shared" si="145"/>
        <v>0</v>
      </c>
    </row>
    <row r="4964" spans="1:23" x14ac:dyDescent="0.25">
      <c r="A4964" s="17"/>
      <c r="B4964" s="17"/>
      <c r="C4964" s="17"/>
      <c r="D4964" s="17"/>
      <c r="E4964" s="17"/>
      <c r="F4964" s="17"/>
      <c r="G4964" s="17"/>
      <c r="H4964" s="17"/>
      <c r="I4964" s="17"/>
      <c r="J4964" s="17"/>
      <c r="K4964" s="17"/>
      <c r="L4964" s="17"/>
      <c r="M4964" s="17"/>
      <c r="N4964" s="17"/>
      <c r="O4964" s="17"/>
      <c r="P4964" s="17"/>
      <c r="Q4964" s="17"/>
      <c r="R4964" s="17"/>
      <c r="S4964" s="17"/>
      <c r="T4964" s="17"/>
      <c r="U4964" s="17"/>
      <c r="V4964" s="18">
        <v>0</v>
      </c>
      <c r="W4964" s="17">
        <f t="shared" si="145"/>
        <v>0</v>
      </c>
    </row>
    <row r="4965" spans="1:23" x14ac:dyDescent="0.25">
      <c r="A4965" s="17"/>
      <c r="B4965" s="17"/>
      <c r="C4965" s="17"/>
      <c r="D4965" s="17"/>
      <c r="E4965" s="17"/>
      <c r="F4965" s="17"/>
      <c r="G4965" s="17"/>
      <c r="H4965" s="17"/>
      <c r="I4965" s="17"/>
      <c r="J4965" s="17"/>
      <c r="K4965" s="17"/>
      <c r="L4965" s="17"/>
      <c r="M4965" s="17"/>
      <c r="N4965" s="17"/>
      <c r="O4965" s="17"/>
      <c r="P4965" s="17"/>
      <c r="Q4965" s="17"/>
      <c r="R4965" s="17"/>
      <c r="S4965" s="17"/>
      <c r="T4965" s="17"/>
      <c r="U4965" s="17"/>
      <c r="V4965" s="18">
        <v>0</v>
      </c>
      <c r="W4965" s="17">
        <f t="shared" si="145"/>
        <v>0</v>
      </c>
    </row>
    <row r="4966" spans="1:23" x14ac:dyDescent="0.25">
      <c r="A4966" s="17"/>
      <c r="B4966" s="17"/>
      <c r="C4966" s="17"/>
      <c r="D4966" s="17"/>
      <c r="E4966" s="17"/>
      <c r="F4966" s="17"/>
      <c r="G4966" s="17"/>
      <c r="H4966" s="17"/>
      <c r="I4966" s="17"/>
      <c r="J4966" s="17"/>
      <c r="K4966" s="17"/>
      <c r="L4966" s="17"/>
      <c r="M4966" s="17"/>
      <c r="N4966" s="17"/>
      <c r="O4966" s="17"/>
      <c r="P4966" s="17"/>
      <c r="Q4966" s="17"/>
      <c r="R4966" s="17"/>
      <c r="S4966" s="17"/>
      <c r="T4966" s="17"/>
      <c r="U4966" s="17"/>
      <c r="V4966" s="18">
        <v>0</v>
      </c>
      <c r="W4966" s="17">
        <f t="shared" si="145"/>
        <v>0</v>
      </c>
    </row>
    <row r="4967" spans="1:23" x14ac:dyDescent="0.25">
      <c r="A4967" s="17"/>
      <c r="B4967" s="17"/>
      <c r="C4967" s="17"/>
      <c r="D4967" s="17"/>
      <c r="E4967" s="17"/>
      <c r="F4967" s="17"/>
      <c r="G4967" s="17"/>
      <c r="H4967" s="17"/>
      <c r="I4967" s="17"/>
      <c r="J4967" s="17"/>
      <c r="K4967" s="17"/>
      <c r="L4967" s="17"/>
      <c r="M4967" s="17"/>
      <c r="N4967" s="17"/>
      <c r="O4967" s="17"/>
      <c r="P4967" s="17"/>
      <c r="Q4967" s="17"/>
      <c r="R4967" s="17"/>
      <c r="S4967" s="17"/>
      <c r="T4967" s="17"/>
      <c r="U4967" s="17"/>
      <c r="V4967" s="18">
        <v>0</v>
      </c>
      <c r="W4967" s="17">
        <f t="shared" si="145"/>
        <v>0</v>
      </c>
    </row>
    <row r="4968" spans="1:23" x14ac:dyDescent="0.25">
      <c r="A4968" s="17"/>
      <c r="B4968" s="17"/>
      <c r="C4968" s="17"/>
      <c r="D4968" s="17"/>
      <c r="E4968" s="17"/>
      <c r="F4968" s="17"/>
      <c r="G4968" s="17"/>
      <c r="H4968" s="17"/>
      <c r="I4968" s="17"/>
      <c r="J4968" s="17"/>
      <c r="K4968" s="17"/>
      <c r="L4968" s="17"/>
      <c r="M4968" s="17"/>
      <c r="N4968" s="17"/>
      <c r="O4968" s="17"/>
      <c r="P4968" s="17"/>
      <c r="Q4968" s="17"/>
      <c r="R4968" s="17"/>
      <c r="S4968" s="17"/>
      <c r="T4968" s="17"/>
      <c r="U4968" s="17"/>
      <c r="V4968" s="18">
        <v>0</v>
      </c>
      <c r="W4968" s="17">
        <f t="shared" si="145"/>
        <v>0</v>
      </c>
    </row>
    <row r="4969" spans="1:23" x14ac:dyDescent="0.25">
      <c r="A4969" s="17"/>
      <c r="B4969" s="17"/>
      <c r="C4969" s="17"/>
      <c r="D4969" s="17"/>
      <c r="E4969" s="17"/>
      <c r="F4969" s="17"/>
      <c r="G4969" s="17"/>
      <c r="H4969" s="17"/>
      <c r="I4969" s="17"/>
      <c r="J4969" s="17"/>
      <c r="K4969" s="17"/>
      <c r="L4969" s="17"/>
      <c r="M4969" s="17"/>
      <c r="N4969" s="17"/>
      <c r="O4969" s="17"/>
      <c r="P4969" s="17"/>
      <c r="Q4969" s="17"/>
      <c r="R4969" s="17"/>
      <c r="S4969" s="17"/>
      <c r="T4969" s="17"/>
      <c r="U4969" s="17"/>
      <c r="V4969" s="18">
        <v>0</v>
      </c>
      <c r="W4969" s="17">
        <f t="shared" si="145"/>
        <v>0</v>
      </c>
    </row>
    <row r="4970" spans="1:23" x14ac:dyDescent="0.25">
      <c r="A4970" s="17"/>
      <c r="B4970" s="17"/>
      <c r="C4970" s="17"/>
      <c r="D4970" s="17"/>
      <c r="E4970" s="17"/>
      <c r="F4970" s="17"/>
      <c r="G4970" s="17"/>
      <c r="H4970" s="17"/>
      <c r="I4970" s="17"/>
      <c r="J4970" s="17"/>
      <c r="K4970" s="17"/>
      <c r="L4970" s="17"/>
      <c r="M4970" s="17"/>
      <c r="N4970" s="17"/>
      <c r="O4970" s="17"/>
      <c r="P4970" s="17"/>
      <c r="Q4970" s="17"/>
      <c r="R4970" s="17"/>
      <c r="S4970" s="17"/>
      <c r="T4970" s="17"/>
      <c r="U4970" s="17"/>
      <c r="V4970" s="18">
        <v>0</v>
      </c>
      <c r="W4970" s="17">
        <f t="shared" si="145"/>
        <v>0</v>
      </c>
    </row>
    <row r="4971" spans="1:23" x14ac:dyDescent="0.25">
      <c r="A4971" s="17"/>
      <c r="B4971" s="17"/>
      <c r="C4971" s="17"/>
      <c r="D4971" s="17"/>
      <c r="E4971" s="17"/>
      <c r="F4971" s="17"/>
      <c r="G4971" s="17"/>
      <c r="H4971" s="17"/>
      <c r="I4971" s="17"/>
      <c r="J4971" s="17"/>
      <c r="K4971" s="17"/>
      <c r="L4971" s="17"/>
      <c r="M4971" s="17"/>
      <c r="N4971" s="17"/>
      <c r="O4971" s="17"/>
      <c r="P4971" s="17"/>
      <c r="Q4971" s="17"/>
      <c r="R4971" s="17"/>
      <c r="S4971" s="17"/>
      <c r="T4971" s="17"/>
      <c r="U4971" s="17"/>
      <c r="V4971" s="18">
        <v>0</v>
      </c>
      <c r="W4971" s="17">
        <f t="shared" si="145"/>
        <v>0</v>
      </c>
    </row>
    <row r="4972" spans="1:23" x14ac:dyDescent="0.25">
      <c r="A4972" s="17"/>
      <c r="B4972" s="17"/>
      <c r="C4972" s="17"/>
      <c r="D4972" s="17"/>
      <c r="E4972" s="17"/>
      <c r="F4972" s="17"/>
      <c r="G4972" s="17"/>
      <c r="H4972" s="17"/>
      <c r="I4972" s="17"/>
      <c r="J4972" s="17"/>
      <c r="K4972" s="17"/>
      <c r="L4972" s="17"/>
      <c r="M4972" s="17"/>
      <c r="N4972" s="17"/>
      <c r="O4972" s="17"/>
      <c r="P4972" s="17"/>
      <c r="Q4972" s="17"/>
      <c r="R4972" s="17"/>
      <c r="S4972" s="17"/>
      <c r="T4972" s="17"/>
      <c r="U4972" s="17"/>
      <c r="V4972" s="18">
        <v>0</v>
      </c>
      <c r="W4972" s="17">
        <f t="shared" si="145"/>
        <v>0</v>
      </c>
    </row>
    <row r="4973" spans="1:23" x14ac:dyDescent="0.25">
      <c r="A4973" s="17"/>
      <c r="B4973" s="17"/>
      <c r="C4973" s="17"/>
      <c r="D4973" s="17"/>
      <c r="E4973" s="17"/>
      <c r="F4973" s="17"/>
      <c r="G4973" s="17"/>
      <c r="H4973" s="17"/>
      <c r="I4973" s="17"/>
      <c r="J4973" s="17"/>
      <c r="K4973" s="17"/>
      <c r="L4973" s="17"/>
      <c r="M4973" s="17"/>
      <c r="N4973" s="17"/>
      <c r="O4973" s="17"/>
      <c r="P4973" s="17"/>
      <c r="Q4973" s="17"/>
      <c r="R4973" s="17"/>
      <c r="S4973" s="17"/>
      <c r="T4973" s="17"/>
      <c r="U4973" s="17"/>
      <c r="V4973" s="18">
        <v>0</v>
      </c>
      <c r="W4973" s="17">
        <f t="shared" si="145"/>
        <v>0</v>
      </c>
    </row>
    <row r="4974" spans="1:23" x14ac:dyDescent="0.25">
      <c r="A4974" s="17"/>
      <c r="B4974" s="17"/>
      <c r="C4974" s="17"/>
      <c r="D4974" s="17"/>
      <c r="E4974" s="17"/>
      <c r="F4974" s="17"/>
      <c r="G4974" s="17"/>
      <c r="H4974" s="17"/>
      <c r="I4974" s="17"/>
      <c r="J4974" s="17"/>
      <c r="K4974" s="17"/>
      <c r="L4974" s="17"/>
      <c r="M4974" s="17"/>
      <c r="N4974" s="17"/>
      <c r="O4974" s="17"/>
      <c r="P4974" s="17"/>
      <c r="Q4974" s="17"/>
      <c r="R4974" s="17"/>
      <c r="S4974" s="17"/>
      <c r="T4974" s="17"/>
      <c r="U4974" s="17"/>
      <c r="V4974" s="18">
        <v>0</v>
      </c>
      <c r="W4974" s="17">
        <f t="shared" si="145"/>
        <v>0</v>
      </c>
    </row>
    <row r="4975" spans="1:23" x14ac:dyDescent="0.25">
      <c r="A4975" s="17"/>
      <c r="B4975" s="17"/>
      <c r="C4975" s="17"/>
      <c r="D4975" s="17"/>
      <c r="E4975" s="17"/>
      <c r="F4975" s="17"/>
      <c r="G4975" s="17"/>
      <c r="H4975" s="17"/>
      <c r="I4975" s="17"/>
      <c r="J4975" s="17"/>
      <c r="K4975" s="17"/>
      <c r="L4975" s="17"/>
      <c r="M4975" s="17"/>
      <c r="N4975" s="17"/>
      <c r="O4975" s="17"/>
      <c r="P4975" s="17"/>
      <c r="Q4975" s="17"/>
      <c r="R4975" s="17"/>
      <c r="S4975" s="17"/>
      <c r="T4975" s="17"/>
      <c r="U4975" s="17"/>
      <c r="V4975" s="18">
        <v>0</v>
      </c>
      <c r="W4975" s="17">
        <f t="shared" si="145"/>
        <v>0</v>
      </c>
    </row>
    <row r="4976" spans="1:23" x14ac:dyDescent="0.25">
      <c r="A4976" s="17"/>
      <c r="B4976" s="17"/>
      <c r="C4976" s="17"/>
      <c r="D4976" s="17"/>
      <c r="E4976" s="17"/>
      <c r="F4976" s="17"/>
      <c r="G4976" s="17"/>
      <c r="H4976" s="17"/>
      <c r="I4976" s="17"/>
      <c r="J4976" s="17"/>
      <c r="K4976" s="17"/>
      <c r="L4976" s="17"/>
      <c r="M4976" s="17"/>
      <c r="N4976" s="17"/>
      <c r="O4976" s="17"/>
      <c r="P4976" s="17"/>
      <c r="Q4976" s="17"/>
      <c r="R4976" s="17"/>
      <c r="S4976" s="17"/>
      <c r="T4976" s="17"/>
      <c r="U4976" s="17"/>
      <c r="V4976" s="18">
        <v>0</v>
      </c>
      <c r="W4976" s="17">
        <f t="shared" si="145"/>
        <v>0</v>
      </c>
    </row>
    <row r="4977" spans="1:23" x14ac:dyDescent="0.25">
      <c r="A4977" s="17"/>
      <c r="B4977" s="17"/>
      <c r="C4977" s="17"/>
      <c r="D4977" s="17"/>
      <c r="E4977" s="17"/>
      <c r="F4977" s="17"/>
      <c r="G4977" s="17"/>
      <c r="H4977" s="17"/>
      <c r="I4977" s="17"/>
      <c r="J4977" s="17"/>
      <c r="K4977" s="17"/>
      <c r="L4977" s="17"/>
      <c r="M4977" s="17"/>
      <c r="N4977" s="17"/>
      <c r="O4977" s="17"/>
      <c r="P4977" s="17"/>
      <c r="Q4977" s="17"/>
      <c r="R4977" s="17"/>
      <c r="S4977" s="17"/>
      <c r="T4977" s="17"/>
      <c r="U4977" s="17"/>
      <c r="V4977" s="18">
        <v>0</v>
      </c>
      <c r="W4977" s="17">
        <f t="shared" si="145"/>
        <v>0</v>
      </c>
    </row>
    <row r="4978" spans="1:23" x14ac:dyDescent="0.25">
      <c r="A4978" s="17"/>
      <c r="B4978" s="17"/>
      <c r="C4978" s="17"/>
      <c r="D4978" s="17"/>
      <c r="E4978" s="17"/>
      <c r="F4978" s="17"/>
      <c r="G4978" s="17"/>
      <c r="H4978" s="17"/>
      <c r="I4978" s="17"/>
      <c r="J4978" s="17"/>
      <c r="K4978" s="17"/>
      <c r="L4978" s="17"/>
      <c r="M4978" s="17"/>
      <c r="N4978" s="17"/>
      <c r="O4978" s="17"/>
      <c r="P4978" s="17"/>
      <c r="Q4978" s="17"/>
      <c r="R4978" s="17"/>
      <c r="S4978" s="17"/>
      <c r="T4978" s="17"/>
      <c r="U4978" s="17"/>
      <c r="V4978" s="18">
        <v>0</v>
      </c>
      <c r="W4978" s="17">
        <f t="shared" si="145"/>
        <v>0</v>
      </c>
    </row>
    <row r="4979" spans="1:23" x14ac:dyDescent="0.25">
      <c r="A4979" s="17"/>
      <c r="B4979" s="17"/>
      <c r="C4979" s="17"/>
      <c r="D4979" s="17"/>
      <c r="E4979" s="17"/>
      <c r="F4979" s="17"/>
      <c r="G4979" s="17"/>
      <c r="H4979" s="17"/>
      <c r="I4979" s="17"/>
      <c r="J4979" s="17"/>
      <c r="K4979" s="17"/>
      <c r="L4979" s="17"/>
      <c r="M4979" s="17"/>
      <c r="N4979" s="17"/>
      <c r="O4979" s="17"/>
      <c r="P4979" s="17"/>
      <c r="Q4979" s="17"/>
      <c r="R4979" s="17"/>
      <c r="S4979" s="17"/>
      <c r="T4979" s="17"/>
      <c r="U4979" s="17"/>
      <c r="V4979" s="18">
        <v>0</v>
      </c>
      <c r="W4979" s="17">
        <f t="shared" si="145"/>
        <v>0</v>
      </c>
    </row>
    <row r="4980" spans="1:23" x14ac:dyDescent="0.25">
      <c r="A4980" s="17"/>
      <c r="B4980" s="17"/>
      <c r="C4980" s="17"/>
      <c r="D4980" s="17"/>
      <c r="E4980" s="17"/>
      <c r="F4980" s="17"/>
      <c r="G4980" s="17"/>
      <c r="H4980" s="17"/>
      <c r="I4980" s="17"/>
      <c r="J4980" s="17"/>
      <c r="K4980" s="17"/>
      <c r="L4980" s="17"/>
      <c r="M4980" s="17"/>
      <c r="N4980" s="17"/>
      <c r="O4980" s="17"/>
      <c r="P4980" s="17"/>
      <c r="Q4980" s="17"/>
      <c r="R4980" s="17"/>
      <c r="S4980" s="17"/>
      <c r="T4980" s="17"/>
      <c r="U4980" s="17"/>
      <c r="V4980" s="18">
        <v>0</v>
      </c>
      <c r="W4980" s="17">
        <f t="shared" si="145"/>
        <v>0</v>
      </c>
    </row>
    <row r="4981" spans="1:23" x14ac:dyDescent="0.25">
      <c r="A4981" s="17"/>
      <c r="B4981" s="17"/>
      <c r="C4981" s="17"/>
      <c r="D4981" s="17"/>
      <c r="E4981" s="17"/>
      <c r="F4981" s="17"/>
      <c r="G4981" s="17"/>
      <c r="H4981" s="17"/>
      <c r="I4981" s="17"/>
      <c r="J4981" s="17"/>
      <c r="K4981" s="17"/>
      <c r="L4981" s="17"/>
      <c r="M4981" s="17"/>
      <c r="N4981" s="17"/>
      <c r="O4981" s="17"/>
      <c r="P4981" s="17"/>
      <c r="Q4981" s="17"/>
      <c r="R4981" s="17"/>
      <c r="S4981" s="17"/>
      <c r="T4981" s="17"/>
      <c r="U4981" s="17"/>
      <c r="V4981" s="18">
        <v>0</v>
      </c>
      <c r="W4981" s="17">
        <f t="shared" si="145"/>
        <v>0</v>
      </c>
    </row>
    <row r="4982" spans="1:23" x14ac:dyDescent="0.25">
      <c r="A4982" s="17"/>
      <c r="B4982" s="17"/>
      <c r="C4982" s="17"/>
      <c r="D4982" s="17"/>
      <c r="E4982" s="17"/>
      <c r="F4982" s="17"/>
      <c r="G4982" s="17"/>
      <c r="H4982" s="17"/>
      <c r="I4982" s="17"/>
      <c r="J4982" s="17"/>
      <c r="K4982" s="17"/>
      <c r="L4982" s="17"/>
      <c r="M4982" s="17"/>
      <c r="N4982" s="17"/>
      <c r="O4982" s="17"/>
      <c r="P4982" s="17"/>
      <c r="Q4982" s="17"/>
      <c r="R4982" s="17"/>
      <c r="S4982" s="17"/>
      <c r="T4982" s="17"/>
      <c r="U4982" s="17"/>
      <c r="V4982" s="18">
        <v>0</v>
      </c>
      <c r="W4982" s="17">
        <f t="shared" si="145"/>
        <v>0</v>
      </c>
    </row>
    <row r="4983" spans="1:23" x14ac:dyDescent="0.25">
      <c r="A4983" s="17"/>
      <c r="B4983" s="17"/>
      <c r="C4983" s="17"/>
      <c r="D4983" s="17"/>
      <c r="E4983" s="17"/>
      <c r="F4983" s="17"/>
      <c r="G4983" s="17"/>
      <c r="H4983" s="17"/>
      <c r="I4983" s="17"/>
      <c r="J4983" s="17"/>
      <c r="K4983" s="17"/>
      <c r="L4983" s="17"/>
      <c r="M4983" s="17"/>
      <c r="N4983" s="17"/>
      <c r="O4983" s="17"/>
      <c r="P4983" s="17"/>
      <c r="Q4983" s="17"/>
      <c r="R4983" s="17"/>
      <c r="S4983" s="17"/>
      <c r="T4983" s="17"/>
      <c r="U4983" s="17"/>
      <c r="V4983" s="18">
        <v>0</v>
      </c>
      <c r="W4983" s="17">
        <f t="shared" si="145"/>
        <v>0</v>
      </c>
    </row>
    <row r="4984" spans="1:23" x14ac:dyDescent="0.25">
      <c r="A4984" s="17"/>
      <c r="B4984" s="17"/>
      <c r="C4984" s="17"/>
      <c r="D4984" s="17"/>
      <c r="E4984" s="17"/>
      <c r="F4984" s="17"/>
      <c r="G4984" s="17"/>
      <c r="H4984" s="17"/>
      <c r="I4984" s="17"/>
      <c r="J4984" s="17"/>
      <c r="K4984" s="17"/>
      <c r="L4984" s="17"/>
      <c r="M4984" s="17"/>
      <c r="N4984" s="17"/>
      <c r="O4984" s="17"/>
      <c r="P4984" s="17"/>
      <c r="Q4984" s="17"/>
      <c r="R4984" s="17"/>
      <c r="S4984" s="17"/>
      <c r="T4984" s="17"/>
      <c r="U4984" s="17"/>
      <c r="V4984" s="18">
        <v>0</v>
      </c>
      <c r="W4984" s="17">
        <f t="shared" si="145"/>
        <v>0</v>
      </c>
    </row>
    <row r="4985" spans="1:23" x14ac:dyDescent="0.25">
      <c r="A4985" s="17"/>
      <c r="B4985" s="17"/>
      <c r="C4985" s="17"/>
      <c r="D4985" s="17"/>
      <c r="E4985" s="17"/>
      <c r="F4985" s="17"/>
      <c r="G4985" s="17"/>
      <c r="H4985" s="17"/>
      <c r="I4985" s="17"/>
      <c r="J4985" s="17"/>
      <c r="K4985" s="17"/>
      <c r="L4985" s="17"/>
      <c r="M4985" s="17"/>
      <c r="N4985" s="17"/>
      <c r="O4985" s="17"/>
      <c r="P4985" s="17"/>
      <c r="Q4985" s="17"/>
      <c r="R4985" s="17"/>
      <c r="S4985" s="17"/>
      <c r="T4985" s="17"/>
      <c r="U4985" s="17"/>
      <c r="V4985" s="18">
        <v>0</v>
      </c>
      <c r="W4985" s="17">
        <f t="shared" si="145"/>
        <v>0</v>
      </c>
    </row>
    <row r="4986" spans="1:23" x14ac:dyDescent="0.25">
      <c r="A4986" s="17"/>
      <c r="B4986" s="17"/>
      <c r="C4986" s="17"/>
      <c r="D4986" s="17"/>
      <c r="E4986" s="17"/>
      <c r="F4986" s="17"/>
      <c r="G4986" s="17"/>
      <c r="H4986" s="17"/>
      <c r="I4986" s="17"/>
      <c r="J4986" s="17"/>
      <c r="K4986" s="17"/>
      <c r="L4986" s="17"/>
      <c r="M4986" s="17"/>
      <c r="N4986" s="17"/>
      <c r="O4986" s="17"/>
      <c r="P4986" s="17"/>
      <c r="Q4986" s="17"/>
      <c r="R4986" s="17"/>
      <c r="S4986" s="17"/>
      <c r="T4986" s="17"/>
      <c r="U4986" s="17"/>
      <c r="V4986" s="18">
        <v>0</v>
      </c>
      <c r="W4986" s="17">
        <f t="shared" si="145"/>
        <v>0</v>
      </c>
    </row>
    <row r="4987" spans="1:23" x14ac:dyDescent="0.25">
      <c r="A4987" s="17"/>
      <c r="B4987" s="17"/>
      <c r="C4987" s="17"/>
      <c r="D4987" s="17"/>
      <c r="E4987" s="17"/>
      <c r="F4987" s="17"/>
      <c r="G4987" s="17"/>
      <c r="H4987" s="17"/>
      <c r="I4987" s="17"/>
      <c r="J4987" s="17"/>
      <c r="K4987" s="17"/>
      <c r="L4987" s="17"/>
      <c r="M4987" s="17"/>
      <c r="N4987" s="17"/>
      <c r="O4987" s="17"/>
      <c r="P4987" s="17"/>
      <c r="Q4987" s="17"/>
      <c r="R4987" s="17"/>
      <c r="S4987" s="17"/>
      <c r="T4987" s="17"/>
      <c r="U4987" s="17"/>
      <c r="V4987" s="18">
        <v>0</v>
      </c>
      <c r="W4987" s="17">
        <f t="shared" si="145"/>
        <v>0</v>
      </c>
    </row>
    <row r="4988" spans="1:23" x14ac:dyDescent="0.25">
      <c r="A4988" s="17"/>
      <c r="B4988" s="17"/>
      <c r="C4988" s="17"/>
      <c r="D4988" s="17"/>
      <c r="E4988" s="17"/>
      <c r="F4988" s="17"/>
      <c r="G4988" s="17"/>
      <c r="H4988" s="17"/>
      <c r="I4988" s="17"/>
      <c r="J4988" s="17"/>
      <c r="K4988" s="17"/>
      <c r="L4988" s="17"/>
      <c r="M4988" s="17"/>
      <c r="N4988" s="17"/>
      <c r="O4988" s="17"/>
      <c r="P4988" s="17"/>
      <c r="Q4988" s="17"/>
      <c r="R4988" s="17"/>
      <c r="S4988" s="17"/>
      <c r="T4988" s="17"/>
      <c r="U4988" s="17"/>
      <c r="V4988" s="18">
        <v>0</v>
      </c>
      <c r="W4988" s="17">
        <f t="shared" si="145"/>
        <v>0</v>
      </c>
    </row>
    <row r="4989" spans="1:23" x14ac:dyDescent="0.25">
      <c r="A4989" s="17"/>
      <c r="B4989" s="17"/>
      <c r="C4989" s="17"/>
      <c r="D4989" s="17"/>
      <c r="E4989" s="17"/>
      <c r="F4989" s="17"/>
      <c r="G4989" s="17"/>
      <c r="H4989" s="17"/>
      <c r="I4989" s="17"/>
      <c r="J4989" s="17"/>
      <c r="K4989" s="17"/>
      <c r="L4989" s="17"/>
      <c r="M4989" s="17"/>
      <c r="N4989" s="17"/>
      <c r="O4989" s="17"/>
      <c r="P4989" s="17"/>
      <c r="Q4989" s="17"/>
      <c r="R4989" s="17"/>
      <c r="S4989" s="17"/>
      <c r="T4989" s="17"/>
      <c r="U4989" s="17"/>
      <c r="V4989" s="18">
        <v>0</v>
      </c>
      <c r="W4989" s="17">
        <f t="shared" si="145"/>
        <v>0</v>
      </c>
    </row>
    <row r="4990" spans="1:23" x14ac:dyDescent="0.25">
      <c r="A4990" s="17"/>
      <c r="B4990" s="17"/>
      <c r="C4990" s="17"/>
      <c r="D4990" s="17"/>
      <c r="E4990" s="17"/>
      <c r="F4990" s="17"/>
      <c r="G4990" s="17"/>
      <c r="H4990" s="17"/>
      <c r="I4990" s="17"/>
      <c r="J4990" s="17"/>
      <c r="K4990" s="17"/>
      <c r="L4990" s="17"/>
      <c r="M4990" s="17"/>
      <c r="N4990" s="17"/>
      <c r="O4990" s="17"/>
      <c r="P4990" s="17"/>
      <c r="Q4990" s="17"/>
      <c r="R4990" s="17"/>
      <c r="S4990" s="17"/>
      <c r="T4990" s="17"/>
      <c r="U4990" s="17"/>
      <c r="V4990" s="18">
        <v>0</v>
      </c>
      <c r="W4990" s="17">
        <f t="shared" si="145"/>
        <v>0</v>
      </c>
    </row>
    <row r="4991" spans="1:23" x14ac:dyDescent="0.25">
      <c r="A4991" s="17"/>
      <c r="B4991" s="17"/>
      <c r="C4991" s="17"/>
      <c r="D4991" s="17"/>
      <c r="E4991" s="17"/>
      <c r="F4991" s="17"/>
      <c r="G4991" s="17"/>
      <c r="H4991" s="17"/>
      <c r="I4991" s="17"/>
      <c r="J4991" s="17"/>
      <c r="K4991" s="17"/>
      <c r="L4991" s="17"/>
      <c r="M4991" s="17"/>
      <c r="N4991" s="17"/>
      <c r="O4991" s="17"/>
      <c r="P4991" s="17"/>
      <c r="Q4991" s="17"/>
      <c r="R4991" s="17"/>
      <c r="S4991" s="17"/>
      <c r="T4991" s="17"/>
      <c r="U4991" s="17"/>
      <c r="V4991" s="18">
        <v>0</v>
      </c>
      <c r="W4991" s="17">
        <f t="shared" si="145"/>
        <v>0</v>
      </c>
    </row>
    <row r="4992" spans="1:23" x14ac:dyDescent="0.25">
      <c r="A4992" s="17"/>
      <c r="B4992" s="17"/>
      <c r="C4992" s="17"/>
      <c r="D4992" s="17"/>
      <c r="E4992" s="17"/>
      <c r="F4992" s="17"/>
      <c r="G4992" s="17"/>
      <c r="H4992" s="17"/>
      <c r="I4992" s="17"/>
      <c r="J4992" s="17"/>
      <c r="K4992" s="17"/>
      <c r="L4992" s="17"/>
      <c r="M4992" s="17"/>
      <c r="N4992" s="17"/>
      <c r="O4992" s="17"/>
      <c r="P4992" s="17"/>
      <c r="Q4992" s="17"/>
      <c r="R4992" s="17"/>
      <c r="S4992" s="17"/>
      <c r="T4992" s="17"/>
      <c r="U4992" s="17"/>
      <c r="V4992" s="18">
        <v>0</v>
      </c>
      <c r="W4992" s="17">
        <f t="shared" si="145"/>
        <v>0</v>
      </c>
    </row>
    <row r="4993" spans="1:23" x14ac:dyDescent="0.25">
      <c r="A4993" s="17"/>
      <c r="B4993" s="17"/>
      <c r="C4993" s="17"/>
      <c r="D4993" s="17"/>
      <c r="E4993" s="17"/>
      <c r="F4993" s="17"/>
      <c r="G4993" s="17"/>
      <c r="H4993" s="17"/>
      <c r="I4993" s="17"/>
      <c r="J4993" s="17"/>
      <c r="K4993" s="17"/>
      <c r="L4993" s="17"/>
      <c r="M4993" s="17"/>
      <c r="N4993" s="17"/>
      <c r="O4993" s="17"/>
      <c r="P4993" s="17"/>
      <c r="Q4993" s="17"/>
      <c r="R4993" s="17"/>
      <c r="S4993" s="17"/>
      <c r="T4993" s="17"/>
      <c r="U4993" s="17"/>
      <c r="V4993" s="18">
        <v>0</v>
      </c>
      <c r="W4993" s="17">
        <f t="shared" si="145"/>
        <v>0</v>
      </c>
    </row>
    <row r="4994" spans="1:23" x14ac:dyDescent="0.25">
      <c r="A4994" s="17"/>
      <c r="B4994" s="17"/>
      <c r="C4994" s="17"/>
      <c r="D4994" s="17"/>
      <c r="E4994" s="17"/>
      <c r="F4994" s="17"/>
      <c r="G4994" s="17"/>
      <c r="H4994" s="17"/>
      <c r="I4994" s="17"/>
      <c r="J4994" s="17"/>
      <c r="K4994" s="17"/>
      <c r="L4994" s="17"/>
      <c r="M4994" s="17"/>
      <c r="N4994" s="17"/>
      <c r="O4994" s="17"/>
      <c r="P4994" s="17"/>
      <c r="Q4994" s="17"/>
      <c r="R4994" s="17"/>
      <c r="S4994" s="17"/>
      <c r="T4994" s="17"/>
      <c r="U4994" s="17"/>
      <c r="V4994" s="18">
        <v>0</v>
      </c>
      <c r="W4994" s="17">
        <f t="shared" si="145"/>
        <v>0</v>
      </c>
    </row>
    <row r="4995" spans="1:23" x14ac:dyDescent="0.25">
      <c r="A4995" s="17"/>
      <c r="B4995" s="17"/>
      <c r="C4995" s="17"/>
      <c r="D4995" s="17"/>
      <c r="E4995" s="17"/>
      <c r="F4995" s="17"/>
      <c r="G4995" s="17"/>
      <c r="H4995" s="17"/>
      <c r="I4995" s="17"/>
      <c r="J4995" s="17"/>
      <c r="K4995" s="17"/>
      <c r="L4995" s="17"/>
      <c r="M4995" s="17"/>
      <c r="N4995" s="17"/>
      <c r="O4995" s="17"/>
      <c r="P4995" s="17"/>
      <c r="Q4995" s="17"/>
      <c r="R4995" s="17"/>
      <c r="S4995" s="17"/>
      <c r="T4995" s="17"/>
      <c r="U4995" s="17"/>
      <c r="V4995" s="18">
        <v>0</v>
      </c>
      <c r="W4995" s="17">
        <f t="shared" ref="W4995:W5058" si="146">HOUR(E4995)</f>
        <v>0</v>
      </c>
    </row>
    <row r="4996" spans="1:23" x14ac:dyDescent="0.25">
      <c r="A4996" s="17"/>
      <c r="B4996" s="17"/>
      <c r="C4996" s="17"/>
      <c r="D4996" s="17"/>
      <c r="E4996" s="17"/>
      <c r="F4996" s="17"/>
      <c r="G4996" s="17"/>
      <c r="H4996" s="17"/>
      <c r="I4996" s="17"/>
      <c r="J4996" s="17"/>
      <c r="K4996" s="17"/>
      <c r="L4996" s="17"/>
      <c r="M4996" s="17"/>
      <c r="N4996" s="17"/>
      <c r="O4996" s="17"/>
      <c r="P4996" s="17"/>
      <c r="Q4996" s="17"/>
      <c r="R4996" s="17"/>
      <c r="S4996" s="17"/>
      <c r="T4996" s="17"/>
      <c r="U4996" s="17"/>
      <c r="V4996" s="18">
        <v>0</v>
      </c>
      <c r="W4996" s="17">
        <f t="shared" si="146"/>
        <v>0</v>
      </c>
    </row>
    <row r="4997" spans="1:23" x14ac:dyDescent="0.25">
      <c r="A4997" s="17"/>
      <c r="B4997" s="17"/>
      <c r="C4997" s="17"/>
      <c r="D4997" s="17"/>
      <c r="E4997" s="17"/>
      <c r="F4997" s="17"/>
      <c r="G4997" s="17"/>
      <c r="H4997" s="17"/>
      <c r="I4997" s="17"/>
      <c r="J4997" s="17"/>
      <c r="K4997" s="17"/>
      <c r="L4997" s="17"/>
      <c r="M4997" s="17"/>
      <c r="N4997" s="17"/>
      <c r="O4997" s="17"/>
      <c r="P4997" s="17"/>
      <c r="Q4997" s="17"/>
      <c r="R4997" s="17"/>
      <c r="S4997" s="17"/>
      <c r="T4997" s="17"/>
      <c r="U4997" s="17"/>
      <c r="V4997" s="18">
        <v>0</v>
      </c>
      <c r="W4997" s="17">
        <f t="shared" si="146"/>
        <v>0</v>
      </c>
    </row>
    <row r="4998" spans="1:23" x14ac:dyDescent="0.25">
      <c r="A4998" s="17"/>
      <c r="B4998" s="17"/>
      <c r="C4998" s="17"/>
      <c r="D4998" s="17"/>
      <c r="E4998" s="17"/>
      <c r="F4998" s="17"/>
      <c r="G4998" s="17"/>
      <c r="H4998" s="17"/>
      <c r="I4998" s="17"/>
      <c r="J4998" s="17"/>
      <c r="K4998" s="17"/>
      <c r="L4998" s="17"/>
      <c r="M4998" s="17"/>
      <c r="N4998" s="17"/>
      <c r="O4998" s="17"/>
      <c r="P4998" s="17"/>
      <c r="Q4998" s="17"/>
      <c r="R4998" s="17"/>
      <c r="S4998" s="17"/>
      <c r="T4998" s="17"/>
      <c r="U4998" s="17"/>
      <c r="V4998" s="18">
        <v>0</v>
      </c>
      <c r="W4998" s="17">
        <f t="shared" si="146"/>
        <v>0</v>
      </c>
    </row>
    <row r="4999" spans="1:23" x14ac:dyDescent="0.25">
      <c r="A4999" s="17"/>
      <c r="B4999" s="17"/>
      <c r="C4999" s="17"/>
      <c r="D4999" s="17"/>
      <c r="E4999" s="17"/>
      <c r="F4999" s="17"/>
      <c r="G4999" s="17"/>
      <c r="H4999" s="17"/>
      <c r="I4999" s="17"/>
      <c r="J4999" s="17"/>
      <c r="K4999" s="17"/>
      <c r="L4999" s="17"/>
      <c r="M4999" s="17"/>
      <c r="N4999" s="17"/>
      <c r="O4999" s="17"/>
      <c r="P4999" s="17"/>
      <c r="Q4999" s="17"/>
      <c r="R4999" s="17"/>
      <c r="S4999" s="17"/>
      <c r="T4999" s="17"/>
      <c r="U4999" s="17"/>
      <c r="V4999" s="18">
        <v>0</v>
      </c>
      <c r="W4999" s="17">
        <f t="shared" si="146"/>
        <v>0</v>
      </c>
    </row>
    <row r="5000" spans="1:23" x14ac:dyDescent="0.25">
      <c r="A5000" s="17"/>
      <c r="B5000" s="17"/>
      <c r="C5000" s="17"/>
      <c r="D5000" s="17"/>
      <c r="E5000" s="17"/>
      <c r="F5000" s="17"/>
      <c r="G5000" s="17"/>
      <c r="H5000" s="17"/>
      <c r="I5000" s="17"/>
      <c r="J5000" s="17"/>
      <c r="K5000" s="17"/>
      <c r="L5000" s="17"/>
      <c r="M5000" s="17"/>
      <c r="N5000" s="17"/>
      <c r="O5000" s="17"/>
      <c r="P5000" s="17"/>
      <c r="Q5000" s="17"/>
      <c r="R5000" s="17"/>
      <c r="S5000" s="17"/>
      <c r="T5000" s="17"/>
      <c r="U5000" s="17"/>
      <c r="V5000" s="18">
        <v>0</v>
      </c>
      <c r="W5000" s="17">
        <f t="shared" si="146"/>
        <v>0</v>
      </c>
    </row>
    <row r="5001" spans="1:23" x14ac:dyDescent="0.25">
      <c r="A5001" s="17"/>
      <c r="B5001" s="17"/>
      <c r="C5001" s="17"/>
      <c r="D5001" s="17"/>
      <c r="E5001" s="17"/>
      <c r="F5001" s="17"/>
      <c r="G5001" s="17"/>
      <c r="H5001" s="17"/>
      <c r="I5001" s="17"/>
      <c r="J5001" s="17"/>
      <c r="K5001" s="17"/>
      <c r="L5001" s="17"/>
      <c r="M5001" s="17"/>
      <c r="N5001" s="17"/>
      <c r="O5001" s="17"/>
      <c r="P5001" s="17"/>
      <c r="Q5001" s="17"/>
      <c r="R5001" s="17"/>
      <c r="S5001" s="17"/>
      <c r="T5001" s="17"/>
      <c r="U5001" s="17"/>
      <c r="V5001" s="18">
        <v>0</v>
      </c>
      <c r="W5001" s="17">
        <f t="shared" si="146"/>
        <v>0</v>
      </c>
    </row>
    <row r="5002" spans="1:23" x14ac:dyDescent="0.25">
      <c r="A5002" s="17"/>
      <c r="B5002" s="17"/>
      <c r="C5002" s="17"/>
      <c r="D5002" s="17"/>
      <c r="E5002" s="17"/>
      <c r="F5002" s="17"/>
      <c r="G5002" s="17"/>
      <c r="H5002" s="17"/>
      <c r="I5002" s="17"/>
      <c r="J5002" s="17"/>
      <c r="K5002" s="17"/>
      <c r="L5002" s="17"/>
      <c r="M5002" s="17"/>
      <c r="N5002" s="17"/>
      <c r="O5002" s="17"/>
      <c r="P5002" s="17"/>
      <c r="Q5002" s="17"/>
      <c r="R5002" s="17"/>
      <c r="S5002" s="17"/>
      <c r="T5002" s="17"/>
      <c r="U5002" s="17"/>
      <c r="V5002" s="18">
        <v>0</v>
      </c>
      <c r="W5002" s="17">
        <f t="shared" si="146"/>
        <v>0</v>
      </c>
    </row>
    <row r="5003" spans="1:23" x14ac:dyDescent="0.25">
      <c r="A5003" s="17"/>
      <c r="B5003" s="17"/>
      <c r="C5003" s="17"/>
      <c r="D5003" s="17"/>
      <c r="E5003" s="17"/>
      <c r="F5003" s="17"/>
      <c r="G5003" s="17"/>
      <c r="H5003" s="17"/>
      <c r="I5003" s="17"/>
      <c r="J5003" s="17"/>
      <c r="K5003" s="17"/>
      <c r="L5003" s="17"/>
      <c r="M5003" s="17"/>
      <c r="N5003" s="17"/>
      <c r="O5003" s="17"/>
      <c r="P5003" s="17"/>
      <c r="Q5003" s="17"/>
      <c r="R5003" s="17"/>
      <c r="S5003" s="17"/>
      <c r="T5003" s="17"/>
      <c r="U5003" s="17"/>
      <c r="V5003" s="18">
        <v>0</v>
      </c>
      <c r="W5003" s="17">
        <f t="shared" si="146"/>
        <v>0</v>
      </c>
    </row>
    <row r="5004" spans="1:23" x14ac:dyDescent="0.25">
      <c r="A5004" s="17"/>
      <c r="B5004" s="17"/>
      <c r="C5004" s="17"/>
      <c r="D5004" s="17"/>
      <c r="E5004" s="17"/>
      <c r="F5004" s="17"/>
      <c r="G5004" s="17"/>
      <c r="H5004" s="17"/>
      <c r="I5004" s="17"/>
      <c r="J5004" s="17"/>
      <c r="K5004" s="17"/>
      <c r="L5004" s="17"/>
      <c r="M5004" s="17"/>
      <c r="N5004" s="17"/>
      <c r="O5004" s="17"/>
      <c r="P5004" s="17"/>
      <c r="Q5004" s="17"/>
      <c r="R5004" s="17"/>
      <c r="S5004" s="17"/>
      <c r="T5004" s="17"/>
      <c r="U5004" s="17"/>
      <c r="V5004" s="18">
        <v>0</v>
      </c>
      <c r="W5004" s="17">
        <f t="shared" si="146"/>
        <v>0</v>
      </c>
    </row>
    <row r="5005" spans="1:23" x14ac:dyDescent="0.25">
      <c r="A5005" s="17"/>
      <c r="B5005" s="17"/>
      <c r="C5005" s="17"/>
      <c r="D5005" s="17"/>
      <c r="E5005" s="17"/>
      <c r="F5005" s="17"/>
      <c r="G5005" s="17"/>
      <c r="H5005" s="17"/>
      <c r="I5005" s="17"/>
      <c r="J5005" s="17"/>
      <c r="K5005" s="17"/>
      <c r="L5005" s="17"/>
      <c r="M5005" s="17"/>
      <c r="N5005" s="17"/>
      <c r="O5005" s="17"/>
      <c r="P5005" s="17"/>
      <c r="Q5005" s="17"/>
      <c r="R5005" s="17"/>
      <c r="S5005" s="17"/>
      <c r="T5005" s="17"/>
      <c r="U5005" s="17"/>
      <c r="V5005" s="18">
        <v>0</v>
      </c>
      <c r="W5005" s="17">
        <f t="shared" si="146"/>
        <v>0</v>
      </c>
    </row>
    <row r="5006" spans="1:23" x14ac:dyDescent="0.25">
      <c r="A5006" s="17"/>
      <c r="B5006" s="17"/>
      <c r="C5006" s="17"/>
      <c r="D5006" s="17"/>
      <c r="E5006" s="17"/>
      <c r="F5006" s="17"/>
      <c r="G5006" s="17"/>
      <c r="H5006" s="17"/>
      <c r="I5006" s="17"/>
      <c r="J5006" s="17"/>
      <c r="K5006" s="17"/>
      <c r="L5006" s="17"/>
      <c r="M5006" s="17"/>
      <c r="N5006" s="17"/>
      <c r="O5006" s="17"/>
      <c r="P5006" s="17"/>
      <c r="Q5006" s="17"/>
      <c r="R5006" s="17"/>
      <c r="S5006" s="17"/>
      <c r="T5006" s="17"/>
      <c r="U5006" s="17"/>
      <c r="V5006" s="18">
        <v>0</v>
      </c>
      <c r="W5006" s="17">
        <f t="shared" si="146"/>
        <v>0</v>
      </c>
    </row>
    <row r="5007" spans="1:23" x14ac:dyDescent="0.25">
      <c r="A5007" s="17"/>
      <c r="B5007" s="17"/>
      <c r="C5007" s="17"/>
      <c r="D5007" s="17"/>
      <c r="E5007" s="17"/>
      <c r="F5007" s="17"/>
      <c r="G5007" s="17"/>
      <c r="H5007" s="17"/>
      <c r="I5007" s="17"/>
      <c r="J5007" s="17"/>
      <c r="K5007" s="17"/>
      <c r="L5007" s="17"/>
      <c r="M5007" s="17"/>
      <c r="N5007" s="17"/>
      <c r="O5007" s="17"/>
      <c r="P5007" s="17"/>
      <c r="Q5007" s="17"/>
      <c r="R5007" s="17"/>
      <c r="S5007" s="17"/>
      <c r="T5007" s="17"/>
      <c r="U5007" s="17"/>
      <c r="V5007" s="18">
        <v>0</v>
      </c>
      <c r="W5007" s="17">
        <f t="shared" si="146"/>
        <v>0</v>
      </c>
    </row>
    <row r="5008" spans="1:23" x14ac:dyDescent="0.25">
      <c r="A5008" s="17"/>
      <c r="B5008" s="17"/>
      <c r="C5008" s="17"/>
      <c r="D5008" s="17"/>
      <c r="E5008" s="17"/>
      <c r="F5008" s="17"/>
      <c r="G5008" s="17"/>
      <c r="H5008" s="17"/>
      <c r="I5008" s="17"/>
      <c r="J5008" s="17"/>
      <c r="K5008" s="17"/>
      <c r="L5008" s="17"/>
      <c r="M5008" s="17"/>
      <c r="N5008" s="17"/>
      <c r="O5008" s="17"/>
      <c r="P5008" s="17"/>
      <c r="Q5008" s="17"/>
      <c r="R5008" s="17"/>
      <c r="S5008" s="17"/>
      <c r="T5008" s="17"/>
      <c r="U5008" s="17"/>
      <c r="V5008" s="18">
        <v>0</v>
      </c>
      <c r="W5008" s="17">
        <f t="shared" si="146"/>
        <v>0</v>
      </c>
    </row>
    <row r="5009" spans="1:23" x14ac:dyDescent="0.25">
      <c r="A5009" s="17"/>
      <c r="B5009" s="17"/>
      <c r="C5009" s="17"/>
      <c r="D5009" s="17"/>
      <c r="E5009" s="17"/>
      <c r="F5009" s="17"/>
      <c r="G5009" s="17"/>
      <c r="H5009" s="17"/>
      <c r="I5009" s="17"/>
      <c r="J5009" s="17"/>
      <c r="K5009" s="17"/>
      <c r="L5009" s="17"/>
      <c r="M5009" s="17"/>
      <c r="N5009" s="17"/>
      <c r="O5009" s="17"/>
      <c r="P5009" s="17"/>
      <c r="Q5009" s="17"/>
      <c r="R5009" s="17"/>
      <c r="S5009" s="17"/>
      <c r="T5009" s="17"/>
      <c r="U5009" s="17"/>
      <c r="V5009" s="18">
        <v>0</v>
      </c>
      <c r="W5009" s="17">
        <f t="shared" si="146"/>
        <v>0</v>
      </c>
    </row>
    <row r="5010" spans="1:23" x14ac:dyDescent="0.25">
      <c r="A5010" s="17"/>
      <c r="B5010" s="17"/>
      <c r="C5010" s="17"/>
      <c r="D5010" s="17"/>
      <c r="E5010" s="17"/>
      <c r="F5010" s="17"/>
      <c r="G5010" s="17"/>
      <c r="H5010" s="17"/>
      <c r="I5010" s="17"/>
      <c r="J5010" s="17"/>
      <c r="K5010" s="17"/>
      <c r="L5010" s="17"/>
      <c r="M5010" s="17"/>
      <c r="N5010" s="17"/>
      <c r="O5010" s="17"/>
      <c r="P5010" s="17"/>
      <c r="Q5010" s="17"/>
      <c r="R5010" s="17"/>
      <c r="S5010" s="17"/>
      <c r="T5010" s="17"/>
      <c r="U5010" s="17"/>
      <c r="V5010" s="18">
        <v>0</v>
      </c>
      <c r="W5010" s="17">
        <f t="shared" si="146"/>
        <v>0</v>
      </c>
    </row>
    <row r="5011" spans="1:23" x14ac:dyDescent="0.25">
      <c r="A5011" s="17"/>
      <c r="B5011" s="17"/>
      <c r="C5011" s="17"/>
      <c r="D5011" s="17"/>
      <c r="E5011" s="17"/>
      <c r="F5011" s="17"/>
      <c r="G5011" s="17"/>
      <c r="H5011" s="17"/>
      <c r="I5011" s="17"/>
      <c r="J5011" s="17"/>
      <c r="K5011" s="17"/>
      <c r="L5011" s="17"/>
      <c r="M5011" s="17"/>
      <c r="N5011" s="17"/>
      <c r="O5011" s="17"/>
      <c r="P5011" s="17"/>
      <c r="Q5011" s="17"/>
      <c r="R5011" s="17"/>
      <c r="S5011" s="17"/>
      <c r="T5011" s="17"/>
      <c r="U5011" s="17"/>
      <c r="V5011" s="18">
        <v>0</v>
      </c>
      <c r="W5011" s="17">
        <f t="shared" si="146"/>
        <v>0</v>
      </c>
    </row>
    <row r="5012" spans="1:23" x14ac:dyDescent="0.25">
      <c r="A5012" s="17"/>
      <c r="B5012" s="17"/>
      <c r="C5012" s="17"/>
      <c r="D5012" s="17"/>
      <c r="E5012" s="17"/>
      <c r="F5012" s="17"/>
      <c r="G5012" s="17"/>
      <c r="H5012" s="17"/>
      <c r="I5012" s="17"/>
      <c r="J5012" s="17"/>
      <c r="K5012" s="17"/>
      <c r="L5012" s="17"/>
      <c r="M5012" s="17"/>
      <c r="N5012" s="17"/>
      <c r="O5012" s="17"/>
      <c r="P5012" s="17"/>
      <c r="Q5012" s="17"/>
      <c r="R5012" s="17"/>
      <c r="S5012" s="17"/>
      <c r="T5012" s="17"/>
      <c r="U5012" s="17"/>
      <c r="V5012" s="18">
        <v>0</v>
      </c>
      <c r="W5012" s="17">
        <f t="shared" si="146"/>
        <v>0</v>
      </c>
    </row>
    <row r="5013" spans="1:23" x14ac:dyDescent="0.25">
      <c r="A5013" s="17"/>
      <c r="B5013" s="17"/>
      <c r="C5013" s="17"/>
      <c r="D5013" s="17"/>
      <c r="E5013" s="17"/>
      <c r="F5013" s="17"/>
      <c r="G5013" s="17"/>
      <c r="H5013" s="17"/>
      <c r="I5013" s="17"/>
      <c r="J5013" s="17"/>
      <c r="K5013" s="17"/>
      <c r="L5013" s="17"/>
      <c r="M5013" s="17"/>
      <c r="N5013" s="17"/>
      <c r="O5013" s="17"/>
      <c r="P5013" s="17"/>
      <c r="Q5013" s="17"/>
      <c r="R5013" s="17"/>
      <c r="S5013" s="17"/>
      <c r="T5013" s="17"/>
      <c r="U5013" s="17"/>
      <c r="V5013" s="18">
        <v>0</v>
      </c>
      <c r="W5013" s="17">
        <f t="shared" si="146"/>
        <v>0</v>
      </c>
    </row>
    <row r="5014" spans="1:23" x14ac:dyDescent="0.25">
      <c r="A5014" s="17"/>
      <c r="B5014" s="17"/>
      <c r="C5014" s="17"/>
      <c r="D5014" s="17"/>
      <c r="E5014" s="17"/>
      <c r="F5014" s="17"/>
      <c r="G5014" s="17"/>
      <c r="H5014" s="17"/>
      <c r="I5014" s="17"/>
      <c r="J5014" s="17"/>
      <c r="K5014" s="17"/>
      <c r="L5014" s="17"/>
      <c r="M5014" s="17"/>
      <c r="N5014" s="17"/>
      <c r="O5014" s="17"/>
      <c r="P5014" s="17"/>
      <c r="Q5014" s="17"/>
      <c r="R5014" s="17"/>
      <c r="S5014" s="17"/>
      <c r="T5014" s="17"/>
      <c r="U5014" s="17"/>
      <c r="V5014" s="18">
        <v>0</v>
      </c>
      <c r="W5014" s="17">
        <f t="shared" si="146"/>
        <v>0</v>
      </c>
    </row>
    <row r="5015" spans="1:23" x14ac:dyDescent="0.25">
      <c r="A5015" s="17"/>
      <c r="B5015" s="17"/>
      <c r="C5015" s="17"/>
      <c r="D5015" s="17"/>
      <c r="E5015" s="17"/>
      <c r="F5015" s="17"/>
      <c r="G5015" s="17"/>
      <c r="H5015" s="17"/>
      <c r="I5015" s="17"/>
      <c r="J5015" s="17"/>
      <c r="K5015" s="17"/>
      <c r="L5015" s="17"/>
      <c r="M5015" s="17"/>
      <c r="N5015" s="17"/>
      <c r="O5015" s="17"/>
      <c r="P5015" s="17"/>
      <c r="Q5015" s="17"/>
      <c r="R5015" s="17"/>
      <c r="S5015" s="17"/>
      <c r="T5015" s="17"/>
      <c r="U5015" s="17"/>
      <c r="V5015" s="18">
        <v>0</v>
      </c>
      <c r="W5015" s="17">
        <f t="shared" si="146"/>
        <v>0</v>
      </c>
    </row>
    <row r="5016" spans="1:23" x14ac:dyDescent="0.25">
      <c r="A5016" s="17"/>
      <c r="B5016" s="17"/>
      <c r="C5016" s="17"/>
      <c r="D5016" s="17"/>
      <c r="E5016" s="17"/>
      <c r="F5016" s="17"/>
      <c r="G5016" s="17"/>
      <c r="H5016" s="17"/>
      <c r="I5016" s="17"/>
      <c r="J5016" s="17"/>
      <c r="K5016" s="17"/>
      <c r="L5016" s="17"/>
      <c r="M5016" s="17"/>
      <c r="N5016" s="17"/>
      <c r="O5016" s="17"/>
      <c r="P5016" s="17"/>
      <c r="Q5016" s="17"/>
      <c r="R5016" s="17"/>
      <c r="S5016" s="17"/>
      <c r="T5016" s="17"/>
      <c r="U5016" s="17"/>
      <c r="V5016" s="18">
        <v>0</v>
      </c>
      <c r="W5016" s="17">
        <f t="shared" si="146"/>
        <v>0</v>
      </c>
    </row>
    <row r="5017" spans="1:23" x14ac:dyDescent="0.25">
      <c r="A5017" s="17"/>
      <c r="B5017" s="17"/>
      <c r="C5017" s="17"/>
      <c r="D5017" s="17"/>
      <c r="E5017" s="17"/>
      <c r="F5017" s="17"/>
      <c r="G5017" s="17"/>
      <c r="H5017" s="17"/>
      <c r="I5017" s="17"/>
      <c r="J5017" s="17"/>
      <c r="K5017" s="17"/>
      <c r="L5017" s="17"/>
      <c r="M5017" s="17"/>
      <c r="N5017" s="17"/>
      <c r="O5017" s="17"/>
      <c r="P5017" s="17"/>
      <c r="Q5017" s="17"/>
      <c r="R5017" s="17"/>
      <c r="S5017" s="17"/>
      <c r="T5017" s="17"/>
      <c r="U5017" s="17"/>
      <c r="V5017" s="18">
        <v>0</v>
      </c>
      <c r="W5017" s="17">
        <f t="shared" si="146"/>
        <v>0</v>
      </c>
    </row>
    <row r="5018" spans="1:23" x14ac:dyDescent="0.25">
      <c r="A5018" s="17"/>
      <c r="B5018" s="17"/>
      <c r="C5018" s="17"/>
      <c r="D5018" s="17"/>
      <c r="E5018" s="17"/>
      <c r="F5018" s="17"/>
      <c r="G5018" s="17"/>
      <c r="H5018" s="17"/>
      <c r="I5018" s="17"/>
      <c r="J5018" s="17"/>
      <c r="K5018" s="17"/>
      <c r="L5018" s="17"/>
      <c r="M5018" s="17"/>
      <c r="N5018" s="17"/>
      <c r="O5018" s="17"/>
      <c r="P5018" s="17"/>
      <c r="Q5018" s="17"/>
      <c r="R5018" s="17"/>
      <c r="S5018" s="17"/>
      <c r="T5018" s="17"/>
      <c r="U5018" s="17"/>
      <c r="V5018" s="18">
        <v>0</v>
      </c>
      <c r="W5018" s="17">
        <f t="shared" si="146"/>
        <v>0</v>
      </c>
    </row>
    <row r="5019" spans="1:23" x14ac:dyDescent="0.25">
      <c r="A5019" s="17"/>
      <c r="B5019" s="17"/>
      <c r="C5019" s="17"/>
      <c r="D5019" s="17"/>
      <c r="E5019" s="17"/>
      <c r="F5019" s="17"/>
      <c r="G5019" s="17"/>
      <c r="H5019" s="17"/>
      <c r="I5019" s="17"/>
      <c r="J5019" s="17"/>
      <c r="K5019" s="17"/>
      <c r="L5019" s="17"/>
      <c r="M5019" s="17"/>
      <c r="N5019" s="17"/>
      <c r="O5019" s="17"/>
      <c r="P5019" s="17"/>
      <c r="Q5019" s="17"/>
      <c r="R5019" s="17"/>
      <c r="S5019" s="17"/>
      <c r="T5019" s="17"/>
      <c r="U5019" s="17"/>
      <c r="V5019" s="18">
        <v>0</v>
      </c>
      <c r="W5019" s="17">
        <f t="shared" si="146"/>
        <v>0</v>
      </c>
    </row>
    <row r="5020" spans="1:23" x14ac:dyDescent="0.25">
      <c r="A5020" s="17"/>
      <c r="B5020" s="17"/>
      <c r="C5020" s="17"/>
      <c r="D5020" s="17"/>
      <c r="E5020" s="17"/>
      <c r="F5020" s="17"/>
      <c r="G5020" s="17"/>
      <c r="H5020" s="17"/>
      <c r="I5020" s="17"/>
      <c r="J5020" s="17"/>
      <c r="K5020" s="17"/>
      <c r="L5020" s="17"/>
      <c r="M5020" s="17"/>
      <c r="N5020" s="17"/>
      <c r="O5020" s="17"/>
      <c r="P5020" s="17"/>
      <c r="Q5020" s="17"/>
      <c r="R5020" s="17"/>
      <c r="S5020" s="17"/>
      <c r="T5020" s="17"/>
      <c r="U5020" s="17"/>
      <c r="V5020" s="18">
        <v>0</v>
      </c>
      <c r="W5020" s="17">
        <f t="shared" si="146"/>
        <v>0</v>
      </c>
    </row>
    <row r="5021" spans="1:23" x14ac:dyDescent="0.25">
      <c r="A5021" s="17"/>
      <c r="B5021" s="17"/>
      <c r="C5021" s="17"/>
      <c r="D5021" s="17"/>
      <c r="E5021" s="17"/>
      <c r="F5021" s="17"/>
      <c r="G5021" s="17"/>
      <c r="H5021" s="17"/>
      <c r="I5021" s="17"/>
      <c r="J5021" s="17"/>
      <c r="K5021" s="17"/>
      <c r="L5021" s="17"/>
      <c r="M5021" s="17"/>
      <c r="N5021" s="17"/>
      <c r="O5021" s="17"/>
      <c r="P5021" s="17"/>
      <c r="Q5021" s="17"/>
      <c r="R5021" s="17"/>
      <c r="S5021" s="17"/>
      <c r="T5021" s="17"/>
      <c r="U5021" s="17"/>
      <c r="V5021" s="18">
        <v>0</v>
      </c>
      <c r="W5021" s="17">
        <f t="shared" si="146"/>
        <v>0</v>
      </c>
    </row>
    <row r="5022" spans="1:23" x14ac:dyDescent="0.25">
      <c r="A5022" s="17"/>
      <c r="B5022" s="17"/>
      <c r="C5022" s="17"/>
      <c r="D5022" s="17"/>
      <c r="E5022" s="17"/>
      <c r="F5022" s="17"/>
      <c r="G5022" s="17"/>
      <c r="H5022" s="17"/>
      <c r="I5022" s="17"/>
      <c r="J5022" s="17"/>
      <c r="K5022" s="17"/>
      <c r="L5022" s="17"/>
      <c r="M5022" s="17"/>
      <c r="N5022" s="17"/>
      <c r="O5022" s="17"/>
      <c r="P5022" s="17"/>
      <c r="Q5022" s="17"/>
      <c r="R5022" s="17"/>
      <c r="S5022" s="17"/>
      <c r="T5022" s="17"/>
      <c r="U5022" s="17"/>
      <c r="V5022" s="18">
        <v>0</v>
      </c>
      <c r="W5022" s="17">
        <f t="shared" si="146"/>
        <v>0</v>
      </c>
    </row>
    <row r="5023" spans="1:23" x14ac:dyDescent="0.25">
      <c r="A5023" s="17"/>
      <c r="B5023" s="17"/>
      <c r="C5023" s="17"/>
      <c r="D5023" s="17"/>
      <c r="E5023" s="17"/>
      <c r="F5023" s="17"/>
      <c r="G5023" s="17"/>
      <c r="H5023" s="17"/>
      <c r="I5023" s="17"/>
      <c r="J5023" s="17"/>
      <c r="K5023" s="17"/>
      <c r="L5023" s="17"/>
      <c r="M5023" s="17"/>
      <c r="N5023" s="17"/>
      <c r="O5023" s="17"/>
      <c r="P5023" s="17"/>
      <c r="Q5023" s="17"/>
      <c r="R5023" s="17"/>
      <c r="S5023" s="17"/>
      <c r="T5023" s="17"/>
      <c r="U5023" s="17"/>
      <c r="V5023" s="18">
        <v>0</v>
      </c>
      <c r="W5023" s="17">
        <f t="shared" si="146"/>
        <v>0</v>
      </c>
    </row>
    <row r="5024" spans="1:23" x14ac:dyDescent="0.25">
      <c r="A5024" s="17"/>
      <c r="B5024" s="17"/>
      <c r="C5024" s="17"/>
      <c r="D5024" s="17"/>
      <c r="E5024" s="17"/>
      <c r="F5024" s="17"/>
      <c r="G5024" s="17"/>
      <c r="H5024" s="17"/>
      <c r="I5024" s="17"/>
      <c r="J5024" s="17"/>
      <c r="K5024" s="17"/>
      <c r="L5024" s="17"/>
      <c r="M5024" s="17"/>
      <c r="N5024" s="17"/>
      <c r="O5024" s="17"/>
      <c r="P5024" s="17"/>
      <c r="Q5024" s="17"/>
      <c r="R5024" s="17"/>
      <c r="S5024" s="17"/>
      <c r="T5024" s="17"/>
      <c r="U5024" s="17"/>
      <c r="V5024" s="18">
        <v>0</v>
      </c>
      <c r="W5024" s="17">
        <f t="shared" si="146"/>
        <v>0</v>
      </c>
    </row>
    <row r="5025" spans="1:23" x14ac:dyDescent="0.25">
      <c r="A5025" s="17"/>
      <c r="B5025" s="17"/>
      <c r="C5025" s="17"/>
      <c r="D5025" s="17"/>
      <c r="E5025" s="17"/>
      <c r="F5025" s="17"/>
      <c r="G5025" s="17"/>
      <c r="H5025" s="17"/>
      <c r="I5025" s="17"/>
      <c r="J5025" s="17"/>
      <c r="K5025" s="17"/>
      <c r="L5025" s="17"/>
      <c r="M5025" s="17"/>
      <c r="N5025" s="17"/>
      <c r="O5025" s="17"/>
      <c r="P5025" s="17"/>
      <c r="Q5025" s="17"/>
      <c r="R5025" s="17"/>
      <c r="S5025" s="17"/>
      <c r="T5025" s="17"/>
      <c r="U5025" s="17"/>
      <c r="V5025" s="18">
        <v>0</v>
      </c>
      <c r="W5025" s="17">
        <f t="shared" si="146"/>
        <v>0</v>
      </c>
    </row>
    <row r="5026" spans="1:23" x14ac:dyDescent="0.25">
      <c r="A5026" s="17"/>
      <c r="B5026" s="17"/>
      <c r="C5026" s="17"/>
      <c r="D5026" s="17"/>
      <c r="E5026" s="17"/>
      <c r="F5026" s="17"/>
      <c r="G5026" s="17"/>
      <c r="H5026" s="17"/>
      <c r="I5026" s="17"/>
      <c r="J5026" s="17"/>
      <c r="K5026" s="17"/>
      <c r="L5026" s="17"/>
      <c r="M5026" s="17"/>
      <c r="N5026" s="17"/>
      <c r="O5026" s="17"/>
      <c r="P5026" s="17"/>
      <c r="Q5026" s="17"/>
      <c r="R5026" s="17"/>
      <c r="S5026" s="17"/>
      <c r="T5026" s="17"/>
      <c r="U5026" s="17"/>
      <c r="V5026" s="18">
        <v>0</v>
      </c>
      <c r="W5026" s="17">
        <f t="shared" si="146"/>
        <v>0</v>
      </c>
    </row>
    <row r="5027" spans="1:23" x14ac:dyDescent="0.25">
      <c r="A5027" s="17"/>
      <c r="B5027" s="17"/>
      <c r="C5027" s="17"/>
      <c r="D5027" s="17"/>
      <c r="E5027" s="17"/>
      <c r="F5027" s="17"/>
      <c r="G5027" s="17"/>
      <c r="H5027" s="17"/>
      <c r="I5027" s="17"/>
      <c r="J5027" s="17"/>
      <c r="K5027" s="17"/>
      <c r="L5027" s="17"/>
      <c r="M5027" s="17"/>
      <c r="N5027" s="17"/>
      <c r="O5027" s="17"/>
      <c r="P5027" s="17"/>
      <c r="Q5027" s="17"/>
      <c r="R5027" s="17"/>
      <c r="S5027" s="17"/>
      <c r="T5027" s="17"/>
      <c r="U5027" s="17"/>
      <c r="V5027" s="18">
        <v>0</v>
      </c>
      <c r="W5027" s="17">
        <f t="shared" si="146"/>
        <v>0</v>
      </c>
    </row>
    <row r="5028" spans="1:23" x14ac:dyDescent="0.25">
      <c r="A5028" s="17"/>
      <c r="B5028" s="17"/>
      <c r="C5028" s="17"/>
      <c r="D5028" s="17"/>
      <c r="E5028" s="17"/>
      <c r="F5028" s="17"/>
      <c r="G5028" s="17"/>
      <c r="H5028" s="17"/>
      <c r="I5028" s="17"/>
      <c r="J5028" s="17"/>
      <c r="K5028" s="17"/>
      <c r="L5028" s="17"/>
      <c r="M5028" s="17"/>
      <c r="N5028" s="17"/>
      <c r="O5028" s="17"/>
      <c r="P5028" s="17"/>
      <c r="Q5028" s="17"/>
      <c r="R5028" s="17"/>
      <c r="S5028" s="17"/>
      <c r="T5028" s="17"/>
      <c r="U5028" s="17"/>
      <c r="V5028" s="18">
        <v>0</v>
      </c>
      <c r="W5028" s="17">
        <f t="shared" si="146"/>
        <v>0</v>
      </c>
    </row>
    <row r="5029" spans="1:23" x14ac:dyDescent="0.25">
      <c r="A5029" s="17"/>
      <c r="B5029" s="17"/>
      <c r="C5029" s="17"/>
      <c r="D5029" s="17"/>
      <c r="E5029" s="17"/>
      <c r="F5029" s="17"/>
      <c r="G5029" s="17"/>
      <c r="H5029" s="17"/>
      <c r="I5029" s="17"/>
      <c r="J5029" s="17"/>
      <c r="K5029" s="17"/>
      <c r="L5029" s="17"/>
      <c r="M5029" s="17"/>
      <c r="N5029" s="17"/>
      <c r="O5029" s="17"/>
      <c r="P5029" s="17"/>
      <c r="Q5029" s="17"/>
      <c r="R5029" s="17"/>
      <c r="S5029" s="17"/>
      <c r="T5029" s="17"/>
      <c r="U5029" s="17"/>
      <c r="V5029" s="18">
        <v>0</v>
      </c>
      <c r="W5029" s="17">
        <f t="shared" si="146"/>
        <v>0</v>
      </c>
    </row>
    <row r="5030" spans="1:23" x14ac:dyDescent="0.25">
      <c r="A5030" s="17"/>
      <c r="B5030" s="17"/>
      <c r="C5030" s="17"/>
      <c r="D5030" s="17"/>
      <c r="E5030" s="17"/>
      <c r="F5030" s="17"/>
      <c r="G5030" s="17"/>
      <c r="H5030" s="17"/>
      <c r="I5030" s="17"/>
      <c r="J5030" s="17"/>
      <c r="K5030" s="17"/>
      <c r="L5030" s="17"/>
      <c r="M5030" s="17"/>
      <c r="N5030" s="17"/>
      <c r="O5030" s="17"/>
      <c r="P5030" s="17"/>
      <c r="Q5030" s="17"/>
      <c r="R5030" s="17"/>
      <c r="S5030" s="17"/>
      <c r="T5030" s="17"/>
      <c r="U5030" s="17"/>
      <c r="V5030" s="18">
        <v>0</v>
      </c>
      <c r="W5030" s="17">
        <f t="shared" si="146"/>
        <v>0</v>
      </c>
    </row>
    <row r="5031" spans="1:23" x14ac:dyDescent="0.25">
      <c r="A5031" s="17"/>
      <c r="B5031" s="17"/>
      <c r="C5031" s="17"/>
      <c r="D5031" s="17"/>
      <c r="E5031" s="17"/>
      <c r="F5031" s="17"/>
      <c r="G5031" s="17"/>
      <c r="H5031" s="17"/>
      <c r="I5031" s="17"/>
      <c r="J5031" s="17"/>
      <c r="K5031" s="17"/>
      <c r="L5031" s="17"/>
      <c r="M5031" s="17"/>
      <c r="N5031" s="17"/>
      <c r="O5031" s="17"/>
      <c r="P5031" s="17"/>
      <c r="Q5031" s="17"/>
      <c r="R5031" s="17"/>
      <c r="S5031" s="17"/>
      <c r="T5031" s="17"/>
      <c r="U5031" s="17"/>
      <c r="V5031" s="18">
        <v>0</v>
      </c>
      <c r="W5031" s="17">
        <f t="shared" si="146"/>
        <v>0</v>
      </c>
    </row>
    <row r="5032" spans="1:23" x14ac:dyDescent="0.25">
      <c r="A5032" s="17"/>
      <c r="B5032" s="17"/>
      <c r="C5032" s="17"/>
      <c r="D5032" s="17"/>
      <c r="E5032" s="17"/>
      <c r="F5032" s="17"/>
      <c r="G5032" s="17"/>
      <c r="H5032" s="17"/>
      <c r="I5032" s="17"/>
      <c r="J5032" s="17"/>
      <c r="K5032" s="17"/>
      <c r="L5032" s="17"/>
      <c r="M5032" s="17"/>
      <c r="N5032" s="17"/>
      <c r="O5032" s="17"/>
      <c r="P5032" s="17"/>
      <c r="Q5032" s="17"/>
      <c r="R5032" s="17"/>
      <c r="S5032" s="17"/>
      <c r="T5032" s="17"/>
      <c r="U5032" s="17"/>
      <c r="V5032" s="18">
        <v>0</v>
      </c>
      <c r="W5032" s="17">
        <f t="shared" si="146"/>
        <v>0</v>
      </c>
    </row>
    <row r="5033" spans="1:23" x14ac:dyDescent="0.25">
      <c r="A5033" s="17"/>
      <c r="B5033" s="17"/>
      <c r="C5033" s="17"/>
      <c r="D5033" s="17"/>
      <c r="E5033" s="17"/>
      <c r="F5033" s="17"/>
      <c r="G5033" s="17"/>
      <c r="H5033" s="17"/>
      <c r="I5033" s="17"/>
      <c r="J5033" s="17"/>
      <c r="K5033" s="17"/>
      <c r="L5033" s="17"/>
      <c r="M5033" s="17"/>
      <c r="N5033" s="17"/>
      <c r="O5033" s="17"/>
      <c r="P5033" s="17"/>
      <c r="Q5033" s="17"/>
      <c r="R5033" s="17"/>
      <c r="S5033" s="17"/>
      <c r="T5033" s="17"/>
      <c r="U5033" s="17"/>
      <c r="V5033" s="18">
        <v>0</v>
      </c>
      <c r="W5033" s="17">
        <f t="shared" si="146"/>
        <v>0</v>
      </c>
    </row>
    <row r="5034" spans="1:23" x14ac:dyDescent="0.25">
      <c r="A5034" s="17"/>
      <c r="B5034" s="17"/>
      <c r="C5034" s="17"/>
      <c r="D5034" s="17"/>
      <c r="E5034" s="17"/>
      <c r="F5034" s="17"/>
      <c r="G5034" s="17"/>
      <c r="H5034" s="17"/>
      <c r="I5034" s="17"/>
      <c r="J5034" s="17"/>
      <c r="K5034" s="17"/>
      <c r="L5034" s="17"/>
      <c r="M5034" s="17"/>
      <c r="N5034" s="17"/>
      <c r="O5034" s="17"/>
      <c r="P5034" s="17"/>
      <c r="Q5034" s="17"/>
      <c r="R5034" s="17"/>
      <c r="S5034" s="17"/>
      <c r="T5034" s="17"/>
      <c r="U5034" s="17"/>
      <c r="V5034" s="18">
        <v>0</v>
      </c>
      <c r="W5034" s="17">
        <f t="shared" si="146"/>
        <v>0</v>
      </c>
    </row>
    <row r="5035" spans="1:23" x14ac:dyDescent="0.25">
      <c r="A5035" s="17"/>
      <c r="B5035" s="17"/>
      <c r="C5035" s="17"/>
      <c r="D5035" s="17"/>
      <c r="E5035" s="17"/>
      <c r="F5035" s="17"/>
      <c r="G5035" s="17"/>
      <c r="H5035" s="17"/>
      <c r="I5035" s="17"/>
      <c r="J5035" s="17"/>
      <c r="K5035" s="17"/>
      <c r="L5035" s="17"/>
      <c r="M5035" s="17"/>
      <c r="N5035" s="17"/>
      <c r="O5035" s="17"/>
      <c r="P5035" s="17"/>
      <c r="Q5035" s="17"/>
      <c r="R5035" s="17"/>
      <c r="S5035" s="17"/>
      <c r="T5035" s="17"/>
      <c r="U5035" s="17"/>
      <c r="V5035" s="18">
        <v>0</v>
      </c>
      <c r="W5035" s="17">
        <f t="shared" si="146"/>
        <v>0</v>
      </c>
    </row>
    <row r="5036" spans="1:23" x14ac:dyDescent="0.25">
      <c r="A5036" s="17"/>
      <c r="B5036" s="17"/>
      <c r="C5036" s="17"/>
      <c r="D5036" s="17"/>
      <c r="E5036" s="17"/>
      <c r="F5036" s="17"/>
      <c r="G5036" s="17"/>
      <c r="H5036" s="17"/>
      <c r="I5036" s="17"/>
      <c r="J5036" s="17"/>
      <c r="K5036" s="17"/>
      <c r="L5036" s="17"/>
      <c r="M5036" s="17"/>
      <c r="N5036" s="17"/>
      <c r="O5036" s="17"/>
      <c r="P5036" s="17"/>
      <c r="Q5036" s="17"/>
      <c r="R5036" s="17"/>
      <c r="S5036" s="17"/>
      <c r="T5036" s="17"/>
      <c r="U5036" s="17"/>
      <c r="V5036" s="18">
        <v>0</v>
      </c>
      <c r="W5036" s="17">
        <f t="shared" si="146"/>
        <v>0</v>
      </c>
    </row>
    <row r="5037" spans="1:23" x14ac:dyDescent="0.25">
      <c r="A5037" s="17"/>
      <c r="B5037" s="17"/>
      <c r="C5037" s="17"/>
      <c r="D5037" s="17"/>
      <c r="E5037" s="17"/>
      <c r="F5037" s="17"/>
      <c r="G5037" s="17"/>
      <c r="H5037" s="17"/>
      <c r="I5037" s="17"/>
      <c r="J5037" s="17"/>
      <c r="K5037" s="17"/>
      <c r="L5037" s="17"/>
      <c r="M5037" s="17"/>
      <c r="N5037" s="17"/>
      <c r="O5037" s="17"/>
      <c r="P5037" s="17"/>
      <c r="Q5037" s="17"/>
      <c r="R5037" s="17"/>
      <c r="S5037" s="17"/>
      <c r="T5037" s="17"/>
      <c r="U5037" s="17"/>
      <c r="V5037" s="18">
        <v>0</v>
      </c>
      <c r="W5037" s="17">
        <f t="shared" si="146"/>
        <v>0</v>
      </c>
    </row>
    <row r="5038" spans="1:23" x14ac:dyDescent="0.25">
      <c r="A5038" s="17"/>
      <c r="B5038" s="17"/>
      <c r="C5038" s="17"/>
      <c r="D5038" s="17"/>
      <c r="E5038" s="17"/>
      <c r="F5038" s="17"/>
      <c r="G5038" s="17"/>
      <c r="H5038" s="17"/>
      <c r="I5038" s="17"/>
      <c r="J5038" s="17"/>
      <c r="K5038" s="17"/>
      <c r="L5038" s="17"/>
      <c r="M5038" s="17"/>
      <c r="N5038" s="17"/>
      <c r="O5038" s="17"/>
      <c r="P5038" s="17"/>
      <c r="Q5038" s="17"/>
      <c r="R5038" s="17"/>
      <c r="S5038" s="17"/>
      <c r="T5038" s="17"/>
      <c r="U5038" s="17"/>
      <c r="V5038" s="18">
        <v>0</v>
      </c>
      <c r="W5038" s="17">
        <f t="shared" si="146"/>
        <v>0</v>
      </c>
    </row>
    <row r="5039" spans="1:23" x14ac:dyDescent="0.25">
      <c r="A5039" s="17"/>
      <c r="B5039" s="17"/>
      <c r="C5039" s="17"/>
      <c r="D5039" s="17"/>
      <c r="E5039" s="17"/>
      <c r="F5039" s="17"/>
      <c r="G5039" s="17"/>
      <c r="H5039" s="17"/>
      <c r="I5039" s="17"/>
      <c r="J5039" s="17"/>
      <c r="K5039" s="17"/>
      <c r="L5039" s="17"/>
      <c r="M5039" s="17"/>
      <c r="N5039" s="17"/>
      <c r="O5039" s="17"/>
      <c r="P5039" s="17"/>
      <c r="Q5039" s="17"/>
      <c r="R5039" s="17"/>
      <c r="S5039" s="17"/>
      <c r="T5039" s="17"/>
      <c r="U5039" s="17"/>
      <c r="V5039" s="18">
        <v>0</v>
      </c>
      <c r="W5039" s="17">
        <f t="shared" si="146"/>
        <v>0</v>
      </c>
    </row>
    <row r="5040" spans="1:23" x14ac:dyDescent="0.25">
      <c r="A5040" s="17"/>
      <c r="B5040" s="17"/>
      <c r="C5040" s="17"/>
      <c r="D5040" s="17"/>
      <c r="E5040" s="17"/>
      <c r="F5040" s="17"/>
      <c r="G5040" s="17"/>
      <c r="H5040" s="17"/>
      <c r="I5040" s="17"/>
      <c r="J5040" s="17"/>
      <c r="K5040" s="17"/>
      <c r="L5040" s="17"/>
      <c r="M5040" s="17"/>
      <c r="N5040" s="17"/>
      <c r="O5040" s="17"/>
      <c r="P5040" s="17"/>
      <c r="Q5040" s="17"/>
      <c r="R5040" s="17"/>
      <c r="S5040" s="17"/>
      <c r="T5040" s="17"/>
      <c r="U5040" s="17"/>
      <c r="V5040" s="18">
        <v>0</v>
      </c>
      <c r="W5040" s="17">
        <f t="shared" si="146"/>
        <v>0</v>
      </c>
    </row>
    <row r="5041" spans="1:23" x14ac:dyDescent="0.25">
      <c r="A5041" s="17"/>
      <c r="B5041" s="17"/>
      <c r="C5041" s="17"/>
      <c r="D5041" s="17"/>
      <c r="E5041" s="17"/>
      <c r="F5041" s="17"/>
      <c r="G5041" s="17"/>
      <c r="H5041" s="17"/>
      <c r="I5041" s="17"/>
      <c r="J5041" s="17"/>
      <c r="K5041" s="17"/>
      <c r="L5041" s="17"/>
      <c r="M5041" s="17"/>
      <c r="N5041" s="17"/>
      <c r="O5041" s="17"/>
      <c r="P5041" s="17"/>
      <c r="Q5041" s="17"/>
      <c r="R5041" s="17"/>
      <c r="S5041" s="17"/>
      <c r="T5041" s="17"/>
      <c r="U5041" s="17"/>
      <c r="V5041" s="18">
        <v>0</v>
      </c>
      <c r="W5041" s="17">
        <f t="shared" si="146"/>
        <v>0</v>
      </c>
    </row>
    <row r="5042" spans="1:23" x14ac:dyDescent="0.25">
      <c r="A5042" s="17"/>
      <c r="B5042" s="17"/>
      <c r="C5042" s="17"/>
      <c r="D5042" s="17"/>
      <c r="E5042" s="17"/>
      <c r="F5042" s="17"/>
      <c r="G5042" s="17"/>
      <c r="H5042" s="17"/>
      <c r="I5042" s="17"/>
      <c r="J5042" s="17"/>
      <c r="K5042" s="17"/>
      <c r="L5042" s="17"/>
      <c r="M5042" s="17"/>
      <c r="N5042" s="17"/>
      <c r="O5042" s="17"/>
      <c r="P5042" s="17"/>
      <c r="Q5042" s="17"/>
      <c r="R5042" s="17"/>
      <c r="S5042" s="17"/>
      <c r="T5042" s="17"/>
      <c r="U5042" s="17"/>
      <c r="V5042" s="18">
        <v>0</v>
      </c>
      <c r="W5042" s="17">
        <f t="shared" si="146"/>
        <v>0</v>
      </c>
    </row>
    <row r="5043" spans="1:23" x14ac:dyDescent="0.25">
      <c r="A5043" s="17"/>
      <c r="B5043" s="17"/>
      <c r="C5043" s="17"/>
      <c r="D5043" s="17"/>
      <c r="E5043" s="17"/>
      <c r="F5043" s="17"/>
      <c r="G5043" s="17"/>
      <c r="H5043" s="17"/>
      <c r="I5043" s="17"/>
      <c r="J5043" s="17"/>
      <c r="K5043" s="17"/>
      <c r="L5043" s="17"/>
      <c r="M5043" s="17"/>
      <c r="N5043" s="17"/>
      <c r="O5043" s="17"/>
      <c r="P5043" s="17"/>
      <c r="Q5043" s="17"/>
      <c r="R5043" s="17"/>
      <c r="S5043" s="17"/>
      <c r="T5043" s="17"/>
      <c r="U5043" s="17"/>
      <c r="V5043" s="18">
        <v>0</v>
      </c>
      <c r="W5043" s="17">
        <f t="shared" si="146"/>
        <v>0</v>
      </c>
    </row>
    <row r="5044" spans="1:23" x14ac:dyDescent="0.25">
      <c r="A5044" s="17"/>
      <c r="B5044" s="17"/>
      <c r="C5044" s="17"/>
      <c r="D5044" s="17"/>
      <c r="E5044" s="17"/>
      <c r="F5044" s="17"/>
      <c r="G5044" s="17"/>
      <c r="H5044" s="17"/>
      <c r="I5044" s="17"/>
      <c r="J5044" s="17"/>
      <c r="K5044" s="17"/>
      <c r="L5044" s="17"/>
      <c r="M5044" s="17"/>
      <c r="N5044" s="17"/>
      <c r="O5044" s="17"/>
      <c r="P5044" s="17"/>
      <c r="Q5044" s="17"/>
      <c r="R5044" s="17"/>
      <c r="S5044" s="17"/>
      <c r="T5044" s="17"/>
      <c r="U5044" s="17"/>
      <c r="V5044" s="18">
        <v>0</v>
      </c>
      <c r="W5044" s="17">
        <f t="shared" si="146"/>
        <v>0</v>
      </c>
    </row>
    <row r="5045" spans="1:23" x14ac:dyDescent="0.25">
      <c r="A5045" s="17"/>
      <c r="B5045" s="17"/>
      <c r="C5045" s="17"/>
      <c r="D5045" s="17"/>
      <c r="E5045" s="17"/>
      <c r="F5045" s="17"/>
      <c r="G5045" s="17"/>
      <c r="H5045" s="17"/>
      <c r="I5045" s="17"/>
      <c r="J5045" s="17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8">
        <v>0</v>
      </c>
      <c r="W5045" s="17">
        <f t="shared" si="146"/>
        <v>0</v>
      </c>
    </row>
    <row r="5046" spans="1:23" x14ac:dyDescent="0.25">
      <c r="A5046" s="17"/>
      <c r="B5046" s="17"/>
      <c r="C5046" s="17"/>
      <c r="D5046" s="17"/>
      <c r="E5046" s="17"/>
      <c r="F5046" s="17"/>
      <c r="G5046" s="17"/>
      <c r="H5046" s="17"/>
      <c r="I5046" s="17"/>
      <c r="J5046" s="17"/>
      <c r="K5046" s="17"/>
      <c r="L5046" s="17"/>
      <c r="M5046" s="17"/>
      <c r="N5046" s="17"/>
      <c r="O5046" s="17"/>
      <c r="P5046" s="17"/>
      <c r="Q5046" s="17"/>
      <c r="R5046" s="17"/>
      <c r="S5046" s="17"/>
      <c r="T5046" s="17"/>
      <c r="U5046" s="17"/>
      <c r="V5046" s="18">
        <v>0</v>
      </c>
      <c r="W5046" s="17">
        <f t="shared" si="146"/>
        <v>0</v>
      </c>
    </row>
    <row r="5047" spans="1:23" x14ac:dyDescent="0.25">
      <c r="A5047" s="17"/>
      <c r="B5047" s="17"/>
      <c r="C5047" s="17"/>
      <c r="D5047" s="17"/>
      <c r="E5047" s="17"/>
      <c r="F5047" s="17"/>
      <c r="G5047" s="17"/>
      <c r="H5047" s="17"/>
      <c r="I5047" s="17"/>
      <c r="J5047" s="17"/>
      <c r="K5047" s="17"/>
      <c r="L5047" s="17"/>
      <c r="M5047" s="17"/>
      <c r="N5047" s="17"/>
      <c r="O5047" s="17"/>
      <c r="P5047" s="17"/>
      <c r="Q5047" s="17"/>
      <c r="R5047" s="17"/>
      <c r="S5047" s="17"/>
      <c r="T5047" s="17"/>
      <c r="U5047" s="17"/>
      <c r="V5047" s="18">
        <v>0</v>
      </c>
      <c r="W5047" s="17">
        <f t="shared" si="146"/>
        <v>0</v>
      </c>
    </row>
    <row r="5048" spans="1:23" x14ac:dyDescent="0.25">
      <c r="A5048" s="17"/>
      <c r="B5048" s="17"/>
      <c r="C5048" s="17"/>
      <c r="D5048" s="17"/>
      <c r="E5048" s="17"/>
      <c r="F5048" s="17"/>
      <c r="G5048" s="17"/>
      <c r="H5048" s="17"/>
      <c r="I5048" s="17"/>
      <c r="J5048" s="17"/>
      <c r="K5048" s="17"/>
      <c r="L5048" s="17"/>
      <c r="M5048" s="17"/>
      <c r="N5048" s="17"/>
      <c r="O5048" s="17"/>
      <c r="P5048" s="17"/>
      <c r="Q5048" s="17"/>
      <c r="R5048" s="17"/>
      <c r="S5048" s="17"/>
      <c r="T5048" s="17"/>
      <c r="U5048" s="17"/>
      <c r="V5048" s="18">
        <v>0</v>
      </c>
      <c r="W5048" s="17">
        <f t="shared" si="146"/>
        <v>0</v>
      </c>
    </row>
    <row r="5049" spans="1:23" x14ac:dyDescent="0.25">
      <c r="A5049" s="17"/>
      <c r="B5049" s="17"/>
      <c r="C5049" s="17"/>
      <c r="D5049" s="17"/>
      <c r="E5049" s="17"/>
      <c r="F5049" s="17"/>
      <c r="G5049" s="17"/>
      <c r="H5049" s="17"/>
      <c r="I5049" s="17"/>
      <c r="J5049" s="17"/>
      <c r="K5049" s="17"/>
      <c r="L5049" s="17"/>
      <c r="M5049" s="17"/>
      <c r="N5049" s="17"/>
      <c r="O5049" s="17"/>
      <c r="P5049" s="17"/>
      <c r="Q5049" s="17"/>
      <c r="R5049" s="17"/>
      <c r="S5049" s="17"/>
      <c r="T5049" s="17"/>
      <c r="U5049" s="17"/>
      <c r="V5049" s="18">
        <v>0</v>
      </c>
      <c r="W5049" s="17">
        <f t="shared" si="146"/>
        <v>0</v>
      </c>
    </row>
    <row r="5050" spans="1:23" x14ac:dyDescent="0.25">
      <c r="A5050" s="17"/>
      <c r="B5050" s="17"/>
      <c r="C5050" s="17"/>
      <c r="D5050" s="17"/>
      <c r="E5050" s="17"/>
      <c r="F5050" s="17"/>
      <c r="G5050" s="17"/>
      <c r="H5050" s="17"/>
      <c r="I5050" s="17"/>
      <c r="J5050" s="17"/>
      <c r="K5050" s="17"/>
      <c r="L5050" s="17"/>
      <c r="M5050" s="17"/>
      <c r="N5050" s="17"/>
      <c r="O5050" s="17"/>
      <c r="P5050" s="17"/>
      <c r="Q5050" s="17"/>
      <c r="R5050" s="17"/>
      <c r="S5050" s="17"/>
      <c r="T5050" s="17"/>
      <c r="U5050" s="17"/>
      <c r="V5050" s="18">
        <v>0</v>
      </c>
      <c r="W5050" s="17">
        <f t="shared" si="146"/>
        <v>0</v>
      </c>
    </row>
    <row r="5051" spans="1:23" x14ac:dyDescent="0.25">
      <c r="A5051" s="17"/>
      <c r="B5051" s="17"/>
      <c r="C5051" s="17"/>
      <c r="D5051" s="17"/>
      <c r="E5051" s="17"/>
      <c r="F5051" s="17"/>
      <c r="G5051" s="17"/>
      <c r="H5051" s="17"/>
      <c r="I5051" s="17"/>
      <c r="J5051" s="17"/>
      <c r="K5051" s="17"/>
      <c r="L5051" s="17"/>
      <c r="M5051" s="17"/>
      <c r="N5051" s="17"/>
      <c r="O5051" s="17"/>
      <c r="P5051" s="17"/>
      <c r="Q5051" s="17"/>
      <c r="R5051" s="17"/>
      <c r="S5051" s="17"/>
      <c r="T5051" s="17"/>
      <c r="U5051" s="17"/>
      <c r="V5051" s="18">
        <v>0</v>
      </c>
      <c r="W5051" s="17">
        <f t="shared" si="146"/>
        <v>0</v>
      </c>
    </row>
    <row r="5052" spans="1:23" x14ac:dyDescent="0.25">
      <c r="A5052" s="17"/>
      <c r="B5052" s="17"/>
      <c r="C5052" s="17"/>
      <c r="D5052" s="17"/>
      <c r="E5052" s="17"/>
      <c r="F5052" s="17"/>
      <c r="G5052" s="17"/>
      <c r="H5052" s="17"/>
      <c r="I5052" s="17"/>
      <c r="J5052" s="17"/>
      <c r="K5052" s="17"/>
      <c r="L5052" s="17"/>
      <c r="M5052" s="17"/>
      <c r="N5052" s="17"/>
      <c r="O5052" s="17"/>
      <c r="P5052" s="17"/>
      <c r="Q5052" s="17"/>
      <c r="R5052" s="17"/>
      <c r="S5052" s="17"/>
      <c r="T5052" s="17"/>
      <c r="U5052" s="17"/>
      <c r="V5052" s="18">
        <v>0</v>
      </c>
      <c r="W5052" s="17">
        <f t="shared" si="146"/>
        <v>0</v>
      </c>
    </row>
    <row r="5053" spans="1:23" x14ac:dyDescent="0.25">
      <c r="A5053" s="17"/>
      <c r="B5053" s="17"/>
      <c r="C5053" s="17"/>
      <c r="D5053" s="17"/>
      <c r="E5053" s="17"/>
      <c r="F5053" s="17"/>
      <c r="G5053" s="17"/>
      <c r="H5053" s="17"/>
      <c r="I5053" s="17"/>
      <c r="J5053" s="17"/>
      <c r="K5053" s="17"/>
      <c r="L5053" s="17"/>
      <c r="M5053" s="17"/>
      <c r="N5053" s="17"/>
      <c r="O5053" s="17"/>
      <c r="P5053" s="17"/>
      <c r="Q5053" s="17"/>
      <c r="R5053" s="17"/>
      <c r="S5053" s="17"/>
      <c r="T5053" s="17"/>
      <c r="U5053" s="17"/>
      <c r="V5053" s="18">
        <v>0</v>
      </c>
      <c r="W5053" s="17">
        <f t="shared" si="146"/>
        <v>0</v>
      </c>
    </row>
    <row r="5054" spans="1:23" x14ac:dyDescent="0.25">
      <c r="A5054" s="17"/>
      <c r="B5054" s="17"/>
      <c r="C5054" s="17"/>
      <c r="D5054" s="17"/>
      <c r="E5054" s="17"/>
      <c r="F5054" s="17"/>
      <c r="G5054" s="17"/>
      <c r="H5054" s="17"/>
      <c r="I5054" s="17"/>
      <c r="J5054" s="17"/>
      <c r="K5054" s="17"/>
      <c r="L5054" s="17"/>
      <c r="M5054" s="17"/>
      <c r="N5054" s="17"/>
      <c r="O5054" s="17"/>
      <c r="P5054" s="17"/>
      <c r="Q5054" s="17"/>
      <c r="R5054" s="17"/>
      <c r="S5054" s="17"/>
      <c r="T5054" s="17"/>
      <c r="U5054" s="17"/>
      <c r="V5054" s="18">
        <v>0</v>
      </c>
      <c r="W5054" s="17">
        <f t="shared" si="146"/>
        <v>0</v>
      </c>
    </row>
    <row r="5055" spans="1:23" x14ac:dyDescent="0.25">
      <c r="A5055" s="17"/>
      <c r="B5055" s="17"/>
      <c r="C5055" s="17"/>
      <c r="D5055" s="17"/>
      <c r="E5055" s="17"/>
      <c r="F5055" s="17"/>
      <c r="G5055" s="17"/>
      <c r="H5055" s="17"/>
      <c r="I5055" s="17"/>
      <c r="J5055" s="17"/>
      <c r="K5055" s="17"/>
      <c r="L5055" s="17"/>
      <c r="M5055" s="17"/>
      <c r="N5055" s="17"/>
      <c r="O5055" s="17"/>
      <c r="P5055" s="17"/>
      <c r="Q5055" s="17"/>
      <c r="R5055" s="17"/>
      <c r="S5055" s="17"/>
      <c r="T5055" s="17"/>
      <c r="U5055" s="17"/>
      <c r="V5055" s="18">
        <v>0</v>
      </c>
      <c r="W5055" s="17">
        <f t="shared" si="146"/>
        <v>0</v>
      </c>
    </row>
    <row r="5056" spans="1:23" x14ac:dyDescent="0.25">
      <c r="A5056" s="17"/>
      <c r="B5056" s="17"/>
      <c r="C5056" s="17"/>
      <c r="D5056" s="17"/>
      <c r="E5056" s="17"/>
      <c r="F5056" s="17"/>
      <c r="G5056" s="17"/>
      <c r="H5056" s="17"/>
      <c r="I5056" s="17"/>
      <c r="J5056" s="17"/>
      <c r="K5056" s="17"/>
      <c r="L5056" s="17"/>
      <c r="M5056" s="17"/>
      <c r="N5056" s="17"/>
      <c r="O5056" s="17"/>
      <c r="P5056" s="17"/>
      <c r="Q5056" s="17"/>
      <c r="R5056" s="17"/>
      <c r="S5056" s="17"/>
      <c r="T5056" s="17"/>
      <c r="U5056" s="17"/>
      <c r="V5056" s="18">
        <v>0</v>
      </c>
      <c r="W5056" s="17">
        <f t="shared" si="146"/>
        <v>0</v>
      </c>
    </row>
    <row r="5057" spans="1:23" x14ac:dyDescent="0.25">
      <c r="A5057" s="17"/>
      <c r="B5057" s="17"/>
      <c r="C5057" s="17"/>
      <c r="D5057" s="17"/>
      <c r="E5057" s="17"/>
      <c r="F5057" s="17"/>
      <c r="G5057" s="17"/>
      <c r="H5057" s="17"/>
      <c r="I5057" s="17"/>
      <c r="J5057" s="17"/>
      <c r="K5057" s="17"/>
      <c r="L5057" s="17"/>
      <c r="M5057" s="17"/>
      <c r="N5057" s="17"/>
      <c r="O5057" s="17"/>
      <c r="P5057" s="17"/>
      <c r="Q5057" s="17"/>
      <c r="R5057" s="17"/>
      <c r="S5057" s="17"/>
      <c r="T5057" s="17"/>
      <c r="U5057" s="17"/>
      <c r="V5057" s="18">
        <v>0</v>
      </c>
      <c r="W5057" s="17">
        <f t="shared" si="146"/>
        <v>0</v>
      </c>
    </row>
    <row r="5058" spans="1:23" x14ac:dyDescent="0.25">
      <c r="A5058" s="17"/>
      <c r="B5058" s="17"/>
      <c r="C5058" s="17"/>
      <c r="D5058" s="17"/>
      <c r="E5058" s="17"/>
      <c r="F5058" s="17"/>
      <c r="G5058" s="17"/>
      <c r="H5058" s="17"/>
      <c r="I5058" s="17"/>
      <c r="J5058" s="17"/>
      <c r="K5058" s="17"/>
      <c r="L5058" s="17"/>
      <c r="M5058" s="17"/>
      <c r="N5058" s="17"/>
      <c r="O5058" s="17"/>
      <c r="P5058" s="17"/>
      <c r="Q5058" s="17"/>
      <c r="R5058" s="17"/>
      <c r="S5058" s="17"/>
      <c r="T5058" s="17"/>
      <c r="U5058" s="17"/>
      <c r="V5058" s="18">
        <v>0</v>
      </c>
      <c r="W5058" s="17">
        <f t="shared" si="146"/>
        <v>0</v>
      </c>
    </row>
    <row r="5059" spans="1:23" x14ac:dyDescent="0.25">
      <c r="A5059" s="17"/>
      <c r="B5059" s="17"/>
      <c r="C5059" s="17"/>
      <c r="D5059" s="17"/>
      <c r="E5059" s="17"/>
      <c r="F5059" s="17"/>
      <c r="G5059" s="17"/>
      <c r="H5059" s="17"/>
      <c r="I5059" s="17"/>
      <c r="J5059" s="17"/>
      <c r="K5059" s="17"/>
      <c r="L5059" s="17"/>
      <c r="M5059" s="17"/>
      <c r="N5059" s="17"/>
      <c r="O5059" s="17"/>
      <c r="P5059" s="17"/>
      <c r="Q5059" s="17"/>
      <c r="R5059" s="17"/>
      <c r="S5059" s="17"/>
      <c r="T5059" s="17"/>
      <c r="U5059" s="17"/>
      <c r="V5059" s="18">
        <v>0</v>
      </c>
      <c r="W5059" s="17">
        <f t="shared" ref="W5059:W5122" si="147">HOUR(E5059)</f>
        <v>0</v>
      </c>
    </row>
    <row r="5060" spans="1:23" x14ac:dyDescent="0.25">
      <c r="A5060" s="17"/>
      <c r="B5060" s="17"/>
      <c r="C5060" s="17"/>
      <c r="D5060" s="17"/>
      <c r="E5060" s="17"/>
      <c r="F5060" s="17"/>
      <c r="G5060" s="17"/>
      <c r="H5060" s="17"/>
      <c r="I5060" s="17"/>
      <c r="J5060" s="17"/>
      <c r="K5060" s="17"/>
      <c r="L5060" s="17"/>
      <c r="M5060" s="17"/>
      <c r="N5060" s="17"/>
      <c r="O5060" s="17"/>
      <c r="P5060" s="17"/>
      <c r="Q5060" s="17"/>
      <c r="R5060" s="17"/>
      <c r="S5060" s="17"/>
      <c r="T5060" s="17"/>
      <c r="U5060" s="17"/>
      <c r="V5060" s="18">
        <v>0</v>
      </c>
      <c r="W5060" s="17">
        <f t="shared" si="147"/>
        <v>0</v>
      </c>
    </row>
    <row r="5061" spans="1:23" x14ac:dyDescent="0.25">
      <c r="A5061" s="17"/>
      <c r="B5061" s="17"/>
      <c r="C5061" s="17"/>
      <c r="D5061" s="17"/>
      <c r="E5061" s="17"/>
      <c r="F5061" s="17"/>
      <c r="G5061" s="17"/>
      <c r="H5061" s="17"/>
      <c r="I5061" s="17"/>
      <c r="J5061" s="17"/>
      <c r="K5061" s="17"/>
      <c r="L5061" s="17"/>
      <c r="M5061" s="17"/>
      <c r="N5061" s="17"/>
      <c r="O5061" s="17"/>
      <c r="P5061" s="17"/>
      <c r="Q5061" s="17"/>
      <c r="R5061" s="17"/>
      <c r="S5061" s="17"/>
      <c r="T5061" s="17"/>
      <c r="U5061" s="17"/>
      <c r="V5061" s="18">
        <v>0</v>
      </c>
      <c r="W5061" s="17">
        <f t="shared" si="147"/>
        <v>0</v>
      </c>
    </row>
    <row r="5062" spans="1:23" x14ac:dyDescent="0.25">
      <c r="A5062" s="17"/>
      <c r="B5062" s="17"/>
      <c r="C5062" s="17"/>
      <c r="D5062" s="17"/>
      <c r="E5062" s="17"/>
      <c r="F5062" s="17"/>
      <c r="G5062" s="17"/>
      <c r="H5062" s="17"/>
      <c r="I5062" s="17"/>
      <c r="J5062" s="17"/>
      <c r="K5062" s="17"/>
      <c r="L5062" s="17"/>
      <c r="M5062" s="17"/>
      <c r="N5062" s="17"/>
      <c r="O5062" s="17"/>
      <c r="P5062" s="17"/>
      <c r="Q5062" s="17"/>
      <c r="R5062" s="17"/>
      <c r="S5062" s="17"/>
      <c r="T5062" s="17"/>
      <c r="U5062" s="17"/>
      <c r="V5062" s="18">
        <v>0</v>
      </c>
      <c r="W5062" s="17">
        <f t="shared" si="147"/>
        <v>0</v>
      </c>
    </row>
    <row r="5063" spans="1:23" x14ac:dyDescent="0.25">
      <c r="A5063" s="17"/>
      <c r="B5063" s="17"/>
      <c r="C5063" s="17"/>
      <c r="D5063" s="17"/>
      <c r="E5063" s="17"/>
      <c r="F5063" s="17"/>
      <c r="G5063" s="17"/>
      <c r="H5063" s="17"/>
      <c r="I5063" s="17"/>
      <c r="J5063" s="17"/>
      <c r="K5063" s="17"/>
      <c r="L5063" s="17"/>
      <c r="M5063" s="17"/>
      <c r="N5063" s="17"/>
      <c r="O5063" s="17"/>
      <c r="P5063" s="17"/>
      <c r="Q5063" s="17"/>
      <c r="R5063" s="17"/>
      <c r="S5063" s="17"/>
      <c r="T5063" s="17"/>
      <c r="U5063" s="17"/>
      <c r="V5063" s="18">
        <v>0</v>
      </c>
      <c r="W5063" s="17">
        <f t="shared" si="147"/>
        <v>0</v>
      </c>
    </row>
    <row r="5064" spans="1:23" x14ac:dyDescent="0.25">
      <c r="A5064" s="17"/>
      <c r="B5064" s="17"/>
      <c r="C5064" s="17"/>
      <c r="D5064" s="17"/>
      <c r="E5064" s="17"/>
      <c r="F5064" s="17"/>
      <c r="G5064" s="17"/>
      <c r="H5064" s="17"/>
      <c r="I5064" s="17"/>
      <c r="J5064" s="17"/>
      <c r="K5064" s="17"/>
      <c r="L5064" s="17"/>
      <c r="M5064" s="17"/>
      <c r="N5064" s="17"/>
      <c r="O5064" s="17"/>
      <c r="P5064" s="17"/>
      <c r="Q5064" s="17"/>
      <c r="R5064" s="17"/>
      <c r="S5064" s="17"/>
      <c r="T5064" s="17"/>
      <c r="U5064" s="17"/>
      <c r="V5064" s="18">
        <v>0</v>
      </c>
      <c r="W5064" s="17">
        <f t="shared" si="147"/>
        <v>0</v>
      </c>
    </row>
    <row r="5065" spans="1:23" x14ac:dyDescent="0.25">
      <c r="A5065" s="17"/>
      <c r="B5065" s="17"/>
      <c r="C5065" s="17"/>
      <c r="D5065" s="17"/>
      <c r="E5065" s="17"/>
      <c r="F5065" s="17"/>
      <c r="G5065" s="17"/>
      <c r="H5065" s="17"/>
      <c r="I5065" s="17"/>
      <c r="J5065" s="17"/>
      <c r="K5065" s="17"/>
      <c r="L5065" s="17"/>
      <c r="M5065" s="17"/>
      <c r="N5065" s="17"/>
      <c r="O5065" s="17"/>
      <c r="P5065" s="17"/>
      <c r="Q5065" s="17"/>
      <c r="R5065" s="17"/>
      <c r="S5065" s="17"/>
      <c r="T5065" s="17"/>
      <c r="U5065" s="17"/>
      <c r="V5065" s="18">
        <v>0</v>
      </c>
      <c r="W5065" s="17">
        <f t="shared" si="147"/>
        <v>0</v>
      </c>
    </row>
    <row r="5066" spans="1:23" x14ac:dyDescent="0.25">
      <c r="A5066" s="17"/>
      <c r="B5066" s="17"/>
      <c r="C5066" s="17"/>
      <c r="D5066" s="17"/>
      <c r="E5066" s="17"/>
      <c r="F5066" s="17"/>
      <c r="G5066" s="17"/>
      <c r="H5066" s="17"/>
      <c r="I5066" s="17"/>
      <c r="J5066" s="17"/>
      <c r="K5066" s="17"/>
      <c r="L5066" s="17"/>
      <c r="M5066" s="17"/>
      <c r="N5066" s="17"/>
      <c r="O5066" s="17"/>
      <c r="P5066" s="17"/>
      <c r="Q5066" s="17"/>
      <c r="R5066" s="17"/>
      <c r="S5066" s="17"/>
      <c r="T5066" s="17"/>
      <c r="U5066" s="17"/>
      <c r="V5066" s="18">
        <v>0</v>
      </c>
      <c r="W5066" s="17">
        <f t="shared" si="147"/>
        <v>0</v>
      </c>
    </row>
    <row r="5067" spans="1:23" x14ac:dyDescent="0.25">
      <c r="A5067" s="17"/>
      <c r="B5067" s="17"/>
      <c r="C5067" s="17"/>
      <c r="D5067" s="17"/>
      <c r="E5067" s="17"/>
      <c r="F5067" s="17"/>
      <c r="G5067" s="17"/>
      <c r="H5067" s="17"/>
      <c r="I5067" s="17"/>
      <c r="J5067" s="17"/>
      <c r="K5067" s="17"/>
      <c r="L5067" s="17"/>
      <c r="M5067" s="17"/>
      <c r="N5067" s="17"/>
      <c r="O5067" s="17"/>
      <c r="P5067" s="17"/>
      <c r="Q5067" s="17"/>
      <c r="R5067" s="17"/>
      <c r="S5067" s="17"/>
      <c r="T5067" s="17"/>
      <c r="U5067" s="17"/>
      <c r="V5067" s="18">
        <v>0</v>
      </c>
      <c r="W5067" s="17">
        <f t="shared" si="147"/>
        <v>0</v>
      </c>
    </row>
    <row r="5068" spans="1:23" x14ac:dyDescent="0.25">
      <c r="A5068" s="17"/>
      <c r="B5068" s="17"/>
      <c r="C5068" s="17"/>
      <c r="D5068" s="17"/>
      <c r="E5068" s="17"/>
      <c r="F5068" s="17"/>
      <c r="G5068" s="17"/>
      <c r="H5068" s="17"/>
      <c r="I5068" s="17"/>
      <c r="J5068" s="17"/>
      <c r="K5068" s="17"/>
      <c r="L5068" s="17"/>
      <c r="M5068" s="17"/>
      <c r="N5068" s="17"/>
      <c r="O5068" s="17"/>
      <c r="P5068" s="17"/>
      <c r="Q5068" s="17"/>
      <c r="R5068" s="17"/>
      <c r="S5068" s="17"/>
      <c r="T5068" s="17"/>
      <c r="U5068" s="17"/>
      <c r="V5068" s="18">
        <v>0</v>
      </c>
      <c r="W5068" s="17">
        <f t="shared" si="147"/>
        <v>0</v>
      </c>
    </row>
    <row r="5069" spans="1:23" x14ac:dyDescent="0.25">
      <c r="A5069" s="17"/>
      <c r="B5069" s="17"/>
      <c r="C5069" s="17"/>
      <c r="D5069" s="17"/>
      <c r="E5069" s="17"/>
      <c r="F5069" s="17"/>
      <c r="G5069" s="17"/>
      <c r="H5069" s="17"/>
      <c r="I5069" s="17"/>
      <c r="J5069" s="17"/>
      <c r="K5069" s="17"/>
      <c r="L5069" s="17"/>
      <c r="M5069" s="17"/>
      <c r="N5069" s="17"/>
      <c r="O5069" s="17"/>
      <c r="P5069" s="17"/>
      <c r="Q5069" s="17"/>
      <c r="R5069" s="17"/>
      <c r="S5069" s="17"/>
      <c r="T5069" s="17"/>
      <c r="U5069" s="17"/>
      <c r="V5069" s="18">
        <v>0</v>
      </c>
      <c r="W5069" s="17">
        <f t="shared" si="147"/>
        <v>0</v>
      </c>
    </row>
    <row r="5070" spans="1:23" x14ac:dyDescent="0.25">
      <c r="A5070" s="17"/>
      <c r="B5070" s="17"/>
      <c r="C5070" s="17"/>
      <c r="D5070" s="17"/>
      <c r="E5070" s="17"/>
      <c r="F5070" s="17"/>
      <c r="G5070" s="17"/>
      <c r="H5070" s="17"/>
      <c r="I5070" s="17"/>
      <c r="J5070" s="17"/>
      <c r="K5070" s="17"/>
      <c r="L5070" s="17"/>
      <c r="M5070" s="17"/>
      <c r="N5070" s="17"/>
      <c r="O5070" s="17"/>
      <c r="P5070" s="17"/>
      <c r="Q5070" s="17"/>
      <c r="R5070" s="17"/>
      <c r="S5070" s="17"/>
      <c r="T5070" s="17"/>
      <c r="U5070" s="17"/>
      <c r="V5070" s="18">
        <v>0</v>
      </c>
      <c r="W5070" s="17">
        <f t="shared" si="147"/>
        <v>0</v>
      </c>
    </row>
    <row r="5071" spans="1:23" x14ac:dyDescent="0.25">
      <c r="A5071" s="17"/>
      <c r="B5071" s="17"/>
      <c r="C5071" s="17"/>
      <c r="D5071" s="17"/>
      <c r="E5071" s="17"/>
      <c r="F5071" s="17"/>
      <c r="G5071" s="17"/>
      <c r="H5071" s="17"/>
      <c r="I5071" s="17"/>
      <c r="J5071" s="17"/>
      <c r="K5071" s="17"/>
      <c r="L5071" s="17"/>
      <c r="M5071" s="17"/>
      <c r="N5071" s="17"/>
      <c r="O5071" s="17"/>
      <c r="P5071" s="17"/>
      <c r="Q5071" s="17"/>
      <c r="R5071" s="17"/>
      <c r="S5071" s="17"/>
      <c r="T5071" s="17"/>
      <c r="U5071" s="17"/>
      <c r="V5071" s="18">
        <v>0</v>
      </c>
      <c r="W5071" s="17">
        <f t="shared" si="147"/>
        <v>0</v>
      </c>
    </row>
    <row r="5072" spans="1:23" x14ac:dyDescent="0.25">
      <c r="A5072" s="17"/>
      <c r="B5072" s="17"/>
      <c r="C5072" s="17"/>
      <c r="D5072" s="17"/>
      <c r="E5072" s="17"/>
      <c r="F5072" s="17"/>
      <c r="G5072" s="17"/>
      <c r="H5072" s="17"/>
      <c r="I5072" s="17"/>
      <c r="J5072" s="17"/>
      <c r="K5072" s="17"/>
      <c r="L5072" s="17"/>
      <c r="M5072" s="17"/>
      <c r="N5072" s="17"/>
      <c r="O5072" s="17"/>
      <c r="P5072" s="17"/>
      <c r="Q5072" s="17"/>
      <c r="R5072" s="17"/>
      <c r="S5072" s="17"/>
      <c r="T5072" s="17"/>
      <c r="U5072" s="17"/>
      <c r="V5072" s="18">
        <v>0</v>
      </c>
      <c r="W5072" s="17">
        <f t="shared" si="147"/>
        <v>0</v>
      </c>
    </row>
    <row r="5073" spans="1:23" x14ac:dyDescent="0.25">
      <c r="A5073" s="17"/>
      <c r="B5073" s="17"/>
      <c r="C5073" s="17"/>
      <c r="D5073" s="17"/>
      <c r="E5073" s="17"/>
      <c r="F5073" s="17"/>
      <c r="G5073" s="17"/>
      <c r="H5073" s="17"/>
      <c r="I5073" s="17"/>
      <c r="J5073" s="17"/>
      <c r="K5073" s="17"/>
      <c r="L5073" s="17"/>
      <c r="M5073" s="17"/>
      <c r="N5073" s="17"/>
      <c r="O5073" s="17"/>
      <c r="P5073" s="17"/>
      <c r="Q5073" s="17"/>
      <c r="R5073" s="17"/>
      <c r="S5073" s="17"/>
      <c r="T5073" s="17"/>
      <c r="U5073" s="17"/>
      <c r="V5073" s="18">
        <v>0</v>
      </c>
      <c r="W5073" s="17">
        <f t="shared" si="147"/>
        <v>0</v>
      </c>
    </row>
    <row r="5074" spans="1:23" x14ac:dyDescent="0.25">
      <c r="A5074" s="17"/>
      <c r="B5074" s="17"/>
      <c r="C5074" s="17"/>
      <c r="D5074" s="17"/>
      <c r="E5074" s="17"/>
      <c r="F5074" s="17"/>
      <c r="G5074" s="17"/>
      <c r="H5074" s="17"/>
      <c r="I5074" s="17"/>
      <c r="J5074" s="17"/>
      <c r="K5074" s="17"/>
      <c r="L5074" s="17"/>
      <c r="M5074" s="17"/>
      <c r="N5074" s="17"/>
      <c r="O5074" s="17"/>
      <c r="P5074" s="17"/>
      <c r="Q5074" s="17"/>
      <c r="R5074" s="17"/>
      <c r="S5074" s="17"/>
      <c r="T5074" s="17"/>
      <c r="U5074" s="17"/>
      <c r="V5074" s="18">
        <v>0</v>
      </c>
      <c r="W5074" s="17">
        <f t="shared" si="147"/>
        <v>0</v>
      </c>
    </row>
    <row r="5075" spans="1:23" x14ac:dyDescent="0.25">
      <c r="A5075" s="17"/>
      <c r="B5075" s="17"/>
      <c r="C5075" s="17"/>
      <c r="D5075" s="17"/>
      <c r="E5075" s="17"/>
      <c r="F5075" s="17"/>
      <c r="G5075" s="17"/>
      <c r="H5075" s="17"/>
      <c r="I5075" s="17"/>
      <c r="J5075" s="17"/>
      <c r="K5075" s="17"/>
      <c r="L5075" s="17"/>
      <c r="M5075" s="17"/>
      <c r="N5075" s="17"/>
      <c r="O5075" s="17"/>
      <c r="P5075" s="17"/>
      <c r="Q5075" s="17"/>
      <c r="R5075" s="17"/>
      <c r="S5075" s="17"/>
      <c r="T5075" s="17"/>
      <c r="U5075" s="17"/>
      <c r="V5075" s="18">
        <v>0</v>
      </c>
      <c r="W5075" s="17">
        <f t="shared" si="147"/>
        <v>0</v>
      </c>
    </row>
    <row r="5076" spans="1:23" x14ac:dyDescent="0.25">
      <c r="A5076" s="17"/>
      <c r="B5076" s="17"/>
      <c r="C5076" s="17"/>
      <c r="D5076" s="17"/>
      <c r="E5076" s="17"/>
      <c r="F5076" s="17"/>
      <c r="G5076" s="17"/>
      <c r="H5076" s="17"/>
      <c r="I5076" s="17"/>
      <c r="J5076" s="17"/>
      <c r="K5076" s="17"/>
      <c r="L5076" s="17"/>
      <c r="M5076" s="17"/>
      <c r="N5076" s="17"/>
      <c r="O5076" s="17"/>
      <c r="P5076" s="17"/>
      <c r="Q5076" s="17"/>
      <c r="R5076" s="17"/>
      <c r="S5076" s="17"/>
      <c r="T5076" s="17"/>
      <c r="U5076" s="17"/>
      <c r="V5076" s="18">
        <v>0</v>
      </c>
      <c r="W5076" s="17">
        <f t="shared" si="147"/>
        <v>0</v>
      </c>
    </row>
    <row r="5077" spans="1:23" x14ac:dyDescent="0.25">
      <c r="A5077" s="17"/>
      <c r="B5077" s="17"/>
      <c r="C5077" s="17"/>
      <c r="D5077" s="17"/>
      <c r="E5077" s="17"/>
      <c r="F5077" s="17"/>
      <c r="G5077" s="17"/>
      <c r="H5077" s="17"/>
      <c r="I5077" s="17"/>
      <c r="J5077" s="17"/>
      <c r="K5077" s="17"/>
      <c r="L5077" s="17"/>
      <c r="M5077" s="17"/>
      <c r="N5077" s="17"/>
      <c r="O5077" s="17"/>
      <c r="P5077" s="17"/>
      <c r="Q5077" s="17"/>
      <c r="R5077" s="17"/>
      <c r="S5077" s="17"/>
      <c r="T5077" s="17"/>
      <c r="U5077" s="17"/>
      <c r="V5077" s="18">
        <v>0</v>
      </c>
      <c r="W5077" s="17">
        <f t="shared" si="147"/>
        <v>0</v>
      </c>
    </row>
    <row r="5078" spans="1:23" x14ac:dyDescent="0.25">
      <c r="A5078" s="17"/>
      <c r="B5078" s="17"/>
      <c r="C5078" s="17"/>
      <c r="D5078" s="17"/>
      <c r="E5078" s="17"/>
      <c r="F5078" s="17"/>
      <c r="G5078" s="17"/>
      <c r="H5078" s="17"/>
      <c r="I5078" s="17"/>
      <c r="J5078" s="17"/>
      <c r="K5078" s="17"/>
      <c r="L5078" s="17"/>
      <c r="M5078" s="17"/>
      <c r="N5078" s="17"/>
      <c r="O5078" s="17"/>
      <c r="P5078" s="17"/>
      <c r="Q5078" s="17"/>
      <c r="R5078" s="17"/>
      <c r="S5078" s="17"/>
      <c r="T5078" s="17"/>
      <c r="U5078" s="17"/>
      <c r="V5078" s="18">
        <v>0</v>
      </c>
      <c r="W5078" s="17">
        <f t="shared" si="147"/>
        <v>0</v>
      </c>
    </row>
    <row r="5079" spans="1:23" x14ac:dyDescent="0.25">
      <c r="A5079" s="17"/>
      <c r="B5079" s="17"/>
      <c r="C5079" s="17"/>
      <c r="D5079" s="17"/>
      <c r="E5079" s="17"/>
      <c r="F5079" s="17"/>
      <c r="G5079" s="17"/>
      <c r="H5079" s="17"/>
      <c r="I5079" s="17"/>
      <c r="J5079" s="17"/>
      <c r="K5079" s="17"/>
      <c r="L5079" s="17"/>
      <c r="M5079" s="17"/>
      <c r="N5079" s="17"/>
      <c r="O5079" s="17"/>
      <c r="P5079" s="17"/>
      <c r="Q5079" s="17"/>
      <c r="R5079" s="17"/>
      <c r="S5079" s="17"/>
      <c r="T5079" s="17"/>
      <c r="U5079" s="17"/>
      <c r="V5079" s="18">
        <v>0</v>
      </c>
      <c r="W5079" s="17">
        <f t="shared" si="147"/>
        <v>0</v>
      </c>
    </row>
    <row r="5080" spans="1:23" x14ac:dyDescent="0.25">
      <c r="A5080" s="17"/>
      <c r="B5080" s="17"/>
      <c r="C5080" s="17"/>
      <c r="D5080" s="17"/>
      <c r="E5080" s="17"/>
      <c r="F5080" s="17"/>
      <c r="G5080" s="17"/>
      <c r="H5080" s="17"/>
      <c r="I5080" s="17"/>
      <c r="J5080" s="17"/>
      <c r="K5080" s="17"/>
      <c r="L5080" s="17"/>
      <c r="M5080" s="17"/>
      <c r="N5080" s="17"/>
      <c r="O5080" s="17"/>
      <c r="P5080" s="17"/>
      <c r="Q5080" s="17"/>
      <c r="R5080" s="17"/>
      <c r="S5080" s="17"/>
      <c r="T5080" s="17"/>
      <c r="U5080" s="17"/>
      <c r="V5080" s="18">
        <v>0</v>
      </c>
      <c r="W5080" s="17">
        <f t="shared" si="147"/>
        <v>0</v>
      </c>
    </row>
    <row r="5081" spans="1:23" x14ac:dyDescent="0.25">
      <c r="A5081" s="17"/>
      <c r="B5081" s="17"/>
      <c r="C5081" s="17"/>
      <c r="D5081" s="17"/>
      <c r="E5081" s="17"/>
      <c r="F5081" s="17"/>
      <c r="G5081" s="17"/>
      <c r="H5081" s="17"/>
      <c r="I5081" s="17"/>
      <c r="J5081" s="17"/>
      <c r="K5081" s="17"/>
      <c r="L5081" s="17"/>
      <c r="M5081" s="17"/>
      <c r="N5081" s="17"/>
      <c r="O5081" s="17"/>
      <c r="P5081" s="17"/>
      <c r="Q5081" s="17"/>
      <c r="R5081" s="17"/>
      <c r="S5081" s="17"/>
      <c r="T5081" s="17"/>
      <c r="U5081" s="17"/>
      <c r="V5081" s="18">
        <v>0</v>
      </c>
      <c r="W5081" s="17">
        <f t="shared" si="147"/>
        <v>0</v>
      </c>
    </row>
    <row r="5082" spans="1:23" x14ac:dyDescent="0.25">
      <c r="A5082" s="17"/>
      <c r="B5082" s="17"/>
      <c r="C5082" s="17"/>
      <c r="D5082" s="17"/>
      <c r="E5082" s="17"/>
      <c r="F5082" s="17"/>
      <c r="G5082" s="17"/>
      <c r="H5082" s="17"/>
      <c r="I5082" s="17"/>
      <c r="J5082" s="17"/>
      <c r="K5082" s="17"/>
      <c r="L5082" s="17"/>
      <c r="M5082" s="17"/>
      <c r="N5082" s="17"/>
      <c r="O5082" s="17"/>
      <c r="P5082" s="17"/>
      <c r="Q5082" s="17"/>
      <c r="R5082" s="17"/>
      <c r="S5082" s="17"/>
      <c r="T5082" s="17"/>
      <c r="U5082" s="17"/>
      <c r="V5082" s="18">
        <v>0</v>
      </c>
      <c r="W5082" s="17">
        <f t="shared" si="147"/>
        <v>0</v>
      </c>
    </row>
    <row r="5083" spans="1:23" x14ac:dyDescent="0.25">
      <c r="A5083" s="17"/>
      <c r="B5083" s="17"/>
      <c r="C5083" s="17"/>
      <c r="D5083" s="17"/>
      <c r="E5083" s="17"/>
      <c r="F5083" s="17"/>
      <c r="G5083" s="17"/>
      <c r="H5083" s="17"/>
      <c r="I5083" s="17"/>
      <c r="J5083" s="17"/>
      <c r="K5083" s="17"/>
      <c r="L5083" s="17"/>
      <c r="M5083" s="17"/>
      <c r="N5083" s="17"/>
      <c r="O5083" s="17"/>
      <c r="P5083" s="17"/>
      <c r="Q5083" s="17"/>
      <c r="R5083" s="17"/>
      <c r="S5083" s="17"/>
      <c r="T5083" s="17"/>
      <c r="U5083" s="17"/>
      <c r="V5083" s="18">
        <v>0</v>
      </c>
      <c r="W5083" s="17">
        <f t="shared" si="147"/>
        <v>0</v>
      </c>
    </row>
    <row r="5084" spans="1:23" x14ac:dyDescent="0.25">
      <c r="A5084" s="17"/>
      <c r="B5084" s="17"/>
      <c r="C5084" s="17"/>
      <c r="D5084" s="17"/>
      <c r="E5084" s="17"/>
      <c r="F5084" s="17"/>
      <c r="G5084" s="17"/>
      <c r="H5084" s="17"/>
      <c r="I5084" s="17"/>
      <c r="J5084" s="17"/>
      <c r="K5084" s="17"/>
      <c r="L5084" s="17"/>
      <c r="M5084" s="17"/>
      <c r="N5084" s="17"/>
      <c r="O5084" s="17"/>
      <c r="P5084" s="17"/>
      <c r="Q5084" s="17"/>
      <c r="R5084" s="17"/>
      <c r="S5084" s="17"/>
      <c r="T5084" s="17"/>
      <c r="U5084" s="17"/>
      <c r="V5084" s="18">
        <v>0</v>
      </c>
      <c r="W5084" s="17">
        <f t="shared" si="147"/>
        <v>0</v>
      </c>
    </row>
    <row r="5085" spans="1:23" x14ac:dyDescent="0.25">
      <c r="A5085" s="17"/>
      <c r="B5085" s="17"/>
      <c r="C5085" s="17"/>
      <c r="D5085" s="17"/>
      <c r="E5085" s="17"/>
      <c r="F5085" s="17"/>
      <c r="G5085" s="17"/>
      <c r="H5085" s="17"/>
      <c r="I5085" s="17"/>
      <c r="J5085" s="17"/>
      <c r="K5085" s="17"/>
      <c r="L5085" s="17"/>
      <c r="M5085" s="17"/>
      <c r="N5085" s="17"/>
      <c r="O5085" s="17"/>
      <c r="P5085" s="17"/>
      <c r="Q5085" s="17"/>
      <c r="R5085" s="17"/>
      <c r="S5085" s="17"/>
      <c r="T5085" s="17"/>
      <c r="U5085" s="17"/>
      <c r="V5085" s="18">
        <v>0</v>
      </c>
      <c r="W5085" s="17">
        <f t="shared" si="147"/>
        <v>0</v>
      </c>
    </row>
    <row r="5086" spans="1:23" x14ac:dyDescent="0.25">
      <c r="A5086" s="17"/>
      <c r="B5086" s="17"/>
      <c r="C5086" s="17"/>
      <c r="D5086" s="17"/>
      <c r="E5086" s="17"/>
      <c r="F5086" s="17"/>
      <c r="G5086" s="17"/>
      <c r="H5086" s="17"/>
      <c r="I5086" s="17"/>
      <c r="J5086" s="17"/>
      <c r="K5086" s="17"/>
      <c r="L5086" s="17"/>
      <c r="M5086" s="17"/>
      <c r="N5086" s="17"/>
      <c r="O5086" s="17"/>
      <c r="P5086" s="17"/>
      <c r="Q5086" s="17"/>
      <c r="R5086" s="17"/>
      <c r="S5086" s="17"/>
      <c r="T5086" s="17"/>
      <c r="U5086" s="17"/>
      <c r="V5086" s="18">
        <v>0</v>
      </c>
      <c r="W5086" s="17">
        <f t="shared" si="147"/>
        <v>0</v>
      </c>
    </row>
    <row r="5087" spans="1:23" x14ac:dyDescent="0.25">
      <c r="A5087" s="17"/>
      <c r="B5087" s="17"/>
      <c r="C5087" s="17"/>
      <c r="D5087" s="17"/>
      <c r="E5087" s="17"/>
      <c r="F5087" s="17"/>
      <c r="G5087" s="17"/>
      <c r="H5087" s="17"/>
      <c r="I5087" s="17"/>
      <c r="J5087" s="17"/>
      <c r="K5087" s="17"/>
      <c r="L5087" s="17"/>
      <c r="M5087" s="17"/>
      <c r="N5087" s="17"/>
      <c r="O5087" s="17"/>
      <c r="P5087" s="17"/>
      <c r="Q5087" s="17"/>
      <c r="R5087" s="17"/>
      <c r="S5087" s="17"/>
      <c r="T5087" s="17"/>
      <c r="U5087" s="17"/>
      <c r="V5087" s="18">
        <v>0</v>
      </c>
      <c r="W5087" s="17">
        <f t="shared" si="147"/>
        <v>0</v>
      </c>
    </row>
    <row r="5088" spans="1:23" x14ac:dyDescent="0.25">
      <c r="A5088" s="17"/>
      <c r="B5088" s="17"/>
      <c r="C5088" s="17"/>
      <c r="D5088" s="17"/>
      <c r="E5088" s="17"/>
      <c r="F5088" s="17"/>
      <c r="G5088" s="17"/>
      <c r="H5088" s="17"/>
      <c r="I5088" s="17"/>
      <c r="J5088" s="17"/>
      <c r="K5088" s="17"/>
      <c r="L5088" s="17"/>
      <c r="M5088" s="17"/>
      <c r="N5088" s="17"/>
      <c r="O5088" s="17"/>
      <c r="P5088" s="17"/>
      <c r="Q5088" s="17"/>
      <c r="R5088" s="17"/>
      <c r="S5088" s="17"/>
      <c r="T5088" s="17"/>
      <c r="U5088" s="17"/>
      <c r="V5088" s="18">
        <v>0</v>
      </c>
      <c r="W5088" s="17">
        <f t="shared" si="147"/>
        <v>0</v>
      </c>
    </row>
    <row r="5089" spans="1:23" x14ac:dyDescent="0.25">
      <c r="A5089" s="17"/>
      <c r="B5089" s="17"/>
      <c r="C5089" s="17"/>
      <c r="D5089" s="17"/>
      <c r="E5089" s="17"/>
      <c r="F5089" s="17"/>
      <c r="G5089" s="17"/>
      <c r="H5089" s="17"/>
      <c r="I5089" s="17"/>
      <c r="J5089" s="17"/>
      <c r="K5089" s="17"/>
      <c r="L5089" s="17"/>
      <c r="M5089" s="17"/>
      <c r="N5089" s="17"/>
      <c r="O5089" s="17"/>
      <c r="P5089" s="17"/>
      <c r="Q5089" s="17"/>
      <c r="R5089" s="17"/>
      <c r="S5089" s="17"/>
      <c r="T5089" s="17"/>
      <c r="U5089" s="17"/>
      <c r="V5089" s="18">
        <v>0</v>
      </c>
      <c r="W5089" s="17">
        <f t="shared" si="147"/>
        <v>0</v>
      </c>
    </row>
    <row r="5090" spans="1:23" x14ac:dyDescent="0.25">
      <c r="A5090" s="17"/>
      <c r="B5090" s="17"/>
      <c r="C5090" s="17"/>
      <c r="D5090" s="17"/>
      <c r="E5090" s="17"/>
      <c r="F5090" s="17"/>
      <c r="G5090" s="17"/>
      <c r="H5090" s="17"/>
      <c r="I5090" s="17"/>
      <c r="J5090" s="17"/>
      <c r="K5090" s="17"/>
      <c r="L5090" s="17"/>
      <c r="M5090" s="17"/>
      <c r="N5090" s="17"/>
      <c r="O5090" s="17"/>
      <c r="P5090" s="17"/>
      <c r="Q5090" s="17"/>
      <c r="R5090" s="17"/>
      <c r="S5090" s="17"/>
      <c r="T5090" s="17"/>
      <c r="U5090" s="17"/>
      <c r="V5090" s="18">
        <v>0</v>
      </c>
      <c r="W5090" s="17">
        <f t="shared" si="147"/>
        <v>0</v>
      </c>
    </row>
    <row r="5091" spans="1:23" x14ac:dyDescent="0.25">
      <c r="A5091" s="17"/>
      <c r="B5091" s="17"/>
      <c r="C5091" s="17"/>
      <c r="D5091" s="17"/>
      <c r="E5091" s="17"/>
      <c r="F5091" s="17"/>
      <c r="G5091" s="17"/>
      <c r="H5091" s="17"/>
      <c r="I5091" s="17"/>
      <c r="J5091" s="17"/>
      <c r="K5091" s="17"/>
      <c r="L5091" s="17"/>
      <c r="M5091" s="17"/>
      <c r="N5091" s="17"/>
      <c r="O5091" s="17"/>
      <c r="P5091" s="17"/>
      <c r="Q5091" s="17"/>
      <c r="R5091" s="17"/>
      <c r="S5091" s="17"/>
      <c r="T5091" s="17"/>
      <c r="U5091" s="17"/>
      <c r="V5091" s="18">
        <v>0</v>
      </c>
      <c r="W5091" s="17">
        <f t="shared" si="147"/>
        <v>0</v>
      </c>
    </row>
    <row r="5092" spans="1:23" x14ac:dyDescent="0.25">
      <c r="A5092" s="17"/>
      <c r="B5092" s="17"/>
      <c r="C5092" s="17"/>
      <c r="D5092" s="17"/>
      <c r="E5092" s="17"/>
      <c r="F5092" s="17"/>
      <c r="G5092" s="17"/>
      <c r="H5092" s="17"/>
      <c r="I5092" s="17"/>
      <c r="J5092" s="17"/>
      <c r="K5092" s="17"/>
      <c r="L5092" s="17"/>
      <c r="M5092" s="17"/>
      <c r="N5092" s="17"/>
      <c r="O5092" s="17"/>
      <c r="P5092" s="17"/>
      <c r="Q5092" s="17"/>
      <c r="R5092" s="17"/>
      <c r="S5092" s="17"/>
      <c r="T5092" s="17"/>
      <c r="U5092" s="17"/>
      <c r="V5092" s="18">
        <v>0</v>
      </c>
      <c r="W5092" s="17">
        <f t="shared" si="147"/>
        <v>0</v>
      </c>
    </row>
    <row r="5093" spans="1:23" x14ac:dyDescent="0.25">
      <c r="A5093" s="17"/>
      <c r="B5093" s="17"/>
      <c r="C5093" s="17"/>
      <c r="D5093" s="17"/>
      <c r="E5093" s="17"/>
      <c r="F5093" s="17"/>
      <c r="G5093" s="17"/>
      <c r="H5093" s="17"/>
      <c r="I5093" s="17"/>
      <c r="J5093" s="17"/>
      <c r="K5093" s="17"/>
      <c r="L5093" s="17"/>
      <c r="M5093" s="17"/>
      <c r="N5093" s="17"/>
      <c r="O5093" s="17"/>
      <c r="P5093" s="17"/>
      <c r="Q5093" s="17"/>
      <c r="R5093" s="17"/>
      <c r="S5093" s="17"/>
      <c r="T5093" s="17"/>
      <c r="U5093" s="17"/>
      <c r="V5093" s="18">
        <v>0</v>
      </c>
      <c r="W5093" s="17">
        <f t="shared" si="147"/>
        <v>0</v>
      </c>
    </row>
    <row r="5094" spans="1:23" x14ac:dyDescent="0.25">
      <c r="A5094" s="17"/>
      <c r="B5094" s="17"/>
      <c r="C5094" s="17"/>
      <c r="D5094" s="17"/>
      <c r="E5094" s="17"/>
      <c r="F5094" s="17"/>
      <c r="G5094" s="17"/>
      <c r="H5094" s="17"/>
      <c r="I5094" s="17"/>
      <c r="J5094" s="17"/>
      <c r="K5094" s="17"/>
      <c r="L5094" s="17"/>
      <c r="M5094" s="17"/>
      <c r="N5094" s="17"/>
      <c r="O5094" s="17"/>
      <c r="P5094" s="17"/>
      <c r="Q5094" s="17"/>
      <c r="R5094" s="17"/>
      <c r="S5094" s="17"/>
      <c r="T5094" s="17"/>
      <c r="U5094" s="17"/>
      <c r="V5094" s="18">
        <v>0</v>
      </c>
      <c r="W5094" s="17">
        <f t="shared" si="147"/>
        <v>0</v>
      </c>
    </row>
    <row r="5095" spans="1:23" x14ac:dyDescent="0.25">
      <c r="A5095" s="17"/>
      <c r="B5095" s="17"/>
      <c r="C5095" s="17"/>
      <c r="D5095" s="17"/>
      <c r="E5095" s="17"/>
      <c r="F5095" s="17"/>
      <c r="G5095" s="17"/>
      <c r="H5095" s="17"/>
      <c r="I5095" s="17"/>
      <c r="J5095" s="17"/>
      <c r="K5095" s="17"/>
      <c r="L5095" s="17"/>
      <c r="M5095" s="17"/>
      <c r="N5095" s="17"/>
      <c r="O5095" s="17"/>
      <c r="P5095" s="17"/>
      <c r="Q5095" s="17"/>
      <c r="R5095" s="17"/>
      <c r="S5095" s="17"/>
      <c r="T5095" s="17"/>
      <c r="U5095" s="17"/>
      <c r="V5095" s="18">
        <v>0</v>
      </c>
      <c r="W5095" s="17">
        <f t="shared" si="147"/>
        <v>0</v>
      </c>
    </row>
    <row r="5096" spans="1:23" x14ac:dyDescent="0.25">
      <c r="A5096" s="17"/>
      <c r="B5096" s="17"/>
      <c r="C5096" s="17"/>
      <c r="D5096" s="17"/>
      <c r="E5096" s="17"/>
      <c r="F5096" s="17"/>
      <c r="G5096" s="17"/>
      <c r="H5096" s="17"/>
      <c r="I5096" s="17"/>
      <c r="J5096" s="17"/>
      <c r="K5096" s="17"/>
      <c r="L5096" s="17"/>
      <c r="M5096" s="17"/>
      <c r="N5096" s="17"/>
      <c r="O5096" s="17"/>
      <c r="P5096" s="17"/>
      <c r="Q5096" s="17"/>
      <c r="R5096" s="17"/>
      <c r="S5096" s="17"/>
      <c r="T5096" s="17"/>
      <c r="U5096" s="17"/>
      <c r="V5096" s="18">
        <v>0</v>
      </c>
      <c r="W5096" s="17">
        <f t="shared" si="147"/>
        <v>0</v>
      </c>
    </row>
    <row r="5097" spans="1:23" x14ac:dyDescent="0.25">
      <c r="A5097" s="17"/>
      <c r="B5097" s="17"/>
      <c r="C5097" s="17"/>
      <c r="D5097" s="17"/>
      <c r="E5097" s="17"/>
      <c r="F5097" s="17"/>
      <c r="G5097" s="17"/>
      <c r="H5097" s="17"/>
      <c r="I5097" s="17"/>
      <c r="J5097" s="17"/>
      <c r="K5097" s="17"/>
      <c r="L5097" s="17"/>
      <c r="M5097" s="17"/>
      <c r="N5097" s="17"/>
      <c r="O5097" s="17"/>
      <c r="P5097" s="17"/>
      <c r="Q5097" s="17"/>
      <c r="R5097" s="17"/>
      <c r="S5097" s="17"/>
      <c r="T5097" s="17"/>
      <c r="U5097" s="17"/>
      <c r="V5097" s="18">
        <v>0</v>
      </c>
      <c r="W5097" s="17">
        <f t="shared" si="147"/>
        <v>0</v>
      </c>
    </row>
    <row r="5098" spans="1:23" x14ac:dyDescent="0.25">
      <c r="A5098" s="17"/>
      <c r="B5098" s="17"/>
      <c r="C5098" s="17"/>
      <c r="D5098" s="17"/>
      <c r="E5098" s="17"/>
      <c r="F5098" s="17"/>
      <c r="G5098" s="17"/>
      <c r="H5098" s="17"/>
      <c r="I5098" s="17"/>
      <c r="J5098" s="17"/>
      <c r="K5098" s="17"/>
      <c r="L5098" s="17"/>
      <c r="M5098" s="17"/>
      <c r="N5098" s="17"/>
      <c r="O5098" s="17"/>
      <c r="P5098" s="17"/>
      <c r="Q5098" s="17"/>
      <c r="R5098" s="17"/>
      <c r="S5098" s="17"/>
      <c r="T5098" s="17"/>
      <c r="U5098" s="17"/>
      <c r="V5098" s="18">
        <v>0</v>
      </c>
      <c r="W5098" s="17">
        <f t="shared" si="147"/>
        <v>0</v>
      </c>
    </row>
    <row r="5099" spans="1:23" x14ac:dyDescent="0.25">
      <c r="A5099" s="17"/>
      <c r="B5099" s="17"/>
      <c r="C5099" s="17"/>
      <c r="D5099" s="17"/>
      <c r="E5099" s="17"/>
      <c r="F5099" s="17"/>
      <c r="G5099" s="17"/>
      <c r="H5099" s="17"/>
      <c r="I5099" s="17"/>
      <c r="J5099" s="17"/>
      <c r="K5099" s="17"/>
      <c r="L5099" s="17"/>
      <c r="M5099" s="17"/>
      <c r="N5099" s="17"/>
      <c r="O5099" s="17"/>
      <c r="P5099" s="17"/>
      <c r="Q5099" s="17"/>
      <c r="R5099" s="17"/>
      <c r="S5099" s="17"/>
      <c r="T5099" s="17"/>
      <c r="U5099" s="17"/>
      <c r="V5099" s="18">
        <v>0</v>
      </c>
      <c r="W5099" s="17">
        <f t="shared" si="147"/>
        <v>0</v>
      </c>
    </row>
    <row r="5100" spans="1:23" x14ac:dyDescent="0.25">
      <c r="A5100" s="17"/>
      <c r="B5100" s="17"/>
      <c r="C5100" s="17"/>
      <c r="D5100" s="17"/>
      <c r="E5100" s="17"/>
      <c r="F5100" s="17"/>
      <c r="G5100" s="17"/>
      <c r="H5100" s="17"/>
      <c r="I5100" s="17"/>
      <c r="J5100" s="17"/>
      <c r="K5100" s="17"/>
      <c r="L5100" s="17"/>
      <c r="M5100" s="17"/>
      <c r="N5100" s="17"/>
      <c r="O5100" s="17"/>
      <c r="P5100" s="17"/>
      <c r="Q5100" s="17"/>
      <c r="R5100" s="17"/>
      <c r="S5100" s="17"/>
      <c r="T5100" s="17"/>
      <c r="U5100" s="17"/>
      <c r="V5100" s="18">
        <v>0</v>
      </c>
      <c r="W5100" s="17">
        <f t="shared" si="147"/>
        <v>0</v>
      </c>
    </row>
    <row r="5101" spans="1:23" x14ac:dyDescent="0.25">
      <c r="A5101" s="17"/>
      <c r="B5101" s="17"/>
      <c r="C5101" s="17"/>
      <c r="D5101" s="17"/>
      <c r="E5101" s="17"/>
      <c r="F5101" s="17"/>
      <c r="G5101" s="17"/>
      <c r="H5101" s="17"/>
      <c r="I5101" s="17"/>
      <c r="J5101" s="17"/>
      <c r="K5101" s="17"/>
      <c r="L5101" s="17"/>
      <c r="M5101" s="17"/>
      <c r="N5101" s="17"/>
      <c r="O5101" s="17"/>
      <c r="P5101" s="17"/>
      <c r="Q5101" s="17"/>
      <c r="R5101" s="17"/>
      <c r="S5101" s="17"/>
      <c r="T5101" s="17"/>
      <c r="U5101" s="17"/>
      <c r="V5101" s="18">
        <v>0</v>
      </c>
      <c r="W5101" s="17">
        <f t="shared" si="147"/>
        <v>0</v>
      </c>
    </row>
    <row r="5102" spans="1:23" x14ac:dyDescent="0.25">
      <c r="A5102" s="17"/>
      <c r="B5102" s="17"/>
      <c r="C5102" s="17"/>
      <c r="D5102" s="17"/>
      <c r="E5102" s="17"/>
      <c r="F5102" s="17"/>
      <c r="G5102" s="17"/>
      <c r="H5102" s="17"/>
      <c r="I5102" s="17"/>
      <c r="J5102" s="17"/>
      <c r="K5102" s="17"/>
      <c r="L5102" s="17"/>
      <c r="M5102" s="17"/>
      <c r="N5102" s="17"/>
      <c r="O5102" s="17"/>
      <c r="P5102" s="17"/>
      <c r="Q5102" s="17"/>
      <c r="R5102" s="17"/>
      <c r="S5102" s="17"/>
      <c r="T5102" s="17"/>
      <c r="U5102" s="17"/>
      <c r="V5102" s="18">
        <v>0</v>
      </c>
      <c r="W5102" s="17">
        <f t="shared" si="147"/>
        <v>0</v>
      </c>
    </row>
    <row r="5103" spans="1:23" x14ac:dyDescent="0.25">
      <c r="A5103" s="17"/>
      <c r="B5103" s="17"/>
      <c r="C5103" s="17"/>
      <c r="D5103" s="17"/>
      <c r="E5103" s="17"/>
      <c r="F5103" s="17"/>
      <c r="G5103" s="17"/>
      <c r="H5103" s="17"/>
      <c r="I5103" s="17"/>
      <c r="J5103" s="17"/>
      <c r="K5103" s="17"/>
      <c r="L5103" s="17"/>
      <c r="M5103" s="17"/>
      <c r="N5103" s="17"/>
      <c r="O5103" s="17"/>
      <c r="P5103" s="17"/>
      <c r="Q5103" s="17"/>
      <c r="R5103" s="17"/>
      <c r="S5103" s="17"/>
      <c r="T5103" s="17"/>
      <c r="U5103" s="17"/>
      <c r="V5103" s="18">
        <v>0</v>
      </c>
      <c r="W5103" s="17">
        <f t="shared" si="147"/>
        <v>0</v>
      </c>
    </row>
    <row r="5104" spans="1:23" x14ac:dyDescent="0.25">
      <c r="A5104" s="17"/>
      <c r="B5104" s="17"/>
      <c r="C5104" s="17"/>
      <c r="D5104" s="17"/>
      <c r="E5104" s="17"/>
      <c r="F5104" s="17"/>
      <c r="G5104" s="17"/>
      <c r="H5104" s="17"/>
      <c r="I5104" s="17"/>
      <c r="J5104" s="17"/>
      <c r="K5104" s="17"/>
      <c r="L5104" s="17"/>
      <c r="M5104" s="17"/>
      <c r="N5104" s="17"/>
      <c r="O5104" s="17"/>
      <c r="P5104" s="17"/>
      <c r="Q5104" s="17"/>
      <c r="R5104" s="17"/>
      <c r="S5104" s="17"/>
      <c r="T5104" s="17"/>
      <c r="U5104" s="17"/>
      <c r="V5104" s="18">
        <v>0</v>
      </c>
      <c r="W5104" s="17">
        <f t="shared" si="147"/>
        <v>0</v>
      </c>
    </row>
    <row r="5105" spans="1:23" x14ac:dyDescent="0.25">
      <c r="A5105" s="17"/>
      <c r="B5105" s="17"/>
      <c r="C5105" s="17"/>
      <c r="D5105" s="17"/>
      <c r="E5105" s="17"/>
      <c r="F5105" s="17"/>
      <c r="G5105" s="17"/>
      <c r="H5105" s="17"/>
      <c r="I5105" s="17"/>
      <c r="J5105" s="17"/>
      <c r="K5105" s="17"/>
      <c r="L5105" s="17"/>
      <c r="M5105" s="17"/>
      <c r="N5105" s="17"/>
      <c r="O5105" s="17"/>
      <c r="P5105" s="17"/>
      <c r="Q5105" s="17"/>
      <c r="R5105" s="17"/>
      <c r="S5105" s="17"/>
      <c r="T5105" s="17"/>
      <c r="U5105" s="17"/>
      <c r="V5105" s="18">
        <v>0</v>
      </c>
      <c r="W5105" s="17">
        <f t="shared" si="147"/>
        <v>0</v>
      </c>
    </row>
    <row r="5106" spans="1:23" x14ac:dyDescent="0.25">
      <c r="A5106" s="17"/>
      <c r="B5106" s="17"/>
      <c r="C5106" s="17"/>
      <c r="D5106" s="17"/>
      <c r="E5106" s="17"/>
      <c r="F5106" s="17"/>
      <c r="G5106" s="17"/>
      <c r="H5106" s="17"/>
      <c r="I5106" s="17"/>
      <c r="J5106" s="17"/>
      <c r="K5106" s="17"/>
      <c r="L5106" s="17"/>
      <c r="M5106" s="17"/>
      <c r="N5106" s="17"/>
      <c r="O5106" s="17"/>
      <c r="P5106" s="17"/>
      <c r="Q5106" s="17"/>
      <c r="R5106" s="17"/>
      <c r="S5106" s="17"/>
      <c r="T5106" s="17"/>
      <c r="U5106" s="17"/>
      <c r="V5106" s="18">
        <v>0</v>
      </c>
      <c r="W5106" s="17">
        <f t="shared" si="147"/>
        <v>0</v>
      </c>
    </row>
    <row r="5107" spans="1:23" x14ac:dyDescent="0.25">
      <c r="A5107" s="17"/>
      <c r="B5107" s="17"/>
      <c r="C5107" s="17"/>
      <c r="D5107" s="17"/>
      <c r="E5107" s="17"/>
      <c r="F5107" s="17"/>
      <c r="G5107" s="17"/>
      <c r="H5107" s="17"/>
      <c r="I5107" s="17"/>
      <c r="J5107" s="17"/>
      <c r="K5107" s="17"/>
      <c r="L5107" s="17"/>
      <c r="M5107" s="17"/>
      <c r="N5107" s="17"/>
      <c r="O5107" s="17"/>
      <c r="P5107" s="17"/>
      <c r="Q5107" s="17"/>
      <c r="R5107" s="17"/>
      <c r="S5107" s="17"/>
      <c r="T5107" s="17"/>
      <c r="U5107" s="17"/>
      <c r="V5107" s="18">
        <v>0</v>
      </c>
      <c r="W5107" s="17">
        <f t="shared" si="147"/>
        <v>0</v>
      </c>
    </row>
    <row r="5108" spans="1:23" x14ac:dyDescent="0.25">
      <c r="A5108" s="17"/>
      <c r="B5108" s="17"/>
      <c r="C5108" s="17"/>
      <c r="D5108" s="17"/>
      <c r="E5108" s="17"/>
      <c r="F5108" s="17"/>
      <c r="G5108" s="17"/>
      <c r="H5108" s="17"/>
      <c r="I5108" s="17"/>
      <c r="J5108" s="17"/>
      <c r="K5108" s="17"/>
      <c r="L5108" s="17"/>
      <c r="M5108" s="17"/>
      <c r="N5108" s="17"/>
      <c r="O5108" s="17"/>
      <c r="P5108" s="17"/>
      <c r="Q5108" s="17"/>
      <c r="R5108" s="17"/>
      <c r="S5108" s="17"/>
      <c r="T5108" s="17"/>
      <c r="U5108" s="17"/>
      <c r="V5108" s="18">
        <v>0</v>
      </c>
      <c r="W5108" s="17">
        <f t="shared" si="147"/>
        <v>0</v>
      </c>
    </row>
    <row r="5109" spans="1:23" x14ac:dyDescent="0.25">
      <c r="A5109" s="17"/>
      <c r="B5109" s="17"/>
      <c r="C5109" s="17"/>
      <c r="D5109" s="17"/>
      <c r="E5109" s="17"/>
      <c r="F5109" s="17"/>
      <c r="G5109" s="17"/>
      <c r="H5109" s="17"/>
      <c r="I5109" s="17"/>
      <c r="J5109" s="17"/>
      <c r="K5109" s="17"/>
      <c r="L5109" s="17"/>
      <c r="M5109" s="17"/>
      <c r="N5109" s="17"/>
      <c r="O5109" s="17"/>
      <c r="P5109" s="17"/>
      <c r="Q5109" s="17"/>
      <c r="R5109" s="17"/>
      <c r="S5109" s="17"/>
      <c r="T5109" s="17"/>
      <c r="U5109" s="17"/>
      <c r="V5109" s="18">
        <v>0</v>
      </c>
      <c r="W5109" s="17">
        <f t="shared" si="147"/>
        <v>0</v>
      </c>
    </row>
    <row r="5110" spans="1:23" x14ac:dyDescent="0.25">
      <c r="A5110" s="17"/>
      <c r="B5110" s="17"/>
      <c r="C5110" s="17"/>
      <c r="D5110" s="17"/>
      <c r="E5110" s="17"/>
      <c r="F5110" s="17"/>
      <c r="G5110" s="17"/>
      <c r="H5110" s="17"/>
      <c r="I5110" s="17"/>
      <c r="J5110" s="17"/>
      <c r="K5110" s="17"/>
      <c r="L5110" s="17"/>
      <c r="M5110" s="17"/>
      <c r="N5110" s="17"/>
      <c r="O5110" s="17"/>
      <c r="P5110" s="17"/>
      <c r="Q5110" s="17"/>
      <c r="R5110" s="17"/>
      <c r="S5110" s="17"/>
      <c r="T5110" s="17"/>
      <c r="U5110" s="17"/>
      <c r="V5110" s="18">
        <v>0</v>
      </c>
      <c r="W5110" s="17">
        <f t="shared" si="147"/>
        <v>0</v>
      </c>
    </row>
    <row r="5111" spans="1:23" x14ac:dyDescent="0.25">
      <c r="A5111" s="17"/>
      <c r="B5111" s="17"/>
      <c r="C5111" s="17"/>
      <c r="D5111" s="17"/>
      <c r="E5111" s="17"/>
      <c r="F5111" s="17"/>
      <c r="G5111" s="17"/>
      <c r="H5111" s="17"/>
      <c r="I5111" s="17"/>
      <c r="J5111" s="17"/>
      <c r="K5111" s="17"/>
      <c r="L5111" s="17"/>
      <c r="M5111" s="17"/>
      <c r="N5111" s="17"/>
      <c r="O5111" s="17"/>
      <c r="P5111" s="17"/>
      <c r="Q5111" s="17"/>
      <c r="R5111" s="17"/>
      <c r="S5111" s="17"/>
      <c r="T5111" s="17"/>
      <c r="U5111" s="17"/>
      <c r="V5111" s="18">
        <v>0</v>
      </c>
      <c r="W5111" s="17">
        <f t="shared" si="147"/>
        <v>0</v>
      </c>
    </row>
    <row r="5112" spans="1:23" x14ac:dyDescent="0.25">
      <c r="A5112" s="17"/>
      <c r="B5112" s="17"/>
      <c r="C5112" s="17"/>
      <c r="D5112" s="17"/>
      <c r="E5112" s="17"/>
      <c r="F5112" s="17"/>
      <c r="G5112" s="17"/>
      <c r="H5112" s="17"/>
      <c r="I5112" s="17"/>
      <c r="J5112" s="17"/>
      <c r="K5112" s="17"/>
      <c r="L5112" s="17"/>
      <c r="M5112" s="17"/>
      <c r="N5112" s="17"/>
      <c r="O5112" s="17"/>
      <c r="P5112" s="17"/>
      <c r="Q5112" s="17"/>
      <c r="R5112" s="17"/>
      <c r="S5112" s="17"/>
      <c r="T5112" s="17"/>
      <c r="U5112" s="17"/>
      <c r="V5112" s="18">
        <v>0</v>
      </c>
      <c r="W5112" s="17">
        <f t="shared" si="147"/>
        <v>0</v>
      </c>
    </row>
    <row r="5113" spans="1:23" x14ac:dyDescent="0.25">
      <c r="A5113" s="17"/>
      <c r="B5113" s="17"/>
      <c r="C5113" s="17"/>
      <c r="D5113" s="17"/>
      <c r="E5113" s="17"/>
      <c r="F5113" s="17"/>
      <c r="G5113" s="17"/>
      <c r="H5113" s="17"/>
      <c r="I5113" s="17"/>
      <c r="J5113" s="17"/>
      <c r="K5113" s="17"/>
      <c r="L5113" s="17"/>
      <c r="M5113" s="17"/>
      <c r="N5113" s="17"/>
      <c r="O5113" s="17"/>
      <c r="P5113" s="17"/>
      <c r="Q5113" s="17"/>
      <c r="R5113" s="17"/>
      <c r="S5113" s="17"/>
      <c r="T5113" s="17"/>
      <c r="U5113" s="17"/>
      <c r="V5113" s="18">
        <v>0</v>
      </c>
      <c r="W5113" s="17">
        <f t="shared" si="147"/>
        <v>0</v>
      </c>
    </row>
    <row r="5114" spans="1:23" x14ac:dyDescent="0.25">
      <c r="A5114" s="17"/>
      <c r="B5114" s="17"/>
      <c r="C5114" s="17"/>
      <c r="D5114" s="17"/>
      <c r="E5114" s="17"/>
      <c r="F5114" s="17"/>
      <c r="G5114" s="17"/>
      <c r="H5114" s="17"/>
      <c r="I5114" s="17"/>
      <c r="J5114" s="17"/>
      <c r="K5114" s="17"/>
      <c r="L5114" s="17"/>
      <c r="M5114" s="17"/>
      <c r="N5114" s="17"/>
      <c r="O5114" s="17"/>
      <c r="P5114" s="17"/>
      <c r="Q5114" s="17"/>
      <c r="R5114" s="17"/>
      <c r="S5114" s="17"/>
      <c r="T5114" s="17"/>
      <c r="U5114" s="17"/>
      <c r="V5114" s="18">
        <v>0</v>
      </c>
      <c r="W5114" s="17">
        <f t="shared" si="147"/>
        <v>0</v>
      </c>
    </row>
    <row r="5115" spans="1:23" x14ac:dyDescent="0.25">
      <c r="A5115" s="17"/>
      <c r="B5115" s="17"/>
      <c r="C5115" s="17"/>
      <c r="D5115" s="17"/>
      <c r="E5115" s="17"/>
      <c r="F5115" s="17"/>
      <c r="G5115" s="17"/>
      <c r="H5115" s="17"/>
      <c r="I5115" s="17"/>
      <c r="J5115" s="17"/>
      <c r="K5115" s="17"/>
      <c r="L5115" s="17"/>
      <c r="M5115" s="17"/>
      <c r="N5115" s="17"/>
      <c r="O5115" s="17"/>
      <c r="P5115" s="17"/>
      <c r="Q5115" s="17"/>
      <c r="R5115" s="17"/>
      <c r="S5115" s="17"/>
      <c r="T5115" s="17"/>
      <c r="U5115" s="17"/>
      <c r="V5115" s="18">
        <v>0</v>
      </c>
      <c r="W5115" s="17">
        <f t="shared" si="147"/>
        <v>0</v>
      </c>
    </row>
    <row r="5116" spans="1:23" x14ac:dyDescent="0.25">
      <c r="A5116" s="17"/>
      <c r="B5116" s="17"/>
      <c r="C5116" s="17"/>
      <c r="D5116" s="17"/>
      <c r="E5116" s="17"/>
      <c r="F5116" s="17"/>
      <c r="G5116" s="17"/>
      <c r="H5116" s="17"/>
      <c r="I5116" s="17"/>
      <c r="J5116" s="17"/>
      <c r="K5116" s="17"/>
      <c r="L5116" s="17"/>
      <c r="M5116" s="17"/>
      <c r="N5116" s="17"/>
      <c r="O5116" s="17"/>
      <c r="P5116" s="17"/>
      <c r="Q5116" s="17"/>
      <c r="R5116" s="17"/>
      <c r="S5116" s="17"/>
      <c r="T5116" s="17"/>
      <c r="U5116" s="17"/>
      <c r="V5116" s="18">
        <v>0</v>
      </c>
      <c r="W5116" s="17">
        <f t="shared" si="147"/>
        <v>0</v>
      </c>
    </row>
    <row r="5117" spans="1:23" x14ac:dyDescent="0.25">
      <c r="A5117" s="17"/>
      <c r="B5117" s="17"/>
      <c r="C5117" s="17"/>
      <c r="D5117" s="17"/>
      <c r="E5117" s="17"/>
      <c r="F5117" s="17"/>
      <c r="G5117" s="17"/>
      <c r="H5117" s="17"/>
      <c r="I5117" s="17"/>
      <c r="J5117" s="17"/>
      <c r="K5117" s="17"/>
      <c r="L5117" s="17"/>
      <c r="M5117" s="17"/>
      <c r="N5117" s="17"/>
      <c r="O5117" s="17"/>
      <c r="P5117" s="17"/>
      <c r="Q5117" s="17"/>
      <c r="R5117" s="17"/>
      <c r="S5117" s="17"/>
      <c r="T5117" s="17"/>
      <c r="U5117" s="17"/>
      <c r="V5117" s="18">
        <v>0</v>
      </c>
      <c r="W5117" s="17">
        <f t="shared" si="147"/>
        <v>0</v>
      </c>
    </row>
    <row r="5118" spans="1:23" x14ac:dyDescent="0.25">
      <c r="A5118" s="17"/>
      <c r="B5118" s="17"/>
      <c r="C5118" s="17"/>
      <c r="D5118" s="17"/>
      <c r="E5118" s="17"/>
      <c r="F5118" s="17"/>
      <c r="G5118" s="17"/>
      <c r="H5118" s="17"/>
      <c r="I5118" s="17"/>
      <c r="J5118" s="17"/>
      <c r="K5118" s="17"/>
      <c r="L5118" s="17"/>
      <c r="M5118" s="17"/>
      <c r="N5118" s="17"/>
      <c r="O5118" s="17"/>
      <c r="P5118" s="17"/>
      <c r="Q5118" s="17"/>
      <c r="R5118" s="17"/>
      <c r="S5118" s="17"/>
      <c r="T5118" s="17"/>
      <c r="U5118" s="17"/>
      <c r="V5118" s="18">
        <v>0</v>
      </c>
      <c r="W5118" s="17">
        <f t="shared" si="147"/>
        <v>0</v>
      </c>
    </row>
    <row r="5119" spans="1:23" x14ac:dyDescent="0.25">
      <c r="A5119" s="17"/>
      <c r="B5119" s="17"/>
      <c r="C5119" s="17"/>
      <c r="D5119" s="17"/>
      <c r="E5119" s="17"/>
      <c r="F5119" s="17"/>
      <c r="G5119" s="17"/>
      <c r="H5119" s="17"/>
      <c r="I5119" s="17"/>
      <c r="J5119" s="17"/>
      <c r="K5119" s="17"/>
      <c r="L5119" s="17"/>
      <c r="M5119" s="17"/>
      <c r="N5119" s="17"/>
      <c r="O5119" s="17"/>
      <c r="P5119" s="17"/>
      <c r="Q5119" s="17"/>
      <c r="R5119" s="17"/>
      <c r="S5119" s="17"/>
      <c r="T5119" s="17"/>
      <c r="U5119" s="17"/>
      <c r="V5119" s="18">
        <v>0</v>
      </c>
      <c r="W5119" s="17">
        <f t="shared" si="147"/>
        <v>0</v>
      </c>
    </row>
    <row r="5120" spans="1:23" x14ac:dyDescent="0.25">
      <c r="A5120" s="17"/>
      <c r="B5120" s="17"/>
      <c r="C5120" s="17"/>
      <c r="D5120" s="17"/>
      <c r="E5120" s="17"/>
      <c r="F5120" s="17"/>
      <c r="G5120" s="17"/>
      <c r="H5120" s="17"/>
      <c r="I5120" s="17"/>
      <c r="J5120" s="17"/>
      <c r="K5120" s="17"/>
      <c r="L5120" s="17"/>
      <c r="M5120" s="17"/>
      <c r="N5120" s="17"/>
      <c r="O5120" s="17"/>
      <c r="P5120" s="17"/>
      <c r="Q5120" s="17"/>
      <c r="R5120" s="17"/>
      <c r="S5120" s="17"/>
      <c r="T5120" s="17"/>
      <c r="U5120" s="17"/>
      <c r="V5120" s="18">
        <v>0</v>
      </c>
      <c r="W5120" s="17">
        <f t="shared" si="147"/>
        <v>0</v>
      </c>
    </row>
    <row r="5121" spans="1:23" x14ac:dyDescent="0.25">
      <c r="A5121" s="17"/>
      <c r="B5121" s="17"/>
      <c r="C5121" s="17"/>
      <c r="D5121" s="17"/>
      <c r="E5121" s="17"/>
      <c r="F5121" s="17"/>
      <c r="G5121" s="17"/>
      <c r="H5121" s="17"/>
      <c r="I5121" s="17"/>
      <c r="J5121" s="17"/>
      <c r="K5121" s="17"/>
      <c r="L5121" s="17"/>
      <c r="M5121" s="17"/>
      <c r="N5121" s="17"/>
      <c r="O5121" s="17"/>
      <c r="P5121" s="17"/>
      <c r="Q5121" s="17"/>
      <c r="R5121" s="17"/>
      <c r="S5121" s="17"/>
      <c r="T5121" s="17"/>
      <c r="U5121" s="17"/>
      <c r="V5121" s="18">
        <v>0</v>
      </c>
      <c r="W5121" s="17">
        <f t="shared" si="147"/>
        <v>0</v>
      </c>
    </row>
    <row r="5122" spans="1:23" x14ac:dyDescent="0.25">
      <c r="A5122" s="17"/>
      <c r="B5122" s="17"/>
      <c r="C5122" s="17"/>
      <c r="D5122" s="17"/>
      <c r="E5122" s="17"/>
      <c r="F5122" s="17"/>
      <c r="G5122" s="17"/>
      <c r="H5122" s="17"/>
      <c r="I5122" s="17"/>
      <c r="J5122" s="17"/>
      <c r="K5122" s="17"/>
      <c r="L5122" s="17"/>
      <c r="M5122" s="17"/>
      <c r="N5122" s="17"/>
      <c r="O5122" s="17"/>
      <c r="P5122" s="17"/>
      <c r="Q5122" s="17"/>
      <c r="R5122" s="17"/>
      <c r="S5122" s="17"/>
      <c r="T5122" s="17"/>
      <c r="U5122" s="17"/>
      <c r="V5122" s="18">
        <v>0</v>
      </c>
      <c r="W5122" s="17">
        <f t="shared" si="147"/>
        <v>0</v>
      </c>
    </row>
    <row r="5123" spans="1:23" x14ac:dyDescent="0.25">
      <c r="A5123" s="17"/>
      <c r="B5123" s="17"/>
      <c r="C5123" s="17"/>
      <c r="D5123" s="17"/>
      <c r="E5123" s="17"/>
      <c r="F5123" s="17"/>
      <c r="G5123" s="17"/>
      <c r="H5123" s="17"/>
      <c r="I5123" s="17"/>
      <c r="J5123" s="17"/>
      <c r="K5123" s="17"/>
      <c r="L5123" s="17"/>
      <c r="M5123" s="17"/>
      <c r="N5123" s="17"/>
      <c r="O5123" s="17"/>
      <c r="P5123" s="17"/>
      <c r="Q5123" s="17"/>
      <c r="R5123" s="17"/>
      <c r="S5123" s="17"/>
      <c r="T5123" s="17"/>
      <c r="U5123" s="17"/>
      <c r="V5123" s="18">
        <v>0</v>
      </c>
      <c r="W5123" s="17">
        <f t="shared" ref="W5123:W5186" si="148">HOUR(E5123)</f>
        <v>0</v>
      </c>
    </row>
    <row r="5124" spans="1:23" x14ac:dyDescent="0.25">
      <c r="A5124" s="17"/>
      <c r="B5124" s="17"/>
      <c r="C5124" s="17"/>
      <c r="D5124" s="17"/>
      <c r="E5124" s="17"/>
      <c r="F5124" s="17"/>
      <c r="G5124" s="17"/>
      <c r="H5124" s="17"/>
      <c r="I5124" s="17"/>
      <c r="J5124" s="17"/>
      <c r="K5124" s="17"/>
      <c r="L5124" s="17"/>
      <c r="M5124" s="17"/>
      <c r="N5124" s="17"/>
      <c r="O5124" s="17"/>
      <c r="P5124" s="17"/>
      <c r="Q5124" s="17"/>
      <c r="R5124" s="17"/>
      <c r="S5124" s="17"/>
      <c r="T5124" s="17"/>
      <c r="U5124" s="17"/>
      <c r="V5124" s="18">
        <v>0</v>
      </c>
      <c r="W5124" s="17">
        <f t="shared" si="148"/>
        <v>0</v>
      </c>
    </row>
    <row r="5125" spans="1:23" x14ac:dyDescent="0.25">
      <c r="A5125" s="17"/>
      <c r="B5125" s="17"/>
      <c r="C5125" s="17"/>
      <c r="D5125" s="17"/>
      <c r="E5125" s="17"/>
      <c r="F5125" s="17"/>
      <c r="G5125" s="17"/>
      <c r="H5125" s="17"/>
      <c r="I5125" s="17"/>
      <c r="J5125" s="17"/>
      <c r="K5125" s="17"/>
      <c r="L5125" s="17"/>
      <c r="M5125" s="17"/>
      <c r="N5125" s="17"/>
      <c r="O5125" s="17"/>
      <c r="P5125" s="17"/>
      <c r="Q5125" s="17"/>
      <c r="R5125" s="17"/>
      <c r="S5125" s="17"/>
      <c r="T5125" s="17"/>
      <c r="U5125" s="17"/>
      <c r="V5125" s="18">
        <v>0</v>
      </c>
      <c r="W5125" s="17">
        <f t="shared" si="148"/>
        <v>0</v>
      </c>
    </row>
    <row r="5126" spans="1:23" x14ac:dyDescent="0.25">
      <c r="A5126" s="17"/>
      <c r="B5126" s="17"/>
      <c r="C5126" s="17"/>
      <c r="D5126" s="17"/>
      <c r="E5126" s="17"/>
      <c r="F5126" s="17"/>
      <c r="G5126" s="17"/>
      <c r="H5126" s="17"/>
      <c r="I5126" s="17"/>
      <c r="J5126" s="17"/>
      <c r="K5126" s="17"/>
      <c r="L5126" s="17"/>
      <c r="M5126" s="17"/>
      <c r="N5126" s="17"/>
      <c r="O5126" s="17"/>
      <c r="P5126" s="17"/>
      <c r="Q5126" s="17"/>
      <c r="R5126" s="17"/>
      <c r="S5126" s="17"/>
      <c r="T5126" s="17"/>
      <c r="U5126" s="17"/>
      <c r="V5126" s="18">
        <v>0</v>
      </c>
      <c r="W5126" s="17">
        <f t="shared" si="148"/>
        <v>0</v>
      </c>
    </row>
    <row r="5127" spans="1:23" x14ac:dyDescent="0.25">
      <c r="A5127" s="17"/>
      <c r="B5127" s="17"/>
      <c r="C5127" s="17"/>
      <c r="D5127" s="17"/>
      <c r="E5127" s="17"/>
      <c r="F5127" s="17"/>
      <c r="G5127" s="17"/>
      <c r="H5127" s="17"/>
      <c r="I5127" s="17"/>
      <c r="J5127" s="17"/>
      <c r="K5127" s="17"/>
      <c r="L5127" s="17"/>
      <c r="M5127" s="17"/>
      <c r="N5127" s="17"/>
      <c r="O5127" s="17"/>
      <c r="P5127" s="17"/>
      <c r="Q5127" s="17"/>
      <c r="R5127" s="17"/>
      <c r="S5127" s="17"/>
      <c r="T5127" s="17"/>
      <c r="U5127" s="17"/>
      <c r="V5127" s="18">
        <v>0</v>
      </c>
      <c r="W5127" s="17">
        <f t="shared" si="148"/>
        <v>0</v>
      </c>
    </row>
    <row r="5128" spans="1:23" x14ac:dyDescent="0.25">
      <c r="A5128" s="17"/>
      <c r="B5128" s="17"/>
      <c r="C5128" s="17"/>
      <c r="D5128" s="17"/>
      <c r="E5128" s="17"/>
      <c r="F5128" s="17"/>
      <c r="G5128" s="17"/>
      <c r="H5128" s="17"/>
      <c r="I5128" s="17"/>
      <c r="J5128" s="17"/>
      <c r="K5128" s="17"/>
      <c r="L5128" s="17"/>
      <c r="M5128" s="17"/>
      <c r="N5128" s="17"/>
      <c r="O5128" s="17"/>
      <c r="P5128" s="17"/>
      <c r="Q5128" s="17"/>
      <c r="R5128" s="17"/>
      <c r="S5128" s="17"/>
      <c r="T5128" s="17"/>
      <c r="U5128" s="17"/>
      <c r="V5128" s="18">
        <v>0</v>
      </c>
      <c r="W5128" s="17">
        <f t="shared" si="148"/>
        <v>0</v>
      </c>
    </row>
    <row r="5129" spans="1:23" x14ac:dyDescent="0.25">
      <c r="A5129" s="17"/>
      <c r="B5129" s="17"/>
      <c r="C5129" s="17"/>
      <c r="D5129" s="17"/>
      <c r="E5129" s="17"/>
      <c r="F5129" s="17"/>
      <c r="G5129" s="17"/>
      <c r="H5129" s="17"/>
      <c r="I5129" s="17"/>
      <c r="J5129" s="17"/>
      <c r="K5129" s="17"/>
      <c r="L5129" s="17"/>
      <c r="M5129" s="17"/>
      <c r="N5129" s="17"/>
      <c r="O5129" s="17"/>
      <c r="P5129" s="17"/>
      <c r="Q5129" s="17"/>
      <c r="R5129" s="17"/>
      <c r="S5129" s="17"/>
      <c r="T5129" s="17"/>
      <c r="U5129" s="17"/>
      <c r="V5129" s="18">
        <v>0</v>
      </c>
      <c r="W5129" s="17">
        <f t="shared" si="148"/>
        <v>0</v>
      </c>
    </row>
    <row r="5130" spans="1:23" x14ac:dyDescent="0.25">
      <c r="A5130" s="17"/>
      <c r="B5130" s="17"/>
      <c r="C5130" s="17"/>
      <c r="D5130" s="17"/>
      <c r="E5130" s="17"/>
      <c r="F5130" s="17"/>
      <c r="G5130" s="17"/>
      <c r="H5130" s="17"/>
      <c r="I5130" s="17"/>
      <c r="J5130" s="17"/>
      <c r="K5130" s="17"/>
      <c r="L5130" s="17"/>
      <c r="M5130" s="17"/>
      <c r="N5130" s="17"/>
      <c r="O5130" s="17"/>
      <c r="P5130" s="17"/>
      <c r="Q5130" s="17"/>
      <c r="R5130" s="17"/>
      <c r="S5130" s="17"/>
      <c r="T5130" s="17"/>
      <c r="U5130" s="17"/>
      <c r="V5130" s="18">
        <v>0</v>
      </c>
      <c r="W5130" s="17">
        <f t="shared" si="148"/>
        <v>0</v>
      </c>
    </row>
    <row r="5131" spans="1:23" x14ac:dyDescent="0.25">
      <c r="A5131" s="17"/>
      <c r="B5131" s="17"/>
      <c r="C5131" s="17"/>
      <c r="D5131" s="17"/>
      <c r="E5131" s="17"/>
      <c r="F5131" s="17"/>
      <c r="G5131" s="17"/>
      <c r="H5131" s="17"/>
      <c r="I5131" s="17"/>
      <c r="J5131" s="17"/>
      <c r="K5131" s="17"/>
      <c r="L5131" s="17"/>
      <c r="M5131" s="17"/>
      <c r="N5131" s="17"/>
      <c r="O5131" s="17"/>
      <c r="P5131" s="17"/>
      <c r="Q5131" s="17"/>
      <c r="R5131" s="17"/>
      <c r="S5131" s="17"/>
      <c r="T5131" s="17"/>
      <c r="U5131" s="17"/>
      <c r="V5131" s="18">
        <v>0</v>
      </c>
      <c r="W5131" s="17">
        <f t="shared" si="148"/>
        <v>0</v>
      </c>
    </row>
    <row r="5132" spans="1:23" x14ac:dyDescent="0.25">
      <c r="A5132" s="17"/>
      <c r="B5132" s="17"/>
      <c r="C5132" s="17"/>
      <c r="D5132" s="17"/>
      <c r="E5132" s="17"/>
      <c r="F5132" s="17"/>
      <c r="G5132" s="17"/>
      <c r="H5132" s="17"/>
      <c r="I5132" s="17"/>
      <c r="J5132" s="17"/>
      <c r="K5132" s="17"/>
      <c r="L5132" s="17"/>
      <c r="M5132" s="17"/>
      <c r="N5132" s="17"/>
      <c r="O5132" s="17"/>
      <c r="P5132" s="17"/>
      <c r="Q5132" s="17"/>
      <c r="R5132" s="17"/>
      <c r="S5132" s="17"/>
      <c r="T5132" s="17"/>
      <c r="U5132" s="17"/>
      <c r="V5132" s="18">
        <v>0</v>
      </c>
      <c r="W5132" s="17">
        <f t="shared" si="148"/>
        <v>0</v>
      </c>
    </row>
    <row r="5133" spans="1:23" x14ac:dyDescent="0.25">
      <c r="A5133" s="17"/>
      <c r="B5133" s="17"/>
      <c r="C5133" s="17"/>
      <c r="D5133" s="17"/>
      <c r="E5133" s="17"/>
      <c r="F5133" s="17"/>
      <c r="G5133" s="17"/>
      <c r="H5133" s="17"/>
      <c r="I5133" s="17"/>
      <c r="J5133" s="17"/>
      <c r="K5133" s="17"/>
      <c r="L5133" s="17"/>
      <c r="M5133" s="17"/>
      <c r="N5133" s="17"/>
      <c r="O5133" s="17"/>
      <c r="P5133" s="17"/>
      <c r="Q5133" s="17"/>
      <c r="R5133" s="17"/>
      <c r="S5133" s="17"/>
      <c r="T5133" s="17"/>
      <c r="U5133" s="17"/>
      <c r="V5133" s="18">
        <v>0</v>
      </c>
      <c r="W5133" s="17">
        <f t="shared" si="148"/>
        <v>0</v>
      </c>
    </row>
    <row r="5134" spans="1:23" x14ac:dyDescent="0.25">
      <c r="A5134" s="17"/>
      <c r="B5134" s="17"/>
      <c r="C5134" s="17"/>
      <c r="D5134" s="17"/>
      <c r="E5134" s="17"/>
      <c r="F5134" s="17"/>
      <c r="G5134" s="17"/>
      <c r="H5134" s="17"/>
      <c r="I5134" s="17"/>
      <c r="J5134" s="17"/>
      <c r="K5134" s="17"/>
      <c r="L5134" s="17"/>
      <c r="M5134" s="17"/>
      <c r="N5134" s="17"/>
      <c r="O5134" s="17"/>
      <c r="P5134" s="17"/>
      <c r="Q5134" s="17"/>
      <c r="R5134" s="17"/>
      <c r="S5134" s="17"/>
      <c r="T5134" s="17"/>
      <c r="U5134" s="17"/>
      <c r="V5134" s="18">
        <v>0</v>
      </c>
      <c r="W5134" s="17">
        <f t="shared" si="148"/>
        <v>0</v>
      </c>
    </row>
    <row r="5135" spans="1:23" x14ac:dyDescent="0.25">
      <c r="A5135" s="17"/>
      <c r="B5135" s="17"/>
      <c r="C5135" s="17"/>
      <c r="D5135" s="17"/>
      <c r="E5135" s="17"/>
      <c r="F5135" s="17"/>
      <c r="G5135" s="17"/>
      <c r="H5135" s="17"/>
      <c r="I5135" s="17"/>
      <c r="J5135" s="17"/>
      <c r="K5135" s="17"/>
      <c r="L5135" s="17"/>
      <c r="M5135" s="17"/>
      <c r="N5135" s="17"/>
      <c r="O5135" s="17"/>
      <c r="P5135" s="17"/>
      <c r="Q5135" s="17"/>
      <c r="R5135" s="17"/>
      <c r="S5135" s="17"/>
      <c r="T5135" s="17"/>
      <c r="U5135" s="17"/>
      <c r="V5135" s="18">
        <v>0</v>
      </c>
      <c r="W5135" s="17">
        <f t="shared" si="148"/>
        <v>0</v>
      </c>
    </row>
    <row r="5136" spans="1:23" x14ac:dyDescent="0.25">
      <c r="A5136" s="17"/>
      <c r="B5136" s="17"/>
      <c r="C5136" s="17"/>
      <c r="D5136" s="17"/>
      <c r="E5136" s="17"/>
      <c r="F5136" s="17"/>
      <c r="G5136" s="17"/>
      <c r="H5136" s="17"/>
      <c r="I5136" s="17"/>
      <c r="J5136" s="17"/>
      <c r="K5136" s="17"/>
      <c r="L5136" s="17"/>
      <c r="M5136" s="17"/>
      <c r="N5136" s="17"/>
      <c r="O5136" s="17"/>
      <c r="P5136" s="17"/>
      <c r="Q5136" s="17"/>
      <c r="R5136" s="17"/>
      <c r="S5136" s="17"/>
      <c r="T5136" s="17"/>
      <c r="U5136" s="17"/>
      <c r="V5136" s="18">
        <v>0</v>
      </c>
      <c r="W5136" s="17">
        <f t="shared" si="148"/>
        <v>0</v>
      </c>
    </row>
    <row r="5137" spans="1:23" x14ac:dyDescent="0.25">
      <c r="A5137" s="17"/>
      <c r="B5137" s="17"/>
      <c r="C5137" s="17"/>
      <c r="D5137" s="17"/>
      <c r="E5137" s="17"/>
      <c r="F5137" s="17"/>
      <c r="G5137" s="17"/>
      <c r="H5137" s="17"/>
      <c r="I5137" s="17"/>
      <c r="J5137" s="17"/>
      <c r="K5137" s="17"/>
      <c r="L5137" s="17"/>
      <c r="M5137" s="17"/>
      <c r="N5137" s="17"/>
      <c r="O5137" s="17"/>
      <c r="P5137" s="17"/>
      <c r="Q5137" s="17"/>
      <c r="R5137" s="17"/>
      <c r="S5137" s="17"/>
      <c r="T5137" s="17"/>
      <c r="U5137" s="17"/>
      <c r="V5137" s="18">
        <v>0</v>
      </c>
      <c r="W5137" s="17">
        <f t="shared" si="148"/>
        <v>0</v>
      </c>
    </row>
    <row r="5138" spans="1:23" x14ac:dyDescent="0.25">
      <c r="A5138" s="17"/>
      <c r="B5138" s="17"/>
      <c r="C5138" s="17"/>
      <c r="D5138" s="17"/>
      <c r="E5138" s="17"/>
      <c r="F5138" s="17"/>
      <c r="G5138" s="17"/>
      <c r="H5138" s="17"/>
      <c r="I5138" s="17"/>
      <c r="J5138" s="17"/>
      <c r="K5138" s="17"/>
      <c r="L5138" s="17"/>
      <c r="M5138" s="17"/>
      <c r="N5138" s="17"/>
      <c r="O5138" s="17"/>
      <c r="P5138" s="17"/>
      <c r="Q5138" s="17"/>
      <c r="R5138" s="17"/>
      <c r="S5138" s="17"/>
      <c r="T5138" s="17"/>
      <c r="U5138" s="17"/>
      <c r="V5138" s="18">
        <v>0</v>
      </c>
      <c r="W5138" s="17">
        <f t="shared" si="148"/>
        <v>0</v>
      </c>
    </row>
    <row r="5139" spans="1:23" x14ac:dyDescent="0.25">
      <c r="A5139" s="17"/>
      <c r="B5139" s="17"/>
      <c r="C5139" s="17"/>
      <c r="D5139" s="17"/>
      <c r="E5139" s="17"/>
      <c r="F5139" s="17"/>
      <c r="G5139" s="17"/>
      <c r="H5139" s="17"/>
      <c r="I5139" s="17"/>
      <c r="J5139" s="17"/>
      <c r="K5139" s="17"/>
      <c r="L5139" s="17"/>
      <c r="M5139" s="17"/>
      <c r="N5139" s="17"/>
      <c r="O5139" s="17"/>
      <c r="P5139" s="17"/>
      <c r="Q5139" s="17"/>
      <c r="R5139" s="17"/>
      <c r="S5139" s="17"/>
      <c r="T5139" s="17"/>
      <c r="U5139" s="17"/>
      <c r="V5139" s="18">
        <v>0</v>
      </c>
      <c r="W5139" s="17">
        <f t="shared" si="148"/>
        <v>0</v>
      </c>
    </row>
    <row r="5140" spans="1:23" x14ac:dyDescent="0.25">
      <c r="A5140" s="17"/>
      <c r="B5140" s="17"/>
      <c r="C5140" s="17"/>
      <c r="D5140" s="17"/>
      <c r="E5140" s="17"/>
      <c r="F5140" s="17"/>
      <c r="G5140" s="17"/>
      <c r="H5140" s="17"/>
      <c r="I5140" s="17"/>
      <c r="J5140" s="17"/>
      <c r="K5140" s="17"/>
      <c r="L5140" s="17"/>
      <c r="M5140" s="17"/>
      <c r="N5140" s="17"/>
      <c r="O5140" s="17"/>
      <c r="P5140" s="17"/>
      <c r="Q5140" s="17"/>
      <c r="R5140" s="17"/>
      <c r="S5140" s="17"/>
      <c r="T5140" s="17"/>
      <c r="U5140" s="17"/>
      <c r="V5140" s="18">
        <v>0</v>
      </c>
      <c r="W5140" s="17">
        <f t="shared" si="148"/>
        <v>0</v>
      </c>
    </row>
    <row r="5141" spans="1:23" x14ac:dyDescent="0.25">
      <c r="A5141" s="17"/>
      <c r="B5141" s="17"/>
      <c r="C5141" s="17"/>
      <c r="D5141" s="17"/>
      <c r="E5141" s="17"/>
      <c r="F5141" s="17"/>
      <c r="G5141" s="17"/>
      <c r="H5141" s="17"/>
      <c r="I5141" s="17"/>
      <c r="J5141" s="17"/>
      <c r="K5141" s="17"/>
      <c r="L5141" s="17"/>
      <c r="M5141" s="17"/>
      <c r="N5141" s="17"/>
      <c r="O5141" s="17"/>
      <c r="P5141" s="17"/>
      <c r="Q5141" s="17"/>
      <c r="R5141" s="17"/>
      <c r="S5141" s="17"/>
      <c r="T5141" s="17"/>
      <c r="U5141" s="17"/>
      <c r="V5141" s="18">
        <v>0</v>
      </c>
      <c r="W5141" s="17">
        <f t="shared" si="148"/>
        <v>0</v>
      </c>
    </row>
    <row r="5142" spans="1:23" x14ac:dyDescent="0.25">
      <c r="A5142" s="17"/>
      <c r="B5142" s="17"/>
      <c r="C5142" s="17"/>
      <c r="D5142" s="17"/>
      <c r="E5142" s="17"/>
      <c r="F5142" s="17"/>
      <c r="G5142" s="17"/>
      <c r="H5142" s="17"/>
      <c r="I5142" s="17"/>
      <c r="J5142" s="17"/>
      <c r="K5142" s="17"/>
      <c r="L5142" s="17"/>
      <c r="M5142" s="17"/>
      <c r="N5142" s="17"/>
      <c r="O5142" s="17"/>
      <c r="P5142" s="17"/>
      <c r="Q5142" s="17"/>
      <c r="R5142" s="17"/>
      <c r="S5142" s="17"/>
      <c r="T5142" s="17"/>
      <c r="U5142" s="17"/>
      <c r="V5142" s="18">
        <v>0</v>
      </c>
      <c r="W5142" s="17">
        <f t="shared" si="148"/>
        <v>0</v>
      </c>
    </row>
    <row r="5143" spans="1:23" x14ac:dyDescent="0.25">
      <c r="A5143" s="17"/>
      <c r="B5143" s="17"/>
      <c r="C5143" s="17"/>
      <c r="D5143" s="17"/>
      <c r="E5143" s="17"/>
      <c r="F5143" s="17"/>
      <c r="G5143" s="17"/>
      <c r="H5143" s="17"/>
      <c r="I5143" s="17"/>
      <c r="J5143" s="17"/>
      <c r="K5143" s="17"/>
      <c r="L5143" s="17"/>
      <c r="M5143" s="17"/>
      <c r="N5143" s="17"/>
      <c r="O5143" s="17"/>
      <c r="P5143" s="17"/>
      <c r="Q5143" s="17"/>
      <c r="R5143" s="17"/>
      <c r="S5143" s="17"/>
      <c r="T5143" s="17"/>
      <c r="U5143" s="17"/>
      <c r="V5143" s="18">
        <v>0</v>
      </c>
      <c r="W5143" s="17">
        <f t="shared" si="148"/>
        <v>0</v>
      </c>
    </row>
    <row r="5144" spans="1:23" x14ac:dyDescent="0.25">
      <c r="A5144" s="17"/>
      <c r="B5144" s="17"/>
      <c r="C5144" s="17"/>
      <c r="D5144" s="17"/>
      <c r="E5144" s="17"/>
      <c r="F5144" s="17"/>
      <c r="G5144" s="17"/>
      <c r="H5144" s="17"/>
      <c r="I5144" s="17"/>
      <c r="J5144" s="17"/>
      <c r="K5144" s="17"/>
      <c r="L5144" s="17"/>
      <c r="M5144" s="17"/>
      <c r="N5144" s="17"/>
      <c r="O5144" s="17"/>
      <c r="P5144" s="17"/>
      <c r="Q5144" s="17"/>
      <c r="R5144" s="17"/>
      <c r="S5144" s="17"/>
      <c r="T5144" s="17"/>
      <c r="U5144" s="17"/>
      <c r="V5144" s="18">
        <v>0</v>
      </c>
      <c r="W5144" s="17">
        <f t="shared" si="148"/>
        <v>0</v>
      </c>
    </row>
    <row r="5145" spans="1:23" x14ac:dyDescent="0.25">
      <c r="A5145" s="17"/>
      <c r="B5145" s="17"/>
      <c r="C5145" s="17"/>
      <c r="D5145" s="17"/>
      <c r="E5145" s="17"/>
      <c r="F5145" s="17"/>
      <c r="G5145" s="17"/>
      <c r="H5145" s="17"/>
      <c r="I5145" s="17"/>
      <c r="J5145" s="17"/>
      <c r="K5145" s="17"/>
      <c r="L5145" s="17"/>
      <c r="M5145" s="17"/>
      <c r="N5145" s="17"/>
      <c r="O5145" s="17"/>
      <c r="P5145" s="17"/>
      <c r="Q5145" s="17"/>
      <c r="R5145" s="17"/>
      <c r="S5145" s="17"/>
      <c r="T5145" s="17"/>
      <c r="U5145" s="17"/>
      <c r="V5145" s="18">
        <v>0</v>
      </c>
      <c r="W5145" s="17">
        <f t="shared" si="148"/>
        <v>0</v>
      </c>
    </row>
    <row r="5146" spans="1:23" x14ac:dyDescent="0.25">
      <c r="A5146" s="17"/>
      <c r="B5146" s="17"/>
      <c r="C5146" s="17"/>
      <c r="D5146" s="17"/>
      <c r="E5146" s="17"/>
      <c r="F5146" s="17"/>
      <c r="G5146" s="17"/>
      <c r="H5146" s="17"/>
      <c r="I5146" s="17"/>
      <c r="J5146" s="17"/>
      <c r="K5146" s="17"/>
      <c r="L5146" s="17"/>
      <c r="M5146" s="17"/>
      <c r="N5146" s="17"/>
      <c r="O5146" s="17"/>
      <c r="P5146" s="17"/>
      <c r="Q5146" s="17"/>
      <c r="R5146" s="17"/>
      <c r="S5146" s="17"/>
      <c r="T5146" s="17"/>
      <c r="U5146" s="17"/>
      <c r="V5146" s="18">
        <v>0</v>
      </c>
      <c r="W5146" s="17">
        <f t="shared" si="148"/>
        <v>0</v>
      </c>
    </row>
    <row r="5147" spans="1:23" x14ac:dyDescent="0.25">
      <c r="A5147" s="17"/>
      <c r="B5147" s="17"/>
      <c r="C5147" s="17"/>
      <c r="D5147" s="17"/>
      <c r="E5147" s="17"/>
      <c r="F5147" s="17"/>
      <c r="G5147" s="17"/>
      <c r="H5147" s="17"/>
      <c r="I5147" s="17"/>
      <c r="J5147" s="17"/>
      <c r="K5147" s="17"/>
      <c r="L5147" s="17"/>
      <c r="M5147" s="17"/>
      <c r="N5147" s="17"/>
      <c r="O5147" s="17"/>
      <c r="P5147" s="17"/>
      <c r="Q5147" s="17"/>
      <c r="R5147" s="17"/>
      <c r="S5147" s="17"/>
      <c r="T5147" s="17"/>
      <c r="U5147" s="17"/>
      <c r="V5147" s="18">
        <v>0</v>
      </c>
      <c r="W5147" s="17">
        <f t="shared" si="148"/>
        <v>0</v>
      </c>
    </row>
    <row r="5148" spans="1:23" x14ac:dyDescent="0.25">
      <c r="A5148" s="17"/>
      <c r="B5148" s="17"/>
      <c r="C5148" s="17"/>
      <c r="D5148" s="17"/>
      <c r="E5148" s="17"/>
      <c r="F5148" s="17"/>
      <c r="G5148" s="17"/>
      <c r="H5148" s="17"/>
      <c r="I5148" s="17"/>
      <c r="J5148" s="17"/>
      <c r="K5148" s="17"/>
      <c r="L5148" s="17"/>
      <c r="M5148" s="17"/>
      <c r="N5148" s="17"/>
      <c r="O5148" s="17"/>
      <c r="P5148" s="17"/>
      <c r="Q5148" s="17"/>
      <c r="R5148" s="17"/>
      <c r="S5148" s="17"/>
      <c r="T5148" s="17"/>
      <c r="U5148" s="17"/>
      <c r="V5148" s="18">
        <v>0</v>
      </c>
      <c r="W5148" s="17">
        <f t="shared" si="148"/>
        <v>0</v>
      </c>
    </row>
    <row r="5149" spans="1:23" x14ac:dyDescent="0.25">
      <c r="A5149" s="17"/>
      <c r="B5149" s="17"/>
      <c r="C5149" s="17"/>
      <c r="D5149" s="17"/>
      <c r="E5149" s="17"/>
      <c r="F5149" s="17"/>
      <c r="G5149" s="17"/>
      <c r="H5149" s="17"/>
      <c r="I5149" s="17"/>
      <c r="J5149" s="17"/>
      <c r="K5149" s="17"/>
      <c r="L5149" s="17"/>
      <c r="M5149" s="17"/>
      <c r="N5149" s="17"/>
      <c r="O5149" s="17"/>
      <c r="P5149" s="17"/>
      <c r="Q5149" s="17"/>
      <c r="R5149" s="17"/>
      <c r="S5149" s="17"/>
      <c r="T5149" s="17"/>
      <c r="U5149" s="17"/>
      <c r="V5149" s="18">
        <v>0</v>
      </c>
      <c r="W5149" s="17">
        <f t="shared" si="148"/>
        <v>0</v>
      </c>
    </row>
    <row r="5150" spans="1:23" x14ac:dyDescent="0.25">
      <c r="A5150" s="17"/>
      <c r="B5150" s="17"/>
      <c r="C5150" s="17"/>
      <c r="D5150" s="17"/>
      <c r="E5150" s="17"/>
      <c r="F5150" s="17"/>
      <c r="G5150" s="17"/>
      <c r="H5150" s="17"/>
      <c r="I5150" s="17"/>
      <c r="J5150" s="17"/>
      <c r="K5150" s="17"/>
      <c r="L5150" s="17"/>
      <c r="M5150" s="17"/>
      <c r="N5150" s="17"/>
      <c r="O5150" s="17"/>
      <c r="P5150" s="17"/>
      <c r="Q5150" s="17"/>
      <c r="R5150" s="17"/>
      <c r="S5150" s="17"/>
      <c r="T5150" s="17"/>
      <c r="U5150" s="17"/>
      <c r="V5150" s="18">
        <v>0</v>
      </c>
      <c r="W5150" s="17">
        <f t="shared" si="148"/>
        <v>0</v>
      </c>
    </row>
    <row r="5151" spans="1:23" x14ac:dyDescent="0.25">
      <c r="A5151" s="17"/>
      <c r="B5151" s="17"/>
      <c r="C5151" s="17"/>
      <c r="D5151" s="17"/>
      <c r="E5151" s="17"/>
      <c r="F5151" s="17"/>
      <c r="G5151" s="17"/>
      <c r="H5151" s="17"/>
      <c r="I5151" s="17"/>
      <c r="J5151" s="17"/>
      <c r="K5151" s="17"/>
      <c r="L5151" s="17"/>
      <c r="M5151" s="17"/>
      <c r="N5151" s="17"/>
      <c r="O5151" s="17"/>
      <c r="P5151" s="17"/>
      <c r="Q5151" s="17"/>
      <c r="R5151" s="17"/>
      <c r="S5151" s="17"/>
      <c r="T5151" s="17"/>
      <c r="U5151" s="17"/>
      <c r="V5151" s="18">
        <v>0</v>
      </c>
      <c r="W5151" s="17">
        <f t="shared" si="148"/>
        <v>0</v>
      </c>
    </row>
    <row r="5152" spans="1:23" x14ac:dyDescent="0.25">
      <c r="A5152" s="17"/>
      <c r="B5152" s="17"/>
      <c r="C5152" s="17"/>
      <c r="D5152" s="17"/>
      <c r="E5152" s="17"/>
      <c r="F5152" s="17"/>
      <c r="G5152" s="17"/>
      <c r="H5152" s="17"/>
      <c r="I5152" s="17"/>
      <c r="J5152" s="17"/>
      <c r="K5152" s="17"/>
      <c r="L5152" s="17"/>
      <c r="M5152" s="17"/>
      <c r="N5152" s="17"/>
      <c r="O5152" s="17"/>
      <c r="P5152" s="17"/>
      <c r="Q5152" s="17"/>
      <c r="R5152" s="17"/>
      <c r="S5152" s="17"/>
      <c r="T5152" s="17"/>
      <c r="U5152" s="17"/>
      <c r="V5152" s="18">
        <v>0</v>
      </c>
      <c r="W5152" s="17">
        <f t="shared" si="148"/>
        <v>0</v>
      </c>
    </row>
    <row r="5153" spans="1:23" x14ac:dyDescent="0.25">
      <c r="A5153" s="17"/>
      <c r="B5153" s="17"/>
      <c r="C5153" s="17"/>
      <c r="D5153" s="17"/>
      <c r="E5153" s="17"/>
      <c r="F5153" s="17"/>
      <c r="G5153" s="17"/>
      <c r="H5153" s="17"/>
      <c r="I5153" s="17"/>
      <c r="J5153" s="17"/>
      <c r="K5153" s="17"/>
      <c r="L5153" s="17"/>
      <c r="M5153" s="17"/>
      <c r="N5153" s="17"/>
      <c r="O5153" s="17"/>
      <c r="P5153" s="17"/>
      <c r="Q5153" s="17"/>
      <c r="R5153" s="17"/>
      <c r="S5153" s="17"/>
      <c r="T5153" s="17"/>
      <c r="U5153" s="17"/>
      <c r="V5153" s="18">
        <v>0</v>
      </c>
      <c r="W5153" s="17">
        <f t="shared" si="148"/>
        <v>0</v>
      </c>
    </row>
    <row r="5154" spans="1:23" x14ac:dyDescent="0.25">
      <c r="A5154" s="17"/>
      <c r="B5154" s="17"/>
      <c r="C5154" s="17"/>
      <c r="D5154" s="17"/>
      <c r="E5154" s="17"/>
      <c r="F5154" s="17"/>
      <c r="G5154" s="17"/>
      <c r="H5154" s="17"/>
      <c r="I5154" s="17"/>
      <c r="J5154" s="17"/>
      <c r="K5154" s="17"/>
      <c r="L5154" s="17"/>
      <c r="M5154" s="17"/>
      <c r="N5154" s="17"/>
      <c r="O5154" s="17"/>
      <c r="P5154" s="17"/>
      <c r="Q5154" s="17"/>
      <c r="R5154" s="17"/>
      <c r="S5154" s="17"/>
      <c r="T5154" s="17"/>
      <c r="U5154" s="17"/>
      <c r="V5154" s="18">
        <v>0</v>
      </c>
      <c r="W5154" s="17">
        <f t="shared" si="148"/>
        <v>0</v>
      </c>
    </row>
    <row r="5155" spans="1:23" x14ac:dyDescent="0.25">
      <c r="A5155" s="17"/>
      <c r="B5155" s="17"/>
      <c r="C5155" s="17"/>
      <c r="D5155" s="17"/>
      <c r="E5155" s="17"/>
      <c r="F5155" s="17"/>
      <c r="G5155" s="17"/>
      <c r="H5155" s="17"/>
      <c r="I5155" s="17"/>
      <c r="J5155" s="17"/>
      <c r="K5155" s="17"/>
      <c r="L5155" s="17"/>
      <c r="M5155" s="17"/>
      <c r="N5155" s="17"/>
      <c r="O5155" s="17"/>
      <c r="P5155" s="17"/>
      <c r="Q5155" s="17"/>
      <c r="R5155" s="17"/>
      <c r="S5155" s="17"/>
      <c r="T5155" s="17"/>
      <c r="U5155" s="17"/>
      <c r="V5155" s="18">
        <v>0</v>
      </c>
      <c r="W5155" s="17">
        <f t="shared" si="148"/>
        <v>0</v>
      </c>
    </row>
    <row r="5156" spans="1:23" x14ac:dyDescent="0.25">
      <c r="A5156" s="17"/>
      <c r="B5156" s="17"/>
      <c r="C5156" s="17"/>
      <c r="D5156" s="17"/>
      <c r="E5156" s="17"/>
      <c r="F5156" s="17"/>
      <c r="G5156" s="17"/>
      <c r="H5156" s="17"/>
      <c r="I5156" s="17"/>
      <c r="J5156" s="17"/>
      <c r="K5156" s="17"/>
      <c r="L5156" s="17"/>
      <c r="M5156" s="17"/>
      <c r="N5156" s="17"/>
      <c r="O5156" s="17"/>
      <c r="P5156" s="17"/>
      <c r="Q5156" s="17"/>
      <c r="R5156" s="17"/>
      <c r="S5156" s="17"/>
      <c r="T5156" s="17"/>
      <c r="U5156" s="17"/>
      <c r="V5156" s="18">
        <v>0</v>
      </c>
      <c r="W5156" s="17">
        <f t="shared" si="148"/>
        <v>0</v>
      </c>
    </row>
    <row r="5157" spans="1:23" x14ac:dyDescent="0.25">
      <c r="A5157" s="17"/>
      <c r="B5157" s="17"/>
      <c r="C5157" s="17"/>
      <c r="D5157" s="17"/>
      <c r="E5157" s="17"/>
      <c r="F5157" s="17"/>
      <c r="G5157" s="17"/>
      <c r="H5157" s="17"/>
      <c r="I5157" s="17"/>
      <c r="J5157" s="17"/>
      <c r="K5157" s="17"/>
      <c r="L5157" s="17"/>
      <c r="M5157" s="17"/>
      <c r="N5157" s="17"/>
      <c r="O5157" s="17"/>
      <c r="P5157" s="17"/>
      <c r="Q5157" s="17"/>
      <c r="R5157" s="17"/>
      <c r="S5157" s="17"/>
      <c r="T5157" s="17"/>
      <c r="U5157" s="17"/>
      <c r="V5157" s="18">
        <v>0</v>
      </c>
      <c r="W5157" s="17">
        <f t="shared" si="148"/>
        <v>0</v>
      </c>
    </row>
    <row r="5158" spans="1:23" x14ac:dyDescent="0.25">
      <c r="A5158" s="17"/>
      <c r="B5158" s="17"/>
      <c r="C5158" s="17"/>
      <c r="D5158" s="17"/>
      <c r="E5158" s="17"/>
      <c r="F5158" s="17"/>
      <c r="G5158" s="17"/>
      <c r="H5158" s="17"/>
      <c r="I5158" s="17"/>
      <c r="J5158" s="17"/>
      <c r="K5158" s="17"/>
      <c r="L5158" s="17"/>
      <c r="M5158" s="17"/>
      <c r="N5158" s="17"/>
      <c r="O5158" s="17"/>
      <c r="P5158" s="17"/>
      <c r="Q5158" s="17"/>
      <c r="R5158" s="17"/>
      <c r="S5158" s="17"/>
      <c r="T5158" s="17"/>
      <c r="U5158" s="17"/>
      <c r="V5158" s="18">
        <v>0</v>
      </c>
      <c r="W5158" s="17">
        <f t="shared" si="148"/>
        <v>0</v>
      </c>
    </row>
    <row r="5159" spans="1:23" x14ac:dyDescent="0.25">
      <c r="A5159" s="17"/>
      <c r="B5159" s="17"/>
      <c r="C5159" s="17"/>
      <c r="D5159" s="17"/>
      <c r="E5159" s="17"/>
      <c r="F5159" s="17"/>
      <c r="G5159" s="17"/>
      <c r="H5159" s="17"/>
      <c r="I5159" s="17"/>
      <c r="J5159" s="17"/>
      <c r="K5159" s="17"/>
      <c r="L5159" s="17"/>
      <c r="M5159" s="17"/>
      <c r="N5159" s="17"/>
      <c r="O5159" s="17"/>
      <c r="P5159" s="17"/>
      <c r="Q5159" s="17"/>
      <c r="R5159" s="17"/>
      <c r="S5159" s="17"/>
      <c r="T5159" s="17"/>
      <c r="U5159" s="17"/>
      <c r="V5159" s="18">
        <v>0</v>
      </c>
      <c r="W5159" s="17">
        <f t="shared" si="148"/>
        <v>0</v>
      </c>
    </row>
    <row r="5160" spans="1:23" x14ac:dyDescent="0.25">
      <c r="A5160" s="17"/>
      <c r="B5160" s="17"/>
      <c r="C5160" s="17"/>
      <c r="D5160" s="17"/>
      <c r="E5160" s="17"/>
      <c r="F5160" s="17"/>
      <c r="G5160" s="17"/>
      <c r="H5160" s="17"/>
      <c r="I5160" s="17"/>
      <c r="J5160" s="17"/>
      <c r="K5160" s="17"/>
      <c r="L5160" s="17"/>
      <c r="M5160" s="17"/>
      <c r="N5160" s="17"/>
      <c r="O5160" s="17"/>
      <c r="P5160" s="17"/>
      <c r="Q5160" s="17"/>
      <c r="R5160" s="17"/>
      <c r="S5160" s="17"/>
      <c r="T5160" s="17"/>
      <c r="U5160" s="17"/>
      <c r="V5160" s="18">
        <v>0</v>
      </c>
      <c r="W5160" s="17">
        <f t="shared" si="148"/>
        <v>0</v>
      </c>
    </row>
    <row r="5161" spans="1:23" x14ac:dyDescent="0.25">
      <c r="A5161" s="17"/>
      <c r="B5161" s="17"/>
      <c r="C5161" s="17"/>
      <c r="D5161" s="17"/>
      <c r="E5161" s="17"/>
      <c r="F5161" s="17"/>
      <c r="G5161" s="17"/>
      <c r="H5161" s="17"/>
      <c r="I5161" s="17"/>
      <c r="J5161" s="17"/>
      <c r="K5161" s="17"/>
      <c r="L5161" s="17"/>
      <c r="M5161" s="17"/>
      <c r="N5161" s="17"/>
      <c r="O5161" s="17"/>
      <c r="P5161" s="17"/>
      <c r="Q5161" s="17"/>
      <c r="R5161" s="17"/>
      <c r="S5161" s="17"/>
      <c r="T5161" s="17"/>
      <c r="U5161" s="17"/>
      <c r="V5161" s="18">
        <v>0</v>
      </c>
      <c r="W5161" s="17">
        <f t="shared" si="148"/>
        <v>0</v>
      </c>
    </row>
    <row r="5162" spans="1:23" x14ac:dyDescent="0.25">
      <c r="A5162" s="17"/>
      <c r="B5162" s="17"/>
      <c r="C5162" s="17"/>
      <c r="D5162" s="17"/>
      <c r="E5162" s="17"/>
      <c r="F5162" s="17"/>
      <c r="G5162" s="17"/>
      <c r="H5162" s="17"/>
      <c r="I5162" s="17"/>
      <c r="J5162" s="17"/>
      <c r="K5162" s="17"/>
      <c r="L5162" s="17"/>
      <c r="M5162" s="17"/>
      <c r="N5162" s="17"/>
      <c r="O5162" s="17"/>
      <c r="P5162" s="17"/>
      <c r="Q5162" s="17"/>
      <c r="R5162" s="17"/>
      <c r="S5162" s="17"/>
      <c r="T5162" s="17"/>
      <c r="U5162" s="17"/>
      <c r="V5162" s="18">
        <v>0</v>
      </c>
      <c r="W5162" s="17">
        <f t="shared" si="148"/>
        <v>0</v>
      </c>
    </row>
    <row r="5163" spans="1:23" x14ac:dyDescent="0.25">
      <c r="A5163" s="17"/>
      <c r="B5163" s="17"/>
      <c r="C5163" s="17"/>
      <c r="D5163" s="17"/>
      <c r="E5163" s="17"/>
      <c r="F5163" s="17"/>
      <c r="G5163" s="17"/>
      <c r="H5163" s="17"/>
      <c r="I5163" s="17"/>
      <c r="J5163" s="17"/>
      <c r="K5163" s="17"/>
      <c r="L5163" s="17"/>
      <c r="M5163" s="17"/>
      <c r="N5163" s="17"/>
      <c r="O5163" s="17"/>
      <c r="P5163" s="17"/>
      <c r="Q5163" s="17"/>
      <c r="R5163" s="17"/>
      <c r="S5163" s="17"/>
      <c r="T5163" s="17"/>
      <c r="U5163" s="17"/>
      <c r="V5163" s="18">
        <v>0</v>
      </c>
      <c r="W5163" s="17">
        <f t="shared" si="148"/>
        <v>0</v>
      </c>
    </row>
    <row r="5164" spans="1:23" x14ac:dyDescent="0.25">
      <c r="A5164" s="17"/>
      <c r="B5164" s="17"/>
      <c r="C5164" s="17"/>
      <c r="D5164" s="17"/>
      <c r="E5164" s="17"/>
      <c r="F5164" s="17"/>
      <c r="G5164" s="17"/>
      <c r="H5164" s="17"/>
      <c r="I5164" s="17"/>
      <c r="J5164" s="17"/>
      <c r="K5164" s="17"/>
      <c r="L5164" s="17"/>
      <c r="M5164" s="17"/>
      <c r="N5164" s="17"/>
      <c r="O5164" s="17"/>
      <c r="P5164" s="17"/>
      <c r="Q5164" s="17"/>
      <c r="R5164" s="17"/>
      <c r="S5164" s="17"/>
      <c r="T5164" s="17"/>
      <c r="U5164" s="17"/>
      <c r="V5164" s="18">
        <v>0</v>
      </c>
      <c r="W5164" s="17">
        <f t="shared" si="148"/>
        <v>0</v>
      </c>
    </row>
    <row r="5165" spans="1:23" x14ac:dyDescent="0.25">
      <c r="A5165" s="17"/>
      <c r="B5165" s="17"/>
      <c r="C5165" s="17"/>
      <c r="D5165" s="17"/>
      <c r="E5165" s="17"/>
      <c r="F5165" s="17"/>
      <c r="G5165" s="17"/>
      <c r="H5165" s="17"/>
      <c r="I5165" s="17"/>
      <c r="J5165" s="17"/>
      <c r="K5165" s="17"/>
      <c r="L5165" s="17"/>
      <c r="M5165" s="17"/>
      <c r="N5165" s="17"/>
      <c r="O5165" s="17"/>
      <c r="P5165" s="17"/>
      <c r="Q5165" s="17"/>
      <c r="R5165" s="17"/>
      <c r="S5165" s="17"/>
      <c r="T5165" s="17"/>
      <c r="U5165" s="17"/>
      <c r="V5165" s="18">
        <v>0</v>
      </c>
      <c r="W5165" s="17">
        <f t="shared" si="148"/>
        <v>0</v>
      </c>
    </row>
    <row r="5166" spans="1:23" x14ac:dyDescent="0.25">
      <c r="A5166" s="17"/>
      <c r="B5166" s="17"/>
      <c r="C5166" s="17"/>
      <c r="D5166" s="17"/>
      <c r="E5166" s="17"/>
      <c r="F5166" s="17"/>
      <c r="G5166" s="17"/>
      <c r="H5166" s="17"/>
      <c r="I5166" s="17"/>
      <c r="J5166" s="17"/>
      <c r="K5166" s="17"/>
      <c r="L5166" s="17"/>
      <c r="M5166" s="17"/>
      <c r="N5166" s="17"/>
      <c r="O5166" s="17"/>
      <c r="P5166" s="17"/>
      <c r="Q5166" s="17"/>
      <c r="R5166" s="17"/>
      <c r="S5166" s="17"/>
      <c r="T5166" s="17"/>
      <c r="U5166" s="17"/>
      <c r="V5166" s="18">
        <v>0</v>
      </c>
      <c r="W5166" s="17">
        <f t="shared" si="148"/>
        <v>0</v>
      </c>
    </row>
    <row r="5167" spans="1:23" x14ac:dyDescent="0.25">
      <c r="A5167" s="17"/>
      <c r="B5167" s="17"/>
      <c r="C5167" s="17"/>
      <c r="D5167" s="17"/>
      <c r="E5167" s="17"/>
      <c r="F5167" s="17"/>
      <c r="G5167" s="17"/>
      <c r="H5167" s="17"/>
      <c r="I5167" s="17"/>
      <c r="J5167" s="17"/>
      <c r="K5167" s="17"/>
      <c r="L5167" s="17"/>
      <c r="M5167" s="17"/>
      <c r="N5167" s="17"/>
      <c r="O5167" s="17"/>
      <c r="P5167" s="17"/>
      <c r="Q5167" s="17"/>
      <c r="R5167" s="17"/>
      <c r="S5167" s="17"/>
      <c r="T5167" s="17"/>
      <c r="U5167" s="17"/>
      <c r="V5167" s="18">
        <v>0</v>
      </c>
      <c r="W5167" s="17">
        <f t="shared" si="148"/>
        <v>0</v>
      </c>
    </row>
    <row r="5168" spans="1:23" x14ac:dyDescent="0.25">
      <c r="A5168" s="17"/>
      <c r="B5168" s="17"/>
      <c r="C5168" s="17"/>
      <c r="D5168" s="17"/>
      <c r="E5168" s="17"/>
      <c r="F5168" s="17"/>
      <c r="G5168" s="17"/>
      <c r="H5168" s="17"/>
      <c r="I5168" s="17"/>
      <c r="J5168" s="17"/>
      <c r="K5168" s="17"/>
      <c r="L5168" s="17"/>
      <c r="M5168" s="17"/>
      <c r="N5168" s="17"/>
      <c r="O5168" s="17"/>
      <c r="P5168" s="17"/>
      <c r="Q5168" s="17"/>
      <c r="R5168" s="17"/>
      <c r="S5168" s="17"/>
      <c r="T5168" s="17"/>
      <c r="U5168" s="17"/>
      <c r="V5168" s="18">
        <v>0</v>
      </c>
      <c r="W5168" s="17">
        <f t="shared" si="148"/>
        <v>0</v>
      </c>
    </row>
    <row r="5169" spans="1:23" x14ac:dyDescent="0.25">
      <c r="A5169" s="17"/>
      <c r="B5169" s="17"/>
      <c r="C5169" s="17"/>
      <c r="D5169" s="17"/>
      <c r="E5169" s="17"/>
      <c r="F5169" s="17"/>
      <c r="G5169" s="17"/>
      <c r="H5169" s="17"/>
      <c r="I5169" s="17"/>
      <c r="J5169" s="17"/>
      <c r="K5169" s="17"/>
      <c r="L5169" s="17"/>
      <c r="M5169" s="17"/>
      <c r="N5169" s="17"/>
      <c r="O5169" s="17"/>
      <c r="P5169" s="17"/>
      <c r="Q5169" s="17"/>
      <c r="R5169" s="17"/>
      <c r="S5169" s="17"/>
      <c r="T5169" s="17"/>
      <c r="U5169" s="17"/>
      <c r="V5169" s="18">
        <v>0</v>
      </c>
      <c r="W5169" s="17">
        <f t="shared" si="148"/>
        <v>0</v>
      </c>
    </row>
    <row r="5170" spans="1:23" x14ac:dyDescent="0.25">
      <c r="A5170" s="17"/>
      <c r="B5170" s="17"/>
      <c r="C5170" s="17"/>
      <c r="D5170" s="17"/>
      <c r="E5170" s="17"/>
      <c r="F5170" s="17"/>
      <c r="G5170" s="17"/>
      <c r="H5170" s="17"/>
      <c r="I5170" s="17"/>
      <c r="J5170" s="17"/>
      <c r="K5170" s="17"/>
      <c r="L5170" s="17"/>
      <c r="M5170" s="17"/>
      <c r="N5170" s="17"/>
      <c r="O5170" s="17"/>
      <c r="P5170" s="17"/>
      <c r="Q5170" s="17"/>
      <c r="R5170" s="17"/>
      <c r="S5170" s="17"/>
      <c r="T5170" s="17"/>
      <c r="U5170" s="17"/>
      <c r="V5170" s="18">
        <v>0</v>
      </c>
      <c r="W5170" s="17">
        <f t="shared" si="148"/>
        <v>0</v>
      </c>
    </row>
    <row r="5171" spans="1:23" x14ac:dyDescent="0.25">
      <c r="A5171" s="17"/>
      <c r="B5171" s="17"/>
      <c r="C5171" s="17"/>
      <c r="D5171" s="17"/>
      <c r="E5171" s="17"/>
      <c r="F5171" s="17"/>
      <c r="G5171" s="17"/>
      <c r="H5171" s="17"/>
      <c r="I5171" s="17"/>
      <c r="J5171" s="17"/>
      <c r="K5171" s="17"/>
      <c r="L5171" s="17"/>
      <c r="M5171" s="17"/>
      <c r="N5171" s="17"/>
      <c r="O5171" s="17"/>
      <c r="P5171" s="17"/>
      <c r="Q5171" s="17"/>
      <c r="R5171" s="17"/>
      <c r="S5171" s="17"/>
      <c r="T5171" s="17"/>
      <c r="U5171" s="17"/>
      <c r="V5171" s="18">
        <v>0</v>
      </c>
      <c r="W5171" s="17">
        <f t="shared" si="148"/>
        <v>0</v>
      </c>
    </row>
    <row r="5172" spans="1:23" x14ac:dyDescent="0.25">
      <c r="A5172" s="17"/>
      <c r="B5172" s="17"/>
      <c r="C5172" s="17"/>
      <c r="D5172" s="17"/>
      <c r="E5172" s="17"/>
      <c r="F5172" s="17"/>
      <c r="G5172" s="17"/>
      <c r="H5172" s="17"/>
      <c r="I5172" s="17"/>
      <c r="J5172" s="17"/>
      <c r="K5172" s="17"/>
      <c r="L5172" s="17"/>
      <c r="M5172" s="17"/>
      <c r="N5172" s="17"/>
      <c r="O5172" s="17"/>
      <c r="P5172" s="17"/>
      <c r="Q5172" s="17"/>
      <c r="R5172" s="17"/>
      <c r="S5172" s="17"/>
      <c r="T5172" s="17"/>
      <c r="U5172" s="17"/>
      <c r="V5172" s="18">
        <v>0</v>
      </c>
      <c r="W5172" s="17">
        <f t="shared" si="148"/>
        <v>0</v>
      </c>
    </row>
    <row r="5173" spans="1:23" x14ac:dyDescent="0.25">
      <c r="A5173" s="17"/>
      <c r="B5173" s="17"/>
      <c r="C5173" s="17"/>
      <c r="D5173" s="17"/>
      <c r="E5173" s="17"/>
      <c r="F5173" s="17"/>
      <c r="G5173" s="17"/>
      <c r="H5173" s="17"/>
      <c r="I5173" s="17"/>
      <c r="J5173" s="17"/>
      <c r="K5173" s="17"/>
      <c r="L5173" s="17"/>
      <c r="M5173" s="17"/>
      <c r="N5173" s="17"/>
      <c r="O5173" s="17"/>
      <c r="P5173" s="17"/>
      <c r="Q5173" s="17"/>
      <c r="R5173" s="17"/>
      <c r="S5173" s="17"/>
      <c r="T5173" s="17"/>
      <c r="U5173" s="17"/>
      <c r="V5173" s="18">
        <v>0</v>
      </c>
      <c r="W5173" s="17">
        <f t="shared" si="148"/>
        <v>0</v>
      </c>
    </row>
    <row r="5174" spans="1:23" x14ac:dyDescent="0.25">
      <c r="A5174" s="17"/>
      <c r="B5174" s="17"/>
      <c r="C5174" s="17"/>
      <c r="D5174" s="17"/>
      <c r="E5174" s="17"/>
      <c r="F5174" s="17"/>
      <c r="G5174" s="17"/>
      <c r="H5174" s="17"/>
      <c r="I5174" s="17"/>
      <c r="J5174" s="17"/>
      <c r="K5174" s="17"/>
      <c r="L5174" s="17"/>
      <c r="M5174" s="17"/>
      <c r="N5174" s="17"/>
      <c r="O5174" s="17"/>
      <c r="P5174" s="17"/>
      <c r="Q5174" s="17"/>
      <c r="R5174" s="17"/>
      <c r="S5174" s="17"/>
      <c r="T5174" s="17"/>
      <c r="U5174" s="17"/>
      <c r="V5174" s="18">
        <v>0</v>
      </c>
      <c r="W5174" s="17">
        <f t="shared" si="148"/>
        <v>0</v>
      </c>
    </row>
    <row r="5175" spans="1:23" x14ac:dyDescent="0.25">
      <c r="A5175" s="17"/>
      <c r="B5175" s="17"/>
      <c r="C5175" s="17"/>
      <c r="D5175" s="17"/>
      <c r="E5175" s="17"/>
      <c r="F5175" s="17"/>
      <c r="G5175" s="17"/>
      <c r="H5175" s="17"/>
      <c r="I5175" s="17"/>
      <c r="J5175" s="17"/>
      <c r="K5175" s="17"/>
      <c r="L5175" s="17"/>
      <c r="M5175" s="17"/>
      <c r="N5175" s="17"/>
      <c r="O5175" s="17"/>
      <c r="P5175" s="17"/>
      <c r="Q5175" s="17"/>
      <c r="R5175" s="17"/>
      <c r="S5175" s="17"/>
      <c r="T5175" s="17"/>
      <c r="U5175" s="17"/>
      <c r="V5175" s="18">
        <v>0</v>
      </c>
      <c r="W5175" s="17">
        <f t="shared" si="148"/>
        <v>0</v>
      </c>
    </row>
    <row r="5176" spans="1:23" x14ac:dyDescent="0.25">
      <c r="A5176" s="17"/>
      <c r="B5176" s="17"/>
      <c r="C5176" s="17"/>
      <c r="D5176" s="17"/>
      <c r="E5176" s="17"/>
      <c r="F5176" s="17"/>
      <c r="G5176" s="17"/>
      <c r="H5176" s="17"/>
      <c r="I5176" s="17"/>
      <c r="J5176" s="17"/>
      <c r="K5176" s="17"/>
      <c r="L5176" s="17"/>
      <c r="M5176" s="17"/>
      <c r="N5176" s="17"/>
      <c r="O5176" s="17"/>
      <c r="P5176" s="17"/>
      <c r="Q5176" s="17"/>
      <c r="R5176" s="17"/>
      <c r="S5176" s="17"/>
      <c r="T5176" s="17"/>
      <c r="U5176" s="17"/>
      <c r="V5176" s="18">
        <v>0</v>
      </c>
      <c r="W5176" s="17">
        <f t="shared" si="148"/>
        <v>0</v>
      </c>
    </row>
    <row r="5177" spans="1:23" x14ac:dyDescent="0.25">
      <c r="A5177" s="17"/>
      <c r="B5177" s="17"/>
      <c r="C5177" s="17"/>
      <c r="D5177" s="17"/>
      <c r="E5177" s="17"/>
      <c r="F5177" s="17"/>
      <c r="G5177" s="17"/>
      <c r="H5177" s="17"/>
      <c r="I5177" s="17"/>
      <c r="J5177" s="17"/>
      <c r="K5177" s="17"/>
      <c r="L5177" s="17"/>
      <c r="M5177" s="17"/>
      <c r="N5177" s="17"/>
      <c r="O5177" s="17"/>
      <c r="P5177" s="17"/>
      <c r="Q5177" s="17"/>
      <c r="R5177" s="17"/>
      <c r="S5177" s="17"/>
      <c r="T5177" s="17"/>
      <c r="U5177" s="17"/>
      <c r="V5177" s="18">
        <v>0</v>
      </c>
      <c r="W5177" s="17">
        <f t="shared" si="148"/>
        <v>0</v>
      </c>
    </row>
    <row r="5178" spans="1:23" x14ac:dyDescent="0.25">
      <c r="A5178" s="17"/>
      <c r="B5178" s="17"/>
      <c r="C5178" s="17"/>
      <c r="D5178" s="17"/>
      <c r="E5178" s="17"/>
      <c r="F5178" s="17"/>
      <c r="G5178" s="17"/>
      <c r="H5178" s="17"/>
      <c r="I5178" s="17"/>
      <c r="J5178" s="17"/>
      <c r="K5178" s="17"/>
      <c r="L5178" s="17"/>
      <c r="M5178" s="17"/>
      <c r="N5178" s="17"/>
      <c r="O5178" s="17"/>
      <c r="P5178" s="17"/>
      <c r="Q5178" s="17"/>
      <c r="R5178" s="17"/>
      <c r="S5178" s="17"/>
      <c r="T5178" s="17"/>
      <c r="U5178" s="17"/>
      <c r="V5178" s="18">
        <v>0</v>
      </c>
      <c r="W5178" s="17">
        <f t="shared" si="148"/>
        <v>0</v>
      </c>
    </row>
    <row r="5179" spans="1:23" x14ac:dyDescent="0.25">
      <c r="A5179" s="17"/>
      <c r="B5179" s="17"/>
      <c r="C5179" s="17"/>
      <c r="D5179" s="17"/>
      <c r="E5179" s="17"/>
      <c r="F5179" s="17"/>
      <c r="G5179" s="17"/>
      <c r="H5179" s="17"/>
      <c r="I5179" s="17"/>
      <c r="J5179" s="17"/>
      <c r="K5179" s="17"/>
      <c r="L5179" s="17"/>
      <c r="M5179" s="17"/>
      <c r="N5179" s="17"/>
      <c r="O5179" s="17"/>
      <c r="P5179" s="17"/>
      <c r="Q5179" s="17"/>
      <c r="R5179" s="17"/>
      <c r="S5179" s="17"/>
      <c r="T5179" s="17"/>
      <c r="U5179" s="17"/>
      <c r="V5179" s="18">
        <v>0</v>
      </c>
      <c r="W5179" s="17">
        <f t="shared" si="148"/>
        <v>0</v>
      </c>
    </row>
    <row r="5180" spans="1:23" x14ac:dyDescent="0.25">
      <c r="A5180" s="17"/>
      <c r="B5180" s="17"/>
      <c r="C5180" s="17"/>
      <c r="D5180" s="17"/>
      <c r="E5180" s="17"/>
      <c r="F5180" s="17"/>
      <c r="G5180" s="17"/>
      <c r="H5180" s="17"/>
      <c r="I5180" s="17"/>
      <c r="J5180" s="17"/>
      <c r="K5180" s="17"/>
      <c r="L5180" s="17"/>
      <c r="M5180" s="17"/>
      <c r="N5180" s="17"/>
      <c r="O5180" s="17"/>
      <c r="P5180" s="17"/>
      <c r="Q5180" s="17"/>
      <c r="R5180" s="17"/>
      <c r="S5180" s="17"/>
      <c r="T5180" s="17"/>
      <c r="U5180" s="17"/>
      <c r="V5180" s="18">
        <v>0</v>
      </c>
      <c r="W5180" s="17">
        <f t="shared" si="148"/>
        <v>0</v>
      </c>
    </row>
    <row r="5181" spans="1:23" x14ac:dyDescent="0.25">
      <c r="A5181" s="17"/>
      <c r="B5181" s="17"/>
      <c r="C5181" s="17"/>
      <c r="D5181" s="17"/>
      <c r="E5181" s="17"/>
      <c r="F5181" s="17"/>
      <c r="G5181" s="17"/>
      <c r="H5181" s="17"/>
      <c r="I5181" s="17"/>
      <c r="J5181" s="17"/>
      <c r="K5181" s="17"/>
      <c r="L5181" s="17"/>
      <c r="M5181" s="17"/>
      <c r="N5181" s="17"/>
      <c r="O5181" s="17"/>
      <c r="P5181" s="17"/>
      <c r="Q5181" s="17"/>
      <c r="R5181" s="17"/>
      <c r="S5181" s="17"/>
      <c r="T5181" s="17"/>
      <c r="U5181" s="17"/>
      <c r="V5181" s="18">
        <v>0</v>
      </c>
      <c r="W5181" s="17">
        <f t="shared" si="148"/>
        <v>0</v>
      </c>
    </row>
    <row r="5182" spans="1:23" x14ac:dyDescent="0.25">
      <c r="A5182" s="17"/>
      <c r="B5182" s="17"/>
      <c r="C5182" s="17"/>
      <c r="D5182" s="17"/>
      <c r="E5182" s="17"/>
      <c r="F5182" s="17"/>
      <c r="G5182" s="17"/>
      <c r="H5182" s="17"/>
      <c r="I5182" s="17"/>
      <c r="J5182" s="17"/>
      <c r="K5182" s="17"/>
      <c r="L5182" s="17"/>
      <c r="M5182" s="17"/>
      <c r="N5182" s="17"/>
      <c r="O5182" s="17"/>
      <c r="P5182" s="17"/>
      <c r="Q5182" s="17"/>
      <c r="R5182" s="17"/>
      <c r="S5182" s="17"/>
      <c r="T5182" s="17"/>
      <c r="U5182" s="17"/>
      <c r="V5182" s="18">
        <v>0</v>
      </c>
      <c r="W5182" s="17">
        <f t="shared" si="148"/>
        <v>0</v>
      </c>
    </row>
    <row r="5183" spans="1:23" x14ac:dyDescent="0.25">
      <c r="A5183" s="17"/>
      <c r="B5183" s="17"/>
      <c r="C5183" s="17"/>
      <c r="D5183" s="17"/>
      <c r="E5183" s="17"/>
      <c r="F5183" s="17"/>
      <c r="G5183" s="17"/>
      <c r="H5183" s="17"/>
      <c r="I5183" s="17"/>
      <c r="J5183" s="17"/>
      <c r="K5183" s="17"/>
      <c r="L5183" s="17"/>
      <c r="M5183" s="17"/>
      <c r="N5183" s="17"/>
      <c r="O5183" s="17"/>
      <c r="P5183" s="17"/>
      <c r="Q5183" s="17"/>
      <c r="R5183" s="17"/>
      <c r="S5183" s="17"/>
      <c r="T5183" s="17"/>
      <c r="U5183" s="17"/>
      <c r="V5183" s="18">
        <v>0</v>
      </c>
      <c r="W5183" s="17">
        <f t="shared" si="148"/>
        <v>0</v>
      </c>
    </row>
    <row r="5184" spans="1:23" x14ac:dyDescent="0.25">
      <c r="A5184" s="17"/>
      <c r="B5184" s="17"/>
      <c r="C5184" s="17"/>
      <c r="D5184" s="17"/>
      <c r="E5184" s="17"/>
      <c r="F5184" s="17"/>
      <c r="G5184" s="17"/>
      <c r="H5184" s="17"/>
      <c r="I5184" s="17"/>
      <c r="J5184" s="17"/>
      <c r="K5184" s="17"/>
      <c r="L5184" s="17"/>
      <c r="M5184" s="17"/>
      <c r="N5184" s="17"/>
      <c r="O5184" s="17"/>
      <c r="P5184" s="17"/>
      <c r="Q5184" s="17"/>
      <c r="R5184" s="17"/>
      <c r="S5184" s="17"/>
      <c r="T5184" s="17"/>
      <c r="U5184" s="17"/>
      <c r="V5184" s="18">
        <v>0</v>
      </c>
      <c r="W5184" s="17">
        <f t="shared" si="148"/>
        <v>0</v>
      </c>
    </row>
    <row r="5185" spans="1:23" x14ac:dyDescent="0.25">
      <c r="A5185" s="17"/>
      <c r="B5185" s="17"/>
      <c r="C5185" s="17"/>
      <c r="D5185" s="17"/>
      <c r="E5185" s="17"/>
      <c r="F5185" s="17"/>
      <c r="G5185" s="17"/>
      <c r="H5185" s="17"/>
      <c r="I5185" s="17"/>
      <c r="J5185" s="17"/>
      <c r="K5185" s="17"/>
      <c r="L5185" s="17"/>
      <c r="M5185" s="17"/>
      <c r="N5185" s="17"/>
      <c r="O5185" s="17"/>
      <c r="P5185" s="17"/>
      <c r="Q5185" s="17"/>
      <c r="R5185" s="17"/>
      <c r="S5185" s="17"/>
      <c r="T5185" s="17"/>
      <c r="U5185" s="17"/>
      <c r="V5185" s="18">
        <v>0</v>
      </c>
      <c r="W5185" s="17">
        <f t="shared" si="148"/>
        <v>0</v>
      </c>
    </row>
    <row r="5186" spans="1:23" x14ac:dyDescent="0.25">
      <c r="A5186" s="17"/>
      <c r="B5186" s="17"/>
      <c r="C5186" s="17"/>
      <c r="D5186" s="17"/>
      <c r="E5186" s="17"/>
      <c r="F5186" s="17"/>
      <c r="G5186" s="17"/>
      <c r="H5186" s="17"/>
      <c r="I5186" s="17"/>
      <c r="J5186" s="17"/>
      <c r="K5186" s="17"/>
      <c r="L5186" s="17"/>
      <c r="M5186" s="17"/>
      <c r="N5186" s="17"/>
      <c r="O5186" s="17"/>
      <c r="P5186" s="17"/>
      <c r="Q5186" s="17"/>
      <c r="R5186" s="17"/>
      <c r="S5186" s="17"/>
      <c r="T5186" s="17"/>
      <c r="U5186" s="17"/>
      <c r="V5186" s="18">
        <v>0</v>
      </c>
      <c r="W5186" s="17">
        <f t="shared" si="148"/>
        <v>0</v>
      </c>
    </row>
    <row r="5187" spans="1:23" x14ac:dyDescent="0.25">
      <c r="A5187" s="17"/>
      <c r="B5187" s="17"/>
      <c r="C5187" s="17"/>
      <c r="D5187" s="17"/>
      <c r="E5187" s="17"/>
      <c r="F5187" s="17"/>
      <c r="G5187" s="17"/>
      <c r="H5187" s="17"/>
      <c r="I5187" s="17"/>
      <c r="J5187" s="17"/>
      <c r="K5187" s="17"/>
      <c r="L5187" s="17"/>
      <c r="M5187" s="17"/>
      <c r="N5187" s="17"/>
      <c r="O5187" s="17"/>
      <c r="P5187" s="17"/>
      <c r="Q5187" s="17"/>
      <c r="R5187" s="17"/>
      <c r="S5187" s="17"/>
      <c r="T5187" s="17"/>
      <c r="U5187" s="17"/>
      <c r="V5187" s="18">
        <v>0</v>
      </c>
      <c r="W5187" s="17">
        <f t="shared" ref="W5187:W5250" si="149">HOUR(E5187)</f>
        <v>0</v>
      </c>
    </row>
    <row r="5188" spans="1:23" x14ac:dyDescent="0.25">
      <c r="A5188" s="17"/>
      <c r="B5188" s="17"/>
      <c r="C5188" s="17"/>
      <c r="D5188" s="17"/>
      <c r="E5188" s="17"/>
      <c r="F5188" s="17"/>
      <c r="G5188" s="17"/>
      <c r="H5188" s="17"/>
      <c r="I5188" s="17"/>
      <c r="J5188" s="17"/>
      <c r="K5188" s="17"/>
      <c r="L5188" s="17"/>
      <c r="M5188" s="17"/>
      <c r="N5188" s="17"/>
      <c r="O5188" s="17"/>
      <c r="P5188" s="17"/>
      <c r="Q5188" s="17"/>
      <c r="R5188" s="17"/>
      <c r="S5188" s="17"/>
      <c r="T5188" s="17"/>
      <c r="U5188" s="17"/>
      <c r="V5188" s="18">
        <v>0</v>
      </c>
      <c r="W5188" s="17">
        <f t="shared" si="149"/>
        <v>0</v>
      </c>
    </row>
    <row r="5189" spans="1:23" x14ac:dyDescent="0.25">
      <c r="A5189" s="17"/>
      <c r="B5189" s="17"/>
      <c r="C5189" s="17"/>
      <c r="D5189" s="17"/>
      <c r="E5189" s="17"/>
      <c r="F5189" s="17"/>
      <c r="G5189" s="17"/>
      <c r="H5189" s="17"/>
      <c r="I5189" s="17"/>
      <c r="J5189" s="17"/>
      <c r="K5189" s="17"/>
      <c r="L5189" s="17"/>
      <c r="M5189" s="17"/>
      <c r="N5189" s="17"/>
      <c r="O5189" s="17"/>
      <c r="P5189" s="17"/>
      <c r="Q5189" s="17"/>
      <c r="R5189" s="17"/>
      <c r="S5189" s="17"/>
      <c r="T5189" s="17"/>
      <c r="U5189" s="17"/>
      <c r="V5189" s="18">
        <v>0</v>
      </c>
      <c r="W5189" s="17">
        <f t="shared" si="149"/>
        <v>0</v>
      </c>
    </row>
    <row r="5190" spans="1:23" x14ac:dyDescent="0.25">
      <c r="A5190" s="17"/>
      <c r="B5190" s="17"/>
      <c r="C5190" s="17"/>
      <c r="D5190" s="17"/>
      <c r="E5190" s="17"/>
      <c r="F5190" s="17"/>
      <c r="G5190" s="17"/>
      <c r="H5190" s="17"/>
      <c r="I5190" s="17"/>
      <c r="J5190" s="17"/>
      <c r="K5190" s="17"/>
      <c r="L5190" s="17"/>
      <c r="M5190" s="17"/>
      <c r="N5190" s="17"/>
      <c r="O5190" s="17"/>
      <c r="P5190" s="17"/>
      <c r="Q5190" s="17"/>
      <c r="R5190" s="17"/>
      <c r="S5190" s="17"/>
      <c r="T5190" s="17"/>
      <c r="U5190" s="17"/>
      <c r="V5190" s="18">
        <v>0</v>
      </c>
      <c r="W5190" s="17">
        <f t="shared" si="149"/>
        <v>0</v>
      </c>
    </row>
    <row r="5191" spans="1:23" x14ac:dyDescent="0.25">
      <c r="A5191" s="17"/>
      <c r="B5191" s="17"/>
      <c r="C5191" s="17"/>
      <c r="D5191" s="17"/>
      <c r="E5191" s="17"/>
      <c r="F5191" s="17"/>
      <c r="G5191" s="17"/>
      <c r="H5191" s="17"/>
      <c r="I5191" s="17"/>
      <c r="J5191" s="17"/>
      <c r="K5191" s="17"/>
      <c r="L5191" s="17"/>
      <c r="M5191" s="17"/>
      <c r="N5191" s="17"/>
      <c r="O5191" s="17"/>
      <c r="P5191" s="17"/>
      <c r="Q5191" s="17"/>
      <c r="R5191" s="17"/>
      <c r="S5191" s="17"/>
      <c r="T5191" s="17"/>
      <c r="U5191" s="17"/>
      <c r="V5191" s="18">
        <v>0</v>
      </c>
      <c r="W5191" s="17">
        <f t="shared" si="149"/>
        <v>0</v>
      </c>
    </row>
    <row r="5192" spans="1:23" x14ac:dyDescent="0.25">
      <c r="A5192" s="17"/>
      <c r="B5192" s="17"/>
      <c r="C5192" s="17"/>
      <c r="D5192" s="17"/>
      <c r="E5192" s="17"/>
      <c r="F5192" s="17"/>
      <c r="G5192" s="17"/>
      <c r="H5192" s="17"/>
      <c r="I5192" s="17"/>
      <c r="J5192" s="17"/>
      <c r="K5192" s="17"/>
      <c r="L5192" s="17"/>
      <c r="M5192" s="17"/>
      <c r="N5192" s="17"/>
      <c r="O5192" s="17"/>
      <c r="P5192" s="17"/>
      <c r="Q5192" s="17"/>
      <c r="R5192" s="17"/>
      <c r="S5192" s="17"/>
      <c r="T5192" s="17"/>
      <c r="U5192" s="17"/>
      <c r="V5192" s="18">
        <v>0</v>
      </c>
      <c r="W5192" s="17">
        <f t="shared" si="149"/>
        <v>0</v>
      </c>
    </row>
    <row r="5193" spans="1:23" x14ac:dyDescent="0.25">
      <c r="A5193" s="17"/>
      <c r="B5193" s="17"/>
      <c r="C5193" s="17"/>
      <c r="D5193" s="17"/>
      <c r="E5193" s="17"/>
      <c r="F5193" s="17"/>
      <c r="G5193" s="17"/>
      <c r="H5193" s="17"/>
      <c r="I5193" s="17"/>
      <c r="J5193" s="17"/>
      <c r="K5193" s="17"/>
      <c r="L5193" s="17"/>
      <c r="M5193" s="17"/>
      <c r="N5193" s="17"/>
      <c r="O5193" s="17"/>
      <c r="P5193" s="17"/>
      <c r="Q5193" s="17"/>
      <c r="R5193" s="17"/>
      <c r="S5193" s="17"/>
      <c r="T5193" s="17"/>
      <c r="U5193" s="17"/>
      <c r="V5193" s="18">
        <v>0</v>
      </c>
      <c r="W5193" s="17">
        <f t="shared" si="149"/>
        <v>0</v>
      </c>
    </row>
    <row r="5194" spans="1:23" x14ac:dyDescent="0.25">
      <c r="A5194" s="17"/>
      <c r="B5194" s="17"/>
      <c r="C5194" s="17"/>
      <c r="D5194" s="17"/>
      <c r="E5194" s="17"/>
      <c r="F5194" s="17"/>
      <c r="G5194" s="17"/>
      <c r="H5194" s="17"/>
      <c r="I5194" s="17"/>
      <c r="J5194" s="17"/>
      <c r="K5194" s="17"/>
      <c r="L5194" s="17"/>
      <c r="M5194" s="17"/>
      <c r="N5194" s="17"/>
      <c r="O5194" s="17"/>
      <c r="P5194" s="17"/>
      <c r="Q5194" s="17"/>
      <c r="R5194" s="17"/>
      <c r="S5194" s="17"/>
      <c r="T5194" s="17"/>
      <c r="U5194" s="17"/>
      <c r="V5194" s="18">
        <v>0</v>
      </c>
      <c r="W5194" s="17">
        <f t="shared" si="149"/>
        <v>0</v>
      </c>
    </row>
    <row r="5195" spans="1:23" x14ac:dyDescent="0.25">
      <c r="A5195" s="17"/>
      <c r="B5195" s="17"/>
      <c r="C5195" s="17"/>
      <c r="D5195" s="17"/>
      <c r="E5195" s="17"/>
      <c r="F5195" s="17"/>
      <c r="G5195" s="17"/>
      <c r="H5195" s="17"/>
      <c r="I5195" s="17"/>
      <c r="J5195" s="17"/>
      <c r="K5195" s="17"/>
      <c r="L5195" s="17"/>
      <c r="M5195" s="17"/>
      <c r="N5195" s="17"/>
      <c r="O5195" s="17"/>
      <c r="P5195" s="17"/>
      <c r="Q5195" s="17"/>
      <c r="R5195" s="17"/>
      <c r="S5195" s="17"/>
      <c r="T5195" s="17"/>
      <c r="U5195" s="17"/>
      <c r="V5195" s="18">
        <v>0</v>
      </c>
      <c r="W5195" s="17">
        <f t="shared" si="149"/>
        <v>0</v>
      </c>
    </row>
    <row r="5196" spans="1:23" x14ac:dyDescent="0.25">
      <c r="A5196" s="17"/>
      <c r="B5196" s="17"/>
      <c r="C5196" s="17"/>
      <c r="D5196" s="17"/>
      <c r="E5196" s="17"/>
      <c r="F5196" s="17"/>
      <c r="G5196" s="17"/>
      <c r="H5196" s="17"/>
      <c r="I5196" s="17"/>
      <c r="J5196" s="17"/>
      <c r="K5196" s="17"/>
      <c r="L5196" s="17"/>
      <c r="M5196" s="17"/>
      <c r="N5196" s="17"/>
      <c r="O5196" s="17"/>
      <c r="P5196" s="17"/>
      <c r="Q5196" s="17"/>
      <c r="R5196" s="17"/>
      <c r="S5196" s="17"/>
      <c r="T5196" s="17"/>
      <c r="U5196" s="17"/>
      <c r="V5196" s="18">
        <v>0</v>
      </c>
      <c r="W5196" s="17">
        <f t="shared" si="149"/>
        <v>0</v>
      </c>
    </row>
    <row r="5197" spans="1:23" x14ac:dyDescent="0.25">
      <c r="A5197" s="17"/>
      <c r="B5197" s="17"/>
      <c r="C5197" s="17"/>
      <c r="D5197" s="17"/>
      <c r="E5197" s="17"/>
      <c r="F5197" s="17"/>
      <c r="G5197" s="17"/>
      <c r="H5197" s="17"/>
      <c r="I5197" s="17"/>
      <c r="J5197" s="17"/>
      <c r="K5197" s="17"/>
      <c r="L5197" s="17"/>
      <c r="M5197" s="17"/>
      <c r="N5197" s="17"/>
      <c r="O5197" s="17"/>
      <c r="P5197" s="17"/>
      <c r="Q5197" s="17"/>
      <c r="R5197" s="17"/>
      <c r="S5197" s="17"/>
      <c r="T5197" s="17"/>
      <c r="U5197" s="17"/>
      <c r="V5197" s="18">
        <v>0</v>
      </c>
      <c r="W5197" s="17">
        <f t="shared" si="149"/>
        <v>0</v>
      </c>
    </row>
    <row r="5198" spans="1:23" x14ac:dyDescent="0.25">
      <c r="A5198" s="17"/>
      <c r="B5198" s="17"/>
      <c r="C5198" s="17"/>
      <c r="D5198" s="17"/>
      <c r="E5198" s="17"/>
      <c r="F5198" s="17"/>
      <c r="G5198" s="17"/>
      <c r="H5198" s="17"/>
      <c r="I5198" s="17"/>
      <c r="J5198" s="17"/>
      <c r="K5198" s="17"/>
      <c r="L5198" s="17"/>
      <c r="M5198" s="17"/>
      <c r="N5198" s="17"/>
      <c r="O5198" s="17"/>
      <c r="P5198" s="17"/>
      <c r="Q5198" s="17"/>
      <c r="R5198" s="17"/>
      <c r="S5198" s="17"/>
      <c r="T5198" s="17"/>
      <c r="U5198" s="17"/>
      <c r="V5198" s="18">
        <v>0</v>
      </c>
      <c r="W5198" s="17">
        <f t="shared" si="149"/>
        <v>0</v>
      </c>
    </row>
    <row r="5199" spans="1:23" x14ac:dyDescent="0.25">
      <c r="A5199" s="17"/>
      <c r="B5199" s="17"/>
      <c r="C5199" s="17"/>
      <c r="D5199" s="17"/>
      <c r="E5199" s="17"/>
      <c r="F5199" s="17"/>
      <c r="G5199" s="17"/>
      <c r="H5199" s="17"/>
      <c r="I5199" s="17"/>
      <c r="J5199" s="17"/>
      <c r="K5199" s="17"/>
      <c r="L5199" s="17"/>
      <c r="M5199" s="17"/>
      <c r="N5199" s="17"/>
      <c r="O5199" s="17"/>
      <c r="P5199" s="17"/>
      <c r="Q5199" s="17"/>
      <c r="R5199" s="17"/>
      <c r="S5199" s="17"/>
      <c r="T5199" s="17"/>
      <c r="U5199" s="17"/>
      <c r="V5199" s="18">
        <v>0</v>
      </c>
      <c r="W5199" s="17">
        <f t="shared" si="149"/>
        <v>0</v>
      </c>
    </row>
    <row r="5200" spans="1:23" x14ac:dyDescent="0.25">
      <c r="A5200" s="17"/>
      <c r="B5200" s="17"/>
      <c r="C5200" s="17"/>
      <c r="D5200" s="17"/>
      <c r="E5200" s="17"/>
      <c r="F5200" s="17"/>
      <c r="G5200" s="17"/>
      <c r="H5200" s="17"/>
      <c r="I5200" s="17"/>
      <c r="J5200" s="17"/>
      <c r="K5200" s="17"/>
      <c r="L5200" s="17"/>
      <c r="M5200" s="17"/>
      <c r="N5200" s="17"/>
      <c r="O5200" s="17"/>
      <c r="P5200" s="17"/>
      <c r="Q5200" s="17"/>
      <c r="R5200" s="17"/>
      <c r="S5200" s="17"/>
      <c r="T5200" s="17"/>
      <c r="U5200" s="17"/>
      <c r="V5200" s="18">
        <v>0</v>
      </c>
      <c r="W5200" s="17">
        <f t="shared" si="149"/>
        <v>0</v>
      </c>
    </row>
    <row r="5201" spans="1:23" x14ac:dyDescent="0.25">
      <c r="A5201" s="17"/>
      <c r="B5201" s="17"/>
      <c r="C5201" s="17"/>
      <c r="D5201" s="17"/>
      <c r="E5201" s="17"/>
      <c r="F5201" s="17"/>
      <c r="G5201" s="17"/>
      <c r="H5201" s="17"/>
      <c r="I5201" s="17"/>
      <c r="J5201" s="17"/>
      <c r="K5201" s="17"/>
      <c r="L5201" s="17"/>
      <c r="M5201" s="17"/>
      <c r="N5201" s="17"/>
      <c r="O5201" s="17"/>
      <c r="P5201" s="17"/>
      <c r="Q5201" s="17"/>
      <c r="R5201" s="17"/>
      <c r="S5201" s="17"/>
      <c r="T5201" s="17"/>
      <c r="U5201" s="17"/>
      <c r="V5201" s="18">
        <v>0</v>
      </c>
      <c r="W5201" s="17">
        <f t="shared" si="149"/>
        <v>0</v>
      </c>
    </row>
    <row r="5202" spans="1:23" x14ac:dyDescent="0.25">
      <c r="A5202" s="17"/>
      <c r="B5202" s="17"/>
      <c r="C5202" s="17"/>
      <c r="D5202" s="17"/>
      <c r="E5202" s="17"/>
      <c r="F5202" s="17"/>
      <c r="G5202" s="17"/>
      <c r="H5202" s="17"/>
      <c r="I5202" s="17"/>
      <c r="J5202" s="17"/>
      <c r="K5202" s="17"/>
      <c r="L5202" s="17"/>
      <c r="M5202" s="17"/>
      <c r="N5202" s="17"/>
      <c r="O5202" s="17"/>
      <c r="P5202" s="17"/>
      <c r="Q5202" s="17"/>
      <c r="R5202" s="17"/>
      <c r="S5202" s="17"/>
      <c r="T5202" s="17"/>
      <c r="U5202" s="17"/>
      <c r="V5202" s="18">
        <v>0</v>
      </c>
      <c r="W5202" s="17">
        <f t="shared" si="149"/>
        <v>0</v>
      </c>
    </row>
    <row r="5203" spans="1:23" x14ac:dyDescent="0.25">
      <c r="A5203" s="17"/>
      <c r="B5203" s="17"/>
      <c r="C5203" s="17"/>
      <c r="D5203" s="17"/>
      <c r="E5203" s="17"/>
      <c r="F5203" s="17"/>
      <c r="G5203" s="17"/>
      <c r="H5203" s="17"/>
      <c r="I5203" s="17"/>
      <c r="J5203" s="17"/>
      <c r="K5203" s="17"/>
      <c r="L5203" s="17"/>
      <c r="M5203" s="17"/>
      <c r="N5203" s="17"/>
      <c r="O5203" s="17"/>
      <c r="P5203" s="17"/>
      <c r="Q5203" s="17"/>
      <c r="R5203" s="17"/>
      <c r="S5203" s="17"/>
      <c r="T5203" s="17"/>
      <c r="U5203" s="17"/>
      <c r="V5203" s="18">
        <v>0</v>
      </c>
      <c r="W5203" s="17">
        <f t="shared" si="149"/>
        <v>0</v>
      </c>
    </row>
    <row r="5204" spans="1:23" x14ac:dyDescent="0.25">
      <c r="A5204" s="17"/>
      <c r="B5204" s="17"/>
      <c r="C5204" s="17"/>
      <c r="D5204" s="17"/>
      <c r="E5204" s="17"/>
      <c r="F5204" s="17"/>
      <c r="G5204" s="17"/>
      <c r="H5204" s="17"/>
      <c r="I5204" s="17"/>
      <c r="J5204" s="17"/>
      <c r="K5204" s="17"/>
      <c r="L5204" s="17"/>
      <c r="M5204" s="17"/>
      <c r="N5204" s="17"/>
      <c r="O5204" s="17"/>
      <c r="P5204" s="17"/>
      <c r="Q5204" s="17"/>
      <c r="R5204" s="17"/>
      <c r="S5204" s="17"/>
      <c r="T5204" s="17"/>
      <c r="U5204" s="17"/>
      <c r="V5204" s="18">
        <v>0</v>
      </c>
      <c r="W5204" s="17">
        <f t="shared" si="149"/>
        <v>0</v>
      </c>
    </row>
    <row r="5205" spans="1:23" x14ac:dyDescent="0.25">
      <c r="A5205" s="17"/>
      <c r="B5205" s="17"/>
      <c r="C5205" s="17"/>
      <c r="D5205" s="17"/>
      <c r="E5205" s="17"/>
      <c r="F5205" s="17"/>
      <c r="G5205" s="17"/>
      <c r="H5205" s="17"/>
      <c r="I5205" s="17"/>
      <c r="J5205" s="17"/>
      <c r="K5205" s="17"/>
      <c r="L5205" s="17"/>
      <c r="M5205" s="17"/>
      <c r="N5205" s="17"/>
      <c r="O5205" s="17"/>
      <c r="P5205" s="17"/>
      <c r="Q5205" s="17"/>
      <c r="R5205" s="17"/>
      <c r="S5205" s="17"/>
      <c r="T5205" s="17"/>
      <c r="U5205" s="17"/>
      <c r="V5205" s="18">
        <v>0</v>
      </c>
      <c r="W5205" s="17">
        <f t="shared" si="149"/>
        <v>0</v>
      </c>
    </row>
    <row r="5206" spans="1:23" x14ac:dyDescent="0.25">
      <c r="A5206" s="17"/>
      <c r="B5206" s="17"/>
      <c r="C5206" s="17"/>
      <c r="D5206" s="17"/>
      <c r="E5206" s="17"/>
      <c r="F5206" s="17"/>
      <c r="G5206" s="17"/>
      <c r="H5206" s="17"/>
      <c r="I5206" s="17"/>
      <c r="J5206" s="17"/>
      <c r="K5206" s="17"/>
      <c r="L5206" s="17"/>
      <c r="M5206" s="17"/>
      <c r="N5206" s="17"/>
      <c r="O5206" s="17"/>
      <c r="P5206" s="17"/>
      <c r="Q5206" s="17"/>
      <c r="R5206" s="17"/>
      <c r="S5206" s="17"/>
      <c r="T5206" s="17"/>
      <c r="U5206" s="17"/>
      <c r="V5206" s="18">
        <v>0</v>
      </c>
      <c r="W5206" s="17">
        <f t="shared" si="149"/>
        <v>0</v>
      </c>
    </row>
    <row r="5207" spans="1:23" x14ac:dyDescent="0.25">
      <c r="A5207" s="17"/>
      <c r="B5207" s="17"/>
      <c r="C5207" s="17"/>
      <c r="D5207" s="17"/>
      <c r="E5207" s="17"/>
      <c r="F5207" s="17"/>
      <c r="G5207" s="17"/>
      <c r="H5207" s="17"/>
      <c r="I5207" s="17"/>
      <c r="J5207" s="17"/>
      <c r="K5207" s="17"/>
      <c r="L5207" s="17"/>
      <c r="M5207" s="17"/>
      <c r="N5207" s="17"/>
      <c r="O5207" s="17"/>
      <c r="P5207" s="17"/>
      <c r="Q5207" s="17"/>
      <c r="R5207" s="17"/>
      <c r="S5207" s="17"/>
      <c r="T5207" s="17"/>
      <c r="U5207" s="17"/>
      <c r="V5207" s="18">
        <v>0</v>
      </c>
      <c r="W5207" s="17">
        <f t="shared" si="149"/>
        <v>0</v>
      </c>
    </row>
    <row r="5208" spans="1:23" x14ac:dyDescent="0.25">
      <c r="A5208" s="17"/>
      <c r="B5208" s="17"/>
      <c r="C5208" s="17"/>
      <c r="D5208" s="17"/>
      <c r="E5208" s="17"/>
      <c r="F5208" s="17"/>
      <c r="G5208" s="17"/>
      <c r="H5208" s="17"/>
      <c r="I5208" s="17"/>
      <c r="J5208" s="17"/>
      <c r="K5208" s="17"/>
      <c r="L5208" s="17"/>
      <c r="M5208" s="17"/>
      <c r="N5208" s="17"/>
      <c r="O5208" s="17"/>
      <c r="P5208" s="17"/>
      <c r="Q5208" s="17"/>
      <c r="R5208" s="17"/>
      <c r="S5208" s="17"/>
      <c r="T5208" s="17"/>
      <c r="U5208" s="17"/>
      <c r="V5208" s="18">
        <v>0</v>
      </c>
      <c r="W5208" s="17">
        <f t="shared" si="149"/>
        <v>0</v>
      </c>
    </row>
    <row r="5209" spans="1:23" x14ac:dyDescent="0.25">
      <c r="A5209" s="17"/>
      <c r="B5209" s="17"/>
      <c r="C5209" s="17"/>
      <c r="D5209" s="17"/>
      <c r="E5209" s="17"/>
      <c r="F5209" s="17"/>
      <c r="G5209" s="17"/>
      <c r="H5209" s="17"/>
      <c r="I5209" s="17"/>
      <c r="J5209" s="17"/>
      <c r="K5209" s="17"/>
      <c r="L5209" s="17"/>
      <c r="M5209" s="17"/>
      <c r="N5209" s="17"/>
      <c r="O5209" s="17"/>
      <c r="P5209" s="17"/>
      <c r="Q5209" s="17"/>
      <c r="R5209" s="17"/>
      <c r="S5209" s="17"/>
      <c r="T5209" s="17"/>
      <c r="U5209" s="17"/>
      <c r="V5209" s="18">
        <v>0</v>
      </c>
      <c r="W5209" s="17">
        <f t="shared" si="149"/>
        <v>0</v>
      </c>
    </row>
    <row r="5210" spans="1:23" x14ac:dyDescent="0.25">
      <c r="A5210" s="17"/>
      <c r="B5210" s="17"/>
      <c r="C5210" s="17"/>
      <c r="D5210" s="17"/>
      <c r="E5210" s="17"/>
      <c r="F5210" s="17"/>
      <c r="G5210" s="17"/>
      <c r="H5210" s="17"/>
      <c r="I5210" s="17"/>
      <c r="J5210" s="17"/>
      <c r="K5210" s="17"/>
      <c r="L5210" s="17"/>
      <c r="M5210" s="17"/>
      <c r="N5210" s="17"/>
      <c r="O5210" s="17"/>
      <c r="P5210" s="17"/>
      <c r="Q5210" s="17"/>
      <c r="R5210" s="17"/>
      <c r="S5210" s="17"/>
      <c r="T5210" s="17"/>
      <c r="U5210" s="17"/>
      <c r="V5210" s="18">
        <v>0</v>
      </c>
      <c r="W5210" s="17">
        <f t="shared" si="149"/>
        <v>0</v>
      </c>
    </row>
    <row r="5211" spans="1:23" x14ac:dyDescent="0.25">
      <c r="A5211" s="17"/>
      <c r="B5211" s="17"/>
      <c r="C5211" s="17"/>
      <c r="D5211" s="17"/>
      <c r="E5211" s="17"/>
      <c r="F5211" s="17"/>
      <c r="G5211" s="17"/>
      <c r="H5211" s="17"/>
      <c r="I5211" s="17"/>
      <c r="J5211" s="17"/>
      <c r="K5211" s="17"/>
      <c r="L5211" s="17"/>
      <c r="M5211" s="17"/>
      <c r="N5211" s="17"/>
      <c r="O5211" s="17"/>
      <c r="P5211" s="17"/>
      <c r="Q5211" s="17"/>
      <c r="R5211" s="17"/>
      <c r="S5211" s="17"/>
      <c r="T5211" s="17"/>
      <c r="U5211" s="17"/>
      <c r="V5211" s="18">
        <v>0</v>
      </c>
      <c r="W5211" s="17">
        <f t="shared" si="149"/>
        <v>0</v>
      </c>
    </row>
    <row r="5212" spans="1:23" x14ac:dyDescent="0.25">
      <c r="A5212" s="17"/>
      <c r="B5212" s="17"/>
      <c r="C5212" s="17"/>
      <c r="D5212" s="17"/>
      <c r="E5212" s="17"/>
      <c r="F5212" s="17"/>
      <c r="G5212" s="17"/>
      <c r="H5212" s="17"/>
      <c r="I5212" s="17"/>
      <c r="J5212" s="17"/>
      <c r="K5212" s="17"/>
      <c r="L5212" s="17"/>
      <c r="M5212" s="17"/>
      <c r="N5212" s="17"/>
      <c r="O5212" s="17"/>
      <c r="P5212" s="17"/>
      <c r="Q5212" s="17"/>
      <c r="R5212" s="17"/>
      <c r="S5212" s="17"/>
      <c r="T5212" s="17"/>
      <c r="U5212" s="17"/>
      <c r="V5212" s="18">
        <v>0</v>
      </c>
      <c r="W5212" s="17">
        <f t="shared" si="149"/>
        <v>0</v>
      </c>
    </row>
    <row r="5213" spans="1:23" x14ac:dyDescent="0.25">
      <c r="A5213" s="17"/>
      <c r="B5213" s="17"/>
      <c r="C5213" s="17"/>
      <c r="D5213" s="17"/>
      <c r="E5213" s="17"/>
      <c r="F5213" s="17"/>
      <c r="G5213" s="17"/>
      <c r="H5213" s="17"/>
      <c r="I5213" s="17"/>
      <c r="J5213" s="17"/>
      <c r="K5213" s="17"/>
      <c r="L5213" s="17"/>
      <c r="M5213" s="17"/>
      <c r="N5213" s="17"/>
      <c r="O5213" s="17"/>
      <c r="P5213" s="17"/>
      <c r="Q5213" s="17"/>
      <c r="R5213" s="17"/>
      <c r="S5213" s="17"/>
      <c r="T5213" s="17"/>
      <c r="U5213" s="17"/>
      <c r="V5213" s="18">
        <v>0</v>
      </c>
      <c r="W5213" s="17">
        <f t="shared" si="149"/>
        <v>0</v>
      </c>
    </row>
    <row r="5214" spans="1:23" x14ac:dyDescent="0.25">
      <c r="A5214" s="17"/>
      <c r="B5214" s="17"/>
      <c r="C5214" s="17"/>
      <c r="D5214" s="17"/>
      <c r="E5214" s="17"/>
      <c r="F5214" s="17"/>
      <c r="G5214" s="17"/>
      <c r="H5214" s="17"/>
      <c r="I5214" s="17"/>
      <c r="J5214" s="17"/>
      <c r="K5214" s="17"/>
      <c r="L5214" s="17"/>
      <c r="M5214" s="17"/>
      <c r="N5214" s="17"/>
      <c r="O5214" s="17"/>
      <c r="P5214" s="17"/>
      <c r="Q5214" s="17"/>
      <c r="R5214" s="17"/>
      <c r="S5214" s="17"/>
      <c r="T5214" s="17"/>
      <c r="U5214" s="17"/>
      <c r="V5214" s="18">
        <v>0</v>
      </c>
      <c r="W5214" s="17">
        <f t="shared" si="149"/>
        <v>0</v>
      </c>
    </row>
    <row r="5215" spans="1:23" x14ac:dyDescent="0.25">
      <c r="A5215" s="17"/>
      <c r="B5215" s="17"/>
      <c r="C5215" s="17"/>
      <c r="D5215" s="17"/>
      <c r="E5215" s="17"/>
      <c r="F5215" s="17"/>
      <c r="G5215" s="17"/>
      <c r="H5215" s="17"/>
      <c r="I5215" s="17"/>
      <c r="J5215" s="17"/>
      <c r="K5215" s="17"/>
      <c r="L5215" s="17"/>
      <c r="M5215" s="17"/>
      <c r="N5215" s="17"/>
      <c r="O5215" s="17"/>
      <c r="P5215" s="17"/>
      <c r="Q5215" s="17"/>
      <c r="R5215" s="17"/>
      <c r="S5215" s="17"/>
      <c r="T5215" s="17"/>
      <c r="U5215" s="17"/>
      <c r="V5215" s="18">
        <v>0</v>
      </c>
      <c r="W5215" s="17">
        <f t="shared" si="149"/>
        <v>0</v>
      </c>
    </row>
    <row r="5216" spans="1:23" x14ac:dyDescent="0.25">
      <c r="A5216" s="17"/>
      <c r="B5216" s="17"/>
      <c r="C5216" s="17"/>
      <c r="D5216" s="17"/>
      <c r="E5216" s="17"/>
      <c r="F5216" s="17"/>
      <c r="G5216" s="17"/>
      <c r="H5216" s="17"/>
      <c r="I5216" s="17"/>
      <c r="J5216" s="17"/>
      <c r="K5216" s="17"/>
      <c r="L5216" s="17"/>
      <c r="M5216" s="17"/>
      <c r="N5216" s="17"/>
      <c r="O5216" s="17"/>
      <c r="P5216" s="17"/>
      <c r="Q5216" s="17"/>
      <c r="R5216" s="17"/>
      <c r="S5216" s="17"/>
      <c r="T5216" s="17"/>
      <c r="U5216" s="17"/>
      <c r="V5216" s="18">
        <v>0</v>
      </c>
      <c r="W5216" s="17">
        <f t="shared" si="149"/>
        <v>0</v>
      </c>
    </row>
    <row r="5217" spans="1:23" x14ac:dyDescent="0.25">
      <c r="A5217" s="17"/>
      <c r="B5217" s="17"/>
      <c r="C5217" s="17"/>
      <c r="D5217" s="17"/>
      <c r="E5217" s="17"/>
      <c r="F5217" s="17"/>
      <c r="G5217" s="17"/>
      <c r="H5217" s="17"/>
      <c r="I5217" s="17"/>
      <c r="J5217" s="17"/>
      <c r="K5217" s="17"/>
      <c r="L5217" s="17"/>
      <c r="M5217" s="17"/>
      <c r="N5217" s="17"/>
      <c r="O5217" s="17"/>
      <c r="P5217" s="17"/>
      <c r="Q5217" s="17"/>
      <c r="R5217" s="17"/>
      <c r="S5217" s="17"/>
      <c r="T5217" s="17"/>
      <c r="U5217" s="17"/>
      <c r="V5217" s="18">
        <v>0</v>
      </c>
      <c r="W5217" s="17">
        <f t="shared" si="149"/>
        <v>0</v>
      </c>
    </row>
    <row r="5218" spans="1:23" x14ac:dyDescent="0.25">
      <c r="A5218" s="17"/>
      <c r="B5218" s="17"/>
      <c r="C5218" s="17"/>
      <c r="D5218" s="17"/>
      <c r="E5218" s="17"/>
      <c r="F5218" s="17"/>
      <c r="G5218" s="17"/>
      <c r="H5218" s="17"/>
      <c r="I5218" s="17"/>
      <c r="J5218" s="17"/>
      <c r="K5218" s="17"/>
      <c r="L5218" s="17"/>
      <c r="M5218" s="17"/>
      <c r="N5218" s="17"/>
      <c r="O5218" s="17"/>
      <c r="P5218" s="17"/>
      <c r="Q5218" s="17"/>
      <c r="R5218" s="17"/>
      <c r="S5218" s="17"/>
      <c r="T5218" s="17"/>
      <c r="U5218" s="17"/>
      <c r="V5218" s="18">
        <v>0</v>
      </c>
      <c r="W5218" s="17">
        <f t="shared" si="149"/>
        <v>0</v>
      </c>
    </row>
    <row r="5219" spans="1:23" x14ac:dyDescent="0.25">
      <c r="A5219" s="17"/>
      <c r="B5219" s="17"/>
      <c r="C5219" s="17"/>
      <c r="D5219" s="17"/>
      <c r="E5219" s="17"/>
      <c r="F5219" s="17"/>
      <c r="G5219" s="17"/>
      <c r="H5219" s="17"/>
      <c r="I5219" s="17"/>
      <c r="J5219" s="17"/>
      <c r="K5219" s="17"/>
      <c r="L5219" s="17"/>
      <c r="M5219" s="17"/>
      <c r="N5219" s="17"/>
      <c r="O5219" s="17"/>
      <c r="P5219" s="17"/>
      <c r="Q5219" s="17"/>
      <c r="R5219" s="17"/>
      <c r="S5219" s="17"/>
      <c r="T5219" s="17"/>
      <c r="U5219" s="17"/>
      <c r="V5219" s="18">
        <v>0</v>
      </c>
      <c r="W5219" s="17">
        <f t="shared" si="149"/>
        <v>0</v>
      </c>
    </row>
    <row r="5220" spans="1:23" x14ac:dyDescent="0.25">
      <c r="A5220" s="17"/>
      <c r="B5220" s="17"/>
      <c r="C5220" s="17"/>
      <c r="D5220" s="17"/>
      <c r="E5220" s="17"/>
      <c r="F5220" s="17"/>
      <c r="G5220" s="17"/>
      <c r="H5220" s="17"/>
      <c r="I5220" s="17"/>
      <c r="J5220" s="17"/>
      <c r="K5220" s="17"/>
      <c r="L5220" s="17"/>
      <c r="M5220" s="17"/>
      <c r="N5220" s="17"/>
      <c r="O5220" s="17"/>
      <c r="P5220" s="17"/>
      <c r="Q5220" s="17"/>
      <c r="R5220" s="17"/>
      <c r="S5220" s="17"/>
      <c r="T5220" s="17"/>
      <c r="U5220" s="17"/>
      <c r="V5220" s="18">
        <v>0</v>
      </c>
      <c r="W5220" s="17">
        <f t="shared" si="149"/>
        <v>0</v>
      </c>
    </row>
    <row r="5221" spans="1:23" x14ac:dyDescent="0.25">
      <c r="A5221" s="17"/>
      <c r="B5221" s="17"/>
      <c r="C5221" s="17"/>
      <c r="D5221" s="17"/>
      <c r="E5221" s="17"/>
      <c r="F5221" s="17"/>
      <c r="G5221" s="17"/>
      <c r="H5221" s="17"/>
      <c r="I5221" s="17"/>
      <c r="J5221" s="17"/>
      <c r="K5221" s="17"/>
      <c r="L5221" s="17"/>
      <c r="M5221" s="17"/>
      <c r="N5221" s="17"/>
      <c r="O5221" s="17"/>
      <c r="P5221" s="17"/>
      <c r="Q5221" s="17"/>
      <c r="R5221" s="17"/>
      <c r="S5221" s="17"/>
      <c r="T5221" s="17"/>
      <c r="U5221" s="17"/>
      <c r="V5221" s="18">
        <v>0</v>
      </c>
      <c r="W5221" s="17">
        <f t="shared" si="149"/>
        <v>0</v>
      </c>
    </row>
    <row r="5222" spans="1:23" x14ac:dyDescent="0.25">
      <c r="A5222" s="17"/>
      <c r="B5222" s="17"/>
      <c r="C5222" s="17"/>
      <c r="D5222" s="17"/>
      <c r="E5222" s="17"/>
      <c r="F5222" s="17"/>
      <c r="G5222" s="17"/>
      <c r="H5222" s="17"/>
      <c r="I5222" s="17"/>
      <c r="J5222" s="17"/>
      <c r="K5222" s="17"/>
      <c r="L5222" s="17"/>
      <c r="M5222" s="17"/>
      <c r="N5222" s="17"/>
      <c r="O5222" s="17"/>
      <c r="P5222" s="17"/>
      <c r="Q5222" s="17"/>
      <c r="R5222" s="17"/>
      <c r="S5222" s="17"/>
      <c r="T5222" s="17"/>
      <c r="U5222" s="17"/>
      <c r="V5222" s="18">
        <v>0</v>
      </c>
      <c r="W5222" s="17">
        <f t="shared" si="149"/>
        <v>0</v>
      </c>
    </row>
    <row r="5223" spans="1:23" x14ac:dyDescent="0.25">
      <c r="A5223" s="17"/>
      <c r="B5223" s="17"/>
      <c r="C5223" s="17"/>
      <c r="D5223" s="17"/>
      <c r="E5223" s="17"/>
      <c r="F5223" s="17"/>
      <c r="G5223" s="17"/>
      <c r="H5223" s="17"/>
      <c r="I5223" s="17"/>
      <c r="J5223" s="17"/>
      <c r="K5223" s="17"/>
      <c r="L5223" s="17"/>
      <c r="M5223" s="17"/>
      <c r="N5223" s="17"/>
      <c r="O5223" s="17"/>
      <c r="P5223" s="17"/>
      <c r="Q5223" s="17"/>
      <c r="R5223" s="17"/>
      <c r="S5223" s="17"/>
      <c r="T5223" s="17"/>
      <c r="U5223" s="17"/>
      <c r="V5223" s="18">
        <v>0</v>
      </c>
      <c r="W5223" s="17">
        <f t="shared" si="149"/>
        <v>0</v>
      </c>
    </row>
    <row r="5224" spans="1:23" x14ac:dyDescent="0.25">
      <c r="A5224" s="17"/>
      <c r="B5224" s="17"/>
      <c r="C5224" s="17"/>
      <c r="D5224" s="17"/>
      <c r="E5224" s="17"/>
      <c r="F5224" s="17"/>
      <c r="G5224" s="17"/>
      <c r="H5224" s="17"/>
      <c r="I5224" s="17"/>
      <c r="J5224" s="17"/>
      <c r="K5224" s="17"/>
      <c r="L5224" s="17"/>
      <c r="M5224" s="17"/>
      <c r="N5224" s="17"/>
      <c r="O5224" s="17"/>
      <c r="P5224" s="17"/>
      <c r="Q5224" s="17"/>
      <c r="R5224" s="17"/>
      <c r="S5224" s="17"/>
      <c r="T5224" s="17"/>
      <c r="U5224" s="17"/>
      <c r="V5224" s="18">
        <v>0</v>
      </c>
      <c r="W5224" s="17">
        <f t="shared" si="149"/>
        <v>0</v>
      </c>
    </row>
    <row r="5225" spans="1:23" x14ac:dyDescent="0.25">
      <c r="A5225" s="17"/>
      <c r="B5225" s="17"/>
      <c r="C5225" s="17"/>
      <c r="D5225" s="17"/>
      <c r="E5225" s="17"/>
      <c r="F5225" s="17"/>
      <c r="G5225" s="17"/>
      <c r="H5225" s="17"/>
      <c r="I5225" s="17"/>
      <c r="J5225" s="17"/>
      <c r="K5225" s="17"/>
      <c r="L5225" s="17"/>
      <c r="M5225" s="17"/>
      <c r="N5225" s="17"/>
      <c r="O5225" s="17"/>
      <c r="P5225" s="17"/>
      <c r="Q5225" s="17"/>
      <c r="R5225" s="17"/>
      <c r="S5225" s="17"/>
      <c r="T5225" s="17"/>
      <c r="U5225" s="17"/>
      <c r="V5225" s="18">
        <v>0</v>
      </c>
      <c r="W5225" s="17">
        <f t="shared" si="149"/>
        <v>0</v>
      </c>
    </row>
    <row r="5226" spans="1:23" x14ac:dyDescent="0.25">
      <c r="A5226" s="17"/>
      <c r="B5226" s="17"/>
      <c r="C5226" s="17"/>
      <c r="D5226" s="17"/>
      <c r="E5226" s="17"/>
      <c r="F5226" s="17"/>
      <c r="G5226" s="17"/>
      <c r="H5226" s="17"/>
      <c r="I5226" s="17"/>
      <c r="J5226" s="17"/>
      <c r="K5226" s="17"/>
      <c r="L5226" s="17"/>
      <c r="M5226" s="17"/>
      <c r="N5226" s="17"/>
      <c r="O5226" s="17"/>
      <c r="P5226" s="17"/>
      <c r="Q5226" s="17"/>
      <c r="R5226" s="17"/>
      <c r="S5226" s="17"/>
      <c r="T5226" s="17"/>
      <c r="U5226" s="17"/>
      <c r="V5226" s="18">
        <v>0</v>
      </c>
      <c r="W5226" s="17">
        <f t="shared" si="149"/>
        <v>0</v>
      </c>
    </row>
    <row r="5227" spans="1:23" x14ac:dyDescent="0.25">
      <c r="A5227" s="17"/>
      <c r="B5227" s="17"/>
      <c r="C5227" s="17"/>
      <c r="D5227" s="17"/>
      <c r="E5227" s="17"/>
      <c r="F5227" s="17"/>
      <c r="G5227" s="17"/>
      <c r="H5227" s="17"/>
      <c r="I5227" s="17"/>
      <c r="J5227" s="17"/>
      <c r="K5227" s="17"/>
      <c r="L5227" s="17"/>
      <c r="M5227" s="17"/>
      <c r="N5227" s="17"/>
      <c r="O5227" s="17"/>
      <c r="P5227" s="17"/>
      <c r="Q5227" s="17"/>
      <c r="R5227" s="17"/>
      <c r="S5227" s="17"/>
      <c r="T5227" s="17"/>
      <c r="U5227" s="17"/>
      <c r="V5227" s="18">
        <v>0</v>
      </c>
      <c r="W5227" s="17">
        <f t="shared" si="149"/>
        <v>0</v>
      </c>
    </row>
    <row r="5228" spans="1:23" x14ac:dyDescent="0.25">
      <c r="A5228" s="17"/>
      <c r="B5228" s="17"/>
      <c r="C5228" s="17"/>
      <c r="D5228" s="17"/>
      <c r="E5228" s="17"/>
      <c r="F5228" s="17"/>
      <c r="G5228" s="17"/>
      <c r="H5228" s="17"/>
      <c r="I5228" s="17"/>
      <c r="J5228" s="17"/>
      <c r="K5228" s="17"/>
      <c r="L5228" s="17"/>
      <c r="M5228" s="17"/>
      <c r="N5228" s="17"/>
      <c r="O5228" s="17"/>
      <c r="P5228" s="17"/>
      <c r="Q5228" s="17"/>
      <c r="R5228" s="17"/>
      <c r="S5228" s="17"/>
      <c r="T5228" s="17"/>
      <c r="U5228" s="17"/>
      <c r="V5228" s="18">
        <v>0</v>
      </c>
      <c r="W5228" s="17">
        <f t="shared" si="149"/>
        <v>0</v>
      </c>
    </row>
    <row r="5229" spans="1:23" x14ac:dyDescent="0.25">
      <c r="A5229" s="17"/>
      <c r="B5229" s="17"/>
      <c r="C5229" s="17"/>
      <c r="D5229" s="17"/>
      <c r="E5229" s="17"/>
      <c r="F5229" s="17"/>
      <c r="G5229" s="17"/>
      <c r="H5229" s="17"/>
      <c r="I5229" s="17"/>
      <c r="J5229" s="17"/>
      <c r="K5229" s="17"/>
      <c r="L5229" s="17"/>
      <c r="M5229" s="17"/>
      <c r="N5229" s="17"/>
      <c r="O5229" s="17"/>
      <c r="P5229" s="17"/>
      <c r="Q5229" s="17"/>
      <c r="R5229" s="17"/>
      <c r="S5229" s="17"/>
      <c r="T5229" s="17"/>
      <c r="U5229" s="17"/>
      <c r="V5229" s="18">
        <v>0</v>
      </c>
      <c r="W5229" s="17">
        <f t="shared" si="149"/>
        <v>0</v>
      </c>
    </row>
    <row r="5230" spans="1:23" x14ac:dyDescent="0.25">
      <c r="A5230" s="17"/>
      <c r="B5230" s="17"/>
      <c r="C5230" s="17"/>
      <c r="D5230" s="17"/>
      <c r="E5230" s="17"/>
      <c r="F5230" s="17"/>
      <c r="G5230" s="17"/>
      <c r="H5230" s="17"/>
      <c r="I5230" s="17"/>
      <c r="J5230" s="17"/>
      <c r="K5230" s="17"/>
      <c r="L5230" s="17"/>
      <c r="M5230" s="17"/>
      <c r="N5230" s="17"/>
      <c r="O5230" s="17"/>
      <c r="P5230" s="17"/>
      <c r="Q5230" s="17"/>
      <c r="R5230" s="17"/>
      <c r="S5230" s="17"/>
      <c r="T5230" s="17"/>
      <c r="U5230" s="17"/>
      <c r="V5230" s="18">
        <v>0</v>
      </c>
      <c r="W5230" s="17">
        <f t="shared" si="149"/>
        <v>0</v>
      </c>
    </row>
    <row r="5231" spans="1:23" x14ac:dyDescent="0.25">
      <c r="A5231" s="17"/>
      <c r="B5231" s="17"/>
      <c r="C5231" s="17"/>
      <c r="D5231" s="17"/>
      <c r="E5231" s="17"/>
      <c r="F5231" s="17"/>
      <c r="G5231" s="17"/>
      <c r="H5231" s="17"/>
      <c r="I5231" s="17"/>
      <c r="J5231" s="17"/>
      <c r="K5231" s="17"/>
      <c r="L5231" s="17"/>
      <c r="M5231" s="17"/>
      <c r="N5231" s="17"/>
      <c r="O5231" s="17"/>
      <c r="P5231" s="17"/>
      <c r="Q5231" s="17"/>
      <c r="R5231" s="17"/>
      <c r="S5231" s="17"/>
      <c r="T5231" s="17"/>
      <c r="U5231" s="17"/>
      <c r="V5231" s="18">
        <v>0</v>
      </c>
      <c r="W5231" s="17">
        <f t="shared" si="149"/>
        <v>0</v>
      </c>
    </row>
    <row r="5232" spans="1:23" x14ac:dyDescent="0.25">
      <c r="A5232" s="17"/>
      <c r="B5232" s="17"/>
      <c r="C5232" s="17"/>
      <c r="D5232" s="17"/>
      <c r="E5232" s="17"/>
      <c r="F5232" s="17"/>
      <c r="G5232" s="17"/>
      <c r="H5232" s="17"/>
      <c r="I5232" s="17"/>
      <c r="J5232" s="17"/>
      <c r="K5232" s="17"/>
      <c r="L5232" s="17"/>
      <c r="M5232" s="17"/>
      <c r="N5232" s="17"/>
      <c r="O5232" s="17"/>
      <c r="P5232" s="17"/>
      <c r="Q5232" s="17"/>
      <c r="R5232" s="17"/>
      <c r="S5232" s="17"/>
      <c r="T5232" s="17"/>
      <c r="U5232" s="17"/>
      <c r="V5232" s="18">
        <v>0</v>
      </c>
      <c r="W5232" s="17">
        <f t="shared" si="149"/>
        <v>0</v>
      </c>
    </row>
    <row r="5233" spans="1:23" x14ac:dyDescent="0.25">
      <c r="A5233" s="17"/>
      <c r="B5233" s="17"/>
      <c r="C5233" s="17"/>
      <c r="D5233" s="17"/>
      <c r="E5233" s="17"/>
      <c r="F5233" s="17"/>
      <c r="G5233" s="17"/>
      <c r="H5233" s="17"/>
      <c r="I5233" s="17"/>
      <c r="J5233" s="17"/>
      <c r="K5233" s="17"/>
      <c r="L5233" s="17"/>
      <c r="M5233" s="17"/>
      <c r="N5233" s="17"/>
      <c r="O5233" s="17"/>
      <c r="P5233" s="17"/>
      <c r="Q5233" s="17"/>
      <c r="R5233" s="17"/>
      <c r="S5233" s="17"/>
      <c r="T5233" s="17"/>
      <c r="U5233" s="17"/>
      <c r="V5233" s="18">
        <v>0</v>
      </c>
      <c r="W5233" s="17">
        <f t="shared" si="149"/>
        <v>0</v>
      </c>
    </row>
    <row r="5234" spans="1:23" x14ac:dyDescent="0.25">
      <c r="A5234" s="17"/>
      <c r="B5234" s="17"/>
      <c r="C5234" s="17"/>
      <c r="D5234" s="17"/>
      <c r="E5234" s="17"/>
      <c r="F5234" s="17"/>
      <c r="G5234" s="17"/>
      <c r="H5234" s="17"/>
      <c r="I5234" s="17"/>
      <c r="J5234" s="17"/>
      <c r="K5234" s="17"/>
      <c r="L5234" s="17"/>
      <c r="M5234" s="17"/>
      <c r="N5234" s="17"/>
      <c r="O5234" s="17"/>
      <c r="P5234" s="17"/>
      <c r="Q5234" s="17"/>
      <c r="R5234" s="17"/>
      <c r="S5234" s="17"/>
      <c r="T5234" s="17"/>
      <c r="U5234" s="17"/>
      <c r="V5234" s="18">
        <v>0</v>
      </c>
      <c r="W5234" s="17">
        <f t="shared" si="149"/>
        <v>0</v>
      </c>
    </row>
    <row r="5235" spans="1:23" x14ac:dyDescent="0.25">
      <c r="A5235" s="17"/>
      <c r="B5235" s="17"/>
      <c r="C5235" s="17"/>
      <c r="D5235" s="17"/>
      <c r="E5235" s="17"/>
      <c r="F5235" s="17"/>
      <c r="G5235" s="17"/>
      <c r="H5235" s="17"/>
      <c r="I5235" s="17"/>
      <c r="J5235" s="17"/>
      <c r="K5235" s="17"/>
      <c r="L5235" s="17"/>
      <c r="M5235" s="17"/>
      <c r="N5235" s="17"/>
      <c r="O5235" s="17"/>
      <c r="P5235" s="17"/>
      <c r="Q5235" s="17"/>
      <c r="R5235" s="17"/>
      <c r="S5235" s="17"/>
      <c r="T5235" s="17"/>
      <c r="U5235" s="17"/>
      <c r="V5235" s="18">
        <v>0</v>
      </c>
      <c r="W5235" s="17">
        <f t="shared" si="149"/>
        <v>0</v>
      </c>
    </row>
    <row r="5236" spans="1:23" x14ac:dyDescent="0.25">
      <c r="A5236" s="17"/>
      <c r="B5236" s="17"/>
      <c r="C5236" s="17"/>
      <c r="D5236" s="17"/>
      <c r="E5236" s="17"/>
      <c r="F5236" s="17"/>
      <c r="G5236" s="17"/>
      <c r="H5236" s="17"/>
      <c r="I5236" s="17"/>
      <c r="J5236" s="17"/>
      <c r="K5236" s="17"/>
      <c r="L5236" s="17"/>
      <c r="M5236" s="17"/>
      <c r="N5236" s="17"/>
      <c r="O5236" s="17"/>
      <c r="P5236" s="17"/>
      <c r="Q5236" s="17"/>
      <c r="R5236" s="17"/>
      <c r="S5236" s="17"/>
      <c r="T5236" s="17"/>
      <c r="U5236" s="17"/>
      <c r="V5236" s="18">
        <v>0</v>
      </c>
      <c r="W5236" s="17">
        <f t="shared" si="149"/>
        <v>0</v>
      </c>
    </row>
    <row r="5237" spans="1:23" x14ac:dyDescent="0.25">
      <c r="A5237" s="17"/>
      <c r="B5237" s="17"/>
      <c r="C5237" s="17"/>
      <c r="D5237" s="17"/>
      <c r="E5237" s="17"/>
      <c r="F5237" s="17"/>
      <c r="G5237" s="17"/>
      <c r="H5237" s="17"/>
      <c r="I5237" s="17"/>
      <c r="J5237" s="17"/>
      <c r="K5237" s="17"/>
      <c r="L5237" s="17"/>
      <c r="M5237" s="17"/>
      <c r="N5237" s="17"/>
      <c r="O5237" s="17"/>
      <c r="P5237" s="17"/>
      <c r="Q5237" s="17"/>
      <c r="R5237" s="17"/>
      <c r="S5237" s="17"/>
      <c r="T5237" s="17"/>
      <c r="U5237" s="17"/>
      <c r="V5237" s="18">
        <v>0</v>
      </c>
      <c r="W5237" s="17">
        <f t="shared" si="149"/>
        <v>0</v>
      </c>
    </row>
    <row r="5238" spans="1:23" x14ac:dyDescent="0.25">
      <c r="A5238" s="17"/>
      <c r="B5238" s="17"/>
      <c r="C5238" s="17"/>
      <c r="D5238" s="17"/>
      <c r="E5238" s="17"/>
      <c r="F5238" s="17"/>
      <c r="G5238" s="17"/>
      <c r="H5238" s="17"/>
      <c r="I5238" s="17"/>
      <c r="J5238" s="17"/>
      <c r="K5238" s="17"/>
      <c r="L5238" s="17"/>
      <c r="M5238" s="17"/>
      <c r="N5238" s="17"/>
      <c r="O5238" s="17"/>
      <c r="P5238" s="17"/>
      <c r="Q5238" s="17"/>
      <c r="R5238" s="17"/>
      <c r="S5238" s="17"/>
      <c r="T5238" s="17"/>
      <c r="U5238" s="17"/>
      <c r="V5238" s="18">
        <v>0</v>
      </c>
      <c r="W5238" s="17">
        <f t="shared" si="149"/>
        <v>0</v>
      </c>
    </row>
    <row r="5239" spans="1:23" x14ac:dyDescent="0.25">
      <c r="A5239" s="17"/>
      <c r="B5239" s="17"/>
      <c r="C5239" s="17"/>
      <c r="D5239" s="17"/>
      <c r="E5239" s="17"/>
      <c r="F5239" s="17"/>
      <c r="G5239" s="17"/>
      <c r="H5239" s="17"/>
      <c r="I5239" s="17"/>
      <c r="J5239" s="17"/>
      <c r="K5239" s="17"/>
      <c r="L5239" s="17"/>
      <c r="M5239" s="17"/>
      <c r="N5239" s="17"/>
      <c r="O5239" s="17"/>
      <c r="P5239" s="17"/>
      <c r="Q5239" s="17"/>
      <c r="R5239" s="17"/>
      <c r="S5239" s="17"/>
      <c r="T5239" s="17"/>
      <c r="U5239" s="17"/>
      <c r="V5239" s="18">
        <v>0</v>
      </c>
      <c r="W5239" s="17">
        <f t="shared" si="149"/>
        <v>0</v>
      </c>
    </row>
    <row r="5240" spans="1:23" x14ac:dyDescent="0.25">
      <c r="A5240" s="17"/>
      <c r="B5240" s="17"/>
      <c r="C5240" s="17"/>
      <c r="D5240" s="17"/>
      <c r="E5240" s="17"/>
      <c r="F5240" s="17"/>
      <c r="G5240" s="17"/>
      <c r="H5240" s="17"/>
      <c r="I5240" s="17"/>
      <c r="J5240" s="17"/>
      <c r="K5240" s="17"/>
      <c r="L5240" s="17"/>
      <c r="M5240" s="17"/>
      <c r="N5240" s="17"/>
      <c r="O5240" s="17"/>
      <c r="P5240" s="17"/>
      <c r="Q5240" s="17"/>
      <c r="R5240" s="17"/>
      <c r="S5240" s="17"/>
      <c r="T5240" s="17"/>
      <c r="U5240" s="17"/>
      <c r="V5240" s="18">
        <v>0</v>
      </c>
      <c r="W5240" s="17">
        <f t="shared" si="149"/>
        <v>0</v>
      </c>
    </row>
    <row r="5241" spans="1:23" x14ac:dyDescent="0.25">
      <c r="A5241" s="17"/>
      <c r="B5241" s="17"/>
      <c r="C5241" s="17"/>
      <c r="D5241" s="17"/>
      <c r="E5241" s="17"/>
      <c r="F5241" s="17"/>
      <c r="G5241" s="17"/>
      <c r="H5241" s="17"/>
      <c r="I5241" s="17"/>
      <c r="J5241" s="17"/>
      <c r="K5241" s="17"/>
      <c r="L5241" s="17"/>
      <c r="M5241" s="17"/>
      <c r="N5241" s="17"/>
      <c r="O5241" s="17"/>
      <c r="P5241" s="17"/>
      <c r="Q5241" s="17"/>
      <c r="R5241" s="17"/>
      <c r="S5241" s="17"/>
      <c r="T5241" s="17"/>
      <c r="U5241" s="17"/>
      <c r="V5241" s="18">
        <v>0</v>
      </c>
      <c r="W5241" s="17">
        <f t="shared" si="149"/>
        <v>0</v>
      </c>
    </row>
    <row r="5242" spans="1:23" x14ac:dyDescent="0.25">
      <c r="A5242" s="17"/>
      <c r="B5242" s="17"/>
      <c r="C5242" s="17"/>
      <c r="D5242" s="17"/>
      <c r="E5242" s="17"/>
      <c r="F5242" s="17"/>
      <c r="G5242" s="17"/>
      <c r="H5242" s="17"/>
      <c r="I5242" s="17"/>
      <c r="J5242" s="17"/>
      <c r="K5242" s="17"/>
      <c r="L5242" s="17"/>
      <c r="M5242" s="17"/>
      <c r="N5242" s="17"/>
      <c r="O5242" s="17"/>
      <c r="P5242" s="17"/>
      <c r="Q5242" s="17"/>
      <c r="R5242" s="17"/>
      <c r="S5242" s="17"/>
      <c r="T5242" s="17"/>
      <c r="U5242" s="17"/>
      <c r="V5242" s="18">
        <v>0</v>
      </c>
      <c r="W5242" s="17">
        <f t="shared" si="149"/>
        <v>0</v>
      </c>
    </row>
    <row r="5243" spans="1:23" x14ac:dyDescent="0.25">
      <c r="A5243" s="17"/>
      <c r="B5243" s="17"/>
      <c r="C5243" s="17"/>
      <c r="D5243" s="17"/>
      <c r="E5243" s="17"/>
      <c r="F5243" s="17"/>
      <c r="G5243" s="17"/>
      <c r="H5243" s="17"/>
      <c r="I5243" s="17"/>
      <c r="J5243" s="17"/>
      <c r="K5243" s="17"/>
      <c r="L5243" s="17"/>
      <c r="M5243" s="17"/>
      <c r="N5243" s="17"/>
      <c r="O5243" s="17"/>
      <c r="P5243" s="17"/>
      <c r="Q5243" s="17"/>
      <c r="R5243" s="17"/>
      <c r="S5243" s="17"/>
      <c r="T5243" s="17"/>
      <c r="U5243" s="17"/>
      <c r="V5243" s="18">
        <v>0</v>
      </c>
      <c r="W5243" s="17">
        <f t="shared" si="149"/>
        <v>0</v>
      </c>
    </row>
    <row r="5244" spans="1:23" x14ac:dyDescent="0.25">
      <c r="A5244" s="17"/>
      <c r="B5244" s="17"/>
      <c r="C5244" s="17"/>
      <c r="D5244" s="17"/>
      <c r="E5244" s="17"/>
      <c r="F5244" s="17"/>
      <c r="G5244" s="17"/>
      <c r="H5244" s="17"/>
      <c r="I5244" s="17"/>
      <c r="J5244" s="17"/>
      <c r="K5244" s="17"/>
      <c r="L5244" s="17"/>
      <c r="M5244" s="17"/>
      <c r="N5244" s="17"/>
      <c r="O5244" s="17"/>
      <c r="P5244" s="17"/>
      <c r="Q5244" s="17"/>
      <c r="R5244" s="17"/>
      <c r="S5244" s="17"/>
      <c r="T5244" s="17"/>
      <c r="U5244" s="17"/>
      <c r="V5244" s="18">
        <v>0</v>
      </c>
      <c r="W5244" s="17">
        <f t="shared" si="149"/>
        <v>0</v>
      </c>
    </row>
    <row r="5245" spans="1:23" x14ac:dyDescent="0.25">
      <c r="A5245" s="17"/>
      <c r="B5245" s="17"/>
      <c r="C5245" s="17"/>
      <c r="D5245" s="17"/>
      <c r="E5245" s="17"/>
      <c r="F5245" s="17"/>
      <c r="G5245" s="17"/>
      <c r="H5245" s="17"/>
      <c r="I5245" s="17"/>
      <c r="J5245" s="17"/>
      <c r="K5245" s="17"/>
      <c r="L5245" s="17"/>
      <c r="M5245" s="17"/>
      <c r="N5245" s="17"/>
      <c r="O5245" s="17"/>
      <c r="P5245" s="17"/>
      <c r="Q5245" s="17"/>
      <c r="R5245" s="17"/>
      <c r="S5245" s="17"/>
      <c r="T5245" s="17"/>
      <c r="U5245" s="17"/>
      <c r="V5245" s="18">
        <v>0</v>
      </c>
      <c r="W5245" s="17">
        <f t="shared" si="149"/>
        <v>0</v>
      </c>
    </row>
    <row r="5246" spans="1:23" x14ac:dyDescent="0.25">
      <c r="A5246" s="17"/>
      <c r="B5246" s="17"/>
      <c r="C5246" s="17"/>
      <c r="D5246" s="17"/>
      <c r="E5246" s="17"/>
      <c r="F5246" s="17"/>
      <c r="G5246" s="17"/>
      <c r="H5246" s="17"/>
      <c r="I5246" s="17"/>
      <c r="J5246" s="17"/>
      <c r="K5246" s="17"/>
      <c r="L5246" s="17"/>
      <c r="M5246" s="17"/>
      <c r="N5246" s="17"/>
      <c r="O5246" s="17"/>
      <c r="P5246" s="17"/>
      <c r="Q5246" s="17"/>
      <c r="R5246" s="17"/>
      <c r="S5246" s="17"/>
      <c r="T5246" s="17"/>
      <c r="U5246" s="17"/>
      <c r="V5246" s="18">
        <v>0</v>
      </c>
      <c r="W5246" s="17">
        <f t="shared" si="149"/>
        <v>0</v>
      </c>
    </row>
    <row r="5247" spans="1:23" x14ac:dyDescent="0.25">
      <c r="A5247" s="17"/>
      <c r="B5247" s="17"/>
      <c r="C5247" s="17"/>
      <c r="D5247" s="17"/>
      <c r="E5247" s="17"/>
      <c r="F5247" s="17"/>
      <c r="G5247" s="17"/>
      <c r="H5247" s="17"/>
      <c r="I5247" s="17"/>
      <c r="J5247" s="17"/>
      <c r="K5247" s="17"/>
      <c r="L5247" s="17"/>
      <c r="M5247" s="17"/>
      <c r="N5247" s="17"/>
      <c r="O5247" s="17"/>
      <c r="P5247" s="17"/>
      <c r="Q5247" s="17"/>
      <c r="R5247" s="17"/>
      <c r="S5247" s="17"/>
      <c r="T5247" s="17"/>
      <c r="U5247" s="17"/>
      <c r="V5247" s="18">
        <v>0</v>
      </c>
      <c r="W5247" s="17">
        <f t="shared" si="149"/>
        <v>0</v>
      </c>
    </row>
    <row r="5248" spans="1:23" x14ac:dyDescent="0.25">
      <c r="A5248" s="17"/>
      <c r="B5248" s="17"/>
      <c r="C5248" s="17"/>
      <c r="D5248" s="17"/>
      <c r="E5248" s="17"/>
      <c r="F5248" s="17"/>
      <c r="G5248" s="17"/>
      <c r="H5248" s="17"/>
      <c r="I5248" s="17"/>
      <c r="J5248" s="17"/>
      <c r="K5248" s="17"/>
      <c r="L5248" s="17"/>
      <c r="M5248" s="17"/>
      <c r="N5248" s="17"/>
      <c r="O5248" s="17"/>
      <c r="P5248" s="17"/>
      <c r="Q5248" s="17"/>
      <c r="R5248" s="17"/>
      <c r="S5248" s="17"/>
      <c r="T5248" s="17"/>
      <c r="U5248" s="17"/>
      <c r="V5248" s="18">
        <v>0</v>
      </c>
      <c r="W5248" s="17">
        <f t="shared" si="149"/>
        <v>0</v>
      </c>
    </row>
    <row r="5249" spans="1:23" x14ac:dyDescent="0.25">
      <c r="A5249" s="17"/>
      <c r="B5249" s="17"/>
      <c r="C5249" s="17"/>
      <c r="D5249" s="17"/>
      <c r="E5249" s="17"/>
      <c r="F5249" s="17"/>
      <c r="G5249" s="17"/>
      <c r="H5249" s="17"/>
      <c r="I5249" s="17"/>
      <c r="J5249" s="17"/>
      <c r="K5249" s="17"/>
      <c r="L5249" s="17"/>
      <c r="M5249" s="17"/>
      <c r="N5249" s="17"/>
      <c r="O5249" s="17"/>
      <c r="P5249" s="17"/>
      <c r="Q5249" s="17"/>
      <c r="R5249" s="17"/>
      <c r="S5249" s="17"/>
      <c r="T5249" s="17"/>
      <c r="U5249" s="17"/>
      <c r="V5249" s="18">
        <v>0</v>
      </c>
      <c r="W5249" s="17">
        <f t="shared" si="149"/>
        <v>0</v>
      </c>
    </row>
    <row r="5250" spans="1:23" x14ac:dyDescent="0.25">
      <c r="A5250" s="17"/>
      <c r="B5250" s="17"/>
      <c r="C5250" s="17"/>
      <c r="D5250" s="17"/>
      <c r="E5250" s="17"/>
      <c r="F5250" s="17"/>
      <c r="G5250" s="17"/>
      <c r="H5250" s="17"/>
      <c r="I5250" s="17"/>
      <c r="J5250" s="17"/>
      <c r="K5250" s="17"/>
      <c r="L5250" s="17"/>
      <c r="M5250" s="17"/>
      <c r="N5250" s="17"/>
      <c r="O5250" s="17"/>
      <c r="P5250" s="17"/>
      <c r="Q5250" s="17"/>
      <c r="R5250" s="17"/>
      <c r="S5250" s="17"/>
      <c r="T5250" s="17"/>
      <c r="U5250" s="17"/>
      <c r="V5250" s="18">
        <v>0</v>
      </c>
      <c r="W5250" s="17">
        <f t="shared" si="149"/>
        <v>0</v>
      </c>
    </row>
    <row r="5251" spans="1:23" x14ac:dyDescent="0.25">
      <c r="A5251" s="17"/>
      <c r="B5251" s="17"/>
      <c r="C5251" s="17"/>
      <c r="D5251" s="17"/>
      <c r="E5251" s="17"/>
      <c r="F5251" s="17"/>
      <c r="G5251" s="17"/>
      <c r="H5251" s="17"/>
      <c r="I5251" s="17"/>
      <c r="J5251" s="17"/>
      <c r="K5251" s="17"/>
      <c r="L5251" s="17"/>
      <c r="M5251" s="17"/>
      <c r="N5251" s="17"/>
      <c r="O5251" s="17"/>
      <c r="P5251" s="17"/>
      <c r="Q5251" s="17"/>
      <c r="R5251" s="17"/>
      <c r="S5251" s="17"/>
      <c r="T5251" s="17"/>
      <c r="U5251" s="17"/>
      <c r="V5251" s="18">
        <v>0</v>
      </c>
      <c r="W5251" s="17">
        <f t="shared" ref="W5251:W5314" si="150">HOUR(E5251)</f>
        <v>0</v>
      </c>
    </row>
    <row r="5252" spans="1:23" x14ac:dyDescent="0.25">
      <c r="A5252" s="17"/>
      <c r="B5252" s="17"/>
      <c r="C5252" s="17"/>
      <c r="D5252" s="17"/>
      <c r="E5252" s="17"/>
      <c r="F5252" s="17"/>
      <c r="G5252" s="17"/>
      <c r="H5252" s="17"/>
      <c r="I5252" s="17"/>
      <c r="J5252" s="17"/>
      <c r="K5252" s="17"/>
      <c r="L5252" s="17"/>
      <c r="M5252" s="17"/>
      <c r="N5252" s="17"/>
      <c r="O5252" s="17"/>
      <c r="P5252" s="17"/>
      <c r="Q5252" s="17"/>
      <c r="R5252" s="17"/>
      <c r="S5252" s="17"/>
      <c r="T5252" s="17"/>
      <c r="U5252" s="17"/>
      <c r="V5252" s="18">
        <v>0</v>
      </c>
      <c r="W5252" s="17">
        <f t="shared" si="150"/>
        <v>0</v>
      </c>
    </row>
    <row r="5253" spans="1:23" x14ac:dyDescent="0.25">
      <c r="A5253" s="17"/>
      <c r="B5253" s="17"/>
      <c r="C5253" s="17"/>
      <c r="D5253" s="17"/>
      <c r="E5253" s="17"/>
      <c r="F5253" s="17"/>
      <c r="G5253" s="17"/>
      <c r="H5253" s="17"/>
      <c r="I5253" s="17"/>
      <c r="J5253" s="17"/>
      <c r="K5253" s="17"/>
      <c r="L5253" s="17"/>
      <c r="M5253" s="17"/>
      <c r="N5253" s="17"/>
      <c r="O5253" s="17"/>
      <c r="P5253" s="17"/>
      <c r="Q5253" s="17"/>
      <c r="R5253" s="17"/>
      <c r="S5253" s="17"/>
      <c r="T5253" s="17"/>
      <c r="U5253" s="17"/>
      <c r="V5253" s="18">
        <v>0</v>
      </c>
      <c r="W5253" s="17">
        <f t="shared" si="150"/>
        <v>0</v>
      </c>
    </row>
    <row r="5254" spans="1:23" x14ac:dyDescent="0.25">
      <c r="A5254" s="17"/>
      <c r="B5254" s="17"/>
      <c r="C5254" s="17"/>
      <c r="D5254" s="17"/>
      <c r="E5254" s="17"/>
      <c r="F5254" s="17"/>
      <c r="G5254" s="17"/>
      <c r="H5254" s="17"/>
      <c r="I5254" s="17"/>
      <c r="J5254" s="17"/>
      <c r="K5254" s="17"/>
      <c r="L5254" s="17"/>
      <c r="M5254" s="17"/>
      <c r="N5254" s="17"/>
      <c r="O5254" s="17"/>
      <c r="P5254" s="17"/>
      <c r="Q5254" s="17"/>
      <c r="R5254" s="17"/>
      <c r="S5254" s="17"/>
      <c r="T5254" s="17"/>
      <c r="U5254" s="17"/>
      <c r="V5254" s="18">
        <v>0</v>
      </c>
      <c r="W5254" s="17">
        <f t="shared" si="150"/>
        <v>0</v>
      </c>
    </row>
    <row r="5255" spans="1:23" x14ac:dyDescent="0.25">
      <c r="A5255" s="17"/>
      <c r="B5255" s="17"/>
      <c r="C5255" s="17"/>
      <c r="D5255" s="17"/>
      <c r="E5255" s="17"/>
      <c r="F5255" s="17"/>
      <c r="G5255" s="17"/>
      <c r="H5255" s="17"/>
      <c r="I5255" s="17"/>
      <c r="J5255" s="17"/>
      <c r="K5255" s="17"/>
      <c r="L5255" s="17"/>
      <c r="M5255" s="17"/>
      <c r="N5255" s="17"/>
      <c r="O5255" s="17"/>
      <c r="P5255" s="17"/>
      <c r="Q5255" s="17"/>
      <c r="R5255" s="17"/>
      <c r="S5255" s="17"/>
      <c r="T5255" s="17"/>
      <c r="U5255" s="17"/>
      <c r="V5255" s="18">
        <v>0</v>
      </c>
      <c r="W5255" s="17">
        <f t="shared" si="150"/>
        <v>0</v>
      </c>
    </row>
    <row r="5256" spans="1:23" x14ac:dyDescent="0.25">
      <c r="A5256" s="17"/>
      <c r="B5256" s="17"/>
      <c r="C5256" s="17"/>
      <c r="D5256" s="17"/>
      <c r="E5256" s="17"/>
      <c r="F5256" s="17"/>
      <c r="G5256" s="17"/>
      <c r="H5256" s="17"/>
      <c r="I5256" s="17"/>
      <c r="J5256" s="17"/>
      <c r="K5256" s="17"/>
      <c r="L5256" s="17"/>
      <c r="M5256" s="17"/>
      <c r="N5256" s="17"/>
      <c r="O5256" s="17"/>
      <c r="P5256" s="17"/>
      <c r="Q5256" s="17"/>
      <c r="R5256" s="17"/>
      <c r="S5256" s="17"/>
      <c r="T5256" s="17"/>
      <c r="U5256" s="17"/>
      <c r="V5256" s="18">
        <v>0</v>
      </c>
      <c r="W5256" s="17">
        <f t="shared" si="150"/>
        <v>0</v>
      </c>
    </row>
    <row r="5257" spans="1:23" x14ac:dyDescent="0.25">
      <c r="A5257" s="17"/>
      <c r="B5257" s="17"/>
      <c r="C5257" s="17"/>
      <c r="D5257" s="17"/>
      <c r="E5257" s="17"/>
      <c r="F5257" s="17"/>
      <c r="G5257" s="17"/>
      <c r="H5257" s="17"/>
      <c r="I5257" s="17"/>
      <c r="J5257" s="17"/>
      <c r="K5257" s="17"/>
      <c r="L5257" s="17"/>
      <c r="M5257" s="17"/>
      <c r="N5257" s="17"/>
      <c r="O5257" s="17"/>
      <c r="P5257" s="17"/>
      <c r="Q5257" s="17"/>
      <c r="R5257" s="17"/>
      <c r="S5257" s="17"/>
      <c r="T5257" s="17"/>
      <c r="U5257" s="17"/>
      <c r="V5257" s="18">
        <v>0</v>
      </c>
      <c r="W5257" s="17">
        <f t="shared" si="150"/>
        <v>0</v>
      </c>
    </row>
    <row r="5258" spans="1:23" x14ac:dyDescent="0.25">
      <c r="A5258" s="17"/>
      <c r="B5258" s="17"/>
      <c r="C5258" s="17"/>
      <c r="D5258" s="17"/>
      <c r="E5258" s="17"/>
      <c r="F5258" s="17"/>
      <c r="G5258" s="17"/>
      <c r="H5258" s="17"/>
      <c r="I5258" s="17"/>
      <c r="J5258" s="17"/>
      <c r="K5258" s="17"/>
      <c r="L5258" s="17"/>
      <c r="M5258" s="17"/>
      <c r="N5258" s="17"/>
      <c r="O5258" s="17"/>
      <c r="P5258" s="17"/>
      <c r="Q5258" s="17"/>
      <c r="R5258" s="17"/>
      <c r="S5258" s="17"/>
      <c r="T5258" s="17"/>
      <c r="U5258" s="17"/>
      <c r="V5258" s="18">
        <v>0</v>
      </c>
      <c r="W5258" s="17">
        <f t="shared" si="150"/>
        <v>0</v>
      </c>
    </row>
    <row r="5259" spans="1:23" x14ac:dyDescent="0.25">
      <c r="A5259" s="17"/>
      <c r="B5259" s="17"/>
      <c r="C5259" s="17"/>
      <c r="D5259" s="17"/>
      <c r="E5259" s="17"/>
      <c r="F5259" s="17"/>
      <c r="G5259" s="17"/>
      <c r="H5259" s="17"/>
      <c r="I5259" s="17"/>
      <c r="J5259" s="17"/>
      <c r="K5259" s="17"/>
      <c r="L5259" s="17"/>
      <c r="M5259" s="17"/>
      <c r="N5259" s="17"/>
      <c r="O5259" s="17"/>
      <c r="P5259" s="17"/>
      <c r="Q5259" s="17"/>
      <c r="R5259" s="17"/>
      <c r="S5259" s="17"/>
      <c r="T5259" s="17"/>
      <c r="U5259" s="17"/>
      <c r="V5259" s="18">
        <v>0</v>
      </c>
      <c r="W5259" s="17">
        <f t="shared" si="150"/>
        <v>0</v>
      </c>
    </row>
    <row r="5260" spans="1:23" x14ac:dyDescent="0.25">
      <c r="A5260" s="17"/>
      <c r="B5260" s="17"/>
      <c r="C5260" s="17"/>
      <c r="D5260" s="17"/>
      <c r="E5260" s="17"/>
      <c r="F5260" s="17"/>
      <c r="G5260" s="17"/>
      <c r="H5260" s="17"/>
      <c r="I5260" s="17"/>
      <c r="J5260" s="17"/>
      <c r="K5260" s="17"/>
      <c r="L5260" s="17"/>
      <c r="M5260" s="17"/>
      <c r="N5260" s="17"/>
      <c r="O5260" s="17"/>
      <c r="P5260" s="17"/>
      <c r="Q5260" s="17"/>
      <c r="R5260" s="17"/>
      <c r="S5260" s="17"/>
      <c r="T5260" s="17"/>
      <c r="U5260" s="17"/>
      <c r="V5260" s="18">
        <v>0</v>
      </c>
      <c r="W5260" s="17">
        <f t="shared" si="150"/>
        <v>0</v>
      </c>
    </row>
    <row r="5261" spans="1:23" x14ac:dyDescent="0.25">
      <c r="A5261" s="17"/>
      <c r="B5261" s="17"/>
      <c r="C5261" s="17"/>
      <c r="D5261" s="17"/>
      <c r="E5261" s="17"/>
      <c r="F5261" s="17"/>
      <c r="G5261" s="17"/>
      <c r="H5261" s="17"/>
      <c r="I5261" s="17"/>
      <c r="J5261" s="17"/>
      <c r="K5261" s="17"/>
      <c r="L5261" s="17"/>
      <c r="M5261" s="17"/>
      <c r="N5261" s="17"/>
      <c r="O5261" s="17"/>
      <c r="P5261" s="17"/>
      <c r="Q5261" s="17"/>
      <c r="R5261" s="17"/>
      <c r="S5261" s="17"/>
      <c r="T5261" s="17"/>
      <c r="U5261" s="17"/>
      <c r="V5261" s="18">
        <v>0</v>
      </c>
      <c r="W5261" s="17">
        <f t="shared" si="150"/>
        <v>0</v>
      </c>
    </row>
    <row r="5262" spans="1:23" x14ac:dyDescent="0.25">
      <c r="A5262" s="17"/>
      <c r="B5262" s="17"/>
      <c r="C5262" s="17"/>
      <c r="D5262" s="17"/>
      <c r="E5262" s="17"/>
      <c r="F5262" s="17"/>
      <c r="G5262" s="17"/>
      <c r="H5262" s="17"/>
      <c r="I5262" s="17"/>
      <c r="J5262" s="17"/>
      <c r="K5262" s="17"/>
      <c r="L5262" s="17"/>
      <c r="M5262" s="17"/>
      <c r="N5262" s="17"/>
      <c r="O5262" s="17"/>
      <c r="P5262" s="17"/>
      <c r="Q5262" s="17"/>
      <c r="R5262" s="17"/>
      <c r="S5262" s="17"/>
      <c r="T5262" s="17"/>
      <c r="U5262" s="17"/>
      <c r="V5262" s="18">
        <v>0</v>
      </c>
      <c r="W5262" s="17">
        <f t="shared" si="150"/>
        <v>0</v>
      </c>
    </row>
    <row r="5263" spans="1:23" x14ac:dyDescent="0.25">
      <c r="A5263" s="17"/>
      <c r="B5263" s="17"/>
      <c r="C5263" s="17"/>
      <c r="D5263" s="17"/>
      <c r="E5263" s="17"/>
      <c r="F5263" s="17"/>
      <c r="G5263" s="17"/>
      <c r="H5263" s="17"/>
      <c r="I5263" s="17"/>
      <c r="J5263" s="17"/>
      <c r="K5263" s="17"/>
      <c r="L5263" s="17"/>
      <c r="M5263" s="17"/>
      <c r="N5263" s="17"/>
      <c r="O5263" s="17"/>
      <c r="P5263" s="17"/>
      <c r="Q5263" s="17"/>
      <c r="R5263" s="17"/>
      <c r="S5263" s="17"/>
      <c r="T5263" s="17"/>
      <c r="U5263" s="17"/>
      <c r="V5263" s="18">
        <v>0</v>
      </c>
      <c r="W5263" s="17">
        <f t="shared" si="150"/>
        <v>0</v>
      </c>
    </row>
    <row r="5264" spans="1:23" x14ac:dyDescent="0.25">
      <c r="A5264" s="17"/>
      <c r="B5264" s="17"/>
      <c r="C5264" s="17"/>
      <c r="D5264" s="17"/>
      <c r="E5264" s="17"/>
      <c r="F5264" s="17"/>
      <c r="G5264" s="17"/>
      <c r="H5264" s="17"/>
      <c r="I5264" s="17"/>
      <c r="J5264" s="17"/>
      <c r="K5264" s="17"/>
      <c r="L5264" s="17"/>
      <c r="M5264" s="17"/>
      <c r="N5264" s="17"/>
      <c r="O5264" s="17"/>
      <c r="P5264" s="17"/>
      <c r="Q5264" s="17"/>
      <c r="R5264" s="17"/>
      <c r="S5264" s="17"/>
      <c r="T5264" s="17"/>
      <c r="U5264" s="17"/>
      <c r="V5264" s="18">
        <v>0</v>
      </c>
      <c r="W5264" s="17">
        <f t="shared" si="150"/>
        <v>0</v>
      </c>
    </row>
    <row r="5265" spans="1:23" x14ac:dyDescent="0.25">
      <c r="A5265" s="17"/>
      <c r="B5265" s="17"/>
      <c r="C5265" s="17"/>
      <c r="D5265" s="17"/>
      <c r="E5265" s="17"/>
      <c r="F5265" s="17"/>
      <c r="G5265" s="17"/>
      <c r="H5265" s="17"/>
      <c r="I5265" s="17"/>
      <c r="J5265" s="17"/>
      <c r="K5265" s="17"/>
      <c r="L5265" s="17"/>
      <c r="M5265" s="17"/>
      <c r="N5265" s="17"/>
      <c r="O5265" s="17"/>
      <c r="P5265" s="17"/>
      <c r="Q5265" s="17"/>
      <c r="R5265" s="17"/>
      <c r="S5265" s="17"/>
      <c r="T5265" s="17"/>
      <c r="U5265" s="17"/>
      <c r="V5265" s="18">
        <v>0</v>
      </c>
      <c r="W5265" s="17">
        <f t="shared" si="150"/>
        <v>0</v>
      </c>
    </row>
    <row r="5266" spans="1:23" x14ac:dyDescent="0.25">
      <c r="A5266" s="17"/>
      <c r="B5266" s="17"/>
      <c r="C5266" s="17"/>
      <c r="D5266" s="17"/>
      <c r="E5266" s="17"/>
      <c r="F5266" s="17"/>
      <c r="G5266" s="17"/>
      <c r="H5266" s="17"/>
      <c r="I5266" s="17"/>
      <c r="J5266" s="17"/>
      <c r="K5266" s="17"/>
      <c r="L5266" s="17"/>
      <c r="M5266" s="17"/>
      <c r="N5266" s="17"/>
      <c r="O5266" s="17"/>
      <c r="P5266" s="17"/>
      <c r="Q5266" s="17"/>
      <c r="R5266" s="17"/>
      <c r="S5266" s="17"/>
      <c r="T5266" s="17"/>
      <c r="U5266" s="17"/>
      <c r="V5266" s="18">
        <v>0</v>
      </c>
      <c r="W5266" s="17">
        <f t="shared" si="150"/>
        <v>0</v>
      </c>
    </row>
    <row r="5267" spans="1:23" x14ac:dyDescent="0.25">
      <c r="A5267" s="17"/>
      <c r="B5267" s="17"/>
      <c r="C5267" s="17"/>
      <c r="D5267" s="17"/>
      <c r="E5267" s="17"/>
      <c r="F5267" s="17"/>
      <c r="G5267" s="17"/>
      <c r="H5267" s="17"/>
      <c r="I5267" s="17"/>
      <c r="J5267" s="17"/>
      <c r="K5267" s="17"/>
      <c r="L5267" s="17"/>
      <c r="M5267" s="17"/>
      <c r="N5267" s="17"/>
      <c r="O5267" s="17"/>
      <c r="P5267" s="17"/>
      <c r="Q5267" s="17"/>
      <c r="R5267" s="17"/>
      <c r="S5267" s="17"/>
      <c r="T5267" s="17"/>
      <c r="U5267" s="17"/>
      <c r="V5267" s="18">
        <v>0</v>
      </c>
      <c r="W5267" s="17">
        <f t="shared" si="150"/>
        <v>0</v>
      </c>
    </row>
    <row r="5268" spans="1:23" x14ac:dyDescent="0.25">
      <c r="A5268" s="17"/>
      <c r="B5268" s="17"/>
      <c r="C5268" s="17"/>
      <c r="D5268" s="17"/>
      <c r="E5268" s="17"/>
      <c r="F5268" s="17"/>
      <c r="G5268" s="17"/>
      <c r="H5268" s="17"/>
      <c r="I5268" s="17"/>
      <c r="J5268" s="17"/>
      <c r="K5268" s="17"/>
      <c r="L5268" s="17"/>
      <c r="M5268" s="17"/>
      <c r="N5268" s="17"/>
      <c r="O5268" s="17"/>
      <c r="P5268" s="17"/>
      <c r="Q5268" s="17"/>
      <c r="R5268" s="17"/>
      <c r="S5268" s="17"/>
      <c r="T5268" s="17"/>
      <c r="U5268" s="17"/>
      <c r="V5268" s="18">
        <v>0</v>
      </c>
      <c r="W5268" s="17">
        <f t="shared" si="150"/>
        <v>0</v>
      </c>
    </row>
    <row r="5269" spans="1:23" x14ac:dyDescent="0.25">
      <c r="A5269" s="17"/>
      <c r="B5269" s="17"/>
      <c r="C5269" s="17"/>
      <c r="D5269" s="17"/>
      <c r="E5269" s="17"/>
      <c r="F5269" s="17"/>
      <c r="G5269" s="17"/>
      <c r="H5269" s="17"/>
      <c r="I5269" s="17"/>
      <c r="J5269" s="17"/>
      <c r="K5269" s="17"/>
      <c r="L5269" s="17"/>
      <c r="M5269" s="17"/>
      <c r="N5269" s="17"/>
      <c r="O5269" s="17"/>
      <c r="P5269" s="17"/>
      <c r="Q5269" s="17"/>
      <c r="R5269" s="17"/>
      <c r="S5269" s="17"/>
      <c r="T5269" s="17"/>
      <c r="U5269" s="17"/>
      <c r="V5269" s="18">
        <v>0</v>
      </c>
      <c r="W5269" s="17">
        <f t="shared" si="150"/>
        <v>0</v>
      </c>
    </row>
    <row r="5270" spans="1:23" x14ac:dyDescent="0.25">
      <c r="A5270" s="17"/>
      <c r="B5270" s="17"/>
      <c r="C5270" s="17"/>
      <c r="D5270" s="17"/>
      <c r="E5270" s="17"/>
      <c r="F5270" s="17"/>
      <c r="G5270" s="17"/>
      <c r="H5270" s="17"/>
      <c r="I5270" s="17"/>
      <c r="J5270" s="17"/>
      <c r="K5270" s="17"/>
      <c r="L5270" s="17"/>
      <c r="M5270" s="17"/>
      <c r="N5270" s="17"/>
      <c r="O5270" s="17"/>
      <c r="P5270" s="17"/>
      <c r="Q5270" s="17"/>
      <c r="R5270" s="17"/>
      <c r="S5270" s="17"/>
      <c r="T5270" s="17"/>
      <c r="U5270" s="17"/>
      <c r="V5270" s="18">
        <v>0</v>
      </c>
      <c r="W5270" s="17">
        <f t="shared" si="150"/>
        <v>0</v>
      </c>
    </row>
    <row r="5271" spans="1:23" x14ac:dyDescent="0.25">
      <c r="A5271" s="17"/>
      <c r="B5271" s="17"/>
      <c r="C5271" s="17"/>
      <c r="D5271" s="17"/>
      <c r="E5271" s="17"/>
      <c r="F5271" s="17"/>
      <c r="G5271" s="17"/>
      <c r="H5271" s="17"/>
      <c r="I5271" s="17"/>
      <c r="J5271" s="17"/>
      <c r="K5271" s="17"/>
      <c r="L5271" s="17"/>
      <c r="M5271" s="17"/>
      <c r="N5271" s="17"/>
      <c r="O5271" s="17"/>
      <c r="P5271" s="17"/>
      <c r="Q5271" s="17"/>
      <c r="R5271" s="17"/>
      <c r="S5271" s="17"/>
      <c r="T5271" s="17"/>
      <c r="U5271" s="17"/>
      <c r="V5271" s="18">
        <v>0</v>
      </c>
      <c r="W5271" s="17">
        <f t="shared" si="150"/>
        <v>0</v>
      </c>
    </row>
    <row r="5272" spans="1:23" x14ac:dyDescent="0.25">
      <c r="A5272" s="17"/>
      <c r="B5272" s="17"/>
      <c r="C5272" s="17"/>
      <c r="D5272" s="17"/>
      <c r="E5272" s="17"/>
      <c r="F5272" s="17"/>
      <c r="G5272" s="17"/>
      <c r="H5272" s="17"/>
      <c r="I5272" s="17"/>
      <c r="J5272" s="17"/>
      <c r="K5272" s="17"/>
      <c r="L5272" s="17"/>
      <c r="M5272" s="17"/>
      <c r="N5272" s="17"/>
      <c r="O5272" s="17"/>
      <c r="P5272" s="17"/>
      <c r="Q5272" s="17"/>
      <c r="R5272" s="17"/>
      <c r="S5272" s="17"/>
      <c r="T5272" s="17"/>
      <c r="U5272" s="17"/>
      <c r="V5272" s="18">
        <v>0</v>
      </c>
      <c r="W5272" s="17">
        <f t="shared" si="150"/>
        <v>0</v>
      </c>
    </row>
    <row r="5273" spans="1:23" x14ac:dyDescent="0.25">
      <c r="A5273" s="17"/>
      <c r="B5273" s="17"/>
      <c r="C5273" s="17"/>
      <c r="D5273" s="17"/>
      <c r="E5273" s="17"/>
      <c r="F5273" s="17"/>
      <c r="G5273" s="17"/>
      <c r="H5273" s="17"/>
      <c r="I5273" s="17"/>
      <c r="J5273" s="17"/>
      <c r="K5273" s="17"/>
      <c r="L5273" s="17"/>
      <c r="M5273" s="17"/>
      <c r="N5273" s="17"/>
      <c r="O5273" s="17"/>
      <c r="P5273" s="17"/>
      <c r="Q5273" s="17"/>
      <c r="R5273" s="17"/>
      <c r="S5273" s="17"/>
      <c r="T5273" s="17"/>
      <c r="U5273" s="17"/>
      <c r="V5273" s="18">
        <v>0</v>
      </c>
      <c r="W5273" s="17">
        <f t="shared" si="150"/>
        <v>0</v>
      </c>
    </row>
    <row r="5274" spans="1:23" x14ac:dyDescent="0.25">
      <c r="A5274" s="17"/>
      <c r="B5274" s="17"/>
      <c r="C5274" s="17"/>
      <c r="D5274" s="17"/>
      <c r="E5274" s="17"/>
      <c r="F5274" s="17"/>
      <c r="G5274" s="17"/>
      <c r="H5274" s="17"/>
      <c r="I5274" s="17"/>
      <c r="J5274" s="17"/>
      <c r="K5274" s="17"/>
      <c r="L5274" s="17"/>
      <c r="M5274" s="17"/>
      <c r="N5274" s="17"/>
      <c r="O5274" s="17"/>
      <c r="P5274" s="17"/>
      <c r="Q5274" s="17"/>
      <c r="R5274" s="17"/>
      <c r="S5274" s="17"/>
      <c r="T5274" s="17"/>
      <c r="U5274" s="17"/>
      <c r="V5274" s="18">
        <v>0</v>
      </c>
      <c r="W5274" s="17">
        <f t="shared" si="150"/>
        <v>0</v>
      </c>
    </row>
    <row r="5275" spans="1:23" x14ac:dyDescent="0.25">
      <c r="A5275" s="17"/>
      <c r="B5275" s="17"/>
      <c r="C5275" s="17"/>
      <c r="D5275" s="17"/>
      <c r="E5275" s="17"/>
      <c r="F5275" s="17"/>
      <c r="G5275" s="17"/>
      <c r="H5275" s="17"/>
      <c r="I5275" s="17"/>
      <c r="J5275" s="17"/>
      <c r="K5275" s="17"/>
      <c r="L5275" s="17"/>
      <c r="M5275" s="17"/>
      <c r="N5275" s="17"/>
      <c r="O5275" s="17"/>
      <c r="P5275" s="17"/>
      <c r="Q5275" s="17"/>
      <c r="R5275" s="17"/>
      <c r="S5275" s="17"/>
      <c r="T5275" s="17"/>
      <c r="U5275" s="17"/>
      <c r="V5275" s="18">
        <v>0</v>
      </c>
      <c r="W5275" s="17">
        <f t="shared" si="150"/>
        <v>0</v>
      </c>
    </row>
    <row r="5276" spans="1:23" x14ac:dyDescent="0.25">
      <c r="A5276" s="17"/>
      <c r="B5276" s="17"/>
      <c r="C5276" s="17"/>
      <c r="D5276" s="17"/>
      <c r="E5276" s="17"/>
      <c r="F5276" s="17"/>
      <c r="G5276" s="17"/>
      <c r="H5276" s="17"/>
      <c r="I5276" s="17"/>
      <c r="J5276" s="17"/>
      <c r="K5276" s="17"/>
      <c r="L5276" s="17"/>
      <c r="M5276" s="17"/>
      <c r="N5276" s="17"/>
      <c r="O5276" s="17"/>
      <c r="P5276" s="17"/>
      <c r="Q5276" s="17"/>
      <c r="R5276" s="17"/>
      <c r="S5276" s="17"/>
      <c r="T5276" s="17"/>
      <c r="U5276" s="17"/>
      <c r="V5276" s="18">
        <v>0</v>
      </c>
      <c r="W5276" s="17">
        <f t="shared" si="150"/>
        <v>0</v>
      </c>
    </row>
    <row r="5277" spans="1:23" x14ac:dyDescent="0.25">
      <c r="A5277" s="17"/>
      <c r="B5277" s="17"/>
      <c r="C5277" s="17"/>
      <c r="D5277" s="17"/>
      <c r="E5277" s="17"/>
      <c r="F5277" s="17"/>
      <c r="G5277" s="17"/>
      <c r="H5277" s="17"/>
      <c r="I5277" s="17"/>
      <c r="J5277" s="17"/>
      <c r="K5277" s="17"/>
      <c r="L5277" s="17"/>
      <c r="M5277" s="17"/>
      <c r="N5277" s="17"/>
      <c r="O5277" s="17"/>
      <c r="P5277" s="17"/>
      <c r="Q5277" s="17"/>
      <c r="R5277" s="17"/>
      <c r="S5277" s="17"/>
      <c r="T5277" s="17"/>
      <c r="U5277" s="17"/>
      <c r="V5277" s="18">
        <v>0</v>
      </c>
      <c r="W5277" s="17">
        <f t="shared" si="150"/>
        <v>0</v>
      </c>
    </row>
    <row r="5278" spans="1:23" x14ac:dyDescent="0.25">
      <c r="A5278" s="17"/>
      <c r="B5278" s="17"/>
      <c r="C5278" s="17"/>
      <c r="D5278" s="17"/>
      <c r="E5278" s="17"/>
      <c r="F5278" s="17"/>
      <c r="G5278" s="17"/>
      <c r="H5278" s="17"/>
      <c r="I5278" s="17"/>
      <c r="J5278" s="17"/>
      <c r="K5278" s="17"/>
      <c r="L5278" s="17"/>
      <c r="M5278" s="17"/>
      <c r="N5278" s="17"/>
      <c r="O5278" s="17"/>
      <c r="P5278" s="17"/>
      <c r="Q5278" s="17"/>
      <c r="R5278" s="17"/>
      <c r="S5278" s="17"/>
      <c r="T5278" s="17"/>
      <c r="U5278" s="17"/>
      <c r="V5278" s="18">
        <v>0</v>
      </c>
      <c r="W5278" s="17">
        <f t="shared" si="150"/>
        <v>0</v>
      </c>
    </row>
    <row r="5279" spans="1:23" x14ac:dyDescent="0.25">
      <c r="A5279" s="17"/>
      <c r="B5279" s="17"/>
      <c r="C5279" s="17"/>
      <c r="D5279" s="17"/>
      <c r="E5279" s="17"/>
      <c r="F5279" s="17"/>
      <c r="G5279" s="17"/>
      <c r="H5279" s="17"/>
      <c r="I5279" s="17"/>
      <c r="J5279" s="17"/>
      <c r="K5279" s="17"/>
      <c r="L5279" s="17"/>
      <c r="M5279" s="17"/>
      <c r="N5279" s="17"/>
      <c r="O5279" s="17"/>
      <c r="P5279" s="17"/>
      <c r="Q5279" s="17"/>
      <c r="R5279" s="17"/>
      <c r="S5279" s="17"/>
      <c r="T5279" s="17"/>
      <c r="U5279" s="17"/>
      <c r="V5279" s="18">
        <v>0</v>
      </c>
      <c r="W5279" s="17">
        <f t="shared" si="150"/>
        <v>0</v>
      </c>
    </row>
    <row r="5280" spans="1:23" x14ac:dyDescent="0.25">
      <c r="A5280" s="17"/>
      <c r="B5280" s="17"/>
      <c r="C5280" s="17"/>
      <c r="D5280" s="17"/>
      <c r="E5280" s="17"/>
      <c r="F5280" s="17"/>
      <c r="G5280" s="17"/>
      <c r="H5280" s="17"/>
      <c r="I5280" s="17"/>
      <c r="J5280" s="17"/>
      <c r="K5280" s="17"/>
      <c r="L5280" s="17"/>
      <c r="M5280" s="17"/>
      <c r="N5280" s="17"/>
      <c r="O5280" s="17"/>
      <c r="P5280" s="17"/>
      <c r="Q5280" s="17"/>
      <c r="R5280" s="17"/>
      <c r="S5280" s="17"/>
      <c r="T5280" s="17"/>
      <c r="U5280" s="17"/>
      <c r="V5280" s="18">
        <v>0</v>
      </c>
      <c r="W5280" s="17">
        <f t="shared" si="150"/>
        <v>0</v>
      </c>
    </row>
    <row r="5281" spans="1:23" x14ac:dyDescent="0.25">
      <c r="A5281" s="17"/>
      <c r="B5281" s="17"/>
      <c r="C5281" s="17"/>
      <c r="D5281" s="17"/>
      <c r="E5281" s="17"/>
      <c r="F5281" s="17"/>
      <c r="G5281" s="17"/>
      <c r="H5281" s="17"/>
      <c r="I5281" s="17"/>
      <c r="J5281" s="17"/>
      <c r="K5281" s="17"/>
      <c r="L5281" s="17"/>
      <c r="M5281" s="17"/>
      <c r="N5281" s="17"/>
      <c r="O5281" s="17"/>
      <c r="P5281" s="17"/>
      <c r="Q5281" s="17"/>
      <c r="R5281" s="17"/>
      <c r="S5281" s="17"/>
      <c r="T5281" s="17"/>
      <c r="U5281" s="17"/>
      <c r="V5281" s="18">
        <v>0</v>
      </c>
      <c r="W5281" s="17">
        <f t="shared" si="150"/>
        <v>0</v>
      </c>
    </row>
    <row r="5282" spans="1:23" x14ac:dyDescent="0.25">
      <c r="A5282" s="17"/>
      <c r="B5282" s="17"/>
      <c r="C5282" s="17"/>
      <c r="D5282" s="17"/>
      <c r="E5282" s="17"/>
      <c r="F5282" s="17"/>
      <c r="G5282" s="17"/>
      <c r="H5282" s="17"/>
      <c r="I5282" s="17"/>
      <c r="J5282" s="17"/>
      <c r="K5282" s="17"/>
      <c r="L5282" s="17"/>
      <c r="M5282" s="17"/>
      <c r="N5282" s="17"/>
      <c r="O5282" s="17"/>
      <c r="P5282" s="17"/>
      <c r="Q5282" s="17"/>
      <c r="R5282" s="17"/>
      <c r="S5282" s="17"/>
      <c r="T5282" s="17"/>
      <c r="U5282" s="17"/>
      <c r="V5282" s="18">
        <v>0</v>
      </c>
      <c r="W5282" s="17">
        <f t="shared" si="150"/>
        <v>0</v>
      </c>
    </row>
    <row r="5283" spans="1:23" x14ac:dyDescent="0.25">
      <c r="A5283" s="17"/>
      <c r="B5283" s="17"/>
      <c r="C5283" s="17"/>
      <c r="D5283" s="17"/>
      <c r="E5283" s="17"/>
      <c r="F5283" s="17"/>
      <c r="G5283" s="17"/>
      <c r="H5283" s="17"/>
      <c r="I5283" s="17"/>
      <c r="J5283" s="17"/>
      <c r="K5283" s="17"/>
      <c r="L5283" s="17"/>
      <c r="M5283" s="17"/>
      <c r="N5283" s="17"/>
      <c r="O5283" s="17"/>
      <c r="P5283" s="17"/>
      <c r="Q5283" s="17"/>
      <c r="R5283" s="17"/>
      <c r="S5283" s="17"/>
      <c r="T5283" s="17"/>
      <c r="U5283" s="17"/>
      <c r="V5283" s="18">
        <v>0</v>
      </c>
      <c r="W5283" s="17">
        <f t="shared" si="150"/>
        <v>0</v>
      </c>
    </row>
    <row r="5284" spans="1:23" x14ac:dyDescent="0.25">
      <c r="A5284" s="17"/>
      <c r="B5284" s="17"/>
      <c r="C5284" s="17"/>
      <c r="D5284" s="17"/>
      <c r="E5284" s="17"/>
      <c r="F5284" s="17"/>
      <c r="G5284" s="17"/>
      <c r="H5284" s="17"/>
      <c r="I5284" s="17"/>
      <c r="J5284" s="17"/>
      <c r="K5284" s="17"/>
      <c r="L5284" s="17"/>
      <c r="M5284" s="17"/>
      <c r="N5284" s="17"/>
      <c r="O5284" s="17"/>
      <c r="P5284" s="17"/>
      <c r="Q5284" s="17"/>
      <c r="R5284" s="17"/>
      <c r="S5284" s="17"/>
      <c r="T5284" s="17"/>
      <c r="U5284" s="17"/>
      <c r="V5284" s="18">
        <v>0</v>
      </c>
      <c r="W5284" s="17">
        <f t="shared" si="150"/>
        <v>0</v>
      </c>
    </row>
    <row r="5285" spans="1:23" x14ac:dyDescent="0.25">
      <c r="A5285" s="17"/>
      <c r="B5285" s="17"/>
      <c r="C5285" s="17"/>
      <c r="D5285" s="17"/>
      <c r="E5285" s="17"/>
      <c r="F5285" s="17"/>
      <c r="G5285" s="17"/>
      <c r="H5285" s="17"/>
      <c r="I5285" s="17"/>
      <c r="J5285" s="17"/>
      <c r="K5285" s="17"/>
      <c r="L5285" s="17"/>
      <c r="M5285" s="17"/>
      <c r="N5285" s="17"/>
      <c r="O5285" s="17"/>
      <c r="P5285" s="17"/>
      <c r="Q5285" s="17"/>
      <c r="R5285" s="17"/>
      <c r="S5285" s="17"/>
      <c r="T5285" s="17"/>
      <c r="U5285" s="17"/>
      <c r="V5285" s="18">
        <v>0</v>
      </c>
      <c r="W5285" s="17">
        <f t="shared" si="150"/>
        <v>0</v>
      </c>
    </row>
    <row r="5286" spans="1:23" x14ac:dyDescent="0.25">
      <c r="A5286" s="17"/>
      <c r="B5286" s="17"/>
      <c r="C5286" s="17"/>
      <c r="D5286" s="17"/>
      <c r="E5286" s="17"/>
      <c r="F5286" s="17"/>
      <c r="G5286" s="17"/>
      <c r="H5286" s="17"/>
      <c r="I5286" s="17"/>
      <c r="J5286" s="17"/>
      <c r="K5286" s="17"/>
      <c r="L5286" s="17"/>
      <c r="M5286" s="17"/>
      <c r="N5286" s="17"/>
      <c r="O5286" s="17"/>
      <c r="P5286" s="17"/>
      <c r="Q5286" s="17"/>
      <c r="R5286" s="17"/>
      <c r="S5286" s="17"/>
      <c r="T5286" s="17"/>
      <c r="U5286" s="17"/>
      <c r="V5286" s="18">
        <v>0</v>
      </c>
      <c r="W5286" s="17">
        <f t="shared" si="150"/>
        <v>0</v>
      </c>
    </row>
    <row r="5287" spans="1:23" x14ac:dyDescent="0.25">
      <c r="A5287" s="17"/>
      <c r="B5287" s="17"/>
      <c r="C5287" s="17"/>
      <c r="D5287" s="17"/>
      <c r="E5287" s="17"/>
      <c r="F5287" s="17"/>
      <c r="G5287" s="17"/>
      <c r="H5287" s="17"/>
      <c r="I5287" s="17"/>
      <c r="J5287" s="17"/>
      <c r="K5287" s="17"/>
      <c r="L5287" s="17"/>
      <c r="M5287" s="17"/>
      <c r="N5287" s="17"/>
      <c r="O5287" s="17"/>
      <c r="P5287" s="17"/>
      <c r="Q5287" s="17"/>
      <c r="R5287" s="17"/>
      <c r="S5287" s="17"/>
      <c r="T5287" s="17"/>
      <c r="U5287" s="17"/>
      <c r="V5287" s="18">
        <v>0</v>
      </c>
      <c r="W5287" s="17">
        <f t="shared" si="150"/>
        <v>0</v>
      </c>
    </row>
    <row r="5288" spans="1:23" x14ac:dyDescent="0.25">
      <c r="A5288" s="17"/>
      <c r="B5288" s="17"/>
      <c r="C5288" s="17"/>
      <c r="D5288" s="17"/>
      <c r="E5288" s="17"/>
      <c r="F5288" s="17"/>
      <c r="G5288" s="17"/>
      <c r="H5288" s="17"/>
      <c r="I5288" s="17"/>
      <c r="J5288" s="17"/>
      <c r="K5288" s="17"/>
      <c r="L5288" s="17"/>
      <c r="M5288" s="17"/>
      <c r="N5288" s="17"/>
      <c r="O5288" s="17"/>
      <c r="P5288" s="17"/>
      <c r="Q5288" s="17"/>
      <c r="R5288" s="17"/>
      <c r="S5288" s="17"/>
      <c r="T5288" s="17"/>
      <c r="U5288" s="17"/>
      <c r="V5288" s="18">
        <v>0</v>
      </c>
      <c r="W5288" s="17">
        <f t="shared" si="150"/>
        <v>0</v>
      </c>
    </row>
    <row r="5289" spans="1:23" x14ac:dyDescent="0.25">
      <c r="A5289" s="17"/>
      <c r="B5289" s="17"/>
      <c r="C5289" s="17"/>
      <c r="D5289" s="17"/>
      <c r="E5289" s="17"/>
      <c r="F5289" s="17"/>
      <c r="G5289" s="17"/>
      <c r="H5289" s="17"/>
      <c r="I5289" s="17"/>
      <c r="J5289" s="17"/>
      <c r="K5289" s="17"/>
      <c r="L5289" s="17"/>
      <c r="M5289" s="17"/>
      <c r="N5289" s="17"/>
      <c r="O5289" s="17"/>
      <c r="P5289" s="17"/>
      <c r="Q5289" s="17"/>
      <c r="R5289" s="17"/>
      <c r="S5289" s="17"/>
      <c r="T5289" s="17"/>
      <c r="U5289" s="17"/>
      <c r="V5289" s="18">
        <v>0</v>
      </c>
      <c r="W5289" s="17">
        <f t="shared" si="150"/>
        <v>0</v>
      </c>
    </row>
    <row r="5290" spans="1:23" x14ac:dyDescent="0.25">
      <c r="A5290" s="17"/>
      <c r="B5290" s="17"/>
      <c r="C5290" s="17"/>
      <c r="D5290" s="17"/>
      <c r="E5290" s="17"/>
      <c r="F5290" s="17"/>
      <c r="G5290" s="17"/>
      <c r="H5290" s="17"/>
      <c r="I5290" s="17"/>
      <c r="J5290" s="17"/>
      <c r="K5290" s="17"/>
      <c r="L5290" s="17"/>
      <c r="M5290" s="17"/>
      <c r="N5290" s="17"/>
      <c r="O5290" s="17"/>
      <c r="P5290" s="17"/>
      <c r="Q5290" s="17"/>
      <c r="R5290" s="17"/>
      <c r="S5290" s="17"/>
      <c r="T5290" s="17"/>
      <c r="U5290" s="17"/>
      <c r="V5290" s="18">
        <v>0</v>
      </c>
      <c r="W5290" s="17">
        <f t="shared" si="150"/>
        <v>0</v>
      </c>
    </row>
    <row r="5291" spans="1:23" x14ac:dyDescent="0.25">
      <c r="A5291" s="17"/>
      <c r="B5291" s="17"/>
      <c r="C5291" s="17"/>
      <c r="D5291" s="17"/>
      <c r="E5291" s="17"/>
      <c r="F5291" s="17"/>
      <c r="G5291" s="17"/>
      <c r="H5291" s="17"/>
      <c r="I5291" s="17"/>
      <c r="J5291" s="17"/>
      <c r="K5291" s="17"/>
      <c r="L5291" s="17"/>
      <c r="M5291" s="17"/>
      <c r="N5291" s="17"/>
      <c r="O5291" s="17"/>
      <c r="P5291" s="17"/>
      <c r="Q5291" s="17"/>
      <c r="R5291" s="17"/>
      <c r="S5291" s="17"/>
      <c r="T5291" s="17"/>
      <c r="U5291" s="17"/>
      <c r="V5291" s="18">
        <v>0</v>
      </c>
      <c r="W5291" s="17">
        <f t="shared" si="150"/>
        <v>0</v>
      </c>
    </row>
    <row r="5292" spans="1:23" x14ac:dyDescent="0.25">
      <c r="A5292" s="17"/>
      <c r="B5292" s="17"/>
      <c r="C5292" s="17"/>
      <c r="D5292" s="17"/>
      <c r="E5292" s="17"/>
      <c r="F5292" s="17"/>
      <c r="G5292" s="17"/>
      <c r="H5292" s="17"/>
      <c r="I5292" s="17"/>
      <c r="J5292" s="17"/>
      <c r="K5292" s="17"/>
      <c r="L5292" s="17"/>
      <c r="M5292" s="17"/>
      <c r="N5292" s="17"/>
      <c r="O5292" s="17"/>
      <c r="P5292" s="17"/>
      <c r="Q5292" s="17"/>
      <c r="R5292" s="17"/>
      <c r="S5292" s="17"/>
      <c r="T5292" s="17"/>
      <c r="U5292" s="17"/>
      <c r="V5292" s="18">
        <v>0</v>
      </c>
      <c r="W5292" s="17">
        <f t="shared" si="150"/>
        <v>0</v>
      </c>
    </row>
    <row r="5293" spans="1:23" x14ac:dyDescent="0.25">
      <c r="A5293" s="17"/>
      <c r="B5293" s="17"/>
      <c r="C5293" s="17"/>
      <c r="D5293" s="17"/>
      <c r="E5293" s="17"/>
      <c r="F5293" s="17"/>
      <c r="G5293" s="17"/>
      <c r="H5293" s="17"/>
      <c r="I5293" s="17"/>
      <c r="J5293" s="17"/>
      <c r="K5293" s="17"/>
      <c r="L5293" s="17"/>
      <c r="M5293" s="17"/>
      <c r="N5293" s="17"/>
      <c r="O5293" s="17"/>
      <c r="P5293" s="17"/>
      <c r="Q5293" s="17"/>
      <c r="R5293" s="17"/>
      <c r="S5293" s="17"/>
      <c r="T5293" s="17"/>
      <c r="U5293" s="17"/>
      <c r="V5293" s="18">
        <v>0</v>
      </c>
      <c r="W5293" s="17">
        <f t="shared" si="150"/>
        <v>0</v>
      </c>
    </row>
    <row r="5294" spans="1:23" x14ac:dyDescent="0.25">
      <c r="A5294" s="17"/>
      <c r="B5294" s="17"/>
      <c r="C5294" s="17"/>
      <c r="D5294" s="17"/>
      <c r="E5294" s="17"/>
      <c r="F5294" s="17"/>
      <c r="G5294" s="17"/>
      <c r="H5294" s="17"/>
      <c r="I5294" s="17"/>
      <c r="J5294" s="17"/>
      <c r="K5294" s="17"/>
      <c r="L5294" s="17"/>
      <c r="M5294" s="17"/>
      <c r="N5294" s="17"/>
      <c r="O5294" s="17"/>
      <c r="P5294" s="17"/>
      <c r="Q5294" s="17"/>
      <c r="R5294" s="17"/>
      <c r="S5294" s="17"/>
      <c r="T5294" s="17"/>
      <c r="U5294" s="17"/>
      <c r="V5294" s="18">
        <v>0</v>
      </c>
      <c r="W5294" s="17">
        <f t="shared" si="150"/>
        <v>0</v>
      </c>
    </row>
    <row r="5295" spans="1:23" x14ac:dyDescent="0.25">
      <c r="A5295" s="17"/>
      <c r="B5295" s="17"/>
      <c r="C5295" s="17"/>
      <c r="D5295" s="17"/>
      <c r="E5295" s="17"/>
      <c r="F5295" s="17"/>
      <c r="G5295" s="17"/>
      <c r="H5295" s="17"/>
      <c r="I5295" s="17"/>
      <c r="J5295" s="17"/>
      <c r="K5295" s="17"/>
      <c r="L5295" s="17"/>
      <c r="M5295" s="17"/>
      <c r="N5295" s="17"/>
      <c r="O5295" s="17"/>
      <c r="P5295" s="17"/>
      <c r="Q5295" s="17"/>
      <c r="R5295" s="17"/>
      <c r="S5295" s="17"/>
      <c r="T5295" s="17"/>
      <c r="U5295" s="17"/>
      <c r="V5295" s="18">
        <v>0</v>
      </c>
      <c r="W5295" s="17">
        <f t="shared" si="150"/>
        <v>0</v>
      </c>
    </row>
    <row r="5296" spans="1:23" x14ac:dyDescent="0.25">
      <c r="A5296" s="17"/>
      <c r="B5296" s="17"/>
      <c r="C5296" s="17"/>
      <c r="D5296" s="17"/>
      <c r="E5296" s="17"/>
      <c r="F5296" s="17"/>
      <c r="G5296" s="17"/>
      <c r="H5296" s="17"/>
      <c r="I5296" s="17"/>
      <c r="J5296" s="17"/>
      <c r="K5296" s="17"/>
      <c r="L5296" s="17"/>
      <c r="M5296" s="17"/>
      <c r="N5296" s="17"/>
      <c r="O5296" s="17"/>
      <c r="P5296" s="17"/>
      <c r="Q5296" s="17"/>
      <c r="R5296" s="17"/>
      <c r="S5296" s="17"/>
      <c r="T5296" s="17"/>
      <c r="U5296" s="17"/>
      <c r="V5296" s="18">
        <v>0</v>
      </c>
      <c r="W5296" s="17">
        <f t="shared" si="150"/>
        <v>0</v>
      </c>
    </row>
    <row r="5297" spans="1:23" x14ac:dyDescent="0.25">
      <c r="A5297" s="17"/>
      <c r="B5297" s="17"/>
      <c r="C5297" s="17"/>
      <c r="D5297" s="17"/>
      <c r="E5297" s="17"/>
      <c r="F5297" s="17"/>
      <c r="G5297" s="17"/>
      <c r="H5297" s="17"/>
      <c r="I5297" s="17"/>
      <c r="J5297" s="17"/>
      <c r="K5297" s="17"/>
      <c r="L5297" s="17"/>
      <c r="M5297" s="17"/>
      <c r="N5297" s="17"/>
      <c r="O5297" s="17"/>
      <c r="P5297" s="17"/>
      <c r="Q5297" s="17"/>
      <c r="R5297" s="17"/>
      <c r="S5297" s="17"/>
      <c r="T5297" s="17"/>
      <c r="U5297" s="17"/>
      <c r="V5297" s="18">
        <v>0</v>
      </c>
      <c r="W5297" s="17">
        <f t="shared" si="150"/>
        <v>0</v>
      </c>
    </row>
    <row r="5298" spans="1:23" x14ac:dyDescent="0.25">
      <c r="A5298" s="17"/>
      <c r="B5298" s="17"/>
      <c r="C5298" s="17"/>
      <c r="D5298" s="17"/>
      <c r="E5298" s="17"/>
      <c r="F5298" s="17"/>
      <c r="G5298" s="17"/>
      <c r="H5298" s="17"/>
      <c r="I5298" s="17"/>
      <c r="J5298" s="17"/>
      <c r="K5298" s="17"/>
      <c r="L5298" s="17"/>
      <c r="M5298" s="17"/>
      <c r="N5298" s="17"/>
      <c r="O5298" s="17"/>
      <c r="P5298" s="17"/>
      <c r="Q5298" s="17"/>
      <c r="R5298" s="17"/>
      <c r="S5298" s="17"/>
      <c r="T5298" s="17"/>
      <c r="U5298" s="17"/>
      <c r="V5298" s="18">
        <v>0</v>
      </c>
      <c r="W5298" s="17">
        <f t="shared" si="150"/>
        <v>0</v>
      </c>
    </row>
    <row r="5299" spans="1:23" x14ac:dyDescent="0.25">
      <c r="A5299" s="17"/>
      <c r="B5299" s="17"/>
      <c r="C5299" s="17"/>
      <c r="D5299" s="17"/>
      <c r="E5299" s="17"/>
      <c r="F5299" s="17"/>
      <c r="G5299" s="17"/>
      <c r="H5299" s="17"/>
      <c r="I5299" s="17"/>
      <c r="J5299" s="17"/>
      <c r="K5299" s="17"/>
      <c r="L5299" s="17"/>
      <c r="M5299" s="17"/>
      <c r="N5299" s="17"/>
      <c r="O5299" s="17"/>
      <c r="P5299" s="17"/>
      <c r="Q5299" s="17"/>
      <c r="R5299" s="17"/>
      <c r="S5299" s="17"/>
      <c r="T5299" s="17"/>
      <c r="U5299" s="17"/>
      <c r="V5299" s="18">
        <v>0</v>
      </c>
      <c r="W5299" s="17">
        <f t="shared" si="150"/>
        <v>0</v>
      </c>
    </row>
    <row r="5300" spans="1:23" x14ac:dyDescent="0.25">
      <c r="A5300" s="17"/>
      <c r="B5300" s="17"/>
      <c r="C5300" s="17"/>
      <c r="D5300" s="17"/>
      <c r="E5300" s="17"/>
      <c r="F5300" s="17"/>
      <c r="G5300" s="17"/>
      <c r="H5300" s="17"/>
      <c r="I5300" s="17"/>
      <c r="J5300" s="17"/>
      <c r="K5300" s="17"/>
      <c r="L5300" s="17"/>
      <c r="M5300" s="17"/>
      <c r="N5300" s="17"/>
      <c r="O5300" s="17"/>
      <c r="P5300" s="17"/>
      <c r="Q5300" s="17"/>
      <c r="R5300" s="17"/>
      <c r="S5300" s="17"/>
      <c r="T5300" s="17"/>
      <c r="U5300" s="17"/>
      <c r="V5300" s="18">
        <v>0</v>
      </c>
      <c r="W5300" s="17">
        <f t="shared" si="150"/>
        <v>0</v>
      </c>
    </row>
    <row r="5301" spans="1:23" x14ac:dyDescent="0.25">
      <c r="A5301" s="17"/>
      <c r="B5301" s="17"/>
      <c r="C5301" s="17"/>
      <c r="D5301" s="17"/>
      <c r="E5301" s="17"/>
      <c r="F5301" s="17"/>
      <c r="G5301" s="17"/>
      <c r="H5301" s="17"/>
      <c r="I5301" s="17"/>
      <c r="J5301" s="17"/>
      <c r="K5301" s="17"/>
      <c r="L5301" s="17"/>
      <c r="M5301" s="17"/>
      <c r="N5301" s="17"/>
      <c r="O5301" s="17"/>
      <c r="P5301" s="17"/>
      <c r="Q5301" s="17"/>
      <c r="R5301" s="17"/>
      <c r="S5301" s="17"/>
      <c r="T5301" s="17"/>
      <c r="U5301" s="17"/>
      <c r="V5301" s="18">
        <v>0</v>
      </c>
      <c r="W5301" s="17">
        <f t="shared" si="150"/>
        <v>0</v>
      </c>
    </row>
    <row r="5302" spans="1:23" x14ac:dyDescent="0.25">
      <c r="A5302" s="17"/>
      <c r="B5302" s="17"/>
      <c r="C5302" s="17"/>
      <c r="D5302" s="17"/>
      <c r="E5302" s="17"/>
      <c r="F5302" s="17"/>
      <c r="G5302" s="17"/>
      <c r="H5302" s="17"/>
      <c r="I5302" s="17"/>
      <c r="J5302" s="17"/>
      <c r="K5302" s="17"/>
      <c r="L5302" s="17"/>
      <c r="M5302" s="17"/>
      <c r="N5302" s="17"/>
      <c r="O5302" s="17"/>
      <c r="P5302" s="17"/>
      <c r="Q5302" s="17"/>
      <c r="R5302" s="17"/>
      <c r="S5302" s="17"/>
      <c r="T5302" s="17"/>
      <c r="U5302" s="17"/>
      <c r="V5302" s="18">
        <v>0</v>
      </c>
      <c r="W5302" s="17">
        <f t="shared" si="150"/>
        <v>0</v>
      </c>
    </row>
    <row r="5303" spans="1:23" x14ac:dyDescent="0.25">
      <c r="A5303" s="17"/>
      <c r="B5303" s="17"/>
      <c r="C5303" s="17"/>
      <c r="D5303" s="17"/>
      <c r="E5303" s="17"/>
      <c r="F5303" s="17"/>
      <c r="G5303" s="17"/>
      <c r="H5303" s="17"/>
      <c r="I5303" s="17"/>
      <c r="J5303" s="17"/>
      <c r="K5303" s="17"/>
      <c r="L5303" s="17"/>
      <c r="M5303" s="17"/>
      <c r="N5303" s="17"/>
      <c r="O5303" s="17"/>
      <c r="P5303" s="17"/>
      <c r="Q5303" s="17"/>
      <c r="R5303" s="17"/>
      <c r="S5303" s="17"/>
      <c r="T5303" s="17"/>
      <c r="U5303" s="17"/>
      <c r="V5303" s="18">
        <v>0</v>
      </c>
      <c r="W5303" s="17">
        <f t="shared" si="150"/>
        <v>0</v>
      </c>
    </row>
    <row r="5304" spans="1:23" x14ac:dyDescent="0.25">
      <c r="A5304" s="17"/>
      <c r="B5304" s="17"/>
      <c r="C5304" s="17"/>
      <c r="D5304" s="17"/>
      <c r="E5304" s="17"/>
      <c r="F5304" s="17"/>
      <c r="G5304" s="17"/>
      <c r="H5304" s="17"/>
      <c r="I5304" s="17"/>
      <c r="J5304" s="17"/>
      <c r="K5304" s="17"/>
      <c r="L5304" s="17"/>
      <c r="M5304" s="17"/>
      <c r="N5304" s="17"/>
      <c r="O5304" s="17"/>
      <c r="P5304" s="17"/>
      <c r="Q5304" s="17"/>
      <c r="R5304" s="17"/>
      <c r="S5304" s="17"/>
      <c r="T5304" s="17"/>
      <c r="U5304" s="17"/>
      <c r="V5304" s="18">
        <v>0</v>
      </c>
      <c r="W5304" s="17">
        <f t="shared" si="150"/>
        <v>0</v>
      </c>
    </row>
    <row r="5305" spans="1:23" x14ac:dyDescent="0.25">
      <c r="A5305" s="17"/>
      <c r="B5305" s="17"/>
      <c r="C5305" s="17"/>
      <c r="D5305" s="17"/>
      <c r="E5305" s="17"/>
      <c r="F5305" s="17"/>
      <c r="G5305" s="17"/>
      <c r="H5305" s="17"/>
      <c r="I5305" s="17"/>
      <c r="J5305" s="17"/>
      <c r="K5305" s="17"/>
      <c r="L5305" s="17"/>
      <c r="M5305" s="17"/>
      <c r="N5305" s="17"/>
      <c r="O5305" s="17"/>
      <c r="P5305" s="17"/>
      <c r="Q5305" s="17"/>
      <c r="R5305" s="17"/>
      <c r="S5305" s="17"/>
      <c r="T5305" s="17"/>
      <c r="U5305" s="17"/>
      <c r="V5305" s="18">
        <v>0</v>
      </c>
      <c r="W5305" s="17">
        <f t="shared" si="150"/>
        <v>0</v>
      </c>
    </row>
    <row r="5306" spans="1:23" x14ac:dyDescent="0.25">
      <c r="A5306" s="17"/>
      <c r="B5306" s="17"/>
      <c r="C5306" s="17"/>
      <c r="D5306" s="17"/>
      <c r="E5306" s="17"/>
      <c r="F5306" s="17"/>
      <c r="G5306" s="17"/>
      <c r="H5306" s="17"/>
      <c r="I5306" s="17"/>
      <c r="J5306" s="17"/>
      <c r="K5306" s="17"/>
      <c r="L5306" s="17"/>
      <c r="M5306" s="17"/>
      <c r="N5306" s="17"/>
      <c r="O5306" s="17"/>
      <c r="P5306" s="17"/>
      <c r="Q5306" s="17"/>
      <c r="R5306" s="17"/>
      <c r="S5306" s="17"/>
      <c r="T5306" s="17"/>
      <c r="U5306" s="17"/>
      <c r="V5306" s="18">
        <v>0</v>
      </c>
      <c r="W5306" s="17">
        <f t="shared" si="150"/>
        <v>0</v>
      </c>
    </row>
    <row r="5307" spans="1:23" x14ac:dyDescent="0.25">
      <c r="A5307" s="17"/>
      <c r="B5307" s="17"/>
      <c r="C5307" s="17"/>
      <c r="D5307" s="17"/>
      <c r="E5307" s="17"/>
      <c r="F5307" s="17"/>
      <c r="G5307" s="17"/>
      <c r="H5307" s="17"/>
      <c r="I5307" s="17"/>
      <c r="J5307" s="17"/>
      <c r="K5307" s="17"/>
      <c r="L5307" s="17"/>
      <c r="M5307" s="17"/>
      <c r="N5307" s="17"/>
      <c r="O5307" s="17"/>
      <c r="P5307" s="17"/>
      <c r="Q5307" s="17"/>
      <c r="R5307" s="17"/>
      <c r="S5307" s="17"/>
      <c r="T5307" s="17"/>
      <c r="U5307" s="17"/>
      <c r="V5307" s="18">
        <v>0</v>
      </c>
      <c r="W5307" s="17">
        <f t="shared" si="150"/>
        <v>0</v>
      </c>
    </row>
    <row r="5308" spans="1:23" x14ac:dyDescent="0.25">
      <c r="A5308" s="17"/>
      <c r="B5308" s="17"/>
      <c r="C5308" s="17"/>
      <c r="D5308" s="17"/>
      <c r="E5308" s="17"/>
      <c r="F5308" s="17"/>
      <c r="G5308" s="17"/>
      <c r="H5308" s="17"/>
      <c r="I5308" s="17"/>
      <c r="J5308" s="17"/>
      <c r="K5308" s="17"/>
      <c r="L5308" s="17"/>
      <c r="M5308" s="17"/>
      <c r="N5308" s="17"/>
      <c r="O5308" s="17"/>
      <c r="P5308" s="17"/>
      <c r="Q5308" s="17"/>
      <c r="R5308" s="17"/>
      <c r="S5308" s="17"/>
      <c r="T5308" s="17"/>
      <c r="U5308" s="17"/>
      <c r="V5308" s="18">
        <v>0</v>
      </c>
      <c r="W5308" s="17">
        <f t="shared" si="150"/>
        <v>0</v>
      </c>
    </row>
    <row r="5309" spans="1:23" x14ac:dyDescent="0.25">
      <c r="A5309" s="17"/>
      <c r="B5309" s="17"/>
      <c r="C5309" s="17"/>
      <c r="D5309" s="17"/>
      <c r="E5309" s="17"/>
      <c r="F5309" s="17"/>
      <c r="G5309" s="17"/>
      <c r="H5309" s="17"/>
      <c r="I5309" s="17"/>
      <c r="J5309" s="17"/>
      <c r="K5309" s="17"/>
      <c r="L5309" s="17"/>
      <c r="M5309" s="17"/>
      <c r="N5309" s="17"/>
      <c r="O5309" s="17"/>
      <c r="P5309" s="17"/>
      <c r="Q5309" s="17"/>
      <c r="R5309" s="17"/>
      <c r="S5309" s="17"/>
      <c r="T5309" s="17"/>
      <c r="U5309" s="17"/>
      <c r="V5309" s="18">
        <v>0</v>
      </c>
      <c r="W5309" s="17">
        <f t="shared" si="150"/>
        <v>0</v>
      </c>
    </row>
    <row r="5310" spans="1:23" x14ac:dyDescent="0.25">
      <c r="A5310" s="17"/>
      <c r="B5310" s="17"/>
      <c r="C5310" s="17"/>
      <c r="D5310" s="17"/>
      <c r="E5310" s="17"/>
      <c r="F5310" s="17"/>
      <c r="G5310" s="17"/>
      <c r="H5310" s="17"/>
      <c r="I5310" s="17"/>
      <c r="J5310" s="17"/>
      <c r="K5310" s="17"/>
      <c r="L5310" s="17"/>
      <c r="M5310" s="17"/>
      <c r="N5310" s="17"/>
      <c r="O5310" s="17"/>
      <c r="P5310" s="17"/>
      <c r="Q5310" s="17"/>
      <c r="R5310" s="17"/>
      <c r="S5310" s="17"/>
      <c r="T5310" s="17"/>
      <c r="U5310" s="17"/>
      <c r="V5310" s="18">
        <v>0</v>
      </c>
      <c r="W5310" s="17">
        <f t="shared" si="150"/>
        <v>0</v>
      </c>
    </row>
    <row r="5311" spans="1:23" x14ac:dyDescent="0.25">
      <c r="A5311" s="17"/>
      <c r="B5311" s="17"/>
      <c r="C5311" s="17"/>
      <c r="D5311" s="17"/>
      <c r="E5311" s="17"/>
      <c r="F5311" s="17"/>
      <c r="G5311" s="17"/>
      <c r="H5311" s="17"/>
      <c r="I5311" s="17"/>
      <c r="J5311" s="17"/>
      <c r="K5311" s="17"/>
      <c r="L5311" s="17"/>
      <c r="M5311" s="17"/>
      <c r="N5311" s="17"/>
      <c r="O5311" s="17"/>
      <c r="P5311" s="17"/>
      <c r="Q5311" s="17"/>
      <c r="R5311" s="17"/>
      <c r="S5311" s="17"/>
      <c r="T5311" s="17"/>
      <c r="U5311" s="17"/>
      <c r="V5311" s="18">
        <v>0</v>
      </c>
      <c r="W5311" s="17">
        <f t="shared" si="150"/>
        <v>0</v>
      </c>
    </row>
    <row r="5312" spans="1:23" x14ac:dyDescent="0.25">
      <c r="A5312" s="17"/>
      <c r="B5312" s="17"/>
      <c r="C5312" s="17"/>
      <c r="D5312" s="17"/>
      <c r="E5312" s="17"/>
      <c r="F5312" s="17"/>
      <c r="G5312" s="17"/>
      <c r="H5312" s="17"/>
      <c r="I5312" s="17"/>
      <c r="J5312" s="17"/>
      <c r="K5312" s="17"/>
      <c r="L5312" s="17"/>
      <c r="M5312" s="17"/>
      <c r="N5312" s="17"/>
      <c r="O5312" s="17"/>
      <c r="P5312" s="17"/>
      <c r="Q5312" s="17"/>
      <c r="R5312" s="17"/>
      <c r="S5312" s="17"/>
      <c r="T5312" s="17"/>
      <c r="U5312" s="17"/>
      <c r="V5312" s="18">
        <v>0</v>
      </c>
      <c r="W5312" s="17">
        <f t="shared" si="150"/>
        <v>0</v>
      </c>
    </row>
    <row r="5313" spans="1:23" x14ac:dyDescent="0.25">
      <c r="A5313" s="17"/>
      <c r="B5313" s="17"/>
      <c r="C5313" s="17"/>
      <c r="D5313" s="17"/>
      <c r="E5313" s="17"/>
      <c r="F5313" s="17"/>
      <c r="G5313" s="17"/>
      <c r="H5313" s="17"/>
      <c r="I5313" s="17"/>
      <c r="J5313" s="17"/>
      <c r="K5313" s="17"/>
      <c r="L5313" s="17"/>
      <c r="M5313" s="17"/>
      <c r="N5313" s="17"/>
      <c r="O5313" s="17"/>
      <c r="P5313" s="17"/>
      <c r="Q5313" s="17"/>
      <c r="R5313" s="17"/>
      <c r="S5313" s="17"/>
      <c r="T5313" s="17"/>
      <c r="U5313" s="17"/>
      <c r="V5313" s="18">
        <v>0</v>
      </c>
      <c r="W5313" s="17">
        <f t="shared" si="150"/>
        <v>0</v>
      </c>
    </row>
    <row r="5314" spans="1:23" x14ac:dyDescent="0.25">
      <c r="A5314" s="17"/>
      <c r="B5314" s="17"/>
      <c r="C5314" s="17"/>
      <c r="D5314" s="17"/>
      <c r="E5314" s="17"/>
      <c r="F5314" s="17"/>
      <c r="G5314" s="17"/>
      <c r="H5314" s="17"/>
      <c r="I5314" s="17"/>
      <c r="J5314" s="17"/>
      <c r="K5314" s="17"/>
      <c r="L5314" s="17"/>
      <c r="M5314" s="17"/>
      <c r="N5314" s="17"/>
      <c r="O5314" s="17"/>
      <c r="P5314" s="17"/>
      <c r="Q5314" s="17"/>
      <c r="R5314" s="17"/>
      <c r="S5314" s="17"/>
      <c r="T5314" s="17"/>
      <c r="U5314" s="17"/>
      <c r="V5314" s="18">
        <v>0</v>
      </c>
      <c r="W5314" s="17">
        <f t="shared" si="150"/>
        <v>0</v>
      </c>
    </row>
    <row r="5315" spans="1:23" x14ac:dyDescent="0.25">
      <c r="A5315" s="17"/>
      <c r="B5315" s="17"/>
      <c r="C5315" s="17"/>
      <c r="D5315" s="17"/>
      <c r="E5315" s="17"/>
      <c r="F5315" s="17"/>
      <c r="G5315" s="17"/>
      <c r="H5315" s="17"/>
      <c r="I5315" s="17"/>
      <c r="J5315" s="17"/>
      <c r="K5315" s="17"/>
      <c r="L5315" s="17"/>
      <c r="M5315" s="17"/>
      <c r="N5315" s="17"/>
      <c r="O5315" s="17"/>
      <c r="P5315" s="17"/>
      <c r="Q5315" s="17"/>
      <c r="R5315" s="17"/>
      <c r="S5315" s="17"/>
      <c r="T5315" s="17"/>
      <c r="U5315" s="17"/>
      <c r="V5315" s="18">
        <v>0</v>
      </c>
      <c r="W5315" s="17">
        <f t="shared" ref="W5315:W5378" si="151">HOUR(E5315)</f>
        <v>0</v>
      </c>
    </row>
    <row r="5316" spans="1:23" x14ac:dyDescent="0.25">
      <c r="A5316" s="17"/>
      <c r="B5316" s="17"/>
      <c r="C5316" s="17"/>
      <c r="D5316" s="17"/>
      <c r="E5316" s="17"/>
      <c r="F5316" s="17"/>
      <c r="G5316" s="17"/>
      <c r="H5316" s="17"/>
      <c r="I5316" s="17"/>
      <c r="J5316" s="17"/>
      <c r="K5316" s="17"/>
      <c r="L5316" s="17"/>
      <c r="M5316" s="17"/>
      <c r="N5316" s="17"/>
      <c r="O5316" s="17"/>
      <c r="P5316" s="17"/>
      <c r="Q5316" s="17"/>
      <c r="R5316" s="17"/>
      <c r="S5316" s="17"/>
      <c r="T5316" s="17"/>
      <c r="U5316" s="17"/>
      <c r="V5316" s="18">
        <v>0</v>
      </c>
      <c r="W5316" s="17">
        <f t="shared" si="151"/>
        <v>0</v>
      </c>
    </row>
    <row r="5317" spans="1:23" x14ac:dyDescent="0.25">
      <c r="A5317" s="17"/>
      <c r="B5317" s="17"/>
      <c r="C5317" s="17"/>
      <c r="D5317" s="17"/>
      <c r="E5317" s="17"/>
      <c r="F5317" s="17"/>
      <c r="G5317" s="17"/>
      <c r="H5317" s="17"/>
      <c r="I5317" s="17"/>
      <c r="J5317" s="17"/>
      <c r="K5317" s="17"/>
      <c r="L5317" s="17"/>
      <c r="M5317" s="17"/>
      <c r="N5317" s="17"/>
      <c r="O5317" s="17"/>
      <c r="P5317" s="17"/>
      <c r="Q5317" s="17"/>
      <c r="R5317" s="17"/>
      <c r="S5317" s="17"/>
      <c r="T5317" s="17"/>
      <c r="U5317" s="17"/>
      <c r="V5317" s="18">
        <v>0</v>
      </c>
      <c r="W5317" s="17">
        <f t="shared" si="151"/>
        <v>0</v>
      </c>
    </row>
    <row r="5318" spans="1:23" x14ac:dyDescent="0.25">
      <c r="A5318" s="17"/>
      <c r="B5318" s="17"/>
      <c r="C5318" s="17"/>
      <c r="D5318" s="17"/>
      <c r="E5318" s="17"/>
      <c r="F5318" s="17"/>
      <c r="G5318" s="17"/>
      <c r="H5318" s="17"/>
      <c r="I5318" s="17"/>
      <c r="J5318" s="17"/>
      <c r="K5318" s="17"/>
      <c r="L5318" s="17"/>
      <c r="M5318" s="17"/>
      <c r="N5318" s="17"/>
      <c r="O5318" s="17"/>
      <c r="P5318" s="17"/>
      <c r="Q5318" s="17"/>
      <c r="R5318" s="17"/>
      <c r="S5318" s="17"/>
      <c r="T5318" s="17"/>
      <c r="U5318" s="17"/>
      <c r="V5318" s="18">
        <v>0</v>
      </c>
      <c r="W5318" s="17">
        <f t="shared" si="151"/>
        <v>0</v>
      </c>
    </row>
    <row r="5319" spans="1:23" x14ac:dyDescent="0.25">
      <c r="A5319" s="17"/>
      <c r="B5319" s="17"/>
      <c r="C5319" s="17"/>
      <c r="D5319" s="17"/>
      <c r="E5319" s="17"/>
      <c r="F5319" s="17"/>
      <c r="G5319" s="17"/>
      <c r="H5319" s="17"/>
      <c r="I5319" s="17"/>
      <c r="J5319" s="17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8">
        <v>0</v>
      </c>
      <c r="W5319" s="17">
        <f t="shared" si="151"/>
        <v>0</v>
      </c>
    </row>
    <row r="5320" spans="1:23" x14ac:dyDescent="0.25">
      <c r="A5320" s="17"/>
      <c r="B5320" s="17"/>
      <c r="C5320" s="17"/>
      <c r="D5320" s="17"/>
      <c r="E5320" s="17"/>
      <c r="F5320" s="17"/>
      <c r="G5320" s="17"/>
      <c r="H5320" s="17"/>
      <c r="I5320" s="17"/>
      <c r="J5320" s="17"/>
      <c r="K5320" s="17"/>
      <c r="L5320" s="17"/>
      <c r="M5320" s="17"/>
      <c r="N5320" s="17"/>
      <c r="O5320" s="17"/>
      <c r="P5320" s="17"/>
      <c r="Q5320" s="17"/>
      <c r="R5320" s="17"/>
      <c r="S5320" s="17"/>
      <c r="T5320" s="17"/>
      <c r="U5320" s="17"/>
      <c r="V5320" s="18">
        <v>0</v>
      </c>
      <c r="W5320" s="17">
        <f t="shared" si="151"/>
        <v>0</v>
      </c>
    </row>
    <row r="5321" spans="1:23" x14ac:dyDescent="0.25">
      <c r="A5321" s="17"/>
      <c r="B5321" s="17"/>
      <c r="C5321" s="17"/>
      <c r="D5321" s="17"/>
      <c r="E5321" s="17"/>
      <c r="F5321" s="17"/>
      <c r="G5321" s="17"/>
      <c r="H5321" s="17"/>
      <c r="I5321" s="17"/>
      <c r="J5321" s="17"/>
      <c r="K5321" s="17"/>
      <c r="L5321" s="17"/>
      <c r="M5321" s="17"/>
      <c r="N5321" s="17"/>
      <c r="O5321" s="17"/>
      <c r="P5321" s="17"/>
      <c r="Q5321" s="17"/>
      <c r="R5321" s="17"/>
      <c r="S5321" s="17"/>
      <c r="T5321" s="17"/>
      <c r="U5321" s="17"/>
      <c r="V5321" s="18">
        <v>0</v>
      </c>
      <c r="W5321" s="17">
        <f t="shared" si="151"/>
        <v>0</v>
      </c>
    </row>
    <row r="5322" spans="1:23" x14ac:dyDescent="0.25">
      <c r="A5322" s="17"/>
      <c r="B5322" s="17"/>
      <c r="C5322" s="17"/>
      <c r="D5322" s="17"/>
      <c r="E5322" s="17"/>
      <c r="F5322" s="17"/>
      <c r="G5322" s="17"/>
      <c r="H5322" s="17"/>
      <c r="I5322" s="17"/>
      <c r="J5322" s="17"/>
      <c r="K5322" s="17"/>
      <c r="L5322" s="17"/>
      <c r="M5322" s="17"/>
      <c r="N5322" s="17"/>
      <c r="O5322" s="17"/>
      <c r="P5322" s="17"/>
      <c r="Q5322" s="17"/>
      <c r="R5322" s="17"/>
      <c r="S5322" s="17"/>
      <c r="T5322" s="17"/>
      <c r="U5322" s="17"/>
      <c r="V5322" s="18">
        <v>0</v>
      </c>
      <c r="W5322" s="17">
        <f t="shared" si="151"/>
        <v>0</v>
      </c>
    </row>
    <row r="5323" spans="1:23" x14ac:dyDescent="0.25">
      <c r="A5323" s="17"/>
      <c r="B5323" s="17"/>
      <c r="C5323" s="17"/>
      <c r="D5323" s="17"/>
      <c r="E5323" s="17"/>
      <c r="F5323" s="17"/>
      <c r="G5323" s="17"/>
      <c r="H5323" s="17"/>
      <c r="I5323" s="17"/>
      <c r="J5323" s="17"/>
      <c r="K5323" s="17"/>
      <c r="L5323" s="17"/>
      <c r="M5323" s="17"/>
      <c r="N5323" s="17"/>
      <c r="O5323" s="17"/>
      <c r="P5323" s="17"/>
      <c r="Q5323" s="17"/>
      <c r="R5323" s="17"/>
      <c r="S5323" s="17"/>
      <c r="T5323" s="17"/>
      <c r="U5323" s="17"/>
      <c r="V5323" s="18">
        <v>0</v>
      </c>
      <c r="W5323" s="17">
        <f t="shared" si="151"/>
        <v>0</v>
      </c>
    </row>
    <row r="5324" spans="1:23" x14ac:dyDescent="0.25">
      <c r="A5324" s="17"/>
      <c r="B5324" s="17"/>
      <c r="C5324" s="17"/>
      <c r="D5324" s="17"/>
      <c r="E5324" s="17"/>
      <c r="F5324" s="17"/>
      <c r="G5324" s="17"/>
      <c r="H5324" s="17"/>
      <c r="I5324" s="17"/>
      <c r="J5324" s="17"/>
      <c r="K5324" s="17"/>
      <c r="L5324" s="17"/>
      <c r="M5324" s="17"/>
      <c r="N5324" s="17"/>
      <c r="O5324" s="17"/>
      <c r="P5324" s="17"/>
      <c r="Q5324" s="17"/>
      <c r="R5324" s="17"/>
      <c r="S5324" s="17"/>
      <c r="T5324" s="17"/>
      <c r="U5324" s="17"/>
      <c r="V5324" s="18">
        <v>0</v>
      </c>
      <c r="W5324" s="17">
        <f t="shared" si="151"/>
        <v>0</v>
      </c>
    </row>
    <row r="5325" spans="1:23" x14ac:dyDescent="0.25">
      <c r="A5325" s="17"/>
      <c r="B5325" s="17"/>
      <c r="C5325" s="17"/>
      <c r="D5325" s="17"/>
      <c r="E5325" s="17"/>
      <c r="F5325" s="17"/>
      <c r="G5325" s="17"/>
      <c r="H5325" s="17"/>
      <c r="I5325" s="17"/>
      <c r="J5325" s="17"/>
      <c r="K5325" s="17"/>
      <c r="L5325" s="17"/>
      <c r="M5325" s="17"/>
      <c r="N5325" s="17"/>
      <c r="O5325" s="17"/>
      <c r="P5325" s="17"/>
      <c r="Q5325" s="17"/>
      <c r="R5325" s="17"/>
      <c r="S5325" s="17"/>
      <c r="T5325" s="17"/>
      <c r="U5325" s="17"/>
      <c r="V5325" s="18">
        <v>0</v>
      </c>
      <c r="W5325" s="17">
        <f t="shared" si="151"/>
        <v>0</v>
      </c>
    </row>
    <row r="5326" spans="1:23" x14ac:dyDescent="0.25">
      <c r="A5326" s="17"/>
      <c r="B5326" s="17"/>
      <c r="C5326" s="17"/>
      <c r="D5326" s="17"/>
      <c r="E5326" s="17"/>
      <c r="F5326" s="17"/>
      <c r="G5326" s="17"/>
      <c r="H5326" s="17"/>
      <c r="I5326" s="17"/>
      <c r="J5326" s="17"/>
      <c r="K5326" s="17"/>
      <c r="L5326" s="17"/>
      <c r="M5326" s="17"/>
      <c r="N5326" s="17"/>
      <c r="O5326" s="17"/>
      <c r="P5326" s="17"/>
      <c r="Q5326" s="17"/>
      <c r="R5326" s="17"/>
      <c r="S5326" s="17"/>
      <c r="T5326" s="17"/>
      <c r="U5326" s="17"/>
      <c r="V5326" s="18">
        <v>0</v>
      </c>
      <c r="W5326" s="17">
        <f t="shared" si="151"/>
        <v>0</v>
      </c>
    </row>
    <row r="5327" spans="1:23" x14ac:dyDescent="0.25">
      <c r="A5327" s="17"/>
      <c r="B5327" s="17"/>
      <c r="C5327" s="17"/>
      <c r="D5327" s="17"/>
      <c r="E5327" s="17"/>
      <c r="F5327" s="17"/>
      <c r="G5327" s="17"/>
      <c r="H5327" s="17"/>
      <c r="I5327" s="17"/>
      <c r="J5327" s="17"/>
      <c r="K5327" s="17"/>
      <c r="L5327" s="17"/>
      <c r="M5327" s="17"/>
      <c r="N5327" s="17"/>
      <c r="O5327" s="17"/>
      <c r="P5327" s="17"/>
      <c r="Q5327" s="17"/>
      <c r="R5327" s="17"/>
      <c r="S5327" s="17"/>
      <c r="T5327" s="17"/>
      <c r="U5327" s="17"/>
      <c r="V5327" s="18">
        <v>0</v>
      </c>
      <c r="W5327" s="17">
        <f t="shared" si="151"/>
        <v>0</v>
      </c>
    </row>
    <row r="5328" spans="1:23" x14ac:dyDescent="0.25">
      <c r="A5328" s="17"/>
      <c r="B5328" s="17"/>
      <c r="C5328" s="17"/>
      <c r="D5328" s="17"/>
      <c r="E5328" s="17"/>
      <c r="F5328" s="17"/>
      <c r="G5328" s="17"/>
      <c r="H5328" s="17"/>
      <c r="I5328" s="17"/>
      <c r="J5328" s="17"/>
      <c r="K5328" s="17"/>
      <c r="L5328" s="17"/>
      <c r="M5328" s="17"/>
      <c r="N5328" s="17"/>
      <c r="O5328" s="17"/>
      <c r="P5328" s="17"/>
      <c r="Q5328" s="17"/>
      <c r="R5328" s="17"/>
      <c r="S5328" s="17"/>
      <c r="T5328" s="17"/>
      <c r="U5328" s="17"/>
      <c r="V5328" s="18">
        <v>0</v>
      </c>
      <c r="W5328" s="17">
        <f t="shared" si="151"/>
        <v>0</v>
      </c>
    </row>
    <row r="5329" spans="1:23" x14ac:dyDescent="0.25">
      <c r="A5329" s="17"/>
      <c r="B5329" s="17"/>
      <c r="C5329" s="17"/>
      <c r="D5329" s="17"/>
      <c r="E5329" s="17"/>
      <c r="F5329" s="17"/>
      <c r="G5329" s="17"/>
      <c r="H5329" s="17"/>
      <c r="I5329" s="17"/>
      <c r="J5329" s="17"/>
      <c r="K5329" s="17"/>
      <c r="L5329" s="17"/>
      <c r="M5329" s="17"/>
      <c r="N5329" s="17"/>
      <c r="O5329" s="17"/>
      <c r="P5329" s="17"/>
      <c r="Q5329" s="17"/>
      <c r="R5329" s="17"/>
      <c r="S5329" s="17"/>
      <c r="T5329" s="17"/>
      <c r="U5329" s="17"/>
      <c r="V5329" s="18">
        <v>0</v>
      </c>
      <c r="W5329" s="17">
        <f t="shared" si="151"/>
        <v>0</v>
      </c>
    </row>
    <row r="5330" spans="1:23" x14ac:dyDescent="0.25">
      <c r="A5330" s="17"/>
      <c r="B5330" s="17"/>
      <c r="C5330" s="17"/>
      <c r="D5330" s="17"/>
      <c r="E5330" s="17"/>
      <c r="F5330" s="17"/>
      <c r="G5330" s="17"/>
      <c r="H5330" s="17"/>
      <c r="I5330" s="17"/>
      <c r="J5330" s="17"/>
      <c r="K5330" s="17"/>
      <c r="L5330" s="17"/>
      <c r="M5330" s="17"/>
      <c r="N5330" s="17"/>
      <c r="O5330" s="17"/>
      <c r="P5330" s="17"/>
      <c r="Q5330" s="17"/>
      <c r="R5330" s="17"/>
      <c r="S5330" s="17"/>
      <c r="T5330" s="17"/>
      <c r="U5330" s="17"/>
      <c r="V5330" s="18">
        <v>0</v>
      </c>
      <c r="W5330" s="17">
        <f t="shared" si="151"/>
        <v>0</v>
      </c>
    </row>
    <row r="5331" spans="1:23" x14ac:dyDescent="0.25">
      <c r="A5331" s="17"/>
      <c r="B5331" s="17"/>
      <c r="C5331" s="17"/>
      <c r="D5331" s="17"/>
      <c r="E5331" s="17"/>
      <c r="F5331" s="17"/>
      <c r="G5331" s="17"/>
      <c r="H5331" s="17"/>
      <c r="I5331" s="17"/>
      <c r="J5331" s="17"/>
      <c r="K5331" s="17"/>
      <c r="L5331" s="17"/>
      <c r="M5331" s="17"/>
      <c r="N5331" s="17"/>
      <c r="O5331" s="17"/>
      <c r="P5331" s="17"/>
      <c r="Q5331" s="17"/>
      <c r="R5331" s="17"/>
      <c r="S5331" s="17"/>
      <c r="T5331" s="17"/>
      <c r="U5331" s="17"/>
      <c r="V5331" s="18">
        <v>0</v>
      </c>
      <c r="W5331" s="17">
        <f t="shared" si="151"/>
        <v>0</v>
      </c>
    </row>
    <row r="5332" spans="1:23" x14ac:dyDescent="0.25">
      <c r="A5332" s="17"/>
      <c r="B5332" s="17"/>
      <c r="C5332" s="17"/>
      <c r="D5332" s="17"/>
      <c r="E5332" s="17"/>
      <c r="F5332" s="17"/>
      <c r="G5332" s="17"/>
      <c r="H5332" s="17"/>
      <c r="I5332" s="17"/>
      <c r="J5332" s="17"/>
      <c r="K5332" s="17"/>
      <c r="L5332" s="17"/>
      <c r="M5332" s="17"/>
      <c r="N5332" s="17"/>
      <c r="O5332" s="17"/>
      <c r="P5332" s="17"/>
      <c r="Q5332" s="17"/>
      <c r="R5332" s="17"/>
      <c r="S5332" s="17"/>
      <c r="T5332" s="17"/>
      <c r="U5332" s="17"/>
      <c r="V5332" s="18">
        <v>0</v>
      </c>
      <c r="W5332" s="17">
        <f t="shared" si="151"/>
        <v>0</v>
      </c>
    </row>
    <row r="5333" spans="1:23" x14ac:dyDescent="0.25">
      <c r="A5333" s="17"/>
      <c r="B5333" s="17"/>
      <c r="C5333" s="17"/>
      <c r="D5333" s="17"/>
      <c r="E5333" s="17"/>
      <c r="F5333" s="17"/>
      <c r="G5333" s="17"/>
      <c r="H5333" s="17"/>
      <c r="I5333" s="17"/>
      <c r="J5333" s="17"/>
      <c r="K5333" s="17"/>
      <c r="L5333" s="17"/>
      <c r="M5333" s="17"/>
      <c r="N5333" s="17"/>
      <c r="O5333" s="17"/>
      <c r="P5333" s="17"/>
      <c r="Q5333" s="17"/>
      <c r="R5333" s="17"/>
      <c r="S5333" s="17"/>
      <c r="T5333" s="17"/>
      <c r="U5333" s="17"/>
      <c r="V5333" s="18">
        <v>0</v>
      </c>
      <c r="W5333" s="17">
        <f t="shared" si="151"/>
        <v>0</v>
      </c>
    </row>
    <row r="5334" spans="1:23" x14ac:dyDescent="0.25">
      <c r="A5334" s="17"/>
      <c r="B5334" s="17"/>
      <c r="C5334" s="17"/>
      <c r="D5334" s="17"/>
      <c r="E5334" s="17"/>
      <c r="F5334" s="17"/>
      <c r="G5334" s="17"/>
      <c r="H5334" s="17"/>
      <c r="I5334" s="17"/>
      <c r="J5334" s="17"/>
      <c r="K5334" s="17"/>
      <c r="L5334" s="17"/>
      <c r="M5334" s="17"/>
      <c r="N5334" s="17"/>
      <c r="O5334" s="17"/>
      <c r="P5334" s="17"/>
      <c r="Q5334" s="17"/>
      <c r="R5334" s="17"/>
      <c r="S5334" s="17"/>
      <c r="T5334" s="17"/>
      <c r="U5334" s="17"/>
      <c r="V5334" s="18">
        <v>0</v>
      </c>
      <c r="W5334" s="17">
        <f t="shared" si="151"/>
        <v>0</v>
      </c>
    </row>
    <row r="5335" spans="1:23" x14ac:dyDescent="0.25">
      <c r="A5335" s="17"/>
      <c r="B5335" s="17"/>
      <c r="C5335" s="17"/>
      <c r="D5335" s="17"/>
      <c r="E5335" s="17"/>
      <c r="F5335" s="17"/>
      <c r="G5335" s="17"/>
      <c r="H5335" s="17"/>
      <c r="I5335" s="17"/>
      <c r="J5335" s="17"/>
      <c r="K5335" s="17"/>
      <c r="L5335" s="17"/>
      <c r="M5335" s="17"/>
      <c r="N5335" s="17"/>
      <c r="O5335" s="17"/>
      <c r="P5335" s="17"/>
      <c r="Q5335" s="17"/>
      <c r="R5335" s="17"/>
      <c r="S5335" s="17"/>
      <c r="T5335" s="17"/>
      <c r="U5335" s="17"/>
      <c r="V5335" s="18">
        <v>0</v>
      </c>
      <c r="W5335" s="17">
        <f t="shared" si="151"/>
        <v>0</v>
      </c>
    </row>
    <row r="5336" spans="1:23" x14ac:dyDescent="0.25">
      <c r="A5336" s="17"/>
      <c r="B5336" s="17"/>
      <c r="C5336" s="17"/>
      <c r="D5336" s="17"/>
      <c r="E5336" s="17"/>
      <c r="F5336" s="17"/>
      <c r="G5336" s="17"/>
      <c r="H5336" s="17"/>
      <c r="I5336" s="17"/>
      <c r="J5336" s="17"/>
      <c r="K5336" s="17"/>
      <c r="L5336" s="17"/>
      <c r="M5336" s="17"/>
      <c r="N5336" s="17"/>
      <c r="O5336" s="17"/>
      <c r="P5336" s="17"/>
      <c r="Q5336" s="17"/>
      <c r="R5336" s="17"/>
      <c r="S5336" s="17"/>
      <c r="T5336" s="17"/>
      <c r="U5336" s="17"/>
      <c r="V5336" s="18">
        <v>0</v>
      </c>
      <c r="W5336" s="17">
        <f t="shared" si="151"/>
        <v>0</v>
      </c>
    </row>
    <row r="5337" spans="1:23" x14ac:dyDescent="0.25">
      <c r="A5337" s="17"/>
      <c r="B5337" s="17"/>
      <c r="C5337" s="17"/>
      <c r="D5337" s="17"/>
      <c r="E5337" s="17"/>
      <c r="F5337" s="17"/>
      <c r="G5337" s="17"/>
      <c r="H5337" s="17"/>
      <c r="I5337" s="17"/>
      <c r="J5337" s="17"/>
      <c r="K5337" s="17"/>
      <c r="L5337" s="17"/>
      <c r="M5337" s="17"/>
      <c r="N5337" s="17"/>
      <c r="O5337" s="17"/>
      <c r="P5337" s="17"/>
      <c r="Q5337" s="17"/>
      <c r="R5337" s="17"/>
      <c r="S5337" s="17"/>
      <c r="T5337" s="17"/>
      <c r="U5337" s="17"/>
      <c r="V5337" s="18">
        <v>0</v>
      </c>
      <c r="W5337" s="17">
        <f t="shared" si="151"/>
        <v>0</v>
      </c>
    </row>
    <row r="5338" spans="1:23" x14ac:dyDescent="0.25">
      <c r="A5338" s="17"/>
      <c r="B5338" s="17"/>
      <c r="C5338" s="17"/>
      <c r="D5338" s="17"/>
      <c r="E5338" s="17"/>
      <c r="F5338" s="17"/>
      <c r="G5338" s="17"/>
      <c r="H5338" s="17"/>
      <c r="I5338" s="17"/>
      <c r="J5338" s="17"/>
      <c r="K5338" s="17"/>
      <c r="L5338" s="17"/>
      <c r="M5338" s="17"/>
      <c r="N5338" s="17"/>
      <c r="O5338" s="17"/>
      <c r="P5338" s="17"/>
      <c r="Q5338" s="17"/>
      <c r="R5338" s="17"/>
      <c r="S5338" s="17"/>
      <c r="T5338" s="17"/>
      <c r="U5338" s="17"/>
      <c r="V5338" s="18">
        <v>0</v>
      </c>
      <c r="W5338" s="17">
        <f t="shared" si="151"/>
        <v>0</v>
      </c>
    </row>
    <row r="5339" spans="1:23" x14ac:dyDescent="0.25">
      <c r="A5339" s="17"/>
      <c r="B5339" s="17"/>
      <c r="C5339" s="17"/>
      <c r="D5339" s="17"/>
      <c r="E5339" s="17"/>
      <c r="F5339" s="17"/>
      <c r="G5339" s="17"/>
      <c r="H5339" s="17"/>
      <c r="I5339" s="17"/>
      <c r="J5339" s="17"/>
      <c r="K5339" s="17"/>
      <c r="L5339" s="17"/>
      <c r="M5339" s="17"/>
      <c r="N5339" s="17"/>
      <c r="O5339" s="17"/>
      <c r="P5339" s="17"/>
      <c r="Q5339" s="17"/>
      <c r="R5339" s="17"/>
      <c r="S5339" s="17"/>
      <c r="T5339" s="17"/>
      <c r="U5339" s="17"/>
      <c r="V5339" s="18">
        <v>0</v>
      </c>
      <c r="W5339" s="17">
        <f t="shared" si="151"/>
        <v>0</v>
      </c>
    </row>
    <row r="5340" spans="1:23" x14ac:dyDescent="0.25">
      <c r="A5340" s="17"/>
      <c r="B5340" s="17"/>
      <c r="C5340" s="17"/>
      <c r="D5340" s="17"/>
      <c r="E5340" s="17"/>
      <c r="F5340" s="17"/>
      <c r="G5340" s="17"/>
      <c r="H5340" s="17"/>
      <c r="I5340" s="17"/>
      <c r="J5340" s="17"/>
      <c r="K5340" s="17"/>
      <c r="L5340" s="17"/>
      <c r="M5340" s="17"/>
      <c r="N5340" s="17"/>
      <c r="O5340" s="17"/>
      <c r="P5340" s="17"/>
      <c r="Q5340" s="17"/>
      <c r="R5340" s="17"/>
      <c r="S5340" s="17"/>
      <c r="T5340" s="17"/>
      <c r="U5340" s="17"/>
      <c r="V5340" s="18">
        <v>0</v>
      </c>
      <c r="W5340" s="17">
        <f t="shared" si="151"/>
        <v>0</v>
      </c>
    </row>
    <row r="5341" spans="1:23" x14ac:dyDescent="0.25">
      <c r="A5341" s="17"/>
      <c r="B5341" s="17"/>
      <c r="C5341" s="17"/>
      <c r="D5341" s="17"/>
      <c r="E5341" s="17"/>
      <c r="F5341" s="17"/>
      <c r="G5341" s="17"/>
      <c r="H5341" s="17"/>
      <c r="I5341" s="17"/>
      <c r="J5341" s="17"/>
      <c r="K5341" s="17"/>
      <c r="L5341" s="17"/>
      <c r="M5341" s="17"/>
      <c r="N5341" s="17"/>
      <c r="O5341" s="17"/>
      <c r="P5341" s="17"/>
      <c r="Q5341" s="17"/>
      <c r="R5341" s="17"/>
      <c r="S5341" s="17"/>
      <c r="T5341" s="17"/>
      <c r="U5341" s="17"/>
      <c r="V5341" s="18">
        <v>0</v>
      </c>
      <c r="W5341" s="17">
        <f t="shared" si="151"/>
        <v>0</v>
      </c>
    </row>
    <row r="5342" spans="1:23" x14ac:dyDescent="0.25">
      <c r="A5342" s="17"/>
      <c r="B5342" s="17"/>
      <c r="C5342" s="17"/>
      <c r="D5342" s="17"/>
      <c r="E5342" s="17"/>
      <c r="F5342" s="17"/>
      <c r="G5342" s="17"/>
      <c r="H5342" s="17"/>
      <c r="I5342" s="17"/>
      <c r="J5342" s="17"/>
      <c r="K5342" s="17"/>
      <c r="L5342" s="17"/>
      <c r="M5342" s="17"/>
      <c r="N5342" s="17"/>
      <c r="O5342" s="17"/>
      <c r="P5342" s="17"/>
      <c r="Q5342" s="17"/>
      <c r="R5342" s="17"/>
      <c r="S5342" s="17"/>
      <c r="T5342" s="17"/>
      <c r="U5342" s="17"/>
      <c r="V5342" s="18">
        <v>0</v>
      </c>
      <c r="W5342" s="17">
        <f t="shared" si="151"/>
        <v>0</v>
      </c>
    </row>
    <row r="5343" spans="1:23" x14ac:dyDescent="0.25">
      <c r="A5343" s="17"/>
      <c r="B5343" s="17"/>
      <c r="C5343" s="17"/>
      <c r="D5343" s="17"/>
      <c r="E5343" s="17"/>
      <c r="F5343" s="17"/>
      <c r="G5343" s="17"/>
      <c r="H5343" s="17"/>
      <c r="I5343" s="17"/>
      <c r="J5343" s="17"/>
      <c r="K5343" s="17"/>
      <c r="L5343" s="17"/>
      <c r="M5343" s="17"/>
      <c r="N5343" s="17"/>
      <c r="O5343" s="17"/>
      <c r="P5343" s="17"/>
      <c r="Q5343" s="17"/>
      <c r="R5343" s="17"/>
      <c r="S5343" s="17"/>
      <c r="T5343" s="17"/>
      <c r="U5343" s="17"/>
      <c r="V5343" s="18">
        <v>0</v>
      </c>
      <c r="W5343" s="17">
        <f t="shared" si="151"/>
        <v>0</v>
      </c>
    </row>
    <row r="5344" spans="1:23" x14ac:dyDescent="0.25">
      <c r="A5344" s="17"/>
      <c r="B5344" s="17"/>
      <c r="C5344" s="17"/>
      <c r="D5344" s="17"/>
      <c r="E5344" s="17"/>
      <c r="F5344" s="17"/>
      <c r="G5344" s="17"/>
      <c r="H5344" s="17"/>
      <c r="I5344" s="17"/>
      <c r="J5344" s="17"/>
      <c r="K5344" s="17"/>
      <c r="L5344" s="17"/>
      <c r="M5344" s="17"/>
      <c r="N5344" s="17"/>
      <c r="O5344" s="17"/>
      <c r="P5344" s="17"/>
      <c r="Q5344" s="17"/>
      <c r="R5344" s="17"/>
      <c r="S5344" s="17"/>
      <c r="T5344" s="17"/>
      <c r="U5344" s="17"/>
      <c r="V5344" s="18">
        <v>0</v>
      </c>
      <c r="W5344" s="17">
        <f t="shared" si="151"/>
        <v>0</v>
      </c>
    </row>
    <row r="5345" spans="1:23" x14ac:dyDescent="0.25">
      <c r="A5345" s="17"/>
      <c r="B5345" s="17"/>
      <c r="C5345" s="17"/>
      <c r="D5345" s="17"/>
      <c r="E5345" s="17"/>
      <c r="F5345" s="17"/>
      <c r="G5345" s="17"/>
      <c r="H5345" s="17"/>
      <c r="I5345" s="17"/>
      <c r="J5345" s="17"/>
      <c r="K5345" s="17"/>
      <c r="L5345" s="17"/>
      <c r="M5345" s="17"/>
      <c r="N5345" s="17"/>
      <c r="O5345" s="17"/>
      <c r="P5345" s="17"/>
      <c r="Q5345" s="17"/>
      <c r="R5345" s="17"/>
      <c r="S5345" s="17"/>
      <c r="T5345" s="17"/>
      <c r="U5345" s="17"/>
      <c r="V5345" s="18">
        <v>0</v>
      </c>
      <c r="W5345" s="17">
        <f t="shared" si="151"/>
        <v>0</v>
      </c>
    </row>
    <row r="5346" spans="1:23" x14ac:dyDescent="0.25">
      <c r="A5346" s="17"/>
      <c r="B5346" s="17"/>
      <c r="C5346" s="17"/>
      <c r="D5346" s="17"/>
      <c r="E5346" s="17"/>
      <c r="F5346" s="17"/>
      <c r="G5346" s="17"/>
      <c r="H5346" s="17"/>
      <c r="I5346" s="17"/>
      <c r="J5346" s="17"/>
      <c r="K5346" s="17"/>
      <c r="L5346" s="17"/>
      <c r="M5346" s="17"/>
      <c r="N5346" s="17"/>
      <c r="O5346" s="17"/>
      <c r="P5346" s="17"/>
      <c r="Q5346" s="17"/>
      <c r="R5346" s="17"/>
      <c r="S5346" s="17"/>
      <c r="T5346" s="17"/>
      <c r="U5346" s="17"/>
      <c r="V5346" s="18">
        <v>0</v>
      </c>
      <c r="W5346" s="17">
        <f t="shared" si="151"/>
        <v>0</v>
      </c>
    </row>
    <row r="5347" spans="1:23" x14ac:dyDescent="0.25">
      <c r="A5347" s="17"/>
      <c r="B5347" s="17"/>
      <c r="C5347" s="17"/>
      <c r="D5347" s="17"/>
      <c r="E5347" s="17"/>
      <c r="F5347" s="17"/>
      <c r="G5347" s="17"/>
      <c r="H5347" s="17"/>
      <c r="I5347" s="17"/>
      <c r="J5347" s="17"/>
      <c r="K5347" s="17"/>
      <c r="L5347" s="17"/>
      <c r="M5347" s="17"/>
      <c r="N5347" s="17"/>
      <c r="O5347" s="17"/>
      <c r="P5347" s="17"/>
      <c r="Q5347" s="17"/>
      <c r="R5347" s="17"/>
      <c r="S5347" s="17"/>
      <c r="T5347" s="17"/>
      <c r="U5347" s="17"/>
      <c r="V5347" s="18">
        <v>0</v>
      </c>
      <c r="W5347" s="17">
        <f t="shared" si="151"/>
        <v>0</v>
      </c>
    </row>
    <row r="5348" spans="1:23" x14ac:dyDescent="0.25">
      <c r="A5348" s="17"/>
      <c r="B5348" s="17"/>
      <c r="C5348" s="17"/>
      <c r="D5348" s="17"/>
      <c r="E5348" s="17"/>
      <c r="F5348" s="17"/>
      <c r="G5348" s="17"/>
      <c r="H5348" s="17"/>
      <c r="I5348" s="17"/>
      <c r="J5348" s="17"/>
      <c r="K5348" s="17"/>
      <c r="L5348" s="17"/>
      <c r="M5348" s="17"/>
      <c r="N5348" s="17"/>
      <c r="O5348" s="17"/>
      <c r="P5348" s="17"/>
      <c r="Q5348" s="17"/>
      <c r="R5348" s="17"/>
      <c r="S5348" s="17"/>
      <c r="T5348" s="17"/>
      <c r="U5348" s="17"/>
      <c r="V5348" s="18">
        <v>0</v>
      </c>
      <c r="W5348" s="17">
        <f t="shared" si="151"/>
        <v>0</v>
      </c>
    </row>
    <row r="5349" spans="1:23" x14ac:dyDescent="0.25">
      <c r="A5349" s="17"/>
      <c r="B5349" s="17"/>
      <c r="C5349" s="17"/>
      <c r="D5349" s="17"/>
      <c r="E5349" s="17"/>
      <c r="F5349" s="17"/>
      <c r="G5349" s="17"/>
      <c r="H5349" s="17"/>
      <c r="I5349" s="17"/>
      <c r="J5349" s="17"/>
      <c r="K5349" s="17"/>
      <c r="L5349" s="17"/>
      <c r="M5349" s="17"/>
      <c r="N5349" s="17"/>
      <c r="O5349" s="17"/>
      <c r="P5349" s="17"/>
      <c r="Q5349" s="17"/>
      <c r="R5349" s="17"/>
      <c r="S5349" s="17"/>
      <c r="T5349" s="17"/>
      <c r="U5349" s="17"/>
      <c r="V5349" s="18">
        <v>0</v>
      </c>
      <c r="W5349" s="17">
        <f t="shared" si="151"/>
        <v>0</v>
      </c>
    </row>
    <row r="5350" spans="1:23" x14ac:dyDescent="0.25">
      <c r="A5350" s="17"/>
      <c r="B5350" s="17"/>
      <c r="C5350" s="17"/>
      <c r="D5350" s="17"/>
      <c r="E5350" s="17"/>
      <c r="F5350" s="17"/>
      <c r="G5350" s="17"/>
      <c r="H5350" s="17"/>
      <c r="I5350" s="17"/>
      <c r="J5350" s="17"/>
      <c r="K5350" s="17"/>
      <c r="L5350" s="17"/>
      <c r="M5350" s="17"/>
      <c r="N5350" s="17"/>
      <c r="O5350" s="17"/>
      <c r="P5350" s="17"/>
      <c r="Q5350" s="17"/>
      <c r="R5350" s="17"/>
      <c r="S5350" s="17"/>
      <c r="T5350" s="17"/>
      <c r="U5350" s="17"/>
      <c r="V5350" s="18">
        <v>0</v>
      </c>
      <c r="W5350" s="17">
        <f t="shared" si="151"/>
        <v>0</v>
      </c>
    </row>
    <row r="5351" spans="1:23" x14ac:dyDescent="0.25">
      <c r="A5351" s="17"/>
      <c r="B5351" s="17"/>
      <c r="C5351" s="17"/>
      <c r="D5351" s="17"/>
      <c r="E5351" s="17"/>
      <c r="F5351" s="17"/>
      <c r="G5351" s="17"/>
      <c r="H5351" s="17"/>
      <c r="I5351" s="17"/>
      <c r="J5351" s="17"/>
      <c r="K5351" s="17"/>
      <c r="L5351" s="17"/>
      <c r="M5351" s="17"/>
      <c r="N5351" s="17"/>
      <c r="O5351" s="17"/>
      <c r="P5351" s="17"/>
      <c r="Q5351" s="17"/>
      <c r="R5351" s="17"/>
      <c r="S5351" s="17"/>
      <c r="T5351" s="17"/>
      <c r="U5351" s="17"/>
      <c r="V5351" s="18">
        <v>0</v>
      </c>
      <c r="W5351" s="17">
        <f t="shared" si="151"/>
        <v>0</v>
      </c>
    </row>
    <row r="5352" spans="1:23" x14ac:dyDescent="0.25">
      <c r="A5352" s="17"/>
      <c r="B5352" s="17"/>
      <c r="C5352" s="17"/>
      <c r="D5352" s="17"/>
      <c r="E5352" s="17"/>
      <c r="F5352" s="17"/>
      <c r="G5352" s="17"/>
      <c r="H5352" s="17"/>
      <c r="I5352" s="17"/>
      <c r="J5352" s="17"/>
      <c r="K5352" s="17"/>
      <c r="L5352" s="17"/>
      <c r="M5352" s="17"/>
      <c r="N5352" s="17"/>
      <c r="O5352" s="17"/>
      <c r="P5352" s="17"/>
      <c r="Q5352" s="17"/>
      <c r="R5352" s="17"/>
      <c r="S5352" s="17"/>
      <c r="T5352" s="17"/>
      <c r="U5352" s="17"/>
      <c r="V5352" s="18">
        <v>0</v>
      </c>
      <c r="W5352" s="17">
        <f t="shared" si="151"/>
        <v>0</v>
      </c>
    </row>
    <row r="5353" spans="1:23" x14ac:dyDescent="0.25">
      <c r="A5353" s="17"/>
      <c r="B5353" s="17"/>
      <c r="C5353" s="17"/>
      <c r="D5353" s="17"/>
      <c r="E5353" s="17"/>
      <c r="F5353" s="17"/>
      <c r="G5353" s="17"/>
      <c r="H5353" s="17"/>
      <c r="I5353" s="17"/>
      <c r="J5353" s="17"/>
      <c r="K5353" s="17"/>
      <c r="L5353" s="17"/>
      <c r="M5353" s="17"/>
      <c r="N5353" s="17"/>
      <c r="O5353" s="17"/>
      <c r="P5353" s="17"/>
      <c r="Q5353" s="17"/>
      <c r="R5353" s="17"/>
      <c r="S5353" s="17"/>
      <c r="T5353" s="17"/>
      <c r="U5353" s="17"/>
      <c r="V5353" s="18">
        <v>0</v>
      </c>
      <c r="W5353" s="17">
        <f t="shared" si="151"/>
        <v>0</v>
      </c>
    </row>
    <row r="5354" spans="1:23" x14ac:dyDescent="0.25">
      <c r="A5354" s="17"/>
      <c r="B5354" s="17"/>
      <c r="C5354" s="17"/>
      <c r="D5354" s="17"/>
      <c r="E5354" s="17"/>
      <c r="F5354" s="17"/>
      <c r="G5354" s="17"/>
      <c r="H5354" s="17"/>
      <c r="I5354" s="17"/>
      <c r="J5354" s="17"/>
      <c r="K5354" s="17"/>
      <c r="L5354" s="17"/>
      <c r="M5354" s="17"/>
      <c r="N5354" s="17"/>
      <c r="O5354" s="17"/>
      <c r="P5354" s="17"/>
      <c r="Q5354" s="17"/>
      <c r="R5354" s="17"/>
      <c r="S5354" s="17"/>
      <c r="T5354" s="17"/>
      <c r="U5354" s="17"/>
      <c r="V5354" s="18">
        <v>0</v>
      </c>
      <c r="W5354" s="17">
        <f t="shared" si="151"/>
        <v>0</v>
      </c>
    </row>
    <row r="5355" spans="1:23" x14ac:dyDescent="0.25">
      <c r="A5355" s="17"/>
      <c r="B5355" s="17"/>
      <c r="C5355" s="17"/>
      <c r="D5355" s="17"/>
      <c r="E5355" s="17"/>
      <c r="F5355" s="17"/>
      <c r="G5355" s="17"/>
      <c r="H5355" s="17"/>
      <c r="I5355" s="17"/>
      <c r="J5355" s="17"/>
      <c r="K5355" s="17"/>
      <c r="L5355" s="17"/>
      <c r="M5355" s="17"/>
      <c r="N5355" s="17"/>
      <c r="O5355" s="17"/>
      <c r="P5355" s="17"/>
      <c r="Q5355" s="17"/>
      <c r="R5355" s="17"/>
      <c r="S5355" s="17"/>
      <c r="T5355" s="17"/>
      <c r="U5355" s="17"/>
      <c r="V5355" s="18">
        <v>0</v>
      </c>
      <c r="W5355" s="17">
        <f t="shared" si="151"/>
        <v>0</v>
      </c>
    </row>
    <row r="5356" spans="1:23" x14ac:dyDescent="0.25">
      <c r="A5356" s="17"/>
      <c r="B5356" s="17"/>
      <c r="C5356" s="17"/>
      <c r="D5356" s="17"/>
      <c r="E5356" s="17"/>
      <c r="F5356" s="17"/>
      <c r="G5356" s="17"/>
      <c r="H5356" s="17"/>
      <c r="I5356" s="17"/>
      <c r="J5356" s="17"/>
      <c r="K5356" s="17"/>
      <c r="L5356" s="17"/>
      <c r="M5356" s="17"/>
      <c r="N5356" s="17"/>
      <c r="O5356" s="17"/>
      <c r="P5356" s="17"/>
      <c r="Q5356" s="17"/>
      <c r="R5356" s="17"/>
      <c r="S5356" s="17"/>
      <c r="T5356" s="17"/>
      <c r="U5356" s="17"/>
      <c r="V5356" s="18">
        <v>0</v>
      </c>
      <c r="W5356" s="17">
        <f t="shared" si="151"/>
        <v>0</v>
      </c>
    </row>
    <row r="5357" spans="1:23" x14ac:dyDescent="0.25">
      <c r="A5357" s="17"/>
      <c r="B5357" s="17"/>
      <c r="C5357" s="17"/>
      <c r="D5357" s="17"/>
      <c r="E5357" s="17"/>
      <c r="F5357" s="17"/>
      <c r="G5357" s="17"/>
      <c r="H5357" s="17"/>
      <c r="I5357" s="17"/>
      <c r="J5357" s="17"/>
      <c r="K5357" s="17"/>
      <c r="L5357" s="17"/>
      <c r="M5357" s="17"/>
      <c r="N5357" s="17"/>
      <c r="O5357" s="17"/>
      <c r="P5357" s="17"/>
      <c r="Q5357" s="17"/>
      <c r="R5357" s="17"/>
      <c r="S5357" s="17"/>
      <c r="T5357" s="17"/>
      <c r="U5357" s="17"/>
      <c r="V5357" s="18">
        <v>0</v>
      </c>
      <c r="W5357" s="17">
        <f t="shared" si="151"/>
        <v>0</v>
      </c>
    </row>
    <row r="5358" spans="1:23" x14ac:dyDescent="0.25">
      <c r="A5358" s="17"/>
      <c r="B5358" s="17"/>
      <c r="C5358" s="17"/>
      <c r="D5358" s="17"/>
      <c r="E5358" s="17"/>
      <c r="F5358" s="17"/>
      <c r="G5358" s="17"/>
      <c r="H5358" s="17"/>
      <c r="I5358" s="17"/>
      <c r="J5358" s="17"/>
      <c r="K5358" s="17"/>
      <c r="L5358" s="17"/>
      <c r="M5358" s="17"/>
      <c r="N5358" s="17"/>
      <c r="O5358" s="17"/>
      <c r="P5358" s="17"/>
      <c r="Q5358" s="17"/>
      <c r="R5358" s="17"/>
      <c r="S5358" s="17"/>
      <c r="T5358" s="17"/>
      <c r="U5358" s="17"/>
      <c r="V5358" s="18">
        <v>0</v>
      </c>
      <c r="W5358" s="17">
        <f t="shared" si="151"/>
        <v>0</v>
      </c>
    </row>
    <row r="5359" spans="1:23" x14ac:dyDescent="0.25">
      <c r="A5359" s="17"/>
      <c r="B5359" s="17"/>
      <c r="C5359" s="17"/>
      <c r="D5359" s="17"/>
      <c r="E5359" s="17"/>
      <c r="F5359" s="17"/>
      <c r="G5359" s="17"/>
      <c r="H5359" s="17"/>
      <c r="I5359" s="17"/>
      <c r="J5359" s="17"/>
      <c r="K5359" s="17"/>
      <c r="L5359" s="17"/>
      <c r="M5359" s="17"/>
      <c r="N5359" s="17"/>
      <c r="O5359" s="17"/>
      <c r="P5359" s="17"/>
      <c r="Q5359" s="17"/>
      <c r="R5359" s="17"/>
      <c r="S5359" s="17"/>
      <c r="T5359" s="17"/>
      <c r="U5359" s="17"/>
      <c r="V5359" s="18">
        <v>0</v>
      </c>
      <c r="W5359" s="17">
        <f t="shared" si="151"/>
        <v>0</v>
      </c>
    </row>
    <row r="5360" spans="1:23" x14ac:dyDescent="0.25">
      <c r="A5360" s="17"/>
      <c r="B5360" s="17"/>
      <c r="C5360" s="17"/>
      <c r="D5360" s="17"/>
      <c r="E5360" s="17"/>
      <c r="F5360" s="17"/>
      <c r="G5360" s="17"/>
      <c r="H5360" s="17"/>
      <c r="I5360" s="17"/>
      <c r="J5360" s="17"/>
      <c r="K5360" s="17"/>
      <c r="L5360" s="17"/>
      <c r="M5360" s="17"/>
      <c r="N5360" s="17"/>
      <c r="O5360" s="17"/>
      <c r="P5360" s="17"/>
      <c r="Q5360" s="17"/>
      <c r="R5360" s="17"/>
      <c r="S5360" s="17"/>
      <c r="T5360" s="17"/>
      <c r="U5360" s="17"/>
      <c r="V5360" s="18">
        <v>0</v>
      </c>
      <c r="W5360" s="17">
        <f t="shared" si="151"/>
        <v>0</v>
      </c>
    </row>
    <row r="5361" spans="1:23" x14ac:dyDescent="0.25">
      <c r="A5361" s="17"/>
      <c r="B5361" s="17"/>
      <c r="C5361" s="17"/>
      <c r="D5361" s="17"/>
      <c r="E5361" s="17"/>
      <c r="F5361" s="17"/>
      <c r="G5361" s="17"/>
      <c r="H5361" s="17"/>
      <c r="I5361" s="17"/>
      <c r="J5361" s="17"/>
      <c r="K5361" s="17"/>
      <c r="L5361" s="17"/>
      <c r="M5361" s="17"/>
      <c r="N5361" s="17"/>
      <c r="O5361" s="17"/>
      <c r="P5361" s="17"/>
      <c r="Q5361" s="17"/>
      <c r="R5361" s="17"/>
      <c r="S5361" s="17"/>
      <c r="T5361" s="17"/>
      <c r="U5361" s="17"/>
      <c r="V5361" s="18">
        <v>0</v>
      </c>
      <c r="W5361" s="17">
        <f t="shared" si="151"/>
        <v>0</v>
      </c>
    </row>
    <row r="5362" spans="1:23" x14ac:dyDescent="0.25">
      <c r="A5362" s="17"/>
      <c r="B5362" s="17"/>
      <c r="C5362" s="17"/>
      <c r="D5362" s="17"/>
      <c r="E5362" s="17"/>
      <c r="F5362" s="17"/>
      <c r="G5362" s="17"/>
      <c r="H5362" s="17"/>
      <c r="I5362" s="17"/>
      <c r="J5362" s="17"/>
      <c r="K5362" s="17"/>
      <c r="L5362" s="17"/>
      <c r="M5362" s="17"/>
      <c r="N5362" s="17"/>
      <c r="O5362" s="17"/>
      <c r="P5362" s="17"/>
      <c r="Q5362" s="17"/>
      <c r="R5362" s="17"/>
      <c r="S5362" s="17"/>
      <c r="T5362" s="17"/>
      <c r="U5362" s="17"/>
      <c r="V5362" s="18">
        <v>0</v>
      </c>
      <c r="W5362" s="17">
        <f t="shared" si="151"/>
        <v>0</v>
      </c>
    </row>
    <row r="5363" spans="1:23" x14ac:dyDescent="0.25">
      <c r="A5363" s="17"/>
      <c r="B5363" s="17"/>
      <c r="C5363" s="17"/>
      <c r="D5363" s="17"/>
      <c r="E5363" s="17"/>
      <c r="F5363" s="17"/>
      <c r="G5363" s="17"/>
      <c r="H5363" s="17"/>
      <c r="I5363" s="17"/>
      <c r="J5363" s="17"/>
      <c r="K5363" s="17"/>
      <c r="L5363" s="17"/>
      <c r="M5363" s="17"/>
      <c r="N5363" s="17"/>
      <c r="O5363" s="17"/>
      <c r="P5363" s="17"/>
      <c r="Q5363" s="17"/>
      <c r="R5363" s="17"/>
      <c r="S5363" s="17"/>
      <c r="T5363" s="17"/>
      <c r="U5363" s="17"/>
      <c r="V5363" s="18">
        <v>0</v>
      </c>
      <c r="W5363" s="17">
        <f t="shared" si="151"/>
        <v>0</v>
      </c>
    </row>
    <row r="5364" spans="1:23" x14ac:dyDescent="0.25">
      <c r="A5364" s="17"/>
      <c r="B5364" s="17"/>
      <c r="C5364" s="17"/>
      <c r="D5364" s="17"/>
      <c r="E5364" s="17"/>
      <c r="F5364" s="17"/>
      <c r="G5364" s="17"/>
      <c r="H5364" s="17"/>
      <c r="I5364" s="17"/>
      <c r="J5364" s="17"/>
      <c r="K5364" s="17"/>
      <c r="L5364" s="17"/>
      <c r="M5364" s="17"/>
      <c r="N5364" s="17"/>
      <c r="O5364" s="17"/>
      <c r="P5364" s="17"/>
      <c r="Q5364" s="17"/>
      <c r="R5364" s="17"/>
      <c r="S5364" s="17"/>
      <c r="T5364" s="17"/>
      <c r="U5364" s="17"/>
      <c r="V5364" s="18">
        <v>0</v>
      </c>
      <c r="W5364" s="17">
        <f t="shared" si="151"/>
        <v>0</v>
      </c>
    </row>
    <row r="5365" spans="1:23" x14ac:dyDescent="0.25">
      <c r="A5365" s="17"/>
      <c r="B5365" s="17"/>
      <c r="C5365" s="17"/>
      <c r="D5365" s="17"/>
      <c r="E5365" s="17"/>
      <c r="F5365" s="17"/>
      <c r="G5365" s="17"/>
      <c r="H5365" s="17"/>
      <c r="I5365" s="17"/>
      <c r="J5365" s="17"/>
      <c r="K5365" s="17"/>
      <c r="L5365" s="17"/>
      <c r="M5365" s="17"/>
      <c r="N5365" s="17"/>
      <c r="O5365" s="17"/>
      <c r="P5365" s="17"/>
      <c r="Q5365" s="17"/>
      <c r="R5365" s="17"/>
      <c r="S5365" s="17"/>
      <c r="T5365" s="17"/>
      <c r="U5365" s="17"/>
      <c r="V5365" s="18">
        <v>0</v>
      </c>
      <c r="W5365" s="17">
        <f t="shared" si="151"/>
        <v>0</v>
      </c>
    </row>
    <row r="5366" spans="1:23" x14ac:dyDescent="0.25">
      <c r="A5366" s="17"/>
      <c r="B5366" s="17"/>
      <c r="C5366" s="17"/>
      <c r="D5366" s="17"/>
      <c r="E5366" s="17"/>
      <c r="F5366" s="17"/>
      <c r="G5366" s="17"/>
      <c r="H5366" s="17"/>
      <c r="I5366" s="17"/>
      <c r="J5366" s="17"/>
      <c r="K5366" s="17"/>
      <c r="L5366" s="17"/>
      <c r="M5366" s="17"/>
      <c r="N5366" s="17"/>
      <c r="O5366" s="17"/>
      <c r="P5366" s="17"/>
      <c r="Q5366" s="17"/>
      <c r="R5366" s="17"/>
      <c r="S5366" s="17"/>
      <c r="T5366" s="17"/>
      <c r="U5366" s="17"/>
      <c r="V5366" s="18">
        <v>0</v>
      </c>
      <c r="W5366" s="17">
        <f t="shared" si="151"/>
        <v>0</v>
      </c>
    </row>
    <row r="5367" spans="1:23" x14ac:dyDescent="0.25">
      <c r="A5367" s="17"/>
      <c r="B5367" s="17"/>
      <c r="C5367" s="17"/>
      <c r="D5367" s="17"/>
      <c r="E5367" s="17"/>
      <c r="F5367" s="17"/>
      <c r="G5367" s="17"/>
      <c r="H5367" s="17"/>
      <c r="I5367" s="17"/>
      <c r="J5367" s="17"/>
      <c r="K5367" s="17"/>
      <c r="L5367" s="17"/>
      <c r="M5367" s="17"/>
      <c r="N5367" s="17"/>
      <c r="O5367" s="17"/>
      <c r="P5367" s="17"/>
      <c r="Q5367" s="17"/>
      <c r="R5367" s="17"/>
      <c r="S5367" s="17"/>
      <c r="T5367" s="17"/>
      <c r="U5367" s="17"/>
      <c r="V5367" s="18">
        <v>0</v>
      </c>
      <c r="W5367" s="17">
        <f t="shared" si="151"/>
        <v>0</v>
      </c>
    </row>
    <row r="5368" spans="1:23" x14ac:dyDescent="0.25">
      <c r="A5368" s="17"/>
      <c r="B5368" s="17"/>
      <c r="C5368" s="17"/>
      <c r="D5368" s="17"/>
      <c r="E5368" s="17"/>
      <c r="F5368" s="17"/>
      <c r="G5368" s="17"/>
      <c r="H5368" s="17"/>
      <c r="I5368" s="17"/>
      <c r="J5368" s="17"/>
      <c r="K5368" s="17"/>
      <c r="L5368" s="17"/>
      <c r="M5368" s="17"/>
      <c r="N5368" s="17"/>
      <c r="O5368" s="17"/>
      <c r="P5368" s="17"/>
      <c r="Q5368" s="17"/>
      <c r="R5368" s="17"/>
      <c r="S5368" s="17"/>
      <c r="T5368" s="17"/>
      <c r="U5368" s="17"/>
      <c r="V5368" s="18">
        <v>0</v>
      </c>
      <c r="W5368" s="17">
        <f t="shared" si="151"/>
        <v>0</v>
      </c>
    </row>
    <row r="5369" spans="1:23" x14ac:dyDescent="0.25">
      <c r="A5369" s="17"/>
      <c r="B5369" s="17"/>
      <c r="C5369" s="17"/>
      <c r="D5369" s="17"/>
      <c r="E5369" s="17"/>
      <c r="F5369" s="17"/>
      <c r="G5369" s="17"/>
      <c r="H5369" s="17"/>
      <c r="I5369" s="17"/>
      <c r="J5369" s="17"/>
      <c r="K5369" s="17"/>
      <c r="L5369" s="17"/>
      <c r="M5369" s="17"/>
      <c r="N5369" s="17"/>
      <c r="O5369" s="17"/>
      <c r="P5369" s="17"/>
      <c r="Q5369" s="17"/>
      <c r="R5369" s="17"/>
      <c r="S5369" s="17"/>
      <c r="T5369" s="17"/>
      <c r="U5369" s="17"/>
      <c r="V5369" s="18">
        <v>0</v>
      </c>
      <c r="W5369" s="17">
        <f t="shared" si="151"/>
        <v>0</v>
      </c>
    </row>
    <row r="5370" spans="1:23" x14ac:dyDescent="0.25">
      <c r="A5370" s="17"/>
      <c r="B5370" s="17"/>
      <c r="C5370" s="17"/>
      <c r="D5370" s="17"/>
      <c r="E5370" s="17"/>
      <c r="F5370" s="17"/>
      <c r="G5370" s="17"/>
      <c r="H5370" s="17"/>
      <c r="I5370" s="17"/>
      <c r="J5370" s="17"/>
      <c r="K5370" s="17"/>
      <c r="L5370" s="17"/>
      <c r="M5370" s="17"/>
      <c r="N5370" s="17"/>
      <c r="O5370" s="17"/>
      <c r="P5370" s="17"/>
      <c r="Q5370" s="17"/>
      <c r="R5370" s="17"/>
      <c r="S5370" s="17"/>
      <c r="T5370" s="17"/>
      <c r="U5370" s="17"/>
      <c r="V5370" s="18">
        <v>0</v>
      </c>
      <c r="W5370" s="17">
        <f t="shared" si="151"/>
        <v>0</v>
      </c>
    </row>
    <row r="5371" spans="1:23" x14ac:dyDescent="0.25">
      <c r="A5371" s="17"/>
      <c r="B5371" s="17"/>
      <c r="C5371" s="17"/>
      <c r="D5371" s="17"/>
      <c r="E5371" s="17"/>
      <c r="F5371" s="17"/>
      <c r="G5371" s="17"/>
      <c r="H5371" s="17"/>
      <c r="I5371" s="17"/>
      <c r="J5371" s="17"/>
      <c r="K5371" s="17"/>
      <c r="L5371" s="17"/>
      <c r="M5371" s="17"/>
      <c r="N5371" s="17"/>
      <c r="O5371" s="17"/>
      <c r="P5371" s="17"/>
      <c r="Q5371" s="17"/>
      <c r="R5371" s="17"/>
      <c r="S5371" s="17"/>
      <c r="T5371" s="17"/>
      <c r="U5371" s="17"/>
      <c r="V5371" s="18">
        <v>0</v>
      </c>
      <c r="W5371" s="17">
        <f t="shared" si="151"/>
        <v>0</v>
      </c>
    </row>
    <row r="5372" spans="1:23" x14ac:dyDescent="0.25">
      <c r="A5372" s="17"/>
      <c r="B5372" s="17"/>
      <c r="C5372" s="17"/>
      <c r="D5372" s="17"/>
      <c r="E5372" s="17"/>
      <c r="F5372" s="17"/>
      <c r="G5372" s="17"/>
      <c r="H5372" s="17"/>
      <c r="I5372" s="17"/>
      <c r="J5372" s="17"/>
      <c r="K5372" s="17"/>
      <c r="L5372" s="17"/>
      <c r="M5372" s="17"/>
      <c r="N5372" s="17"/>
      <c r="O5372" s="17"/>
      <c r="P5372" s="17"/>
      <c r="Q5372" s="17"/>
      <c r="R5372" s="17"/>
      <c r="S5372" s="17"/>
      <c r="T5372" s="17"/>
      <c r="U5372" s="17"/>
      <c r="V5372" s="18">
        <v>0</v>
      </c>
      <c r="W5372" s="17">
        <f t="shared" si="151"/>
        <v>0</v>
      </c>
    </row>
    <row r="5373" spans="1:23" x14ac:dyDescent="0.25">
      <c r="A5373" s="17"/>
      <c r="B5373" s="17"/>
      <c r="C5373" s="17"/>
      <c r="D5373" s="17"/>
      <c r="E5373" s="17"/>
      <c r="F5373" s="17"/>
      <c r="G5373" s="17"/>
      <c r="H5373" s="17"/>
      <c r="I5373" s="17"/>
      <c r="J5373" s="17"/>
      <c r="K5373" s="17"/>
      <c r="L5373" s="17"/>
      <c r="M5373" s="17"/>
      <c r="N5373" s="17"/>
      <c r="O5373" s="17"/>
      <c r="P5373" s="17"/>
      <c r="Q5373" s="17"/>
      <c r="R5373" s="17"/>
      <c r="S5373" s="17"/>
      <c r="T5373" s="17"/>
      <c r="U5373" s="17"/>
      <c r="V5373" s="18">
        <v>0</v>
      </c>
      <c r="W5373" s="17">
        <f t="shared" si="151"/>
        <v>0</v>
      </c>
    </row>
    <row r="5374" spans="1:23" x14ac:dyDescent="0.25">
      <c r="A5374" s="17"/>
      <c r="B5374" s="17"/>
      <c r="C5374" s="17"/>
      <c r="D5374" s="17"/>
      <c r="E5374" s="17"/>
      <c r="F5374" s="17"/>
      <c r="G5374" s="17"/>
      <c r="H5374" s="17"/>
      <c r="I5374" s="17"/>
      <c r="J5374" s="17"/>
      <c r="K5374" s="17"/>
      <c r="L5374" s="17"/>
      <c r="M5374" s="17"/>
      <c r="N5374" s="17"/>
      <c r="O5374" s="17"/>
      <c r="P5374" s="17"/>
      <c r="Q5374" s="17"/>
      <c r="R5374" s="17"/>
      <c r="S5374" s="17"/>
      <c r="T5374" s="17"/>
      <c r="U5374" s="17"/>
      <c r="V5374" s="18">
        <v>0</v>
      </c>
      <c r="W5374" s="17">
        <f t="shared" si="151"/>
        <v>0</v>
      </c>
    </row>
    <row r="5375" spans="1:23" x14ac:dyDescent="0.25">
      <c r="A5375" s="17"/>
      <c r="B5375" s="17"/>
      <c r="C5375" s="17"/>
      <c r="D5375" s="17"/>
      <c r="E5375" s="17"/>
      <c r="F5375" s="17"/>
      <c r="G5375" s="17"/>
      <c r="H5375" s="17"/>
      <c r="I5375" s="17"/>
      <c r="J5375" s="17"/>
      <c r="K5375" s="17"/>
      <c r="L5375" s="17"/>
      <c r="M5375" s="17"/>
      <c r="N5375" s="17"/>
      <c r="O5375" s="17"/>
      <c r="P5375" s="17"/>
      <c r="Q5375" s="17"/>
      <c r="R5375" s="17"/>
      <c r="S5375" s="17"/>
      <c r="T5375" s="17"/>
      <c r="U5375" s="17"/>
      <c r="V5375" s="18">
        <v>0</v>
      </c>
      <c r="W5375" s="17">
        <f t="shared" si="151"/>
        <v>0</v>
      </c>
    </row>
    <row r="5376" spans="1:23" x14ac:dyDescent="0.25">
      <c r="A5376" s="17"/>
      <c r="B5376" s="17"/>
      <c r="C5376" s="17"/>
      <c r="D5376" s="17"/>
      <c r="E5376" s="17"/>
      <c r="F5376" s="17"/>
      <c r="G5376" s="17"/>
      <c r="H5376" s="17"/>
      <c r="I5376" s="17"/>
      <c r="J5376" s="17"/>
      <c r="K5376" s="17"/>
      <c r="L5376" s="17"/>
      <c r="M5376" s="17"/>
      <c r="N5376" s="17"/>
      <c r="O5376" s="17"/>
      <c r="P5376" s="17"/>
      <c r="Q5376" s="17"/>
      <c r="R5376" s="17"/>
      <c r="S5376" s="17"/>
      <c r="T5376" s="17"/>
      <c r="U5376" s="17"/>
      <c r="V5376" s="18">
        <v>0</v>
      </c>
      <c r="W5376" s="17">
        <f t="shared" si="151"/>
        <v>0</v>
      </c>
    </row>
    <row r="5377" spans="1:23" x14ac:dyDescent="0.25">
      <c r="A5377" s="17"/>
      <c r="B5377" s="17"/>
      <c r="C5377" s="17"/>
      <c r="D5377" s="17"/>
      <c r="E5377" s="17"/>
      <c r="F5377" s="17"/>
      <c r="G5377" s="17"/>
      <c r="H5377" s="17"/>
      <c r="I5377" s="17"/>
      <c r="J5377" s="17"/>
      <c r="K5377" s="17"/>
      <c r="L5377" s="17"/>
      <c r="M5377" s="17"/>
      <c r="N5377" s="17"/>
      <c r="O5377" s="17"/>
      <c r="P5377" s="17"/>
      <c r="Q5377" s="17"/>
      <c r="R5377" s="17"/>
      <c r="S5377" s="17"/>
      <c r="T5377" s="17"/>
      <c r="U5377" s="17"/>
      <c r="V5377" s="18">
        <v>0</v>
      </c>
      <c r="W5377" s="17">
        <f t="shared" si="151"/>
        <v>0</v>
      </c>
    </row>
    <row r="5378" spans="1:23" x14ac:dyDescent="0.25">
      <c r="A5378" s="17"/>
      <c r="B5378" s="17"/>
      <c r="C5378" s="17"/>
      <c r="D5378" s="17"/>
      <c r="E5378" s="17"/>
      <c r="F5378" s="17"/>
      <c r="G5378" s="17"/>
      <c r="H5378" s="17"/>
      <c r="I5378" s="17"/>
      <c r="J5378" s="17"/>
      <c r="K5378" s="17"/>
      <c r="L5378" s="17"/>
      <c r="M5378" s="17"/>
      <c r="N5378" s="17"/>
      <c r="O5378" s="17"/>
      <c r="P5378" s="17"/>
      <c r="Q5378" s="17"/>
      <c r="R5378" s="17"/>
      <c r="S5378" s="17"/>
      <c r="T5378" s="17"/>
      <c r="U5378" s="17"/>
      <c r="V5378" s="18">
        <v>0</v>
      </c>
      <c r="W5378" s="17">
        <f t="shared" si="151"/>
        <v>0</v>
      </c>
    </row>
    <row r="5379" spans="1:23" x14ac:dyDescent="0.25">
      <c r="A5379" s="17"/>
      <c r="B5379" s="17"/>
      <c r="C5379" s="17"/>
      <c r="D5379" s="17"/>
      <c r="E5379" s="17"/>
      <c r="F5379" s="17"/>
      <c r="G5379" s="17"/>
      <c r="H5379" s="17"/>
      <c r="I5379" s="17"/>
      <c r="J5379" s="17"/>
      <c r="K5379" s="17"/>
      <c r="L5379" s="17"/>
      <c r="M5379" s="17"/>
      <c r="N5379" s="17"/>
      <c r="O5379" s="17"/>
      <c r="P5379" s="17"/>
      <c r="Q5379" s="17"/>
      <c r="R5379" s="17"/>
      <c r="S5379" s="17"/>
      <c r="T5379" s="17"/>
      <c r="U5379" s="17"/>
      <c r="V5379" s="18">
        <v>0</v>
      </c>
      <c r="W5379" s="17">
        <f t="shared" ref="W5379:W5442" si="152">HOUR(E5379)</f>
        <v>0</v>
      </c>
    </row>
    <row r="5380" spans="1:23" x14ac:dyDescent="0.25">
      <c r="A5380" s="17"/>
      <c r="B5380" s="17"/>
      <c r="C5380" s="17"/>
      <c r="D5380" s="17"/>
      <c r="E5380" s="17"/>
      <c r="F5380" s="17"/>
      <c r="G5380" s="17"/>
      <c r="H5380" s="17"/>
      <c r="I5380" s="17"/>
      <c r="J5380" s="17"/>
      <c r="K5380" s="17"/>
      <c r="L5380" s="17"/>
      <c r="M5380" s="17"/>
      <c r="N5380" s="17"/>
      <c r="O5380" s="17"/>
      <c r="P5380" s="17"/>
      <c r="Q5380" s="17"/>
      <c r="R5380" s="17"/>
      <c r="S5380" s="17"/>
      <c r="T5380" s="17"/>
      <c r="U5380" s="17"/>
      <c r="V5380" s="18">
        <v>0</v>
      </c>
      <c r="W5380" s="17">
        <f t="shared" si="152"/>
        <v>0</v>
      </c>
    </row>
    <row r="5381" spans="1:23" x14ac:dyDescent="0.25">
      <c r="A5381" s="17"/>
      <c r="B5381" s="17"/>
      <c r="C5381" s="17"/>
      <c r="D5381" s="17"/>
      <c r="E5381" s="17"/>
      <c r="F5381" s="17"/>
      <c r="G5381" s="17"/>
      <c r="H5381" s="17"/>
      <c r="I5381" s="17"/>
      <c r="J5381" s="17"/>
      <c r="K5381" s="17"/>
      <c r="L5381" s="17"/>
      <c r="M5381" s="17"/>
      <c r="N5381" s="17"/>
      <c r="O5381" s="17"/>
      <c r="P5381" s="17"/>
      <c r="Q5381" s="17"/>
      <c r="R5381" s="17"/>
      <c r="S5381" s="17"/>
      <c r="T5381" s="17"/>
      <c r="U5381" s="17"/>
      <c r="V5381" s="18">
        <v>0</v>
      </c>
      <c r="W5381" s="17">
        <f t="shared" si="152"/>
        <v>0</v>
      </c>
    </row>
    <row r="5382" spans="1:23" x14ac:dyDescent="0.25">
      <c r="A5382" s="17"/>
      <c r="B5382" s="17"/>
      <c r="C5382" s="17"/>
      <c r="D5382" s="17"/>
      <c r="E5382" s="17"/>
      <c r="F5382" s="17"/>
      <c r="G5382" s="17"/>
      <c r="H5382" s="17"/>
      <c r="I5382" s="17"/>
      <c r="J5382" s="17"/>
      <c r="K5382" s="17"/>
      <c r="L5382" s="17"/>
      <c r="M5382" s="17"/>
      <c r="N5382" s="17"/>
      <c r="O5382" s="17"/>
      <c r="P5382" s="17"/>
      <c r="Q5382" s="17"/>
      <c r="R5382" s="17"/>
      <c r="S5382" s="17"/>
      <c r="T5382" s="17"/>
      <c r="U5382" s="17"/>
      <c r="V5382" s="18">
        <v>0</v>
      </c>
      <c r="W5382" s="17">
        <f t="shared" si="152"/>
        <v>0</v>
      </c>
    </row>
    <row r="5383" spans="1:23" x14ac:dyDescent="0.25">
      <c r="A5383" s="17"/>
      <c r="B5383" s="17"/>
      <c r="C5383" s="17"/>
      <c r="D5383" s="17"/>
      <c r="E5383" s="17"/>
      <c r="F5383" s="17"/>
      <c r="G5383" s="17"/>
      <c r="H5383" s="17"/>
      <c r="I5383" s="17"/>
      <c r="J5383" s="17"/>
      <c r="K5383" s="17"/>
      <c r="L5383" s="17"/>
      <c r="M5383" s="17"/>
      <c r="N5383" s="17"/>
      <c r="O5383" s="17"/>
      <c r="P5383" s="17"/>
      <c r="Q5383" s="17"/>
      <c r="R5383" s="17"/>
      <c r="S5383" s="17"/>
      <c r="T5383" s="17"/>
      <c r="U5383" s="17"/>
      <c r="V5383" s="18">
        <v>0</v>
      </c>
      <c r="W5383" s="17">
        <f t="shared" si="152"/>
        <v>0</v>
      </c>
    </row>
    <row r="5384" spans="1:23" x14ac:dyDescent="0.25">
      <c r="A5384" s="17"/>
      <c r="B5384" s="17"/>
      <c r="C5384" s="17"/>
      <c r="D5384" s="17"/>
      <c r="E5384" s="17"/>
      <c r="F5384" s="17"/>
      <c r="G5384" s="17"/>
      <c r="H5384" s="17"/>
      <c r="I5384" s="17"/>
      <c r="J5384" s="17"/>
      <c r="K5384" s="17"/>
      <c r="L5384" s="17"/>
      <c r="M5384" s="17"/>
      <c r="N5384" s="17"/>
      <c r="O5384" s="17"/>
      <c r="P5384" s="17"/>
      <c r="Q5384" s="17"/>
      <c r="R5384" s="17"/>
      <c r="S5384" s="17"/>
      <c r="T5384" s="17"/>
      <c r="U5384" s="17"/>
      <c r="V5384" s="18">
        <v>0</v>
      </c>
      <c r="W5384" s="17">
        <f t="shared" si="152"/>
        <v>0</v>
      </c>
    </row>
    <row r="5385" spans="1:23" x14ac:dyDescent="0.25">
      <c r="A5385" s="17"/>
      <c r="B5385" s="17"/>
      <c r="C5385" s="17"/>
      <c r="D5385" s="17"/>
      <c r="E5385" s="17"/>
      <c r="F5385" s="17"/>
      <c r="G5385" s="17"/>
      <c r="H5385" s="17"/>
      <c r="I5385" s="17"/>
      <c r="J5385" s="17"/>
      <c r="K5385" s="17"/>
      <c r="L5385" s="17"/>
      <c r="M5385" s="17"/>
      <c r="N5385" s="17"/>
      <c r="O5385" s="17"/>
      <c r="P5385" s="17"/>
      <c r="Q5385" s="17"/>
      <c r="R5385" s="17"/>
      <c r="S5385" s="17"/>
      <c r="T5385" s="17"/>
      <c r="U5385" s="17"/>
      <c r="V5385" s="18">
        <v>0</v>
      </c>
      <c r="W5385" s="17">
        <f t="shared" si="152"/>
        <v>0</v>
      </c>
    </row>
    <row r="5386" spans="1:23" x14ac:dyDescent="0.25">
      <c r="A5386" s="17"/>
      <c r="B5386" s="17"/>
      <c r="C5386" s="17"/>
      <c r="D5386" s="17"/>
      <c r="E5386" s="17"/>
      <c r="F5386" s="17"/>
      <c r="G5386" s="17"/>
      <c r="H5386" s="17"/>
      <c r="I5386" s="17"/>
      <c r="J5386" s="17"/>
      <c r="K5386" s="17"/>
      <c r="L5386" s="17"/>
      <c r="M5386" s="17"/>
      <c r="N5386" s="17"/>
      <c r="O5386" s="17"/>
      <c r="P5386" s="17"/>
      <c r="Q5386" s="17"/>
      <c r="R5386" s="17"/>
      <c r="S5386" s="17"/>
      <c r="T5386" s="17"/>
      <c r="U5386" s="17"/>
      <c r="V5386" s="18">
        <v>0</v>
      </c>
      <c r="W5386" s="17">
        <f t="shared" si="152"/>
        <v>0</v>
      </c>
    </row>
    <row r="5387" spans="1:23" x14ac:dyDescent="0.25">
      <c r="A5387" s="17"/>
      <c r="B5387" s="17"/>
      <c r="C5387" s="17"/>
      <c r="D5387" s="17"/>
      <c r="E5387" s="17"/>
      <c r="F5387" s="17"/>
      <c r="G5387" s="17"/>
      <c r="H5387" s="17"/>
      <c r="I5387" s="17"/>
      <c r="J5387" s="17"/>
      <c r="K5387" s="17"/>
      <c r="L5387" s="17"/>
      <c r="M5387" s="17"/>
      <c r="N5387" s="17"/>
      <c r="O5387" s="17"/>
      <c r="P5387" s="17"/>
      <c r="Q5387" s="17"/>
      <c r="R5387" s="17"/>
      <c r="S5387" s="17"/>
      <c r="T5387" s="17"/>
      <c r="U5387" s="17"/>
      <c r="V5387" s="18">
        <v>0</v>
      </c>
      <c r="W5387" s="17">
        <f t="shared" si="152"/>
        <v>0</v>
      </c>
    </row>
    <row r="5388" spans="1:23" x14ac:dyDescent="0.25">
      <c r="A5388" s="17"/>
      <c r="B5388" s="17"/>
      <c r="C5388" s="17"/>
      <c r="D5388" s="17"/>
      <c r="E5388" s="17"/>
      <c r="F5388" s="17"/>
      <c r="G5388" s="17"/>
      <c r="H5388" s="17"/>
      <c r="I5388" s="17"/>
      <c r="J5388" s="17"/>
      <c r="K5388" s="17"/>
      <c r="L5388" s="17"/>
      <c r="M5388" s="17"/>
      <c r="N5388" s="17"/>
      <c r="O5388" s="17"/>
      <c r="P5388" s="17"/>
      <c r="Q5388" s="17"/>
      <c r="R5388" s="17"/>
      <c r="S5388" s="17"/>
      <c r="T5388" s="17"/>
      <c r="U5388" s="17"/>
      <c r="V5388" s="18">
        <v>0</v>
      </c>
      <c r="W5388" s="17">
        <f t="shared" si="152"/>
        <v>0</v>
      </c>
    </row>
    <row r="5389" spans="1:23" x14ac:dyDescent="0.25">
      <c r="A5389" s="17"/>
      <c r="B5389" s="17"/>
      <c r="C5389" s="17"/>
      <c r="D5389" s="17"/>
      <c r="E5389" s="17"/>
      <c r="F5389" s="17"/>
      <c r="G5389" s="17"/>
      <c r="H5389" s="17"/>
      <c r="I5389" s="17"/>
      <c r="J5389" s="17"/>
      <c r="K5389" s="17"/>
      <c r="L5389" s="17"/>
      <c r="M5389" s="17"/>
      <c r="N5389" s="17"/>
      <c r="O5389" s="17"/>
      <c r="P5389" s="17"/>
      <c r="Q5389" s="17"/>
      <c r="R5389" s="17"/>
      <c r="S5389" s="17"/>
      <c r="T5389" s="17"/>
      <c r="U5389" s="17"/>
      <c r="V5389" s="18">
        <v>0</v>
      </c>
      <c r="W5389" s="17">
        <f t="shared" si="152"/>
        <v>0</v>
      </c>
    </row>
    <row r="5390" spans="1:23" x14ac:dyDescent="0.25">
      <c r="A5390" s="17"/>
      <c r="B5390" s="17"/>
      <c r="C5390" s="17"/>
      <c r="D5390" s="17"/>
      <c r="E5390" s="17"/>
      <c r="F5390" s="17"/>
      <c r="G5390" s="17"/>
      <c r="H5390" s="17"/>
      <c r="I5390" s="17"/>
      <c r="J5390" s="17"/>
      <c r="K5390" s="17"/>
      <c r="L5390" s="17"/>
      <c r="M5390" s="17"/>
      <c r="N5390" s="17"/>
      <c r="O5390" s="17"/>
      <c r="P5390" s="17"/>
      <c r="Q5390" s="17"/>
      <c r="R5390" s="17"/>
      <c r="S5390" s="17"/>
      <c r="T5390" s="17"/>
      <c r="U5390" s="17"/>
      <c r="V5390" s="18">
        <v>0</v>
      </c>
      <c r="W5390" s="17">
        <f t="shared" si="152"/>
        <v>0</v>
      </c>
    </row>
    <row r="5391" spans="1:23" x14ac:dyDescent="0.25">
      <c r="A5391" s="17"/>
      <c r="B5391" s="17"/>
      <c r="C5391" s="17"/>
      <c r="D5391" s="17"/>
      <c r="E5391" s="17"/>
      <c r="F5391" s="17"/>
      <c r="G5391" s="17"/>
      <c r="H5391" s="17"/>
      <c r="I5391" s="17"/>
      <c r="J5391" s="17"/>
      <c r="K5391" s="17"/>
      <c r="L5391" s="17"/>
      <c r="M5391" s="17"/>
      <c r="N5391" s="17"/>
      <c r="O5391" s="17"/>
      <c r="P5391" s="17"/>
      <c r="Q5391" s="17"/>
      <c r="R5391" s="17"/>
      <c r="S5391" s="17"/>
      <c r="T5391" s="17"/>
      <c r="U5391" s="17"/>
      <c r="V5391" s="18">
        <v>0</v>
      </c>
      <c r="W5391" s="17">
        <f t="shared" si="152"/>
        <v>0</v>
      </c>
    </row>
    <row r="5392" spans="1:23" x14ac:dyDescent="0.25">
      <c r="A5392" s="17"/>
      <c r="B5392" s="17"/>
      <c r="C5392" s="17"/>
      <c r="D5392" s="17"/>
      <c r="E5392" s="17"/>
      <c r="F5392" s="17"/>
      <c r="G5392" s="17"/>
      <c r="H5392" s="17"/>
      <c r="I5392" s="17"/>
      <c r="J5392" s="17"/>
      <c r="K5392" s="17"/>
      <c r="L5392" s="17"/>
      <c r="M5392" s="17"/>
      <c r="N5392" s="17"/>
      <c r="O5392" s="17"/>
      <c r="P5392" s="17"/>
      <c r="Q5392" s="17"/>
      <c r="R5392" s="17"/>
      <c r="S5392" s="17"/>
      <c r="T5392" s="17"/>
      <c r="U5392" s="17"/>
      <c r="V5392" s="18">
        <v>0</v>
      </c>
      <c r="W5392" s="17">
        <f t="shared" si="152"/>
        <v>0</v>
      </c>
    </row>
    <row r="5393" spans="1:23" x14ac:dyDescent="0.25">
      <c r="A5393" s="17"/>
      <c r="B5393" s="17"/>
      <c r="C5393" s="17"/>
      <c r="D5393" s="17"/>
      <c r="E5393" s="17"/>
      <c r="F5393" s="17"/>
      <c r="G5393" s="17"/>
      <c r="H5393" s="17"/>
      <c r="I5393" s="17"/>
      <c r="J5393" s="17"/>
      <c r="K5393" s="17"/>
      <c r="L5393" s="17"/>
      <c r="M5393" s="17"/>
      <c r="N5393" s="17"/>
      <c r="O5393" s="17"/>
      <c r="P5393" s="17"/>
      <c r="Q5393" s="17"/>
      <c r="R5393" s="17"/>
      <c r="S5393" s="17"/>
      <c r="T5393" s="17"/>
      <c r="U5393" s="17"/>
      <c r="V5393" s="18">
        <v>0</v>
      </c>
      <c r="W5393" s="17">
        <f t="shared" si="152"/>
        <v>0</v>
      </c>
    </row>
    <row r="5394" spans="1:23" x14ac:dyDescent="0.25">
      <c r="A5394" s="17"/>
      <c r="B5394" s="17"/>
      <c r="C5394" s="17"/>
      <c r="D5394" s="17"/>
      <c r="E5394" s="17"/>
      <c r="F5394" s="17"/>
      <c r="G5394" s="17"/>
      <c r="H5394" s="17"/>
      <c r="I5394" s="17"/>
      <c r="J5394" s="17"/>
      <c r="K5394" s="17"/>
      <c r="L5394" s="17"/>
      <c r="M5394" s="17"/>
      <c r="N5394" s="17"/>
      <c r="O5394" s="17"/>
      <c r="P5394" s="17"/>
      <c r="Q5394" s="17"/>
      <c r="R5394" s="17"/>
      <c r="S5394" s="17"/>
      <c r="T5394" s="17"/>
      <c r="U5394" s="17"/>
      <c r="V5394" s="18">
        <v>0</v>
      </c>
      <c r="W5394" s="17">
        <f t="shared" si="152"/>
        <v>0</v>
      </c>
    </row>
    <row r="5395" spans="1:23" x14ac:dyDescent="0.25">
      <c r="A5395" s="17"/>
      <c r="B5395" s="17"/>
      <c r="C5395" s="17"/>
      <c r="D5395" s="17"/>
      <c r="E5395" s="17"/>
      <c r="F5395" s="17"/>
      <c r="G5395" s="17"/>
      <c r="H5395" s="17"/>
      <c r="I5395" s="17"/>
      <c r="J5395" s="17"/>
      <c r="K5395" s="17"/>
      <c r="L5395" s="17"/>
      <c r="M5395" s="17"/>
      <c r="N5395" s="17"/>
      <c r="O5395" s="17"/>
      <c r="P5395" s="17"/>
      <c r="Q5395" s="17"/>
      <c r="R5395" s="17"/>
      <c r="S5395" s="17"/>
      <c r="T5395" s="17"/>
      <c r="U5395" s="17"/>
      <c r="V5395" s="18">
        <v>0</v>
      </c>
      <c r="W5395" s="17">
        <f t="shared" si="152"/>
        <v>0</v>
      </c>
    </row>
    <row r="5396" spans="1:23" x14ac:dyDescent="0.25">
      <c r="A5396" s="17"/>
      <c r="B5396" s="17"/>
      <c r="C5396" s="17"/>
      <c r="D5396" s="17"/>
      <c r="E5396" s="17"/>
      <c r="F5396" s="17"/>
      <c r="G5396" s="17"/>
      <c r="H5396" s="17"/>
      <c r="I5396" s="17"/>
      <c r="J5396" s="17"/>
      <c r="K5396" s="17"/>
      <c r="L5396" s="17"/>
      <c r="M5396" s="17"/>
      <c r="N5396" s="17"/>
      <c r="O5396" s="17"/>
      <c r="P5396" s="17"/>
      <c r="Q5396" s="17"/>
      <c r="R5396" s="17"/>
      <c r="S5396" s="17"/>
      <c r="T5396" s="17"/>
      <c r="U5396" s="17"/>
      <c r="V5396" s="18">
        <v>0</v>
      </c>
      <c r="W5396" s="17">
        <f t="shared" si="152"/>
        <v>0</v>
      </c>
    </row>
    <row r="5397" spans="1:23" x14ac:dyDescent="0.25">
      <c r="A5397" s="17"/>
      <c r="B5397" s="17"/>
      <c r="C5397" s="17"/>
      <c r="D5397" s="17"/>
      <c r="E5397" s="17"/>
      <c r="F5397" s="17"/>
      <c r="G5397" s="17"/>
      <c r="H5397" s="17"/>
      <c r="I5397" s="17"/>
      <c r="J5397" s="17"/>
      <c r="K5397" s="17"/>
      <c r="L5397" s="17"/>
      <c r="M5397" s="17"/>
      <c r="N5397" s="17"/>
      <c r="O5397" s="17"/>
      <c r="P5397" s="17"/>
      <c r="Q5397" s="17"/>
      <c r="R5397" s="17"/>
      <c r="S5397" s="17"/>
      <c r="T5397" s="17"/>
      <c r="U5397" s="17"/>
      <c r="V5397" s="18">
        <v>0</v>
      </c>
      <c r="W5397" s="17">
        <f t="shared" si="152"/>
        <v>0</v>
      </c>
    </row>
    <row r="5398" spans="1:23" x14ac:dyDescent="0.25">
      <c r="A5398" s="17"/>
      <c r="B5398" s="17"/>
      <c r="C5398" s="17"/>
      <c r="D5398" s="17"/>
      <c r="E5398" s="17"/>
      <c r="F5398" s="17"/>
      <c r="G5398" s="17"/>
      <c r="H5398" s="17"/>
      <c r="I5398" s="17"/>
      <c r="J5398" s="17"/>
      <c r="K5398" s="17"/>
      <c r="L5398" s="17"/>
      <c r="M5398" s="17"/>
      <c r="N5398" s="17"/>
      <c r="O5398" s="17"/>
      <c r="P5398" s="17"/>
      <c r="Q5398" s="17"/>
      <c r="R5398" s="17"/>
      <c r="S5398" s="17"/>
      <c r="T5398" s="17"/>
      <c r="U5398" s="17"/>
      <c r="V5398" s="18">
        <v>0</v>
      </c>
      <c r="W5398" s="17">
        <f t="shared" si="152"/>
        <v>0</v>
      </c>
    </row>
    <row r="5399" spans="1:23" x14ac:dyDescent="0.25">
      <c r="A5399" s="17"/>
      <c r="B5399" s="17"/>
      <c r="C5399" s="17"/>
      <c r="D5399" s="17"/>
      <c r="E5399" s="17"/>
      <c r="F5399" s="17"/>
      <c r="G5399" s="17"/>
      <c r="H5399" s="17"/>
      <c r="I5399" s="17"/>
      <c r="J5399" s="17"/>
      <c r="K5399" s="17"/>
      <c r="L5399" s="17"/>
      <c r="M5399" s="17"/>
      <c r="N5399" s="17"/>
      <c r="O5399" s="17"/>
      <c r="P5399" s="17"/>
      <c r="Q5399" s="17"/>
      <c r="R5399" s="17"/>
      <c r="S5399" s="17"/>
      <c r="T5399" s="17"/>
      <c r="U5399" s="17"/>
      <c r="V5399" s="18">
        <v>0</v>
      </c>
      <c r="W5399" s="17">
        <f t="shared" si="152"/>
        <v>0</v>
      </c>
    </row>
    <row r="5400" spans="1:23" x14ac:dyDescent="0.25">
      <c r="A5400" s="17"/>
      <c r="B5400" s="17"/>
      <c r="C5400" s="17"/>
      <c r="D5400" s="17"/>
      <c r="E5400" s="17"/>
      <c r="F5400" s="17"/>
      <c r="G5400" s="17"/>
      <c r="H5400" s="17"/>
      <c r="I5400" s="17"/>
      <c r="J5400" s="17"/>
      <c r="K5400" s="17"/>
      <c r="L5400" s="17"/>
      <c r="M5400" s="17"/>
      <c r="N5400" s="17"/>
      <c r="O5400" s="17"/>
      <c r="P5400" s="17"/>
      <c r="Q5400" s="17"/>
      <c r="R5400" s="17"/>
      <c r="S5400" s="17"/>
      <c r="T5400" s="17"/>
      <c r="U5400" s="17"/>
      <c r="V5400" s="18">
        <v>0</v>
      </c>
      <c r="W5400" s="17">
        <f t="shared" si="152"/>
        <v>0</v>
      </c>
    </row>
    <row r="5401" spans="1:23" x14ac:dyDescent="0.25">
      <c r="A5401" s="17"/>
      <c r="B5401" s="17"/>
      <c r="C5401" s="17"/>
      <c r="D5401" s="17"/>
      <c r="E5401" s="17"/>
      <c r="F5401" s="17"/>
      <c r="G5401" s="17"/>
      <c r="H5401" s="17"/>
      <c r="I5401" s="17"/>
      <c r="J5401" s="17"/>
      <c r="K5401" s="17"/>
      <c r="L5401" s="17"/>
      <c r="M5401" s="17"/>
      <c r="N5401" s="17"/>
      <c r="O5401" s="17"/>
      <c r="P5401" s="17"/>
      <c r="Q5401" s="17"/>
      <c r="R5401" s="17"/>
      <c r="S5401" s="17"/>
      <c r="T5401" s="17"/>
      <c r="U5401" s="17"/>
      <c r="V5401" s="18">
        <v>0</v>
      </c>
      <c r="W5401" s="17">
        <f t="shared" si="152"/>
        <v>0</v>
      </c>
    </row>
    <row r="5402" spans="1:23" x14ac:dyDescent="0.25">
      <c r="A5402" s="17"/>
      <c r="B5402" s="17"/>
      <c r="C5402" s="17"/>
      <c r="D5402" s="17"/>
      <c r="E5402" s="17"/>
      <c r="F5402" s="17"/>
      <c r="G5402" s="17"/>
      <c r="H5402" s="17"/>
      <c r="I5402" s="17"/>
      <c r="J5402" s="17"/>
      <c r="K5402" s="17"/>
      <c r="L5402" s="17"/>
      <c r="M5402" s="17"/>
      <c r="N5402" s="17"/>
      <c r="O5402" s="17"/>
      <c r="P5402" s="17"/>
      <c r="Q5402" s="17"/>
      <c r="R5402" s="17"/>
      <c r="S5402" s="17"/>
      <c r="T5402" s="17"/>
      <c r="U5402" s="17"/>
      <c r="V5402" s="18">
        <v>0</v>
      </c>
      <c r="W5402" s="17">
        <f t="shared" si="152"/>
        <v>0</v>
      </c>
    </row>
    <row r="5403" spans="1:23" x14ac:dyDescent="0.25">
      <c r="A5403" s="17"/>
      <c r="B5403" s="17"/>
      <c r="C5403" s="17"/>
      <c r="D5403" s="17"/>
      <c r="E5403" s="17"/>
      <c r="F5403" s="17"/>
      <c r="G5403" s="17"/>
      <c r="H5403" s="17"/>
      <c r="I5403" s="17"/>
      <c r="J5403" s="17"/>
      <c r="K5403" s="17"/>
      <c r="L5403" s="17"/>
      <c r="M5403" s="17"/>
      <c r="N5403" s="17"/>
      <c r="O5403" s="17"/>
      <c r="P5403" s="17"/>
      <c r="Q5403" s="17"/>
      <c r="R5403" s="17"/>
      <c r="S5403" s="17"/>
      <c r="T5403" s="17"/>
      <c r="U5403" s="17"/>
      <c r="V5403" s="18">
        <v>0</v>
      </c>
      <c r="W5403" s="17">
        <f t="shared" si="152"/>
        <v>0</v>
      </c>
    </row>
    <row r="5404" spans="1:23" x14ac:dyDescent="0.25">
      <c r="A5404" s="17"/>
      <c r="B5404" s="17"/>
      <c r="C5404" s="17"/>
      <c r="D5404" s="17"/>
      <c r="E5404" s="17"/>
      <c r="F5404" s="17"/>
      <c r="G5404" s="17"/>
      <c r="H5404" s="17"/>
      <c r="I5404" s="17"/>
      <c r="J5404" s="17"/>
      <c r="K5404" s="17"/>
      <c r="L5404" s="17"/>
      <c r="M5404" s="17"/>
      <c r="N5404" s="17"/>
      <c r="O5404" s="17"/>
      <c r="P5404" s="17"/>
      <c r="Q5404" s="17"/>
      <c r="R5404" s="17"/>
      <c r="S5404" s="17"/>
      <c r="T5404" s="17"/>
      <c r="U5404" s="17"/>
      <c r="V5404" s="18">
        <v>0</v>
      </c>
      <c r="W5404" s="17">
        <f t="shared" si="152"/>
        <v>0</v>
      </c>
    </row>
    <row r="5405" spans="1:23" x14ac:dyDescent="0.25">
      <c r="A5405" s="17"/>
      <c r="B5405" s="17"/>
      <c r="C5405" s="17"/>
      <c r="D5405" s="17"/>
      <c r="E5405" s="17"/>
      <c r="F5405" s="17"/>
      <c r="G5405" s="17"/>
      <c r="H5405" s="17"/>
      <c r="I5405" s="17"/>
      <c r="J5405" s="17"/>
      <c r="K5405" s="17"/>
      <c r="L5405" s="17"/>
      <c r="M5405" s="17"/>
      <c r="N5405" s="17"/>
      <c r="O5405" s="17"/>
      <c r="P5405" s="17"/>
      <c r="Q5405" s="17"/>
      <c r="R5405" s="17"/>
      <c r="S5405" s="17"/>
      <c r="T5405" s="17"/>
      <c r="U5405" s="17"/>
      <c r="V5405" s="18">
        <v>0</v>
      </c>
      <c r="W5405" s="17">
        <f t="shared" si="152"/>
        <v>0</v>
      </c>
    </row>
    <row r="5406" spans="1:23" x14ac:dyDescent="0.25">
      <c r="A5406" s="17"/>
      <c r="B5406" s="17"/>
      <c r="C5406" s="17"/>
      <c r="D5406" s="17"/>
      <c r="E5406" s="17"/>
      <c r="F5406" s="17"/>
      <c r="G5406" s="17"/>
      <c r="H5406" s="17"/>
      <c r="I5406" s="17"/>
      <c r="J5406" s="17"/>
      <c r="K5406" s="17"/>
      <c r="L5406" s="17"/>
      <c r="M5406" s="17"/>
      <c r="N5406" s="17"/>
      <c r="O5406" s="17"/>
      <c r="P5406" s="17"/>
      <c r="Q5406" s="17"/>
      <c r="R5406" s="17"/>
      <c r="S5406" s="17"/>
      <c r="T5406" s="17"/>
      <c r="U5406" s="17"/>
      <c r="V5406" s="18">
        <v>0</v>
      </c>
      <c r="W5406" s="17">
        <f t="shared" si="152"/>
        <v>0</v>
      </c>
    </row>
    <row r="5407" spans="1:23" x14ac:dyDescent="0.25">
      <c r="A5407" s="17"/>
      <c r="B5407" s="17"/>
      <c r="C5407" s="17"/>
      <c r="D5407" s="17"/>
      <c r="E5407" s="17"/>
      <c r="F5407" s="17"/>
      <c r="G5407" s="17"/>
      <c r="H5407" s="17"/>
      <c r="I5407" s="17"/>
      <c r="J5407" s="17"/>
      <c r="K5407" s="17"/>
      <c r="L5407" s="17"/>
      <c r="M5407" s="17"/>
      <c r="N5407" s="17"/>
      <c r="O5407" s="17"/>
      <c r="P5407" s="17"/>
      <c r="Q5407" s="17"/>
      <c r="R5407" s="17"/>
      <c r="S5407" s="17"/>
      <c r="T5407" s="17"/>
      <c r="U5407" s="17"/>
      <c r="V5407" s="18">
        <v>0</v>
      </c>
      <c r="W5407" s="17">
        <f t="shared" si="152"/>
        <v>0</v>
      </c>
    </row>
    <row r="5408" spans="1:23" x14ac:dyDescent="0.25">
      <c r="A5408" s="17"/>
      <c r="B5408" s="17"/>
      <c r="C5408" s="17"/>
      <c r="D5408" s="17"/>
      <c r="E5408" s="17"/>
      <c r="F5408" s="17"/>
      <c r="G5408" s="17"/>
      <c r="H5408" s="17"/>
      <c r="I5408" s="17"/>
      <c r="J5408" s="17"/>
      <c r="K5408" s="17"/>
      <c r="L5408" s="17"/>
      <c r="M5408" s="17"/>
      <c r="N5408" s="17"/>
      <c r="O5408" s="17"/>
      <c r="P5408" s="17"/>
      <c r="Q5408" s="17"/>
      <c r="R5408" s="17"/>
      <c r="S5408" s="17"/>
      <c r="T5408" s="17"/>
      <c r="U5408" s="17"/>
      <c r="V5408" s="18">
        <v>0</v>
      </c>
      <c r="W5408" s="17">
        <f t="shared" si="152"/>
        <v>0</v>
      </c>
    </row>
    <row r="5409" spans="1:23" x14ac:dyDescent="0.25">
      <c r="A5409" s="17"/>
      <c r="B5409" s="17"/>
      <c r="C5409" s="17"/>
      <c r="D5409" s="17"/>
      <c r="E5409" s="17"/>
      <c r="F5409" s="17"/>
      <c r="G5409" s="17"/>
      <c r="H5409" s="17"/>
      <c r="I5409" s="17"/>
      <c r="J5409" s="17"/>
      <c r="K5409" s="17"/>
      <c r="L5409" s="17"/>
      <c r="M5409" s="17"/>
      <c r="N5409" s="17"/>
      <c r="O5409" s="17"/>
      <c r="P5409" s="17"/>
      <c r="Q5409" s="17"/>
      <c r="R5409" s="17"/>
      <c r="S5409" s="17"/>
      <c r="T5409" s="17"/>
      <c r="U5409" s="17"/>
      <c r="V5409" s="18">
        <v>0</v>
      </c>
      <c r="W5409" s="17">
        <f t="shared" si="152"/>
        <v>0</v>
      </c>
    </row>
    <row r="5410" spans="1:23" x14ac:dyDescent="0.25">
      <c r="A5410" s="17"/>
      <c r="B5410" s="17"/>
      <c r="C5410" s="17"/>
      <c r="D5410" s="17"/>
      <c r="E5410" s="17"/>
      <c r="F5410" s="17"/>
      <c r="G5410" s="17"/>
      <c r="H5410" s="17"/>
      <c r="I5410" s="17"/>
      <c r="J5410" s="17"/>
      <c r="K5410" s="17"/>
      <c r="L5410" s="17"/>
      <c r="M5410" s="17"/>
      <c r="N5410" s="17"/>
      <c r="O5410" s="17"/>
      <c r="P5410" s="17"/>
      <c r="Q5410" s="17"/>
      <c r="R5410" s="17"/>
      <c r="S5410" s="17"/>
      <c r="T5410" s="17"/>
      <c r="U5410" s="17"/>
      <c r="V5410" s="18">
        <v>0</v>
      </c>
      <c r="W5410" s="17">
        <f t="shared" si="152"/>
        <v>0</v>
      </c>
    </row>
    <row r="5411" spans="1:23" x14ac:dyDescent="0.25">
      <c r="A5411" s="17"/>
      <c r="B5411" s="17"/>
      <c r="C5411" s="17"/>
      <c r="D5411" s="17"/>
      <c r="E5411" s="17"/>
      <c r="F5411" s="17"/>
      <c r="G5411" s="17"/>
      <c r="H5411" s="17"/>
      <c r="I5411" s="17"/>
      <c r="J5411" s="17"/>
      <c r="K5411" s="17"/>
      <c r="L5411" s="17"/>
      <c r="M5411" s="17"/>
      <c r="N5411" s="17"/>
      <c r="O5411" s="17"/>
      <c r="P5411" s="17"/>
      <c r="Q5411" s="17"/>
      <c r="R5411" s="17"/>
      <c r="S5411" s="17"/>
      <c r="T5411" s="17"/>
      <c r="U5411" s="17"/>
      <c r="V5411" s="18">
        <v>0</v>
      </c>
      <c r="W5411" s="17">
        <f t="shared" si="152"/>
        <v>0</v>
      </c>
    </row>
    <row r="5412" spans="1:23" x14ac:dyDescent="0.25">
      <c r="A5412" s="17"/>
      <c r="B5412" s="17"/>
      <c r="C5412" s="17"/>
      <c r="D5412" s="17"/>
      <c r="E5412" s="17"/>
      <c r="F5412" s="17"/>
      <c r="G5412" s="17"/>
      <c r="H5412" s="17"/>
      <c r="I5412" s="17"/>
      <c r="J5412" s="17"/>
      <c r="K5412" s="17"/>
      <c r="L5412" s="17"/>
      <c r="M5412" s="17"/>
      <c r="N5412" s="17"/>
      <c r="O5412" s="17"/>
      <c r="P5412" s="17"/>
      <c r="Q5412" s="17"/>
      <c r="R5412" s="17"/>
      <c r="S5412" s="17"/>
      <c r="T5412" s="17"/>
      <c r="U5412" s="17"/>
      <c r="V5412" s="18">
        <v>0</v>
      </c>
      <c r="W5412" s="17">
        <f t="shared" si="152"/>
        <v>0</v>
      </c>
    </row>
    <row r="5413" spans="1:23" x14ac:dyDescent="0.25">
      <c r="A5413" s="17"/>
      <c r="B5413" s="17"/>
      <c r="C5413" s="17"/>
      <c r="D5413" s="17"/>
      <c r="E5413" s="17"/>
      <c r="F5413" s="17"/>
      <c r="G5413" s="17"/>
      <c r="H5413" s="17"/>
      <c r="I5413" s="17"/>
      <c r="J5413" s="17"/>
      <c r="K5413" s="17"/>
      <c r="L5413" s="17"/>
      <c r="M5413" s="17"/>
      <c r="N5413" s="17"/>
      <c r="O5413" s="17"/>
      <c r="P5413" s="17"/>
      <c r="Q5413" s="17"/>
      <c r="R5413" s="17"/>
      <c r="S5413" s="17"/>
      <c r="T5413" s="17"/>
      <c r="U5413" s="17"/>
      <c r="V5413" s="18">
        <v>0</v>
      </c>
      <c r="W5413" s="17">
        <f t="shared" si="152"/>
        <v>0</v>
      </c>
    </row>
    <row r="5414" spans="1:23" x14ac:dyDescent="0.25">
      <c r="A5414" s="17"/>
      <c r="B5414" s="17"/>
      <c r="C5414" s="17"/>
      <c r="D5414" s="17"/>
      <c r="E5414" s="17"/>
      <c r="F5414" s="17"/>
      <c r="G5414" s="17"/>
      <c r="H5414" s="17"/>
      <c r="I5414" s="17"/>
      <c r="J5414" s="17"/>
      <c r="K5414" s="17"/>
      <c r="L5414" s="17"/>
      <c r="M5414" s="17"/>
      <c r="N5414" s="17"/>
      <c r="O5414" s="17"/>
      <c r="P5414" s="17"/>
      <c r="Q5414" s="17"/>
      <c r="R5414" s="17"/>
      <c r="S5414" s="17"/>
      <c r="T5414" s="17"/>
      <c r="U5414" s="17"/>
      <c r="V5414" s="18">
        <v>0</v>
      </c>
      <c r="W5414" s="17">
        <f t="shared" si="152"/>
        <v>0</v>
      </c>
    </row>
    <row r="5415" spans="1:23" x14ac:dyDescent="0.25">
      <c r="A5415" s="17"/>
      <c r="B5415" s="17"/>
      <c r="C5415" s="17"/>
      <c r="D5415" s="17"/>
      <c r="E5415" s="17"/>
      <c r="F5415" s="17"/>
      <c r="G5415" s="17"/>
      <c r="H5415" s="17"/>
      <c r="I5415" s="17"/>
      <c r="J5415" s="17"/>
      <c r="K5415" s="17"/>
      <c r="L5415" s="17"/>
      <c r="M5415" s="17"/>
      <c r="N5415" s="17"/>
      <c r="O5415" s="17"/>
      <c r="P5415" s="17"/>
      <c r="Q5415" s="17"/>
      <c r="R5415" s="17"/>
      <c r="S5415" s="17"/>
      <c r="T5415" s="17"/>
      <c r="U5415" s="17"/>
      <c r="V5415" s="18">
        <v>0</v>
      </c>
      <c r="W5415" s="17">
        <f t="shared" si="152"/>
        <v>0</v>
      </c>
    </row>
    <row r="5416" spans="1:23" x14ac:dyDescent="0.25">
      <c r="A5416" s="17"/>
      <c r="B5416" s="17"/>
      <c r="C5416" s="17"/>
      <c r="D5416" s="17"/>
      <c r="E5416" s="17"/>
      <c r="F5416" s="17"/>
      <c r="G5416" s="17"/>
      <c r="H5416" s="17"/>
      <c r="I5416" s="17"/>
      <c r="J5416" s="17"/>
      <c r="K5416" s="17"/>
      <c r="L5416" s="17"/>
      <c r="M5416" s="17"/>
      <c r="N5416" s="17"/>
      <c r="O5416" s="17"/>
      <c r="P5416" s="17"/>
      <c r="Q5416" s="17"/>
      <c r="R5416" s="17"/>
      <c r="S5416" s="17"/>
      <c r="T5416" s="17"/>
      <c r="U5416" s="17"/>
      <c r="V5416" s="18">
        <v>0</v>
      </c>
      <c r="W5416" s="17">
        <f t="shared" si="152"/>
        <v>0</v>
      </c>
    </row>
    <row r="5417" spans="1:23" x14ac:dyDescent="0.25">
      <c r="A5417" s="17"/>
      <c r="B5417" s="17"/>
      <c r="C5417" s="17"/>
      <c r="D5417" s="17"/>
      <c r="E5417" s="17"/>
      <c r="F5417" s="17"/>
      <c r="G5417" s="17"/>
      <c r="H5417" s="17"/>
      <c r="I5417" s="17"/>
      <c r="J5417" s="17"/>
      <c r="K5417" s="17"/>
      <c r="L5417" s="17"/>
      <c r="M5417" s="17"/>
      <c r="N5417" s="17"/>
      <c r="O5417" s="17"/>
      <c r="P5417" s="17"/>
      <c r="Q5417" s="17"/>
      <c r="R5417" s="17"/>
      <c r="S5417" s="17"/>
      <c r="T5417" s="17"/>
      <c r="U5417" s="17"/>
      <c r="V5417" s="18">
        <v>0</v>
      </c>
      <c r="W5417" s="17">
        <f t="shared" si="152"/>
        <v>0</v>
      </c>
    </row>
    <row r="5418" spans="1:23" x14ac:dyDescent="0.25">
      <c r="A5418" s="17"/>
      <c r="B5418" s="17"/>
      <c r="C5418" s="17"/>
      <c r="D5418" s="17"/>
      <c r="E5418" s="17"/>
      <c r="F5418" s="17"/>
      <c r="G5418" s="17"/>
      <c r="H5418" s="17"/>
      <c r="I5418" s="17"/>
      <c r="J5418" s="17"/>
      <c r="K5418" s="17"/>
      <c r="L5418" s="17"/>
      <c r="M5418" s="17"/>
      <c r="N5418" s="17"/>
      <c r="O5418" s="17"/>
      <c r="P5418" s="17"/>
      <c r="Q5418" s="17"/>
      <c r="R5418" s="17"/>
      <c r="S5418" s="17"/>
      <c r="T5418" s="17"/>
      <c r="U5418" s="17"/>
      <c r="V5418" s="18">
        <v>0</v>
      </c>
      <c r="W5418" s="17">
        <f t="shared" si="152"/>
        <v>0</v>
      </c>
    </row>
    <row r="5419" spans="1:23" x14ac:dyDescent="0.25">
      <c r="A5419" s="17"/>
      <c r="B5419" s="17"/>
      <c r="C5419" s="17"/>
      <c r="D5419" s="17"/>
      <c r="E5419" s="17"/>
      <c r="F5419" s="17"/>
      <c r="G5419" s="17"/>
      <c r="H5419" s="17"/>
      <c r="I5419" s="17"/>
      <c r="J5419" s="17"/>
      <c r="K5419" s="17"/>
      <c r="L5419" s="17"/>
      <c r="M5419" s="17"/>
      <c r="N5419" s="17"/>
      <c r="O5419" s="17"/>
      <c r="P5419" s="17"/>
      <c r="Q5419" s="17"/>
      <c r="R5419" s="17"/>
      <c r="S5419" s="17"/>
      <c r="T5419" s="17"/>
      <c r="U5419" s="17"/>
      <c r="V5419" s="18">
        <v>0</v>
      </c>
      <c r="W5419" s="17">
        <f t="shared" si="152"/>
        <v>0</v>
      </c>
    </row>
    <row r="5420" spans="1:23" x14ac:dyDescent="0.25">
      <c r="A5420" s="17"/>
      <c r="B5420" s="17"/>
      <c r="C5420" s="17"/>
      <c r="D5420" s="17"/>
      <c r="E5420" s="17"/>
      <c r="F5420" s="17"/>
      <c r="G5420" s="17"/>
      <c r="H5420" s="17"/>
      <c r="I5420" s="17"/>
      <c r="J5420" s="17"/>
      <c r="K5420" s="17"/>
      <c r="L5420" s="17"/>
      <c r="M5420" s="17"/>
      <c r="N5420" s="17"/>
      <c r="O5420" s="17"/>
      <c r="P5420" s="17"/>
      <c r="Q5420" s="17"/>
      <c r="R5420" s="17"/>
      <c r="S5420" s="17"/>
      <c r="T5420" s="17"/>
      <c r="U5420" s="17"/>
      <c r="V5420" s="18">
        <v>0</v>
      </c>
      <c r="W5420" s="17">
        <f t="shared" si="152"/>
        <v>0</v>
      </c>
    </row>
    <row r="5421" spans="1:23" x14ac:dyDescent="0.25">
      <c r="A5421" s="17"/>
      <c r="B5421" s="17"/>
      <c r="C5421" s="17"/>
      <c r="D5421" s="17"/>
      <c r="E5421" s="17"/>
      <c r="F5421" s="17"/>
      <c r="G5421" s="17"/>
      <c r="H5421" s="17"/>
      <c r="I5421" s="17"/>
      <c r="J5421" s="17"/>
      <c r="K5421" s="17"/>
      <c r="L5421" s="17"/>
      <c r="M5421" s="17"/>
      <c r="N5421" s="17"/>
      <c r="O5421" s="17"/>
      <c r="P5421" s="17"/>
      <c r="Q5421" s="17"/>
      <c r="R5421" s="17"/>
      <c r="S5421" s="17"/>
      <c r="T5421" s="17"/>
      <c r="U5421" s="17"/>
      <c r="V5421" s="18">
        <v>0</v>
      </c>
      <c r="W5421" s="17">
        <f t="shared" si="152"/>
        <v>0</v>
      </c>
    </row>
    <row r="5422" spans="1:23" x14ac:dyDescent="0.25">
      <c r="A5422" s="17"/>
      <c r="B5422" s="17"/>
      <c r="C5422" s="17"/>
      <c r="D5422" s="17"/>
      <c r="E5422" s="17"/>
      <c r="F5422" s="17"/>
      <c r="G5422" s="17"/>
      <c r="H5422" s="17"/>
      <c r="I5422" s="17"/>
      <c r="J5422" s="17"/>
      <c r="K5422" s="17"/>
      <c r="L5422" s="17"/>
      <c r="M5422" s="17"/>
      <c r="N5422" s="17"/>
      <c r="O5422" s="17"/>
      <c r="P5422" s="17"/>
      <c r="Q5422" s="17"/>
      <c r="R5422" s="17"/>
      <c r="S5422" s="17"/>
      <c r="T5422" s="17"/>
      <c r="U5422" s="17"/>
      <c r="V5422" s="18">
        <v>0</v>
      </c>
      <c r="W5422" s="17">
        <f t="shared" si="152"/>
        <v>0</v>
      </c>
    </row>
    <row r="5423" spans="1:23" x14ac:dyDescent="0.25">
      <c r="A5423" s="17"/>
      <c r="B5423" s="17"/>
      <c r="C5423" s="17"/>
      <c r="D5423" s="17"/>
      <c r="E5423" s="17"/>
      <c r="F5423" s="17"/>
      <c r="G5423" s="17"/>
      <c r="H5423" s="17"/>
      <c r="I5423" s="17"/>
      <c r="J5423" s="17"/>
      <c r="K5423" s="17"/>
      <c r="L5423" s="17"/>
      <c r="M5423" s="17"/>
      <c r="N5423" s="17"/>
      <c r="O5423" s="17"/>
      <c r="P5423" s="17"/>
      <c r="Q5423" s="17"/>
      <c r="R5423" s="17"/>
      <c r="S5423" s="17"/>
      <c r="T5423" s="17"/>
      <c r="U5423" s="17"/>
      <c r="V5423" s="18">
        <v>0</v>
      </c>
      <c r="W5423" s="17">
        <f t="shared" si="152"/>
        <v>0</v>
      </c>
    </row>
    <row r="5424" spans="1:23" x14ac:dyDescent="0.25">
      <c r="A5424" s="17"/>
      <c r="B5424" s="17"/>
      <c r="C5424" s="17"/>
      <c r="D5424" s="17"/>
      <c r="E5424" s="17"/>
      <c r="F5424" s="17"/>
      <c r="G5424" s="17"/>
      <c r="H5424" s="17"/>
      <c r="I5424" s="17"/>
      <c r="J5424" s="17"/>
      <c r="K5424" s="17"/>
      <c r="L5424" s="17"/>
      <c r="M5424" s="17"/>
      <c r="N5424" s="17"/>
      <c r="O5424" s="17"/>
      <c r="P5424" s="17"/>
      <c r="Q5424" s="17"/>
      <c r="R5424" s="17"/>
      <c r="S5424" s="17"/>
      <c r="T5424" s="17"/>
      <c r="U5424" s="17"/>
      <c r="V5424" s="18">
        <v>0</v>
      </c>
      <c r="W5424" s="17">
        <f t="shared" si="152"/>
        <v>0</v>
      </c>
    </row>
    <row r="5425" spans="1:23" x14ac:dyDescent="0.25">
      <c r="A5425" s="17"/>
      <c r="B5425" s="17"/>
      <c r="C5425" s="17"/>
      <c r="D5425" s="17"/>
      <c r="E5425" s="17"/>
      <c r="F5425" s="17"/>
      <c r="G5425" s="17"/>
      <c r="H5425" s="17"/>
      <c r="I5425" s="17"/>
      <c r="J5425" s="17"/>
      <c r="K5425" s="17"/>
      <c r="L5425" s="17"/>
      <c r="M5425" s="17"/>
      <c r="N5425" s="17"/>
      <c r="O5425" s="17"/>
      <c r="P5425" s="17"/>
      <c r="Q5425" s="17"/>
      <c r="R5425" s="17"/>
      <c r="S5425" s="17"/>
      <c r="T5425" s="17"/>
      <c r="U5425" s="17"/>
      <c r="V5425" s="18">
        <v>0</v>
      </c>
      <c r="W5425" s="17">
        <f t="shared" si="152"/>
        <v>0</v>
      </c>
    </row>
    <row r="5426" spans="1:23" x14ac:dyDescent="0.25">
      <c r="A5426" s="17"/>
      <c r="B5426" s="17"/>
      <c r="C5426" s="17"/>
      <c r="D5426" s="17"/>
      <c r="E5426" s="17"/>
      <c r="F5426" s="17"/>
      <c r="G5426" s="17"/>
      <c r="H5426" s="17"/>
      <c r="I5426" s="17"/>
      <c r="J5426" s="17"/>
      <c r="K5426" s="17"/>
      <c r="L5426" s="17"/>
      <c r="M5426" s="17"/>
      <c r="N5426" s="17"/>
      <c r="O5426" s="17"/>
      <c r="P5426" s="17"/>
      <c r="Q5426" s="17"/>
      <c r="R5426" s="17"/>
      <c r="S5426" s="17"/>
      <c r="T5426" s="17"/>
      <c r="U5426" s="17"/>
      <c r="V5426" s="18">
        <v>0</v>
      </c>
      <c r="W5426" s="17">
        <f t="shared" si="152"/>
        <v>0</v>
      </c>
    </row>
    <row r="5427" spans="1:23" x14ac:dyDescent="0.25">
      <c r="A5427" s="17"/>
      <c r="B5427" s="17"/>
      <c r="C5427" s="17"/>
      <c r="D5427" s="17"/>
      <c r="E5427" s="17"/>
      <c r="F5427" s="17"/>
      <c r="G5427" s="17"/>
      <c r="H5427" s="17"/>
      <c r="I5427" s="17"/>
      <c r="J5427" s="17"/>
      <c r="K5427" s="17"/>
      <c r="L5427" s="17"/>
      <c r="M5427" s="17"/>
      <c r="N5427" s="17"/>
      <c r="O5427" s="17"/>
      <c r="P5427" s="17"/>
      <c r="Q5427" s="17"/>
      <c r="R5427" s="17"/>
      <c r="S5427" s="17"/>
      <c r="T5427" s="17"/>
      <c r="U5427" s="17"/>
      <c r="V5427" s="18">
        <v>0</v>
      </c>
      <c r="W5427" s="17">
        <f t="shared" si="152"/>
        <v>0</v>
      </c>
    </row>
    <row r="5428" spans="1:23" x14ac:dyDescent="0.25">
      <c r="A5428" s="17"/>
      <c r="B5428" s="17"/>
      <c r="C5428" s="17"/>
      <c r="D5428" s="17"/>
      <c r="E5428" s="17"/>
      <c r="F5428" s="17"/>
      <c r="G5428" s="17"/>
      <c r="H5428" s="17"/>
      <c r="I5428" s="17"/>
      <c r="J5428" s="17"/>
      <c r="K5428" s="17"/>
      <c r="L5428" s="17"/>
      <c r="M5428" s="17"/>
      <c r="N5428" s="17"/>
      <c r="O5428" s="17"/>
      <c r="P5428" s="17"/>
      <c r="Q5428" s="17"/>
      <c r="R5428" s="17"/>
      <c r="S5428" s="17"/>
      <c r="T5428" s="17"/>
      <c r="U5428" s="17"/>
      <c r="V5428" s="18">
        <v>0</v>
      </c>
      <c r="W5428" s="17">
        <f t="shared" si="152"/>
        <v>0</v>
      </c>
    </row>
    <row r="5429" spans="1:23" x14ac:dyDescent="0.25">
      <c r="A5429" s="17"/>
      <c r="B5429" s="17"/>
      <c r="C5429" s="17"/>
      <c r="D5429" s="17"/>
      <c r="E5429" s="17"/>
      <c r="F5429" s="17"/>
      <c r="G5429" s="17"/>
      <c r="H5429" s="17"/>
      <c r="I5429" s="17"/>
      <c r="J5429" s="17"/>
      <c r="K5429" s="17"/>
      <c r="L5429" s="17"/>
      <c r="M5429" s="17"/>
      <c r="N5429" s="17"/>
      <c r="O5429" s="17"/>
      <c r="P5429" s="17"/>
      <c r="Q5429" s="17"/>
      <c r="R5429" s="17"/>
      <c r="S5429" s="17"/>
      <c r="T5429" s="17"/>
      <c r="U5429" s="17"/>
      <c r="V5429" s="18">
        <v>0</v>
      </c>
      <c r="W5429" s="17">
        <f t="shared" si="152"/>
        <v>0</v>
      </c>
    </row>
    <row r="5430" spans="1:23" x14ac:dyDescent="0.25">
      <c r="A5430" s="17"/>
      <c r="B5430" s="17"/>
      <c r="C5430" s="17"/>
      <c r="D5430" s="17"/>
      <c r="E5430" s="17"/>
      <c r="F5430" s="17"/>
      <c r="G5430" s="17"/>
      <c r="H5430" s="17"/>
      <c r="I5430" s="17"/>
      <c r="J5430" s="17"/>
      <c r="K5430" s="17"/>
      <c r="L5430" s="17"/>
      <c r="M5430" s="17"/>
      <c r="N5430" s="17"/>
      <c r="O5430" s="17"/>
      <c r="P5430" s="17"/>
      <c r="Q5430" s="17"/>
      <c r="R5430" s="17"/>
      <c r="S5430" s="17"/>
      <c r="T5430" s="17"/>
      <c r="U5430" s="17"/>
      <c r="V5430" s="18">
        <v>0</v>
      </c>
      <c r="W5430" s="17">
        <f t="shared" si="152"/>
        <v>0</v>
      </c>
    </row>
    <row r="5431" spans="1:23" x14ac:dyDescent="0.25">
      <c r="A5431" s="17"/>
      <c r="B5431" s="17"/>
      <c r="C5431" s="17"/>
      <c r="D5431" s="17"/>
      <c r="E5431" s="17"/>
      <c r="F5431" s="17"/>
      <c r="G5431" s="17"/>
      <c r="H5431" s="17"/>
      <c r="I5431" s="17"/>
      <c r="J5431" s="17"/>
      <c r="K5431" s="17"/>
      <c r="L5431" s="17"/>
      <c r="M5431" s="17"/>
      <c r="N5431" s="17"/>
      <c r="O5431" s="17"/>
      <c r="P5431" s="17"/>
      <c r="Q5431" s="17"/>
      <c r="R5431" s="17"/>
      <c r="S5431" s="17"/>
      <c r="T5431" s="17"/>
      <c r="U5431" s="17"/>
      <c r="V5431" s="18">
        <v>0</v>
      </c>
      <c r="W5431" s="17">
        <f t="shared" si="152"/>
        <v>0</v>
      </c>
    </row>
    <row r="5432" spans="1:23" x14ac:dyDescent="0.25">
      <c r="A5432" s="17"/>
      <c r="B5432" s="17"/>
      <c r="C5432" s="17"/>
      <c r="D5432" s="17"/>
      <c r="E5432" s="17"/>
      <c r="F5432" s="17"/>
      <c r="G5432" s="17"/>
      <c r="H5432" s="17"/>
      <c r="I5432" s="17"/>
      <c r="J5432" s="17"/>
      <c r="K5432" s="17"/>
      <c r="L5432" s="17"/>
      <c r="M5432" s="17"/>
      <c r="N5432" s="17"/>
      <c r="O5432" s="17"/>
      <c r="P5432" s="17"/>
      <c r="Q5432" s="17"/>
      <c r="R5432" s="17"/>
      <c r="S5432" s="17"/>
      <c r="T5432" s="17"/>
      <c r="U5432" s="17"/>
      <c r="V5432" s="18">
        <v>0</v>
      </c>
      <c r="W5432" s="17">
        <f t="shared" si="152"/>
        <v>0</v>
      </c>
    </row>
    <row r="5433" spans="1:23" x14ac:dyDescent="0.25">
      <c r="A5433" s="17"/>
      <c r="B5433" s="17"/>
      <c r="C5433" s="17"/>
      <c r="D5433" s="17"/>
      <c r="E5433" s="17"/>
      <c r="F5433" s="17"/>
      <c r="G5433" s="17"/>
      <c r="H5433" s="17"/>
      <c r="I5433" s="17"/>
      <c r="J5433" s="17"/>
      <c r="K5433" s="17"/>
      <c r="L5433" s="17"/>
      <c r="M5433" s="17"/>
      <c r="N5433" s="17"/>
      <c r="O5433" s="17"/>
      <c r="P5433" s="17"/>
      <c r="Q5433" s="17"/>
      <c r="R5433" s="17"/>
      <c r="S5433" s="17"/>
      <c r="T5433" s="17"/>
      <c r="U5433" s="17"/>
      <c r="V5433" s="18">
        <v>0</v>
      </c>
      <c r="W5433" s="17">
        <f t="shared" si="152"/>
        <v>0</v>
      </c>
    </row>
    <row r="5434" spans="1:23" x14ac:dyDescent="0.25">
      <c r="A5434" s="17"/>
      <c r="B5434" s="17"/>
      <c r="C5434" s="17"/>
      <c r="D5434" s="17"/>
      <c r="E5434" s="17"/>
      <c r="F5434" s="17"/>
      <c r="G5434" s="17"/>
      <c r="H5434" s="17"/>
      <c r="I5434" s="17"/>
      <c r="J5434" s="17"/>
      <c r="K5434" s="17"/>
      <c r="L5434" s="17"/>
      <c r="M5434" s="17"/>
      <c r="N5434" s="17"/>
      <c r="O5434" s="17"/>
      <c r="P5434" s="17"/>
      <c r="Q5434" s="17"/>
      <c r="R5434" s="17"/>
      <c r="S5434" s="17"/>
      <c r="T5434" s="17"/>
      <c r="U5434" s="17"/>
      <c r="V5434" s="18">
        <v>0</v>
      </c>
      <c r="W5434" s="17">
        <f t="shared" si="152"/>
        <v>0</v>
      </c>
    </row>
    <row r="5435" spans="1:23" x14ac:dyDescent="0.25">
      <c r="A5435" s="17"/>
      <c r="B5435" s="17"/>
      <c r="C5435" s="17"/>
      <c r="D5435" s="17"/>
      <c r="E5435" s="17"/>
      <c r="F5435" s="17"/>
      <c r="G5435" s="17"/>
      <c r="H5435" s="17"/>
      <c r="I5435" s="17"/>
      <c r="J5435" s="17"/>
      <c r="K5435" s="17"/>
      <c r="L5435" s="17"/>
      <c r="M5435" s="17"/>
      <c r="N5435" s="17"/>
      <c r="O5435" s="17"/>
      <c r="P5435" s="17"/>
      <c r="Q5435" s="17"/>
      <c r="R5435" s="17"/>
      <c r="S5435" s="17"/>
      <c r="T5435" s="17"/>
      <c r="U5435" s="17"/>
      <c r="V5435" s="18">
        <v>0</v>
      </c>
      <c r="W5435" s="17">
        <f t="shared" si="152"/>
        <v>0</v>
      </c>
    </row>
    <row r="5436" spans="1:23" x14ac:dyDescent="0.25">
      <c r="A5436" s="17"/>
      <c r="B5436" s="17"/>
      <c r="C5436" s="17"/>
      <c r="D5436" s="17"/>
      <c r="E5436" s="17"/>
      <c r="F5436" s="17"/>
      <c r="G5436" s="17"/>
      <c r="H5436" s="17"/>
      <c r="I5436" s="17"/>
      <c r="J5436" s="17"/>
      <c r="K5436" s="17"/>
      <c r="L5436" s="17"/>
      <c r="M5436" s="17"/>
      <c r="N5436" s="17"/>
      <c r="O5436" s="17"/>
      <c r="P5436" s="17"/>
      <c r="Q5436" s="17"/>
      <c r="R5436" s="17"/>
      <c r="S5436" s="17"/>
      <c r="T5436" s="17"/>
      <c r="U5436" s="17"/>
      <c r="V5436" s="18">
        <v>0</v>
      </c>
      <c r="W5436" s="17">
        <f t="shared" si="152"/>
        <v>0</v>
      </c>
    </row>
    <row r="5437" spans="1:23" x14ac:dyDescent="0.25">
      <c r="A5437" s="17"/>
      <c r="B5437" s="17"/>
      <c r="C5437" s="17"/>
      <c r="D5437" s="17"/>
      <c r="E5437" s="17"/>
      <c r="F5437" s="17"/>
      <c r="G5437" s="17"/>
      <c r="H5437" s="17"/>
      <c r="I5437" s="17"/>
      <c r="J5437" s="17"/>
      <c r="K5437" s="17"/>
      <c r="L5437" s="17"/>
      <c r="M5437" s="17"/>
      <c r="N5437" s="17"/>
      <c r="O5437" s="17"/>
      <c r="P5437" s="17"/>
      <c r="Q5437" s="17"/>
      <c r="R5437" s="17"/>
      <c r="S5437" s="17"/>
      <c r="T5437" s="17"/>
      <c r="U5437" s="17"/>
      <c r="V5437" s="18">
        <v>0</v>
      </c>
      <c r="W5437" s="17">
        <f t="shared" si="152"/>
        <v>0</v>
      </c>
    </row>
    <row r="5438" spans="1:23" x14ac:dyDescent="0.25">
      <c r="A5438" s="17"/>
      <c r="B5438" s="17"/>
      <c r="C5438" s="17"/>
      <c r="D5438" s="17"/>
      <c r="E5438" s="17"/>
      <c r="F5438" s="17"/>
      <c r="G5438" s="17"/>
      <c r="H5438" s="17"/>
      <c r="I5438" s="17"/>
      <c r="J5438" s="17"/>
      <c r="K5438" s="17"/>
      <c r="L5438" s="17"/>
      <c r="M5438" s="17"/>
      <c r="N5438" s="17"/>
      <c r="O5438" s="17"/>
      <c r="P5438" s="17"/>
      <c r="Q5438" s="17"/>
      <c r="R5438" s="17"/>
      <c r="S5438" s="17"/>
      <c r="T5438" s="17"/>
      <c r="U5438" s="17"/>
      <c r="V5438" s="18">
        <v>0</v>
      </c>
      <c r="W5438" s="17">
        <f t="shared" si="152"/>
        <v>0</v>
      </c>
    </row>
    <row r="5439" spans="1:23" x14ac:dyDescent="0.25">
      <c r="A5439" s="17"/>
      <c r="B5439" s="17"/>
      <c r="C5439" s="17"/>
      <c r="D5439" s="17"/>
      <c r="E5439" s="17"/>
      <c r="F5439" s="17"/>
      <c r="G5439" s="17"/>
      <c r="H5439" s="17"/>
      <c r="I5439" s="17"/>
      <c r="J5439" s="17"/>
      <c r="K5439" s="17"/>
      <c r="L5439" s="17"/>
      <c r="M5439" s="17"/>
      <c r="N5439" s="17"/>
      <c r="O5439" s="17"/>
      <c r="P5439" s="17"/>
      <c r="Q5439" s="17"/>
      <c r="R5439" s="17"/>
      <c r="S5439" s="17"/>
      <c r="T5439" s="17"/>
      <c r="U5439" s="17"/>
      <c r="V5439" s="18">
        <v>0</v>
      </c>
      <c r="W5439" s="17">
        <f t="shared" si="152"/>
        <v>0</v>
      </c>
    </row>
    <row r="5440" spans="1:23" x14ac:dyDescent="0.25">
      <c r="A5440" s="17"/>
      <c r="B5440" s="17"/>
      <c r="C5440" s="17"/>
      <c r="D5440" s="17"/>
      <c r="E5440" s="17"/>
      <c r="F5440" s="17"/>
      <c r="G5440" s="17"/>
      <c r="H5440" s="17"/>
      <c r="I5440" s="17"/>
      <c r="J5440" s="17"/>
      <c r="K5440" s="17"/>
      <c r="L5440" s="17"/>
      <c r="M5440" s="17"/>
      <c r="N5440" s="17"/>
      <c r="O5440" s="17"/>
      <c r="P5440" s="17"/>
      <c r="Q5440" s="17"/>
      <c r="R5440" s="17"/>
      <c r="S5440" s="17"/>
      <c r="T5440" s="17"/>
      <c r="U5440" s="17"/>
      <c r="V5440" s="18">
        <v>0</v>
      </c>
      <c r="W5440" s="17">
        <f t="shared" si="152"/>
        <v>0</v>
      </c>
    </row>
    <row r="5441" spans="1:23" x14ac:dyDescent="0.25">
      <c r="A5441" s="17"/>
      <c r="B5441" s="17"/>
      <c r="C5441" s="17"/>
      <c r="D5441" s="17"/>
      <c r="E5441" s="17"/>
      <c r="F5441" s="17"/>
      <c r="G5441" s="17"/>
      <c r="H5441" s="17"/>
      <c r="I5441" s="17"/>
      <c r="J5441" s="17"/>
      <c r="K5441" s="17"/>
      <c r="L5441" s="17"/>
      <c r="M5441" s="17"/>
      <c r="N5441" s="17"/>
      <c r="O5441" s="17"/>
      <c r="P5441" s="17"/>
      <c r="Q5441" s="17"/>
      <c r="R5441" s="17"/>
      <c r="S5441" s="17"/>
      <c r="T5441" s="17"/>
      <c r="U5441" s="17"/>
      <c r="V5441" s="18">
        <v>0</v>
      </c>
      <c r="W5441" s="17">
        <f t="shared" si="152"/>
        <v>0</v>
      </c>
    </row>
    <row r="5442" spans="1:23" x14ac:dyDescent="0.25">
      <c r="A5442" s="17"/>
      <c r="B5442" s="17"/>
      <c r="C5442" s="17"/>
      <c r="D5442" s="17"/>
      <c r="E5442" s="17"/>
      <c r="F5442" s="17"/>
      <c r="G5442" s="17"/>
      <c r="H5442" s="17"/>
      <c r="I5442" s="17"/>
      <c r="J5442" s="17"/>
      <c r="K5442" s="17"/>
      <c r="L5442" s="17"/>
      <c r="M5442" s="17"/>
      <c r="N5442" s="17"/>
      <c r="O5442" s="17"/>
      <c r="P5442" s="17"/>
      <c r="Q5442" s="17"/>
      <c r="R5442" s="17"/>
      <c r="S5442" s="17"/>
      <c r="T5442" s="17"/>
      <c r="U5442" s="17"/>
      <c r="V5442" s="18">
        <v>0</v>
      </c>
      <c r="W5442" s="17">
        <f t="shared" si="152"/>
        <v>0</v>
      </c>
    </row>
    <row r="5443" spans="1:23" x14ac:dyDescent="0.25">
      <c r="A5443" s="17"/>
      <c r="B5443" s="17"/>
      <c r="C5443" s="17"/>
      <c r="D5443" s="17"/>
      <c r="E5443" s="17"/>
      <c r="F5443" s="17"/>
      <c r="G5443" s="17"/>
      <c r="H5443" s="17"/>
      <c r="I5443" s="17"/>
      <c r="J5443" s="17"/>
      <c r="K5443" s="17"/>
      <c r="L5443" s="17"/>
      <c r="M5443" s="17"/>
      <c r="N5443" s="17"/>
      <c r="O5443" s="17"/>
      <c r="P5443" s="17"/>
      <c r="Q5443" s="17"/>
      <c r="R5443" s="17"/>
      <c r="S5443" s="17"/>
      <c r="T5443" s="17"/>
      <c r="U5443" s="17"/>
      <c r="V5443" s="18">
        <v>0</v>
      </c>
      <c r="W5443" s="17">
        <f t="shared" ref="W5443:W5506" si="153">HOUR(E5443)</f>
        <v>0</v>
      </c>
    </row>
    <row r="5444" spans="1:23" x14ac:dyDescent="0.25">
      <c r="A5444" s="17"/>
      <c r="B5444" s="17"/>
      <c r="C5444" s="17"/>
      <c r="D5444" s="17"/>
      <c r="E5444" s="17"/>
      <c r="F5444" s="17"/>
      <c r="G5444" s="17"/>
      <c r="H5444" s="17"/>
      <c r="I5444" s="17"/>
      <c r="J5444" s="17"/>
      <c r="K5444" s="17"/>
      <c r="L5444" s="17"/>
      <c r="M5444" s="17"/>
      <c r="N5444" s="17"/>
      <c r="O5444" s="17"/>
      <c r="P5444" s="17"/>
      <c r="Q5444" s="17"/>
      <c r="R5444" s="17"/>
      <c r="S5444" s="17"/>
      <c r="T5444" s="17"/>
      <c r="U5444" s="17"/>
      <c r="V5444" s="18">
        <v>0</v>
      </c>
      <c r="W5444" s="17">
        <f t="shared" si="153"/>
        <v>0</v>
      </c>
    </row>
    <row r="5445" spans="1:23" x14ac:dyDescent="0.25">
      <c r="A5445" s="17"/>
      <c r="B5445" s="17"/>
      <c r="C5445" s="17"/>
      <c r="D5445" s="17"/>
      <c r="E5445" s="17"/>
      <c r="F5445" s="17"/>
      <c r="G5445" s="17"/>
      <c r="H5445" s="17"/>
      <c r="I5445" s="17"/>
      <c r="J5445" s="17"/>
      <c r="K5445" s="17"/>
      <c r="L5445" s="17"/>
      <c r="M5445" s="17"/>
      <c r="N5445" s="17"/>
      <c r="O5445" s="17"/>
      <c r="P5445" s="17"/>
      <c r="Q5445" s="17"/>
      <c r="R5445" s="17"/>
      <c r="S5445" s="17"/>
      <c r="T5445" s="17"/>
      <c r="U5445" s="17"/>
      <c r="V5445" s="18">
        <v>0</v>
      </c>
      <c r="W5445" s="17">
        <f t="shared" si="153"/>
        <v>0</v>
      </c>
    </row>
    <row r="5446" spans="1:23" x14ac:dyDescent="0.25">
      <c r="A5446" s="17"/>
      <c r="B5446" s="17"/>
      <c r="C5446" s="17"/>
      <c r="D5446" s="17"/>
      <c r="E5446" s="17"/>
      <c r="F5446" s="17"/>
      <c r="G5446" s="17"/>
      <c r="H5446" s="17"/>
      <c r="I5446" s="17"/>
      <c r="J5446" s="17"/>
      <c r="K5446" s="17"/>
      <c r="L5446" s="17"/>
      <c r="M5446" s="17"/>
      <c r="N5446" s="17"/>
      <c r="O5446" s="17"/>
      <c r="P5446" s="17"/>
      <c r="Q5446" s="17"/>
      <c r="R5446" s="17"/>
      <c r="S5446" s="17"/>
      <c r="T5446" s="17"/>
      <c r="U5446" s="17"/>
      <c r="V5446" s="18">
        <v>0</v>
      </c>
      <c r="W5446" s="17">
        <f t="shared" si="153"/>
        <v>0</v>
      </c>
    </row>
    <row r="5447" spans="1:23" x14ac:dyDescent="0.25">
      <c r="A5447" s="17"/>
      <c r="B5447" s="17"/>
      <c r="C5447" s="17"/>
      <c r="D5447" s="17"/>
      <c r="E5447" s="17"/>
      <c r="F5447" s="17"/>
      <c r="G5447" s="17"/>
      <c r="H5447" s="17"/>
      <c r="I5447" s="17"/>
      <c r="J5447" s="17"/>
      <c r="K5447" s="17"/>
      <c r="L5447" s="17"/>
      <c r="M5447" s="17"/>
      <c r="N5447" s="17"/>
      <c r="O5447" s="17"/>
      <c r="P5447" s="17"/>
      <c r="Q5447" s="17"/>
      <c r="R5447" s="17"/>
      <c r="S5447" s="17"/>
      <c r="T5447" s="17"/>
      <c r="U5447" s="17"/>
      <c r="V5447" s="18">
        <v>0</v>
      </c>
      <c r="W5447" s="17">
        <f t="shared" si="153"/>
        <v>0</v>
      </c>
    </row>
    <row r="5448" spans="1:23" x14ac:dyDescent="0.25">
      <c r="A5448" s="17"/>
      <c r="B5448" s="17"/>
      <c r="C5448" s="17"/>
      <c r="D5448" s="17"/>
      <c r="E5448" s="17"/>
      <c r="F5448" s="17"/>
      <c r="G5448" s="17"/>
      <c r="H5448" s="17"/>
      <c r="I5448" s="17"/>
      <c r="J5448" s="17"/>
      <c r="K5448" s="17"/>
      <c r="L5448" s="17"/>
      <c r="M5448" s="17"/>
      <c r="N5448" s="17"/>
      <c r="O5448" s="17"/>
      <c r="P5448" s="17"/>
      <c r="Q5448" s="17"/>
      <c r="R5448" s="17"/>
      <c r="S5448" s="17"/>
      <c r="T5448" s="17"/>
      <c r="U5448" s="17"/>
      <c r="V5448" s="18">
        <v>0</v>
      </c>
      <c r="W5448" s="17">
        <f t="shared" si="153"/>
        <v>0</v>
      </c>
    </row>
    <row r="5449" spans="1:23" x14ac:dyDescent="0.25">
      <c r="A5449" s="17"/>
      <c r="B5449" s="17"/>
      <c r="C5449" s="17"/>
      <c r="D5449" s="17"/>
      <c r="E5449" s="17"/>
      <c r="F5449" s="17"/>
      <c r="G5449" s="17"/>
      <c r="H5449" s="17"/>
      <c r="I5449" s="17"/>
      <c r="J5449" s="17"/>
      <c r="K5449" s="17"/>
      <c r="L5449" s="17"/>
      <c r="M5449" s="17"/>
      <c r="N5449" s="17"/>
      <c r="O5449" s="17"/>
      <c r="P5449" s="17"/>
      <c r="Q5449" s="17"/>
      <c r="R5449" s="17"/>
      <c r="S5449" s="17"/>
      <c r="T5449" s="17"/>
      <c r="U5449" s="17"/>
      <c r="V5449" s="18">
        <v>0</v>
      </c>
      <c r="W5449" s="17">
        <f t="shared" si="153"/>
        <v>0</v>
      </c>
    </row>
    <row r="5450" spans="1:23" x14ac:dyDescent="0.25">
      <c r="A5450" s="17"/>
      <c r="B5450" s="17"/>
      <c r="C5450" s="17"/>
      <c r="D5450" s="17"/>
      <c r="E5450" s="17"/>
      <c r="F5450" s="17"/>
      <c r="G5450" s="17"/>
      <c r="H5450" s="17"/>
      <c r="I5450" s="17"/>
      <c r="J5450" s="17"/>
      <c r="K5450" s="17"/>
      <c r="L5450" s="17"/>
      <c r="M5450" s="17"/>
      <c r="N5450" s="17"/>
      <c r="O5450" s="17"/>
      <c r="P5450" s="17"/>
      <c r="Q5450" s="17"/>
      <c r="R5450" s="17"/>
      <c r="S5450" s="17"/>
      <c r="T5450" s="17"/>
      <c r="U5450" s="17"/>
      <c r="V5450" s="18">
        <v>0</v>
      </c>
      <c r="W5450" s="17">
        <f t="shared" si="153"/>
        <v>0</v>
      </c>
    </row>
    <row r="5451" spans="1:23" x14ac:dyDescent="0.25">
      <c r="A5451" s="17"/>
      <c r="B5451" s="17"/>
      <c r="C5451" s="17"/>
      <c r="D5451" s="17"/>
      <c r="E5451" s="17"/>
      <c r="F5451" s="17"/>
      <c r="G5451" s="17"/>
      <c r="H5451" s="17"/>
      <c r="I5451" s="17"/>
      <c r="J5451" s="17"/>
      <c r="K5451" s="17"/>
      <c r="L5451" s="17"/>
      <c r="M5451" s="17"/>
      <c r="N5451" s="17"/>
      <c r="O5451" s="17"/>
      <c r="P5451" s="17"/>
      <c r="Q5451" s="17"/>
      <c r="R5451" s="17"/>
      <c r="S5451" s="17"/>
      <c r="T5451" s="17"/>
      <c r="U5451" s="17"/>
      <c r="V5451" s="18">
        <v>0</v>
      </c>
      <c r="W5451" s="17">
        <f t="shared" si="153"/>
        <v>0</v>
      </c>
    </row>
    <row r="5452" spans="1:23" x14ac:dyDescent="0.25">
      <c r="A5452" s="17"/>
      <c r="B5452" s="17"/>
      <c r="C5452" s="17"/>
      <c r="D5452" s="17"/>
      <c r="E5452" s="17"/>
      <c r="F5452" s="17"/>
      <c r="G5452" s="17"/>
      <c r="H5452" s="17"/>
      <c r="I5452" s="17"/>
      <c r="J5452" s="17"/>
      <c r="K5452" s="17"/>
      <c r="L5452" s="17"/>
      <c r="M5452" s="17"/>
      <c r="N5452" s="17"/>
      <c r="O5452" s="17"/>
      <c r="P5452" s="17"/>
      <c r="Q5452" s="17"/>
      <c r="R5452" s="17"/>
      <c r="S5452" s="17"/>
      <c r="T5452" s="17"/>
      <c r="U5452" s="17"/>
      <c r="V5452" s="18">
        <v>0</v>
      </c>
      <c r="W5452" s="17">
        <f t="shared" si="153"/>
        <v>0</v>
      </c>
    </row>
    <row r="5453" spans="1:23" x14ac:dyDescent="0.25">
      <c r="A5453" s="17"/>
      <c r="B5453" s="17"/>
      <c r="C5453" s="17"/>
      <c r="D5453" s="17"/>
      <c r="E5453" s="17"/>
      <c r="F5453" s="17"/>
      <c r="G5453" s="17"/>
      <c r="H5453" s="17"/>
      <c r="I5453" s="17"/>
      <c r="J5453" s="17"/>
      <c r="K5453" s="17"/>
      <c r="L5453" s="17"/>
      <c r="M5453" s="17"/>
      <c r="N5453" s="17"/>
      <c r="O5453" s="17"/>
      <c r="P5453" s="17"/>
      <c r="Q5453" s="17"/>
      <c r="R5453" s="17"/>
      <c r="S5453" s="17"/>
      <c r="T5453" s="17"/>
      <c r="U5453" s="17"/>
      <c r="V5453" s="18">
        <v>0</v>
      </c>
      <c r="W5453" s="17">
        <f t="shared" si="153"/>
        <v>0</v>
      </c>
    </row>
    <row r="5454" spans="1:23" x14ac:dyDescent="0.25">
      <c r="A5454" s="17"/>
      <c r="B5454" s="17"/>
      <c r="C5454" s="17"/>
      <c r="D5454" s="17"/>
      <c r="E5454" s="17"/>
      <c r="F5454" s="17"/>
      <c r="G5454" s="17"/>
      <c r="H5454" s="17"/>
      <c r="I5454" s="17"/>
      <c r="J5454" s="17"/>
      <c r="K5454" s="17"/>
      <c r="L5454" s="17"/>
      <c r="M5454" s="17"/>
      <c r="N5454" s="17"/>
      <c r="O5454" s="17"/>
      <c r="P5454" s="17"/>
      <c r="Q5454" s="17"/>
      <c r="R5454" s="17"/>
      <c r="S5454" s="17"/>
      <c r="T5454" s="17"/>
      <c r="U5454" s="17"/>
      <c r="V5454" s="18">
        <v>0</v>
      </c>
      <c r="W5454" s="17">
        <f t="shared" si="153"/>
        <v>0</v>
      </c>
    </row>
    <row r="5455" spans="1:23" x14ac:dyDescent="0.25">
      <c r="A5455" s="17"/>
      <c r="B5455" s="17"/>
      <c r="C5455" s="17"/>
      <c r="D5455" s="17"/>
      <c r="E5455" s="17"/>
      <c r="F5455" s="17"/>
      <c r="G5455" s="17"/>
      <c r="H5455" s="17"/>
      <c r="I5455" s="17"/>
      <c r="J5455" s="17"/>
      <c r="K5455" s="17"/>
      <c r="L5455" s="17"/>
      <c r="M5455" s="17"/>
      <c r="N5455" s="17"/>
      <c r="O5455" s="17"/>
      <c r="P5455" s="17"/>
      <c r="Q5455" s="17"/>
      <c r="R5455" s="17"/>
      <c r="S5455" s="17"/>
      <c r="T5455" s="17"/>
      <c r="U5455" s="17"/>
      <c r="V5455" s="18">
        <v>0</v>
      </c>
      <c r="W5455" s="17">
        <f t="shared" si="153"/>
        <v>0</v>
      </c>
    </row>
    <row r="5456" spans="1:23" x14ac:dyDescent="0.25">
      <c r="A5456" s="17"/>
      <c r="B5456" s="17"/>
      <c r="C5456" s="17"/>
      <c r="D5456" s="17"/>
      <c r="E5456" s="17"/>
      <c r="F5456" s="17"/>
      <c r="G5456" s="17"/>
      <c r="H5456" s="17"/>
      <c r="I5456" s="17"/>
      <c r="J5456" s="17"/>
      <c r="K5456" s="17"/>
      <c r="L5456" s="17"/>
      <c r="M5456" s="17"/>
      <c r="N5456" s="17"/>
      <c r="O5456" s="17"/>
      <c r="P5456" s="17"/>
      <c r="Q5456" s="17"/>
      <c r="R5456" s="17"/>
      <c r="S5456" s="17"/>
      <c r="T5456" s="17"/>
      <c r="U5456" s="17"/>
      <c r="V5456" s="18">
        <v>0</v>
      </c>
      <c r="W5456" s="17">
        <f t="shared" si="153"/>
        <v>0</v>
      </c>
    </row>
    <row r="5457" spans="1:23" x14ac:dyDescent="0.25">
      <c r="A5457" s="17"/>
      <c r="B5457" s="17"/>
      <c r="C5457" s="17"/>
      <c r="D5457" s="17"/>
      <c r="E5457" s="17"/>
      <c r="F5457" s="17"/>
      <c r="G5457" s="17"/>
      <c r="H5457" s="17"/>
      <c r="I5457" s="17"/>
      <c r="J5457" s="17"/>
      <c r="K5457" s="17"/>
      <c r="L5457" s="17"/>
      <c r="M5457" s="17"/>
      <c r="N5457" s="17"/>
      <c r="O5457" s="17"/>
      <c r="P5457" s="17"/>
      <c r="Q5457" s="17"/>
      <c r="R5457" s="17"/>
      <c r="S5457" s="17"/>
      <c r="T5457" s="17"/>
      <c r="U5457" s="17"/>
      <c r="V5457" s="18">
        <v>0</v>
      </c>
      <c r="W5457" s="17">
        <f t="shared" si="153"/>
        <v>0</v>
      </c>
    </row>
    <row r="5458" spans="1:23" x14ac:dyDescent="0.25">
      <c r="A5458" s="17"/>
      <c r="B5458" s="17"/>
      <c r="C5458" s="17"/>
      <c r="D5458" s="17"/>
      <c r="E5458" s="17"/>
      <c r="F5458" s="17"/>
      <c r="G5458" s="17"/>
      <c r="H5458" s="17"/>
      <c r="I5458" s="17"/>
      <c r="J5458" s="17"/>
      <c r="K5458" s="17"/>
      <c r="L5458" s="17"/>
      <c r="M5458" s="17"/>
      <c r="N5458" s="17"/>
      <c r="O5458" s="17"/>
      <c r="P5458" s="17"/>
      <c r="Q5458" s="17"/>
      <c r="R5458" s="17"/>
      <c r="S5458" s="17"/>
      <c r="T5458" s="17"/>
      <c r="U5458" s="17"/>
      <c r="V5458" s="18">
        <v>0</v>
      </c>
      <c r="W5458" s="17">
        <f t="shared" si="153"/>
        <v>0</v>
      </c>
    </row>
    <row r="5459" spans="1:23" x14ac:dyDescent="0.25">
      <c r="A5459" s="17"/>
      <c r="B5459" s="17"/>
      <c r="C5459" s="17"/>
      <c r="D5459" s="17"/>
      <c r="E5459" s="17"/>
      <c r="F5459" s="17"/>
      <c r="G5459" s="17"/>
      <c r="H5459" s="17"/>
      <c r="I5459" s="17"/>
      <c r="J5459" s="17"/>
      <c r="K5459" s="17"/>
      <c r="L5459" s="17"/>
      <c r="M5459" s="17"/>
      <c r="N5459" s="17"/>
      <c r="O5459" s="17"/>
      <c r="P5459" s="17"/>
      <c r="Q5459" s="17"/>
      <c r="R5459" s="17"/>
      <c r="S5459" s="17"/>
      <c r="T5459" s="17"/>
      <c r="U5459" s="17"/>
      <c r="V5459" s="18">
        <v>0</v>
      </c>
      <c r="W5459" s="17">
        <f t="shared" si="153"/>
        <v>0</v>
      </c>
    </row>
    <row r="5460" spans="1:23" x14ac:dyDescent="0.25">
      <c r="A5460" s="17"/>
      <c r="B5460" s="17"/>
      <c r="C5460" s="17"/>
      <c r="D5460" s="17"/>
      <c r="E5460" s="17"/>
      <c r="F5460" s="17"/>
      <c r="G5460" s="17"/>
      <c r="H5460" s="17"/>
      <c r="I5460" s="17"/>
      <c r="J5460" s="17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8">
        <v>0</v>
      </c>
      <c r="W5460" s="17">
        <f t="shared" si="153"/>
        <v>0</v>
      </c>
    </row>
    <row r="5461" spans="1:23" x14ac:dyDescent="0.25">
      <c r="A5461" s="17"/>
      <c r="B5461" s="17"/>
      <c r="C5461" s="17"/>
      <c r="D5461" s="17"/>
      <c r="E5461" s="17"/>
      <c r="F5461" s="17"/>
      <c r="G5461" s="17"/>
      <c r="H5461" s="17"/>
      <c r="I5461" s="17"/>
      <c r="J5461" s="17"/>
      <c r="K5461" s="17"/>
      <c r="L5461" s="17"/>
      <c r="M5461" s="17"/>
      <c r="N5461" s="17"/>
      <c r="O5461" s="17"/>
      <c r="P5461" s="17"/>
      <c r="Q5461" s="17"/>
      <c r="R5461" s="17"/>
      <c r="S5461" s="17"/>
      <c r="T5461" s="17"/>
      <c r="U5461" s="17"/>
      <c r="V5461" s="18">
        <v>0</v>
      </c>
      <c r="W5461" s="17">
        <f t="shared" si="153"/>
        <v>0</v>
      </c>
    </row>
    <row r="5462" spans="1:23" x14ac:dyDescent="0.25">
      <c r="A5462" s="17"/>
      <c r="B5462" s="17"/>
      <c r="C5462" s="17"/>
      <c r="D5462" s="17"/>
      <c r="E5462" s="17"/>
      <c r="F5462" s="17"/>
      <c r="G5462" s="17"/>
      <c r="H5462" s="17"/>
      <c r="I5462" s="17"/>
      <c r="J5462" s="17"/>
      <c r="K5462" s="17"/>
      <c r="L5462" s="17"/>
      <c r="M5462" s="17"/>
      <c r="N5462" s="17"/>
      <c r="O5462" s="17"/>
      <c r="P5462" s="17"/>
      <c r="Q5462" s="17"/>
      <c r="R5462" s="17"/>
      <c r="S5462" s="17"/>
      <c r="T5462" s="17"/>
      <c r="U5462" s="17"/>
      <c r="V5462" s="18">
        <v>0</v>
      </c>
      <c r="W5462" s="17">
        <f t="shared" si="153"/>
        <v>0</v>
      </c>
    </row>
    <row r="5463" spans="1:23" x14ac:dyDescent="0.25">
      <c r="A5463" s="17"/>
      <c r="B5463" s="17"/>
      <c r="C5463" s="17"/>
      <c r="D5463" s="17"/>
      <c r="E5463" s="17"/>
      <c r="F5463" s="17"/>
      <c r="G5463" s="17"/>
      <c r="H5463" s="17"/>
      <c r="I5463" s="17"/>
      <c r="J5463" s="17"/>
      <c r="K5463" s="17"/>
      <c r="L5463" s="17"/>
      <c r="M5463" s="17"/>
      <c r="N5463" s="17"/>
      <c r="O5463" s="17"/>
      <c r="P5463" s="17"/>
      <c r="Q5463" s="17"/>
      <c r="R5463" s="17"/>
      <c r="S5463" s="17"/>
      <c r="T5463" s="17"/>
      <c r="U5463" s="17"/>
      <c r="V5463" s="18">
        <v>0</v>
      </c>
      <c r="W5463" s="17">
        <f t="shared" si="153"/>
        <v>0</v>
      </c>
    </row>
    <row r="5464" spans="1:23" x14ac:dyDescent="0.25">
      <c r="A5464" s="17"/>
      <c r="B5464" s="17"/>
      <c r="C5464" s="17"/>
      <c r="D5464" s="17"/>
      <c r="E5464" s="17"/>
      <c r="F5464" s="17"/>
      <c r="G5464" s="17"/>
      <c r="H5464" s="17"/>
      <c r="I5464" s="17"/>
      <c r="J5464" s="17"/>
      <c r="K5464" s="17"/>
      <c r="L5464" s="17"/>
      <c r="M5464" s="17"/>
      <c r="N5464" s="17"/>
      <c r="O5464" s="17"/>
      <c r="P5464" s="17"/>
      <c r="Q5464" s="17"/>
      <c r="R5464" s="17"/>
      <c r="S5464" s="17"/>
      <c r="T5464" s="17"/>
      <c r="U5464" s="17"/>
      <c r="V5464" s="18">
        <v>0</v>
      </c>
      <c r="W5464" s="17">
        <f t="shared" si="153"/>
        <v>0</v>
      </c>
    </row>
    <row r="5465" spans="1:23" x14ac:dyDescent="0.25">
      <c r="A5465" s="17"/>
      <c r="B5465" s="17"/>
      <c r="C5465" s="17"/>
      <c r="D5465" s="17"/>
      <c r="E5465" s="17"/>
      <c r="F5465" s="17"/>
      <c r="G5465" s="17"/>
      <c r="H5465" s="17"/>
      <c r="I5465" s="17"/>
      <c r="J5465" s="17"/>
      <c r="K5465" s="17"/>
      <c r="L5465" s="17"/>
      <c r="M5465" s="17"/>
      <c r="N5465" s="17"/>
      <c r="O5465" s="17"/>
      <c r="P5465" s="17"/>
      <c r="Q5465" s="17"/>
      <c r="R5465" s="17"/>
      <c r="S5465" s="17"/>
      <c r="T5465" s="17"/>
      <c r="U5465" s="17"/>
      <c r="V5465" s="18">
        <v>0</v>
      </c>
      <c r="W5465" s="17">
        <f t="shared" si="153"/>
        <v>0</v>
      </c>
    </row>
    <row r="5466" spans="1:23" x14ac:dyDescent="0.25">
      <c r="A5466" s="17"/>
      <c r="B5466" s="17"/>
      <c r="C5466" s="17"/>
      <c r="D5466" s="17"/>
      <c r="E5466" s="17"/>
      <c r="F5466" s="17"/>
      <c r="G5466" s="17"/>
      <c r="H5466" s="17"/>
      <c r="I5466" s="17"/>
      <c r="J5466" s="17"/>
      <c r="K5466" s="17"/>
      <c r="L5466" s="17"/>
      <c r="M5466" s="17"/>
      <c r="N5466" s="17"/>
      <c r="O5466" s="17"/>
      <c r="P5466" s="17"/>
      <c r="Q5466" s="17"/>
      <c r="R5466" s="17"/>
      <c r="S5466" s="17"/>
      <c r="T5466" s="17"/>
      <c r="U5466" s="17"/>
      <c r="V5466" s="18">
        <v>0</v>
      </c>
      <c r="W5466" s="17">
        <f t="shared" si="153"/>
        <v>0</v>
      </c>
    </row>
    <row r="5467" spans="1:23" x14ac:dyDescent="0.25">
      <c r="A5467" s="17"/>
      <c r="B5467" s="17"/>
      <c r="C5467" s="17"/>
      <c r="D5467" s="17"/>
      <c r="E5467" s="17"/>
      <c r="F5467" s="17"/>
      <c r="G5467" s="17"/>
      <c r="H5467" s="17"/>
      <c r="I5467" s="17"/>
      <c r="J5467" s="17"/>
      <c r="K5467" s="17"/>
      <c r="L5467" s="17"/>
      <c r="M5467" s="17"/>
      <c r="N5467" s="17"/>
      <c r="O5467" s="17"/>
      <c r="P5467" s="17"/>
      <c r="Q5467" s="17"/>
      <c r="R5467" s="17"/>
      <c r="S5467" s="17"/>
      <c r="T5467" s="17"/>
      <c r="U5467" s="17"/>
      <c r="V5467" s="18">
        <v>0</v>
      </c>
      <c r="W5467" s="17">
        <f t="shared" si="153"/>
        <v>0</v>
      </c>
    </row>
    <row r="5468" spans="1:23" x14ac:dyDescent="0.25">
      <c r="A5468" s="17"/>
      <c r="B5468" s="17"/>
      <c r="C5468" s="17"/>
      <c r="D5468" s="17"/>
      <c r="E5468" s="17"/>
      <c r="F5468" s="17"/>
      <c r="G5468" s="17"/>
      <c r="H5468" s="17"/>
      <c r="I5468" s="17"/>
      <c r="J5468" s="17"/>
      <c r="K5468" s="17"/>
      <c r="L5468" s="17"/>
      <c r="M5468" s="17"/>
      <c r="N5468" s="17"/>
      <c r="O5468" s="17"/>
      <c r="P5468" s="17"/>
      <c r="Q5468" s="17"/>
      <c r="R5468" s="17"/>
      <c r="S5468" s="17"/>
      <c r="T5468" s="17"/>
      <c r="U5468" s="17"/>
      <c r="V5468" s="18">
        <v>0</v>
      </c>
      <c r="W5468" s="17">
        <f t="shared" si="153"/>
        <v>0</v>
      </c>
    </row>
    <row r="5469" spans="1:23" x14ac:dyDescent="0.25">
      <c r="A5469" s="17"/>
      <c r="B5469" s="17"/>
      <c r="C5469" s="17"/>
      <c r="D5469" s="17"/>
      <c r="E5469" s="17"/>
      <c r="F5469" s="17"/>
      <c r="G5469" s="17"/>
      <c r="H5469" s="17"/>
      <c r="I5469" s="17"/>
      <c r="J5469" s="17"/>
      <c r="K5469" s="17"/>
      <c r="L5469" s="17"/>
      <c r="M5469" s="17"/>
      <c r="N5469" s="17"/>
      <c r="O5469" s="17"/>
      <c r="P5469" s="17"/>
      <c r="Q5469" s="17"/>
      <c r="R5469" s="17"/>
      <c r="S5469" s="17"/>
      <c r="T5469" s="17"/>
      <c r="U5469" s="17"/>
      <c r="V5469" s="18">
        <v>0</v>
      </c>
      <c r="W5469" s="17">
        <f t="shared" si="153"/>
        <v>0</v>
      </c>
    </row>
    <row r="5470" spans="1:23" x14ac:dyDescent="0.25">
      <c r="A5470" s="17"/>
      <c r="B5470" s="17"/>
      <c r="C5470" s="17"/>
      <c r="D5470" s="17"/>
      <c r="E5470" s="17"/>
      <c r="F5470" s="17"/>
      <c r="G5470" s="17"/>
      <c r="H5470" s="17"/>
      <c r="I5470" s="17"/>
      <c r="J5470" s="17"/>
      <c r="K5470" s="17"/>
      <c r="L5470" s="17"/>
      <c r="M5470" s="17"/>
      <c r="N5470" s="17"/>
      <c r="O5470" s="17"/>
      <c r="P5470" s="17"/>
      <c r="Q5470" s="17"/>
      <c r="R5470" s="17"/>
      <c r="S5470" s="17"/>
      <c r="T5470" s="17"/>
      <c r="U5470" s="17"/>
      <c r="V5470" s="18">
        <v>0</v>
      </c>
      <c r="W5470" s="17">
        <f t="shared" si="153"/>
        <v>0</v>
      </c>
    </row>
    <row r="5471" spans="1:23" x14ac:dyDescent="0.25">
      <c r="A5471" s="17"/>
      <c r="B5471" s="17"/>
      <c r="C5471" s="17"/>
      <c r="D5471" s="17"/>
      <c r="E5471" s="17"/>
      <c r="F5471" s="17"/>
      <c r="G5471" s="17"/>
      <c r="H5471" s="17"/>
      <c r="I5471" s="17"/>
      <c r="J5471" s="17"/>
      <c r="K5471" s="17"/>
      <c r="L5471" s="17"/>
      <c r="M5471" s="17"/>
      <c r="N5471" s="17"/>
      <c r="O5471" s="17"/>
      <c r="P5471" s="17"/>
      <c r="Q5471" s="17"/>
      <c r="R5471" s="17"/>
      <c r="S5471" s="17"/>
      <c r="T5471" s="17"/>
      <c r="U5471" s="17"/>
      <c r="V5471" s="18">
        <v>0</v>
      </c>
      <c r="W5471" s="17">
        <f t="shared" si="153"/>
        <v>0</v>
      </c>
    </row>
    <row r="5472" spans="1:23" x14ac:dyDescent="0.25">
      <c r="A5472" s="17"/>
      <c r="B5472" s="17"/>
      <c r="C5472" s="17"/>
      <c r="D5472" s="17"/>
      <c r="E5472" s="17"/>
      <c r="F5472" s="17"/>
      <c r="G5472" s="17"/>
      <c r="H5472" s="17"/>
      <c r="I5472" s="17"/>
      <c r="J5472" s="17"/>
      <c r="K5472" s="17"/>
      <c r="L5472" s="17"/>
      <c r="M5472" s="17"/>
      <c r="N5472" s="17"/>
      <c r="O5472" s="17"/>
      <c r="P5472" s="17"/>
      <c r="Q5472" s="17"/>
      <c r="R5472" s="17"/>
      <c r="S5472" s="17"/>
      <c r="T5472" s="17"/>
      <c r="U5472" s="17"/>
      <c r="V5472" s="18">
        <v>0</v>
      </c>
      <c r="W5472" s="17">
        <f t="shared" si="153"/>
        <v>0</v>
      </c>
    </row>
    <row r="5473" spans="1:23" x14ac:dyDescent="0.25">
      <c r="A5473" s="17"/>
      <c r="B5473" s="17"/>
      <c r="C5473" s="17"/>
      <c r="D5473" s="17"/>
      <c r="E5473" s="17"/>
      <c r="F5473" s="17"/>
      <c r="G5473" s="17"/>
      <c r="H5473" s="17"/>
      <c r="I5473" s="17"/>
      <c r="J5473" s="17"/>
      <c r="K5473" s="17"/>
      <c r="L5473" s="17"/>
      <c r="M5473" s="17"/>
      <c r="N5473" s="17"/>
      <c r="O5473" s="17"/>
      <c r="P5473" s="17"/>
      <c r="Q5473" s="17"/>
      <c r="R5473" s="17"/>
      <c r="S5473" s="17"/>
      <c r="T5473" s="17"/>
      <c r="U5473" s="17"/>
      <c r="V5473" s="18">
        <v>0</v>
      </c>
      <c r="W5473" s="17">
        <f t="shared" si="153"/>
        <v>0</v>
      </c>
    </row>
    <row r="5474" spans="1:23" x14ac:dyDescent="0.25">
      <c r="A5474" s="17"/>
      <c r="B5474" s="17"/>
      <c r="C5474" s="17"/>
      <c r="D5474" s="17"/>
      <c r="E5474" s="17"/>
      <c r="F5474" s="17"/>
      <c r="G5474" s="17"/>
      <c r="H5474" s="17"/>
      <c r="I5474" s="17"/>
      <c r="J5474" s="17"/>
      <c r="K5474" s="17"/>
      <c r="L5474" s="17"/>
      <c r="M5474" s="17"/>
      <c r="N5474" s="17"/>
      <c r="O5474" s="17"/>
      <c r="P5474" s="17"/>
      <c r="Q5474" s="17"/>
      <c r="R5474" s="17"/>
      <c r="S5474" s="17"/>
      <c r="T5474" s="17"/>
      <c r="U5474" s="17"/>
      <c r="V5474" s="18">
        <v>0</v>
      </c>
      <c r="W5474" s="17">
        <f t="shared" si="153"/>
        <v>0</v>
      </c>
    </row>
    <row r="5475" spans="1:23" x14ac:dyDescent="0.25">
      <c r="A5475" s="17"/>
      <c r="B5475" s="17"/>
      <c r="C5475" s="17"/>
      <c r="D5475" s="17"/>
      <c r="E5475" s="17"/>
      <c r="F5475" s="17"/>
      <c r="G5475" s="17"/>
      <c r="H5475" s="17"/>
      <c r="I5475" s="17"/>
      <c r="J5475" s="17"/>
      <c r="K5475" s="17"/>
      <c r="L5475" s="17"/>
      <c r="M5475" s="17"/>
      <c r="N5475" s="17"/>
      <c r="O5475" s="17"/>
      <c r="P5475" s="17"/>
      <c r="Q5475" s="17"/>
      <c r="R5475" s="17"/>
      <c r="S5475" s="17"/>
      <c r="T5475" s="17"/>
      <c r="U5475" s="17"/>
      <c r="V5475" s="18">
        <v>0</v>
      </c>
      <c r="W5475" s="17">
        <f t="shared" si="153"/>
        <v>0</v>
      </c>
    </row>
    <row r="5476" spans="1:23" x14ac:dyDescent="0.25">
      <c r="A5476" s="17"/>
      <c r="B5476" s="17"/>
      <c r="C5476" s="17"/>
      <c r="D5476" s="17"/>
      <c r="E5476" s="17"/>
      <c r="F5476" s="17"/>
      <c r="G5476" s="17"/>
      <c r="H5476" s="17"/>
      <c r="I5476" s="17"/>
      <c r="J5476" s="17"/>
      <c r="K5476" s="17"/>
      <c r="L5476" s="17"/>
      <c r="M5476" s="17"/>
      <c r="N5476" s="17"/>
      <c r="O5476" s="17"/>
      <c r="P5476" s="17"/>
      <c r="Q5476" s="17"/>
      <c r="R5476" s="17"/>
      <c r="S5476" s="17"/>
      <c r="T5476" s="17"/>
      <c r="U5476" s="17"/>
      <c r="V5476" s="18">
        <v>0</v>
      </c>
      <c r="W5476" s="17">
        <f t="shared" si="153"/>
        <v>0</v>
      </c>
    </row>
    <row r="5477" spans="1:23" x14ac:dyDescent="0.25">
      <c r="A5477" s="17"/>
      <c r="B5477" s="17"/>
      <c r="C5477" s="17"/>
      <c r="D5477" s="17"/>
      <c r="E5477" s="17"/>
      <c r="F5477" s="17"/>
      <c r="G5477" s="17"/>
      <c r="H5477" s="17"/>
      <c r="I5477" s="17"/>
      <c r="J5477" s="17"/>
      <c r="K5477" s="17"/>
      <c r="L5477" s="17"/>
      <c r="M5477" s="17"/>
      <c r="N5477" s="17"/>
      <c r="O5477" s="17"/>
      <c r="P5477" s="17"/>
      <c r="Q5477" s="17"/>
      <c r="R5477" s="17"/>
      <c r="S5477" s="17"/>
      <c r="T5477" s="17"/>
      <c r="U5477" s="17"/>
      <c r="V5477" s="18">
        <v>0</v>
      </c>
      <c r="W5477" s="17">
        <f t="shared" si="153"/>
        <v>0</v>
      </c>
    </row>
    <row r="5478" spans="1:23" x14ac:dyDescent="0.25">
      <c r="A5478" s="17"/>
      <c r="B5478" s="17"/>
      <c r="C5478" s="17"/>
      <c r="D5478" s="17"/>
      <c r="E5478" s="17"/>
      <c r="F5478" s="17"/>
      <c r="G5478" s="17"/>
      <c r="H5478" s="17"/>
      <c r="I5478" s="17"/>
      <c r="J5478" s="17"/>
      <c r="K5478" s="17"/>
      <c r="L5478" s="17"/>
      <c r="M5478" s="17"/>
      <c r="N5478" s="17"/>
      <c r="O5478" s="17"/>
      <c r="P5478" s="17"/>
      <c r="Q5478" s="17"/>
      <c r="R5478" s="17"/>
      <c r="S5478" s="17"/>
      <c r="T5478" s="17"/>
      <c r="U5478" s="17"/>
      <c r="V5478" s="18">
        <v>0</v>
      </c>
      <c r="W5478" s="17">
        <f t="shared" si="153"/>
        <v>0</v>
      </c>
    </row>
    <row r="5479" spans="1:23" x14ac:dyDescent="0.25">
      <c r="A5479" s="17"/>
      <c r="B5479" s="17"/>
      <c r="C5479" s="17"/>
      <c r="D5479" s="17"/>
      <c r="E5479" s="17"/>
      <c r="F5479" s="17"/>
      <c r="G5479" s="17"/>
      <c r="H5479" s="17"/>
      <c r="I5479" s="17"/>
      <c r="J5479" s="17"/>
      <c r="K5479" s="17"/>
      <c r="L5479" s="17"/>
      <c r="M5479" s="17"/>
      <c r="N5479" s="17"/>
      <c r="O5479" s="17"/>
      <c r="P5479" s="17"/>
      <c r="Q5479" s="17"/>
      <c r="R5479" s="17"/>
      <c r="S5479" s="17"/>
      <c r="T5479" s="17"/>
      <c r="U5479" s="17"/>
      <c r="V5479" s="18">
        <v>0</v>
      </c>
      <c r="W5479" s="17">
        <f t="shared" si="153"/>
        <v>0</v>
      </c>
    </row>
    <row r="5480" spans="1:23" x14ac:dyDescent="0.25">
      <c r="A5480" s="17"/>
      <c r="B5480" s="17"/>
      <c r="C5480" s="17"/>
      <c r="D5480" s="17"/>
      <c r="E5480" s="17"/>
      <c r="F5480" s="17"/>
      <c r="G5480" s="17"/>
      <c r="H5480" s="17"/>
      <c r="I5480" s="17"/>
      <c r="J5480" s="17"/>
      <c r="K5480" s="17"/>
      <c r="L5480" s="17"/>
      <c r="M5480" s="17"/>
      <c r="N5480" s="17"/>
      <c r="O5480" s="17"/>
      <c r="P5480" s="17"/>
      <c r="Q5480" s="17"/>
      <c r="R5480" s="17"/>
      <c r="S5480" s="17"/>
      <c r="T5480" s="17"/>
      <c r="U5480" s="17"/>
      <c r="V5480" s="18">
        <v>0</v>
      </c>
      <c r="W5480" s="17">
        <f t="shared" si="153"/>
        <v>0</v>
      </c>
    </row>
    <row r="5481" spans="1:23" x14ac:dyDescent="0.25">
      <c r="A5481" s="17"/>
      <c r="B5481" s="17"/>
      <c r="C5481" s="17"/>
      <c r="D5481" s="17"/>
      <c r="E5481" s="17"/>
      <c r="F5481" s="17"/>
      <c r="G5481" s="17"/>
      <c r="H5481" s="17"/>
      <c r="I5481" s="17"/>
      <c r="J5481" s="17"/>
      <c r="K5481" s="17"/>
      <c r="L5481" s="17"/>
      <c r="M5481" s="17"/>
      <c r="N5481" s="17"/>
      <c r="O5481" s="17"/>
      <c r="P5481" s="17"/>
      <c r="Q5481" s="17"/>
      <c r="R5481" s="17"/>
      <c r="S5481" s="17"/>
      <c r="T5481" s="17"/>
      <c r="U5481" s="17"/>
      <c r="V5481" s="18">
        <v>0</v>
      </c>
      <c r="W5481" s="17">
        <f t="shared" si="153"/>
        <v>0</v>
      </c>
    </row>
    <row r="5482" spans="1:23" x14ac:dyDescent="0.25">
      <c r="A5482" s="17"/>
      <c r="B5482" s="17"/>
      <c r="C5482" s="17"/>
      <c r="D5482" s="17"/>
      <c r="E5482" s="17"/>
      <c r="F5482" s="17"/>
      <c r="G5482" s="17"/>
      <c r="H5482" s="17"/>
      <c r="I5482" s="17"/>
      <c r="J5482" s="17"/>
      <c r="K5482" s="17"/>
      <c r="L5482" s="17"/>
      <c r="M5482" s="17"/>
      <c r="N5482" s="17"/>
      <c r="O5482" s="17"/>
      <c r="P5482" s="17"/>
      <c r="Q5482" s="17"/>
      <c r="R5482" s="17"/>
      <c r="S5482" s="17"/>
      <c r="T5482" s="17"/>
      <c r="U5482" s="17"/>
      <c r="V5482" s="18">
        <v>0</v>
      </c>
      <c r="W5482" s="17">
        <f t="shared" si="153"/>
        <v>0</v>
      </c>
    </row>
    <row r="5483" spans="1:23" x14ac:dyDescent="0.25">
      <c r="A5483" s="17"/>
      <c r="B5483" s="17"/>
      <c r="C5483" s="17"/>
      <c r="D5483" s="17"/>
      <c r="E5483" s="17"/>
      <c r="F5483" s="17"/>
      <c r="G5483" s="17"/>
      <c r="H5483" s="17"/>
      <c r="I5483" s="17"/>
      <c r="J5483" s="17"/>
      <c r="K5483" s="17"/>
      <c r="L5483" s="17"/>
      <c r="M5483" s="17"/>
      <c r="N5483" s="17"/>
      <c r="O5483" s="17"/>
      <c r="P5483" s="17"/>
      <c r="Q5483" s="17"/>
      <c r="R5483" s="17"/>
      <c r="S5483" s="17"/>
      <c r="T5483" s="17"/>
      <c r="U5483" s="17"/>
      <c r="V5483" s="18">
        <v>0</v>
      </c>
      <c r="W5483" s="17">
        <f t="shared" si="153"/>
        <v>0</v>
      </c>
    </row>
    <row r="5484" spans="1:23" x14ac:dyDescent="0.25">
      <c r="A5484" s="17"/>
      <c r="B5484" s="17"/>
      <c r="C5484" s="17"/>
      <c r="D5484" s="17"/>
      <c r="E5484" s="17"/>
      <c r="F5484" s="17"/>
      <c r="G5484" s="17"/>
      <c r="H5484" s="17"/>
      <c r="I5484" s="17"/>
      <c r="J5484" s="17"/>
      <c r="K5484" s="17"/>
      <c r="L5484" s="17"/>
      <c r="M5484" s="17"/>
      <c r="N5484" s="17"/>
      <c r="O5484" s="17"/>
      <c r="P5484" s="17"/>
      <c r="Q5484" s="17"/>
      <c r="R5484" s="17"/>
      <c r="S5484" s="17"/>
      <c r="T5484" s="17"/>
      <c r="U5484" s="17"/>
      <c r="V5484" s="18">
        <v>0</v>
      </c>
      <c r="W5484" s="17">
        <f t="shared" si="153"/>
        <v>0</v>
      </c>
    </row>
    <row r="5485" spans="1:23" x14ac:dyDescent="0.25">
      <c r="A5485" s="17"/>
      <c r="B5485" s="17"/>
      <c r="C5485" s="17"/>
      <c r="D5485" s="17"/>
      <c r="E5485" s="17"/>
      <c r="F5485" s="17"/>
      <c r="G5485" s="17"/>
      <c r="H5485" s="17"/>
      <c r="I5485" s="17"/>
      <c r="J5485" s="17"/>
      <c r="K5485" s="17"/>
      <c r="L5485" s="17"/>
      <c r="M5485" s="17"/>
      <c r="N5485" s="17"/>
      <c r="O5485" s="17"/>
      <c r="P5485" s="17"/>
      <c r="Q5485" s="17"/>
      <c r="R5485" s="17"/>
      <c r="S5485" s="17"/>
      <c r="T5485" s="17"/>
      <c r="U5485" s="17"/>
      <c r="V5485" s="18">
        <v>0</v>
      </c>
      <c r="W5485" s="17">
        <f t="shared" si="153"/>
        <v>0</v>
      </c>
    </row>
    <row r="5486" spans="1:23" x14ac:dyDescent="0.25">
      <c r="A5486" s="17"/>
      <c r="B5486" s="17"/>
      <c r="C5486" s="17"/>
      <c r="D5486" s="17"/>
      <c r="E5486" s="17"/>
      <c r="F5486" s="17"/>
      <c r="G5486" s="17"/>
      <c r="H5486" s="17"/>
      <c r="I5486" s="17"/>
      <c r="J5486" s="17"/>
      <c r="K5486" s="17"/>
      <c r="L5486" s="17"/>
      <c r="M5486" s="17"/>
      <c r="N5486" s="17"/>
      <c r="O5486" s="17"/>
      <c r="P5486" s="17"/>
      <c r="Q5486" s="17"/>
      <c r="R5486" s="17"/>
      <c r="S5486" s="17"/>
      <c r="T5486" s="17"/>
      <c r="U5486" s="17"/>
      <c r="V5486" s="18">
        <v>0</v>
      </c>
      <c r="W5486" s="17">
        <f t="shared" si="153"/>
        <v>0</v>
      </c>
    </row>
    <row r="5487" spans="1:23" x14ac:dyDescent="0.25">
      <c r="A5487" s="17"/>
      <c r="B5487" s="17"/>
      <c r="C5487" s="17"/>
      <c r="D5487" s="17"/>
      <c r="E5487" s="17"/>
      <c r="F5487" s="17"/>
      <c r="G5487" s="17"/>
      <c r="H5487" s="17"/>
      <c r="I5487" s="17"/>
      <c r="J5487" s="17"/>
      <c r="K5487" s="17"/>
      <c r="L5487" s="17"/>
      <c r="M5487" s="17"/>
      <c r="N5487" s="17"/>
      <c r="O5487" s="17"/>
      <c r="P5487" s="17"/>
      <c r="Q5487" s="17"/>
      <c r="R5487" s="17"/>
      <c r="S5487" s="17"/>
      <c r="T5487" s="17"/>
      <c r="U5487" s="17"/>
      <c r="V5487" s="18">
        <v>0</v>
      </c>
      <c r="W5487" s="17">
        <f t="shared" si="153"/>
        <v>0</v>
      </c>
    </row>
    <row r="5488" spans="1:23" x14ac:dyDescent="0.25">
      <c r="A5488" s="17"/>
      <c r="B5488" s="17"/>
      <c r="C5488" s="17"/>
      <c r="D5488" s="17"/>
      <c r="E5488" s="17"/>
      <c r="F5488" s="17"/>
      <c r="G5488" s="17"/>
      <c r="H5488" s="17"/>
      <c r="I5488" s="17"/>
      <c r="J5488" s="17"/>
      <c r="K5488" s="17"/>
      <c r="L5488" s="17"/>
      <c r="M5488" s="17"/>
      <c r="N5488" s="17"/>
      <c r="O5488" s="17"/>
      <c r="P5488" s="17"/>
      <c r="Q5488" s="17"/>
      <c r="R5488" s="17"/>
      <c r="S5488" s="17"/>
      <c r="T5488" s="17"/>
      <c r="U5488" s="17"/>
      <c r="V5488" s="18">
        <v>0</v>
      </c>
      <c r="W5488" s="17">
        <f t="shared" si="153"/>
        <v>0</v>
      </c>
    </row>
    <row r="5489" spans="1:23" x14ac:dyDescent="0.25">
      <c r="A5489" s="17"/>
      <c r="B5489" s="17"/>
      <c r="C5489" s="17"/>
      <c r="D5489" s="17"/>
      <c r="E5489" s="17"/>
      <c r="F5489" s="17"/>
      <c r="G5489" s="17"/>
      <c r="H5489" s="17"/>
      <c r="I5489" s="17"/>
      <c r="J5489" s="17"/>
      <c r="K5489" s="17"/>
      <c r="L5489" s="17"/>
      <c r="M5489" s="17"/>
      <c r="N5489" s="17"/>
      <c r="O5489" s="17"/>
      <c r="P5489" s="17"/>
      <c r="Q5489" s="17"/>
      <c r="R5489" s="17"/>
      <c r="S5489" s="17"/>
      <c r="T5489" s="17"/>
      <c r="U5489" s="17"/>
      <c r="V5489" s="18">
        <v>0</v>
      </c>
      <c r="W5489" s="17">
        <f t="shared" si="153"/>
        <v>0</v>
      </c>
    </row>
    <row r="5490" spans="1:23" x14ac:dyDescent="0.25">
      <c r="A5490" s="17"/>
      <c r="B5490" s="17"/>
      <c r="C5490" s="17"/>
      <c r="D5490" s="17"/>
      <c r="E5490" s="17"/>
      <c r="F5490" s="17"/>
      <c r="G5490" s="17"/>
      <c r="H5490" s="17"/>
      <c r="I5490" s="17"/>
      <c r="J5490" s="17"/>
      <c r="K5490" s="17"/>
      <c r="L5490" s="17"/>
      <c r="M5490" s="17"/>
      <c r="N5490" s="17"/>
      <c r="O5490" s="17"/>
      <c r="P5490" s="17"/>
      <c r="Q5490" s="17"/>
      <c r="R5490" s="17"/>
      <c r="S5490" s="17"/>
      <c r="T5490" s="17"/>
      <c r="U5490" s="17"/>
      <c r="V5490" s="18">
        <v>0</v>
      </c>
      <c r="W5490" s="17">
        <f t="shared" si="153"/>
        <v>0</v>
      </c>
    </row>
    <row r="5491" spans="1:23" x14ac:dyDescent="0.25">
      <c r="A5491" s="17"/>
      <c r="B5491" s="17"/>
      <c r="C5491" s="17"/>
      <c r="D5491" s="17"/>
      <c r="E5491" s="17"/>
      <c r="F5491" s="17"/>
      <c r="G5491" s="17"/>
      <c r="H5491" s="17"/>
      <c r="I5491" s="17"/>
      <c r="J5491" s="17"/>
      <c r="K5491" s="17"/>
      <c r="L5491" s="17"/>
      <c r="M5491" s="17"/>
      <c r="N5491" s="17"/>
      <c r="O5491" s="17"/>
      <c r="P5491" s="17"/>
      <c r="Q5491" s="17"/>
      <c r="R5491" s="17"/>
      <c r="S5491" s="17"/>
      <c r="T5491" s="17"/>
      <c r="U5491" s="17"/>
      <c r="V5491" s="18">
        <v>0</v>
      </c>
      <c r="W5491" s="17">
        <f t="shared" si="153"/>
        <v>0</v>
      </c>
    </row>
    <row r="5492" spans="1:23" x14ac:dyDescent="0.25">
      <c r="A5492" s="17"/>
      <c r="B5492" s="17"/>
      <c r="C5492" s="17"/>
      <c r="D5492" s="17"/>
      <c r="E5492" s="17"/>
      <c r="F5492" s="17"/>
      <c r="G5492" s="17"/>
      <c r="H5492" s="17"/>
      <c r="I5492" s="17"/>
      <c r="J5492" s="17"/>
      <c r="K5492" s="17"/>
      <c r="L5492" s="17"/>
      <c r="M5492" s="17"/>
      <c r="N5492" s="17"/>
      <c r="O5492" s="17"/>
      <c r="P5492" s="17"/>
      <c r="Q5492" s="17"/>
      <c r="R5492" s="17"/>
      <c r="S5492" s="17"/>
      <c r="T5492" s="17"/>
      <c r="U5492" s="17"/>
      <c r="V5492" s="18">
        <v>0</v>
      </c>
      <c r="W5492" s="17">
        <f t="shared" si="153"/>
        <v>0</v>
      </c>
    </row>
    <row r="5493" spans="1:23" x14ac:dyDescent="0.25">
      <c r="A5493" s="17"/>
      <c r="B5493" s="17"/>
      <c r="C5493" s="17"/>
      <c r="D5493" s="17"/>
      <c r="E5493" s="17"/>
      <c r="F5493" s="17"/>
      <c r="G5493" s="17"/>
      <c r="H5493" s="17"/>
      <c r="I5493" s="17"/>
      <c r="J5493" s="17"/>
      <c r="K5493" s="17"/>
      <c r="L5493" s="17"/>
      <c r="M5493" s="17"/>
      <c r="N5493" s="17"/>
      <c r="O5493" s="17"/>
      <c r="P5493" s="17"/>
      <c r="Q5493" s="17"/>
      <c r="R5493" s="17"/>
      <c r="S5493" s="17"/>
      <c r="T5493" s="17"/>
      <c r="U5493" s="17"/>
      <c r="V5493" s="18">
        <v>0</v>
      </c>
      <c r="W5493" s="17">
        <f t="shared" si="153"/>
        <v>0</v>
      </c>
    </row>
    <row r="5494" spans="1:23" x14ac:dyDescent="0.25">
      <c r="A5494" s="17"/>
      <c r="B5494" s="17"/>
      <c r="C5494" s="17"/>
      <c r="D5494" s="17"/>
      <c r="E5494" s="17"/>
      <c r="F5494" s="17"/>
      <c r="G5494" s="17"/>
      <c r="H5494" s="17"/>
      <c r="I5494" s="17"/>
      <c r="J5494" s="17"/>
      <c r="K5494" s="17"/>
      <c r="L5494" s="17"/>
      <c r="M5494" s="17"/>
      <c r="N5494" s="17"/>
      <c r="O5494" s="17"/>
      <c r="P5494" s="17"/>
      <c r="Q5494" s="17"/>
      <c r="R5494" s="17"/>
      <c r="S5494" s="17"/>
      <c r="T5494" s="17"/>
      <c r="U5494" s="17"/>
      <c r="V5494" s="18">
        <v>0</v>
      </c>
      <c r="W5494" s="17">
        <f t="shared" si="153"/>
        <v>0</v>
      </c>
    </row>
    <row r="5495" spans="1:23" x14ac:dyDescent="0.25">
      <c r="A5495" s="17"/>
      <c r="B5495" s="17"/>
      <c r="C5495" s="17"/>
      <c r="D5495" s="17"/>
      <c r="E5495" s="17"/>
      <c r="F5495" s="17"/>
      <c r="G5495" s="17"/>
      <c r="H5495" s="17"/>
      <c r="I5495" s="17"/>
      <c r="J5495" s="17"/>
      <c r="K5495" s="17"/>
      <c r="L5495" s="17"/>
      <c r="M5495" s="17"/>
      <c r="N5495" s="17"/>
      <c r="O5495" s="17"/>
      <c r="P5495" s="17"/>
      <c r="Q5495" s="17"/>
      <c r="R5495" s="17"/>
      <c r="S5495" s="17"/>
      <c r="T5495" s="17"/>
      <c r="U5495" s="17"/>
      <c r="V5495" s="18">
        <v>0</v>
      </c>
      <c r="W5495" s="17">
        <f t="shared" si="153"/>
        <v>0</v>
      </c>
    </row>
    <row r="5496" spans="1:23" x14ac:dyDescent="0.25">
      <c r="A5496" s="17"/>
      <c r="B5496" s="17"/>
      <c r="C5496" s="17"/>
      <c r="D5496" s="17"/>
      <c r="E5496" s="17"/>
      <c r="F5496" s="17"/>
      <c r="G5496" s="17"/>
      <c r="H5496" s="17"/>
      <c r="I5496" s="17"/>
      <c r="J5496" s="17"/>
      <c r="K5496" s="17"/>
      <c r="L5496" s="17"/>
      <c r="M5496" s="17"/>
      <c r="N5496" s="17"/>
      <c r="O5496" s="17"/>
      <c r="P5496" s="17"/>
      <c r="Q5496" s="17"/>
      <c r="R5496" s="17"/>
      <c r="S5496" s="17"/>
      <c r="T5496" s="17"/>
      <c r="U5496" s="17"/>
      <c r="V5496" s="18">
        <v>0</v>
      </c>
      <c r="W5496" s="17">
        <f t="shared" si="153"/>
        <v>0</v>
      </c>
    </row>
    <row r="5497" spans="1:23" x14ac:dyDescent="0.25">
      <c r="A5497" s="17"/>
      <c r="B5497" s="17"/>
      <c r="C5497" s="17"/>
      <c r="D5497" s="17"/>
      <c r="E5497" s="17"/>
      <c r="F5497" s="17"/>
      <c r="G5497" s="17"/>
      <c r="H5497" s="17"/>
      <c r="I5497" s="17"/>
      <c r="J5497" s="17"/>
      <c r="K5497" s="17"/>
      <c r="L5497" s="17"/>
      <c r="M5497" s="17"/>
      <c r="N5497" s="17"/>
      <c r="O5497" s="17"/>
      <c r="P5497" s="17"/>
      <c r="Q5497" s="17"/>
      <c r="R5497" s="17"/>
      <c r="S5497" s="17"/>
      <c r="T5497" s="17"/>
      <c r="U5497" s="17"/>
      <c r="V5497" s="18">
        <v>0</v>
      </c>
      <c r="W5497" s="17">
        <f t="shared" si="153"/>
        <v>0</v>
      </c>
    </row>
    <row r="5498" spans="1:23" x14ac:dyDescent="0.25">
      <c r="A5498" s="17"/>
      <c r="B5498" s="17"/>
      <c r="C5498" s="17"/>
      <c r="D5498" s="17"/>
      <c r="E5498" s="17"/>
      <c r="F5498" s="17"/>
      <c r="G5498" s="17"/>
      <c r="H5498" s="17"/>
      <c r="I5498" s="17"/>
      <c r="J5498" s="17"/>
      <c r="K5498" s="17"/>
      <c r="L5498" s="17"/>
      <c r="M5498" s="17"/>
      <c r="N5498" s="17"/>
      <c r="O5498" s="17"/>
      <c r="P5498" s="17"/>
      <c r="Q5498" s="17"/>
      <c r="R5498" s="17"/>
      <c r="S5498" s="17"/>
      <c r="T5498" s="17"/>
      <c r="U5498" s="17"/>
      <c r="V5498" s="18">
        <v>0</v>
      </c>
      <c r="W5498" s="17">
        <f t="shared" si="153"/>
        <v>0</v>
      </c>
    </row>
    <row r="5499" spans="1:23" x14ac:dyDescent="0.25">
      <c r="A5499" s="17"/>
      <c r="B5499" s="17"/>
      <c r="C5499" s="17"/>
      <c r="D5499" s="17"/>
      <c r="E5499" s="17"/>
      <c r="F5499" s="17"/>
      <c r="G5499" s="17"/>
      <c r="H5499" s="17"/>
      <c r="I5499" s="17"/>
      <c r="J5499" s="17"/>
      <c r="K5499" s="17"/>
      <c r="L5499" s="17"/>
      <c r="M5499" s="17"/>
      <c r="N5499" s="17"/>
      <c r="O5499" s="17"/>
      <c r="P5499" s="17"/>
      <c r="Q5499" s="17"/>
      <c r="R5499" s="17"/>
      <c r="S5499" s="17"/>
      <c r="T5499" s="17"/>
      <c r="U5499" s="17"/>
      <c r="V5499" s="18">
        <v>0</v>
      </c>
      <c r="W5499" s="17">
        <f t="shared" si="153"/>
        <v>0</v>
      </c>
    </row>
    <row r="5500" spans="1:23" x14ac:dyDescent="0.25">
      <c r="A5500" s="17"/>
      <c r="B5500" s="17"/>
      <c r="C5500" s="17"/>
      <c r="D5500" s="17"/>
      <c r="E5500" s="17"/>
      <c r="F5500" s="17"/>
      <c r="G5500" s="17"/>
      <c r="H5500" s="17"/>
      <c r="I5500" s="17"/>
      <c r="J5500" s="17"/>
      <c r="K5500" s="17"/>
      <c r="L5500" s="17"/>
      <c r="M5500" s="17"/>
      <c r="N5500" s="17"/>
      <c r="O5500" s="17"/>
      <c r="P5500" s="17"/>
      <c r="Q5500" s="17"/>
      <c r="R5500" s="17"/>
      <c r="S5500" s="17"/>
      <c r="T5500" s="17"/>
      <c r="U5500" s="17"/>
      <c r="V5500" s="18">
        <v>0</v>
      </c>
      <c r="W5500" s="17">
        <f t="shared" si="153"/>
        <v>0</v>
      </c>
    </row>
    <row r="5501" spans="1:23" x14ac:dyDescent="0.25">
      <c r="A5501" s="17"/>
      <c r="B5501" s="17"/>
      <c r="C5501" s="17"/>
      <c r="D5501" s="17"/>
      <c r="E5501" s="17"/>
      <c r="F5501" s="17"/>
      <c r="G5501" s="17"/>
      <c r="H5501" s="17"/>
      <c r="I5501" s="17"/>
      <c r="J5501" s="17"/>
      <c r="K5501" s="17"/>
      <c r="L5501" s="17"/>
      <c r="M5501" s="17"/>
      <c r="N5501" s="17"/>
      <c r="O5501" s="17"/>
      <c r="P5501" s="17"/>
      <c r="Q5501" s="17"/>
      <c r="R5501" s="17"/>
      <c r="S5501" s="17"/>
      <c r="T5501" s="17"/>
      <c r="U5501" s="17"/>
      <c r="V5501" s="18">
        <v>0</v>
      </c>
      <c r="W5501" s="17">
        <f t="shared" si="153"/>
        <v>0</v>
      </c>
    </row>
    <row r="5502" spans="1:23" x14ac:dyDescent="0.25">
      <c r="A5502" s="17"/>
      <c r="B5502" s="17"/>
      <c r="C5502" s="17"/>
      <c r="D5502" s="17"/>
      <c r="E5502" s="17"/>
      <c r="F5502" s="17"/>
      <c r="G5502" s="17"/>
      <c r="H5502" s="17"/>
      <c r="I5502" s="17"/>
      <c r="J5502" s="17"/>
      <c r="K5502" s="17"/>
      <c r="L5502" s="17"/>
      <c r="M5502" s="17"/>
      <c r="N5502" s="17"/>
      <c r="O5502" s="17"/>
      <c r="P5502" s="17"/>
      <c r="Q5502" s="17"/>
      <c r="R5502" s="17"/>
      <c r="S5502" s="17"/>
      <c r="T5502" s="17"/>
      <c r="U5502" s="17"/>
      <c r="V5502" s="18">
        <v>0</v>
      </c>
      <c r="W5502" s="17">
        <f t="shared" si="153"/>
        <v>0</v>
      </c>
    </row>
    <row r="5503" spans="1:23" x14ac:dyDescent="0.25">
      <c r="A5503" s="17"/>
      <c r="B5503" s="17"/>
      <c r="C5503" s="17"/>
      <c r="D5503" s="17"/>
      <c r="E5503" s="17"/>
      <c r="F5503" s="17"/>
      <c r="G5503" s="17"/>
      <c r="H5503" s="17"/>
      <c r="I5503" s="17"/>
      <c r="J5503" s="17"/>
      <c r="K5503" s="17"/>
      <c r="L5503" s="17"/>
      <c r="M5503" s="17"/>
      <c r="N5503" s="17"/>
      <c r="O5503" s="17"/>
      <c r="P5503" s="17"/>
      <c r="Q5503" s="17"/>
      <c r="R5503" s="17"/>
      <c r="S5503" s="17"/>
      <c r="T5503" s="17"/>
      <c r="U5503" s="17"/>
      <c r="V5503" s="18">
        <v>0</v>
      </c>
      <c r="W5503" s="17">
        <f t="shared" si="153"/>
        <v>0</v>
      </c>
    </row>
    <row r="5504" spans="1:23" x14ac:dyDescent="0.25">
      <c r="A5504" s="17"/>
      <c r="B5504" s="17"/>
      <c r="C5504" s="17"/>
      <c r="D5504" s="17"/>
      <c r="E5504" s="17"/>
      <c r="F5504" s="17"/>
      <c r="G5504" s="17"/>
      <c r="H5504" s="17"/>
      <c r="I5504" s="17"/>
      <c r="J5504" s="17"/>
      <c r="K5504" s="17"/>
      <c r="L5504" s="17"/>
      <c r="M5504" s="17"/>
      <c r="N5504" s="17"/>
      <c r="O5504" s="17"/>
      <c r="P5504" s="17"/>
      <c r="Q5504" s="17"/>
      <c r="R5504" s="17"/>
      <c r="S5504" s="17"/>
      <c r="T5504" s="17"/>
      <c r="U5504" s="17"/>
      <c r="V5504" s="18">
        <v>0</v>
      </c>
      <c r="W5504" s="17">
        <f t="shared" si="153"/>
        <v>0</v>
      </c>
    </row>
    <row r="5505" spans="1:23" x14ac:dyDescent="0.25">
      <c r="A5505" s="17"/>
      <c r="B5505" s="17"/>
      <c r="C5505" s="17"/>
      <c r="D5505" s="17"/>
      <c r="E5505" s="17"/>
      <c r="F5505" s="17"/>
      <c r="G5505" s="17"/>
      <c r="H5505" s="17"/>
      <c r="I5505" s="17"/>
      <c r="J5505" s="17"/>
      <c r="K5505" s="17"/>
      <c r="L5505" s="17"/>
      <c r="M5505" s="17"/>
      <c r="N5505" s="17"/>
      <c r="O5505" s="17"/>
      <c r="P5505" s="17"/>
      <c r="Q5505" s="17"/>
      <c r="R5505" s="17"/>
      <c r="S5505" s="17"/>
      <c r="T5505" s="17"/>
      <c r="U5505" s="17"/>
      <c r="V5505" s="18">
        <v>0</v>
      </c>
      <c r="W5505" s="17">
        <f t="shared" si="153"/>
        <v>0</v>
      </c>
    </row>
    <row r="5506" spans="1:23" x14ac:dyDescent="0.25">
      <c r="A5506" s="17"/>
      <c r="B5506" s="17"/>
      <c r="C5506" s="17"/>
      <c r="D5506" s="17"/>
      <c r="E5506" s="17"/>
      <c r="F5506" s="17"/>
      <c r="G5506" s="17"/>
      <c r="H5506" s="17"/>
      <c r="I5506" s="17"/>
      <c r="J5506" s="17"/>
      <c r="K5506" s="17"/>
      <c r="L5506" s="17"/>
      <c r="M5506" s="17"/>
      <c r="N5506" s="17"/>
      <c r="O5506" s="17"/>
      <c r="P5506" s="17"/>
      <c r="Q5506" s="17"/>
      <c r="R5506" s="17"/>
      <c r="S5506" s="17"/>
      <c r="T5506" s="17"/>
      <c r="U5506" s="17"/>
      <c r="V5506" s="18">
        <v>0</v>
      </c>
      <c r="W5506" s="17">
        <f t="shared" si="153"/>
        <v>0</v>
      </c>
    </row>
    <row r="5507" spans="1:23" x14ac:dyDescent="0.25">
      <c r="A5507" s="17"/>
      <c r="B5507" s="17"/>
      <c r="C5507" s="17"/>
      <c r="D5507" s="17"/>
      <c r="E5507" s="17"/>
      <c r="F5507" s="17"/>
      <c r="G5507" s="17"/>
      <c r="H5507" s="17"/>
      <c r="I5507" s="17"/>
      <c r="J5507" s="17"/>
      <c r="K5507" s="17"/>
      <c r="L5507" s="17"/>
      <c r="M5507" s="17"/>
      <c r="N5507" s="17"/>
      <c r="O5507" s="17"/>
      <c r="P5507" s="17"/>
      <c r="Q5507" s="17"/>
      <c r="R5507" s="17"/>
      <c r="S5507" s="17"/>
      <c r="T5507" s="17"/>
      <c r="U5507" s="17"/>
      <c r="V5507" s="18">
        <v>0</v>
      </c>
      <c r="W5507" s="17">
        <f t="shared" ref="W5507:W5570" si="154">HOUR(E5507)</f>
        <v>0</v>
      </c>
    </row>
    <row r="5508" spans="1:23" x14ac:dyDescent="0.25">
      <c r="A5508" s="17"/>
      <c r="B5508" s="17"/>
      <c r="C5508" s="17"/>
      <c r="D5508" s="17"/>
      <c r="E5508" s="17"/>
      <c r="F5508" s="17"/>
      <c r="G5508" s="17"/>
      <c r="H5508" s="17"/>
      <c r="I5508" s="17"/>
      <c r="J5508" s="17"/>
      <c r="K5508" s="17"/>
      <c r="L5508" s="17"/>
      <c r="M5508" s="17"/>
      <c r="N5508" s="17"/>
      <c r="O5508" s="17"/>
      <c r="P5508" s="17"/>
      <c r="Q5508" s="17"/>
      <c r="R5508" s="17"/>
      <c r="S5508" s="17"/>
      <c r="T5508" s="17"/>
      <c r="U5508" s="17"/>
      <c r="V5508" s="18">
        <v>0</v>
      </c>
      <c r="W5508" s="17">
        <f t="shared" si="154"/>
        <v>0</v>
      </c>
    </row>
    <row r="5509" spans="1:23" x14ac:dyDescent="0.25">
      <c r="A5509" s="17"/>
      <c r="B5509" s="17"/>
      <c r="C5509" s="17"/>
      <c r="D5509" s="17"/>
      <c r="E5509" s="17"/>
      <c r="F5509" s="17"/>
      <c r="G5509" s="17"/>
      <c r="H5509" s="17"/>
      <c r="I5509" s="17"/>
      <c r="J5509" s="17"/>
      <c r="K5509" s="17"/>
      <c r="L5509" s="17"/>
      <c r="M5509" s="17"/>
      <c r="N5509" s="17"/>
      <c r="O5509" s="17"/>
      <c r="P5509" s="17"/>
      <c r="Q5509" s="17"/>
      <c r="R5509" s="17"/>
      <c r="S5509" s="17"/>
      <c r="T5509" s="17"/>
      <c r="U5509" s="17"/>
      <c r="V5509" s="18">
        <v>0</v>
      </c>
      <c r="W5509" s="17">
        <f t="shared" si="154"/>
        <v>0</v>
      </c>
    </row>
    <row r="5510" spans="1:23" x14ac:dyDescent="0.25">
      <c r="A5510" s="17"/>
      <c r="B5510" s="17"/>
      <c r="C5510" s="17"/>
      <c r="D5510" s="17"/>
      <c r="E5510" s="17"/>
      <c r="F5510" s="17"/>
      <c r="G5510" s="17"/>
      <c r="H5510" s="17"/>
      <c r="I5510" s="17"/>
      <c r="J5510" s="17"/>
      <c r="K5510" s="17"/>
      <c r="L5510" s="17"/>
      <c r="M5510" s="17"/>
      <c r="N5510" s="17"/>
      <c r="O5510" s="17"/>
      <c r="P5510" s="17"/>
      <c r="Q5510" s="17"/>
      <c r="R5510" s="17"/>
      <c r="S5510" s="17"/>
      <c r="T5510" s="17"/>
      <c r="U5510" s="17"/>
      <c r="V5510" s="18">
        <v>0</v>
      </c>
      <c r="W5510" s="17">
        <f t="shared" si="154"/>
        <v>0</v>
      </c>
    </row>
    <row r="5511" spans="1:23" x14ac:dyDescent="0.25">
      <c r="A5511" s="17"/>
      <c r="B5511" s="17"/>
      <c r="C5511" s="17"/>
      <c r="D5511" s="17"/>
      <c r="E5511" s="17"/>
      <c r="F5511" s="17"/>
      <c r="G5511" s="17"/>
      <c r="H5511" s="17"/>
      <c r="I5511" s="17"/>
      <c r="J5511" s="17"/>
      <c r="K5511" s="17"/>
      <c r="L5511" s="17"/>
      <c r="M5511" s="17"/>
      <c r="N5511" s="17"/>
      <c r="O5511" s="17"/>
      <c r="P5511" s="17"/>
      <c r="Q5511" s="17"/>
      <c r="R5511" s="17"/>
      <c r="S5511" s="17"/>
      <c r="T5511" s="17"/>
      <c r="U5511" s="17"/>
      <c r="V5511" s="18">
        <v>0</v>
      </c>
      <c r="W5511" s="17">
        <f t="shared" si="154"/>
        <v>0</v>
      </c>
    </row>
    <row r="5512" spans="1:23" x14ac:dyDescent="0.25">
      <c r="A5512" s="17"/>
      <c r="B5512" s="17"/>
      <c r="C5512" s="17"/>
      <c r="D5512" s="17"/>
      <c r="E5512" s="17"/>
      <c r="F5512" s="17"/>
      <c r="G5512" s="17"/>
      <c r="H5512" s="17"/>
      <c r="I5512" s="17"/>
      <c r="J5512" s="17"/>
      <c r="K5512" s="17"/>
      <c r="L5512" s="17"/>
      <c r="M5512" s="17"/>
      <c r="N5512" s="17"/>
      <c r="O5512" s="17"/>
      <c r="P5512" s="17"/>
      <c r="Q5512" s="17"/>
      <c r="R5512" s="17"/>
      <c r="S5512" s="17"/>
      <c r="T5512" s="17"/>
      <c r="U5512" s="17"/>
      <c r="V5512" s="18">
        <v>0</v>
      </c>
      <c r="W5512" s="17">
        <f t="shared" si="154"/>
        <v>0</v>
      </c>
    </row>
    <row r="5513" spans="1:23" x14ac:dyDescent="0.25">
      <c r="A5513" s="17"/>
      <c r="B5513" s="17"/>
      <c r="C5513" s="17"/>
      <c r="D5513" s="17"/>
      <c r="E5513" s="17"/>
      <c r="F5513" s="17"/>
      <c r="G5513" s="17"/>
      <c r="H5513" s="17"/>
      <c r="I5513" s="17"/>
      <c r="J5513" s="17"/>
      <c r="K5513" s="17"/>
      <c r="L5513" s="17"/>
      <c r="M5513" s="17"/>
      <c r="N5513" s="17"/>
      <c r="O5513" s="17"/>
      <c r="P5513" s="17"/>
      <c r="Q5513" s="17"/>
      <c r="R5513" s="17"/>
      <c r="S5513" s="17"/>
      <c r="T5513" s="17"/>
      <c r="U5513" s="17"/>
      <c r="V5513" s="18">
        <v>0</v>
      </c>
      <c r="W5513" s="17">
        <f t="shared" si="154"/>
        <v>0</v>
      </c>
    </row>
    <row r="5514" spans="1:23" x14ac:dyDescent="0.25">
      <c r="A5514" s="17"/>
      <c r="B5514" s="17"/>
      <c r="C5514" s="17"/>
      <c r="D5514" s="17"/>
      <c r="E5514" s="17"/>
      <c r="F5514" s="17"/>
      <c r="G5514" s="17"/>
      <c r="H5514" s="17"/>
      <c r="I5514" s="17"/>
      <c r="J5514" s="17"/>
      <c r="K5514" s="17"/>
      <c r="L5514" s="17"/>
      <c r="M5514" s="17"/>
      <c r="N5514" s="17"/>
      <c r="O5514" s="17"/>
      <c r="P5514" s="17"/>
      <c r="Q5514" s="17"/>
      <c r="R5514" s="17"/>
      <c r="S5514" s="17"/>
      <c r="T5514" s="17"/>
      <c r="U5514" s="17"/>
      <c r="V5514" s="18">
        <v>0</v>
      </c>
      <c r="W5514" s="17">
        <f t="shared" si="154"/>
        <v>0</v>
      </c>
    </row>
    <row r="5515" spans="1:23" x14ac:dyDescent="0.25">
      <c r="A5515" s="17"/>
      <c r="B5515" s="17"/>
      <c r="C5515" s="17"/>
      <c r="D5515" s="17"/>
      <c r="E5515" s="17"/>
      <c r="F5515" s="17"/>
      <c r="G5515" s="17"/>
      <c r="H5515" s="17"/>
      <c r="I5515" s="17"/>
      <c r="J5515" s="17"/>
      <c r="K5515" s="17"/>
      <c r="L5515" s="17"/>
      <c r="M5515" s="17"/>
      <c r="N5515" s="17"/>
      <c r="O5515" s="17"/>
      <c r="P5515" s="17"/>
      <c r="Q5515" s="17"/>
      <c r="R5515" s="17"/>
      <c r="S5515" s="17"/>
      <c r="T5515" s="17"/>
      <c r="U5515" s="17"/>
      <c r="V5515" s="18">
        <v>0</v>
      </c>
      <c r="W5515" s="17">
        <f t="shared" si="154"/>
        <v>0</v>
      </c>
    </row>
    <row r="5516" spans="1:23" x14ac:dyDescent="0.25">
      <c r="A5516" s="17"/>
      <c r="B5516" s="17"/>
      <c r="C5516" s="17"/>
      <c r="D5516" s="17"/>
      <c r="E5516" s="17"/>
      <c r="F5516" s="17"/>
      <c r="G5516" s="17"/>
      <c r="H5516" s="17"/>
      <c r="I5516" s="17"/>
      <c r="J5516" s="17"/>
      <c r="K5516" s="17"/>
      <c r="L5516" s="17"/>
      <c r="M5516" s="17"/>
      <c r="N5516" s="17"/>
      <c r="O5516" s="17"/>
      <c r="P5516" s="17"/>
      <c r="Q5516" s="17"/>
      <c r="R5516" s="17"/>
      <c r="S5516" s="17"/>
      <c r="T5516" s="17"/>
      <c r="U5516" s="17"/>
      <c r="V5516" s="18">
        <v>0</v>
      </c>
      <c r="W5516" s="17">
        <f t="shared" si="154"/>
        <v>0</v>
      </c>
    </row>
    <row r="5517" spans="1:23" x14ac:dyDescent="0.25">
      <c r="A5517" s="17"/>
      <c r="B5517" s="17"/>
      <c r="C5517" s="17"/>
      <c r="D5517" s="17"/>
      <c r="E5517" s="17"/>
      <c r="F5517" s="17"/>
      <c r="G5517" s="17"/>
      <c r="H5517" s="17"/>
      <c r="I5517" s="17"/>
      <c r="J5517" s="17"/>
      <c r="K5517" s="17"/>
      <c r="L5517" s="17"/>
      <c r="M5517" s="17"/>
      <c r="N5517" s="17"/>
      <c r="O5517" s="17"/>
      <c r="P5517" s="17"/>
      <c r="Q5517" s="17"/>
      <c r="R5517" s="17"/>
      <c r="S5517" s="17"/>
      <c r="T5517" s="17"/>
      <c r="U5517" s="17"/>
      <c r="V5517" s="18">
        <v>0</v>
      </c>
      <c r="W5517" s="17">
        <f t="shared" si="154"/>
        <v>0</v>
      </c>
    </row>
    <row r="5518" spans="1:23" x14ac:dyDescent="0.25">
      <c r="A5518" s="17"/>
      <c r="B5518" s="17"/>
      <c r="C5518" s="17"/>
      <c r="D5518" s="17"/>
      <c r="E5518" s="17"/>
      <c r="F5518" s="17"/>
      <c r="G5518" s="17"/>
      <c r="H5518" s="17"/>
      <c r="I5518" s="17"/>
      <c r="J5518" s="17"/>
      <c r="K5518" s="17"/>
      <c r="L5518" s="17"/>
      <c r="M5518" s="17"/>
      <c r="N5518" s="17"/>
      <c r="O5518" s="17"/>
      <c r="P5518" s="17"/>
      <c r="Q5518" s="17"/>
      <c r="R5518" s="17"/>
      <c r="S5518" s="17"/>
      <c r="T5518" s="17"/>
      <c r="U5518" s="17"/>
      <c r="V5518" s="18">
        <v>0</v>
      </c>
      <c r="W5518" s="17">
        <f t="shared" si="154"/>
        <v>0</v>
      </c>
    </row>
    <row r="5519" spans="1:23" x14ac:dyDescent="0.25">
      <c r="A5519" s="17"/>
      <c r="B5519" s="17"/>
      <c r="C5519" s="17"/>
      <c r="D5519" s="17"/>
      <c r="E5519" s="17"/>
      <c r="F5519" s="17"/>
      <c r="G5519" s="17"/>
      <c r="H5519" s="17"/>
      <c r="I5519" s="17"/>
      <c r="J5519" s="17"/>
      <c r="K5519" s="17"/>
      <c r="L5519" s="17"/>
      <c r="M5519" s="17"/>
      <c r="N5519" s="17"/>
      <c r="O5519" s="17"/>
      <c r="P5519" s="17"/>
      <c r="Q5519" s="17"/>
      <c r="R5519" s="17"/>
      <c r="S5519" s="17"/>
      <c r="T5519" s="17"/>
      <c r="U5519" s="17"/>
      <c r="V5519" s="18">
        <v>0</v>
      </c>
      <c r="W5519" s="17">
        <f t="shared" si="154"/>
        <v>0</v>
      </c>
    </row>
    <row r="5520" spans="1:23" x14ac:dyDescent="0.25">
      <c r="A5520" s="17"/>
      <c r="B5520" s="17"/>
      <c r="C5520" s="17"/>
      <c r="D5520" s="17"/>
      <c r="E5520" s="17"/>
      <c r="F5520" s="17"/>
      <c r="G5520" s="17"/>
      <c r="H5520" s="17"/>
      <c r="I5520" s="17"/>
      <c r="J5520" s="17"/>
      <c r="K5520" s="17"/>
      <c r="L5520" s="17"/>
      <c r="M5520" s="17"/>
      <c r="N5520" s="17"/>
      <c r="O5520" s="17"/>
      <c r="P5520" s="17"/>
      <c r="Q5520" s="17"/>
      <c r="R5520" s="17"/>
      <c r="S5520" s="17"/>
      <c r="T5520" s="17"/>
      <c r="U5520" s="17"/>
      <c r="V5520" s="18">
        <v>0</v>
      </c>
      <c r="W5520" s="17">
        <f t="shared" si="154"/>
        <v>0</v>
      </c>
    </row>
    <row r="5521" spans="1:23" x14ac:dyDescent="0.25">
      <c r="A5521" s="17"/>
      <c r="B5521" s="17"/>
      <c r="C5521" s="17"/>
      <c r="D5521" s="17"/>
      <c r="E5521" s="17"/>
      <c r="F5521" s="17"/>
      <c r="G5521" s="17"/>
      <c r="H5521" s="17"/>
      <c r="I5521" s="17"/>
      <c r="J5521" s="17"/>
      <c r="K5521" s="17"/>
      <c r="L5521" s="17"/>
      <c r="M5521" s="17"/>
      <c r="N5521" s="17"/>
      <c r="O5521" s="17"/>
      <c r="P5521" s="17"/>
      <c r="Q5521" s="17"/>
      <c r="R5521" s="17"/>
      <c r="S5521" s="17"/>
      <c r="T5521" s="17"/>
      <c r="U5521" s="17"/>
      <c r="V5521" s="18">
        <v>0</v>
      </c>
      <c r="W5521" s="17">
        <f t="shared" si="154"/>
        <v>0</v>
      </c>
    </row>
    <row r="5522" spans="1:23" x14ac:dyDescent="0.25">
      <c r="A5522" s="17"/>
      <c r="B5522" s="17"/>
      <c r="C5522" s="17"/>
      <c r="D5522" s="17"/>
      <c r="E5522" s="17"/>
      <c r="F5522" s="17"/>
      <c r="G5522" s="17"/>
      <c r="H5522" s="17"/>
      <c r="I5522" s="17"/>
      <c r="J5522" s="17"/>
      <c r="K5522" s="17"/>
      <c r="L5522" s="17"/>
      <c r="M5522" s="17"/>
      <c r="N5522" s="17"/>
      <c r="O5522" s="17"/>
      <c r="P5522" s="17"/>
      <c r="Q5522" s="17"/>
      <c r="R5522" s="17"/>
      <c r="S5522" s="17"/>
      <c r="T5522" s="17"/>
      <c r="U5522" s="17"/>
      <c r="V5522" s="18">
        <v>0</v>
      </c>
      <c r="W5522" s="17">
        <f t="shared" si="154"/>
        <v>0</v>
      </c>
    </row>
    <row r="5523" spans="1:23" x14ac:dyDescent="0.25">
      <c r="A5523" s="17"/>
      <c r="B5523" s="17"/>
      <c r="C5523" s="17"/>
      <c r="D5523" s="17"/>
      <c r="E5523" s="17"/>
      <c r="F5523" s="17"/>
      <c r="G5523" s="17"/>
      <c r="H5523" s="17"/>
      <c r="I5523" s="17"/>
      <c r="J5523" s="17"/>
      <c r="K5523" s="17"/>
      <c r="L5523" s="17"/>
      <c r="M5523" s="17"/>
      <c r="N5523" s="17"/>
      <c r="O5523" s="17"/>
      <c r="P5523" s="17"/>
      <c r="Q5523" s="17"/>
      <c r="R5523" s="17"/>
      <c r="S5523" s="17"/>
      <c r="T5523" s="17"/>
      <c r="U5523" s="17"/>
      <c r="V5523" s="18">
        <v>0</v>
      </c>
      <c r="W5523" s="17">
        <f t="shared" si="154"/>
        <v>0</v>
      </c>
    </row>
    <row r="5524" spans="1:23" x14ac:dyDescent="0.25">
      <c r="A5524" s="17"/>
      <c r="B5524" s="17"/>
      <c r="C5524" s="17"/>
      <c r="D5524" s="17"/>
      <c r="E5524" s="17"/>
      <c r="F5524" s="17"/>
      <c r="G5524" s="17"/>
      <c r="H5524" s="17"/>
      <c r="I5524" s="17"/>
      <c r="J5524" s="17"/>
      <c r="K5524" s="17"/>
      <c r="L5524" s="17"/>
      <c r="M5524" s="17"/>
      <c r="N5524" s="17"/>
      <c r="O5524" s="17"/>
      <c r="P5524" s="17"/>
      <c r="Q5524" s="17"/>
      <c r="R5524" s="17"/>
      <c r="S5524" s="17"/>
      <c r="T5524" s="17"/>
      <c r="U5524" s="17"/>
      <c r="V5524" s="18">
        <v>0</v>
      </c>
      <c r="W5524" s="17">
        <f t="shared" si="154"/>
        <v>0</v>
      </c>
    </row>
    <row r="5525" spans="1:23" x14ac:dyDescent="0.25">
      <c r="A5525" s="17"/>
      <c r="B5525" s="17"/>
      <c r="C5525" s="17"/>
      <c r="D5525" s="17"/>
      <c r="E5525" s="17"/>
      <c r="F5525" s="17"/>
      <c r="G5525" s="17"/>
      <c r="H5525" s="17"/>
      <c r="I5525" s="17"/>
      <c r="J5525" s="17"/>
      <c r="K5525" s="17"/>
      <c r="L5525" s="17"/>
      <c r="M5525" s="17"/>
      <c r="N5525" s="17"/>
      <c r="O5525" s="17"/>
      <c r="P5525" s="17"/>
      <c r="Q5525" s="17"/>
      <c r="R5525" s="17"/>
      <c r="S5525" s="17"/>
      <c r="T5525" s="17"/>
      <c r="U5525" s="17"/>
      <c r="V5525" s="18">
        <v>0</v>
      </c>
      <c r="W5525" s="17">
        <f t="shared" si="154"/>
        <v>0</v>
      </c>
    </row>
    <row r="5526" spans="1:23" x14ac:dyDescent="0.25">
      <c r="A5526" s="17"/>
      <c r="B5526" s="17"/>
      <c r="C5526" s="17"/>
      <c r="D5526" s="17"/>
      <c r="E5526" s="17"/>
      <c r="F5526" s="17"/>
      <c r="G5526" s="17"/>
      <c r="H5526" s="17"/>
      <c r="I5526" s="17"/>
      <c r="J5526" s="17"/>
      <c r="K5526" s="17"/>
      <c r="L5526" s="17"/>
      <c r="M5526" s="17"/>
      <c r="N5526" s="17"/>
      <c r="O5526" s="17"/>
      <c r="P5526" s="17"/>
      <c r="Q5526" s="17"/>
      <c r="R5526" s="17"/>
      <c r="S5526" s="17"/>
      <c r="T5526" s="17"/>
      <c r="U5526" s="17"/>
      <c r="V5526" s="18">
        <v>0</v>
      </c>
      <c r="W5526" s="17">
        <f t="shared" si="154"/>
        <v>0</v>
      </c>
    </row>
    <row r="5527" spans="1:23" x14ac:dyDescent="0.25">
      <c r="A5527" s="17"/>
      <c r="B5527" s="17"/>
      <c r="C5527" s="17"/>
      <c r="D5527" s="17"/>
      <c r="E5527" s="17"/>
      <c r="F5527" s="17"/>
      <c r="G5527" s="17"/>
      <c r="H5527" s="17"/>
      <c r="I5527" s="17"/>
      <c r="J5527" s="17"/>
      <c r="K5527" s="17"/>
      <c r="L5527" s="17"/>
      <c r="M5527" s="17"/>
      <c r="N5527" s="17"/>
      <c r="O5527" s="17"/>
      <c r="P5527" s="17"/>
      <c r="Q5527" s="17"/>
      <c r="R5527" s="17"/>
      <c r="S5527" s="17"/>
      <c r="T5527" s="17"/>
      <c r="U5527" s="17"/>
      <c r="V5527" s="18">
        <v>0</v>
      </c>
      <c r="W5527" s="17">
        <f t="shared" si="154"/>
        <v>0</v>
      </c>
    </row>
    <row r="5528" spans="1:23" x14ac:dyDescent="0.25">
      <c r="A5528" s="17"/>
      <c r="B5528" s="17"/>
      <c r="C5528" s="17"/>
      <c r="D5528" s="17"/>
      <c r="E5528" s="17"/>
      <c r="F5528" s="17"/>
      <c r="G5528" s="17"/>
      <c r="H5528" s="17"/>
      <c r="I5528" s="17"/>
      <c r="J5528" s="17"/>
      <c r="K5528" s="17"/>
      <c r="L5528" s="17"/>
      <c r="M5528" s="17"/>
      <c r="N5528" s="17"/>
      <c r="O5528" s="17"/>
      <c r="P5528" s="17"/>
      <c r="Q5528" s="17"/>
      <c r="R5528" s="17"/>
      <c r="S5528" s="17"/>
      <c r="T5528" s="17"/>
      <c r="U5528" s="17"/>
      <c r="V5528" s="18">
        <v>0</v>
      </c>
      <c r="W5528" s="17">
        <f t="shared" si="154"/>
        <v>0</v>
      </c>
    </row>
    <row r="5529" spans="1:23" x14ac:dyDescent="0.25">
      <c r="A5529" s="17"/>
      <c r="B5529" s="17"/>
      <c r="C5529" s="17"/>
      <c r="D5529" s="17"/>
      <c r="E5529" s="17"/>
      <c r="F5529" s="17"/>
      <c r="G5529" s="17"/>
      <c r="H5529" s="17"/>
      <c r="I5529" s="17"/>
      <c r="J5529" s="17"/>
      <c r="K5529" s="17"/>
      <c r="L5529" s="17"/>
      <c r="M5529" s="17"/>
      <c r="N5529" s="17"/>
      <c r="O5529" s="17"/>
      <c r="P5529" s="17"/>
      <c r="Q5529" s="17"/>
      <c r="R5529" s="17"/>
      <c r="S5529" s="17"/>
      <c r="T5529" s="17"/>
      <c r="U5529" s="17"/>
      <c r="V5529" s="18">
        <v>0</v>
      </c>
      <c r="W5529" s="17">
        <f t="shared" si="154"/>
        <v>0</v>
      </c>
    </row>
    <row r="5530" spans="1:23" x14ac:dyDescent="0.25">
      <c r="A5530" s="17"/>
      <c r="B5530" s="17"/>
      <c r="C5530" s="17"/>
      <c r="D5530" s="17"/>
      <c r="E5530" s="17"/>
      <c r="F5530" s="17"/>
      <c r="G5530" s="17"/>
      <c r="H5530" s="17"/>
      <c r="I5530" s="17"/>
      <c r="J5530" s="17"/>
      <c r="K5530" s="17"/>
      <c r="L5530" s="17"/>
      <c r="M5530" s="17"/>
      <c r="N5530" s="17"/>
      <c r="O5530" s="17"/>
      <c r="P5530" s="17"/>
      <c r="Q5530" s="17"/>
      <c r="R5530" s="17"/>
      <c r="S5530" s="17"/>
      <c r="T5530" s="17"/>
      <c r="U5530" s="17"/>
      <c r="V5530" s="18">
        <v>0</v>
      </c>
      <c r="W5530" s="17">
        <f t="shared" si="154"/>
        <v>0</v>
      </c>
    </row>
    <row r="5531" spans="1:23" x14ac:dyDescent="0.25">
      <c r="A5531" s="17"/>
      <c r="B5531" s="17"/>
      <c r="C5531" s="17"/>
      <c r="D5531" s="17"/>
      <c r="E5531" s="17"/>
      <c r="F5531" s="17"/>
      <c r="G5531" s="17"/>
      <c r="H5531" s="17"/>
      <c r="I5531" s="17"/>
      <c r="J5531" s="17"/>
      <c r="K5531" s="17"/>
      <c r="L5531" s="17"/>
      <c r="M5531" s="17"/>
      <c r="N5531" s="17"/>
      <c r="O5531" s="17"/>
      <c r="P5531" s="17"/>
      <c r="Q5531" s="17"/>
      <c r="R5531" s="17"/>
      <c r="S5531" s="17"/>
      <c r="T5531" s="17"/>
      <c r="U5531" s="17"/>
      <c r="V5531" s="18">
        <v>0</v>
      </c>
      <c r="W5531" s="17">
        <f t="shared" si="154"/>
        <v>0</v>
      </c>
    </row>
    <row r="5532" spans="1:23" x14ac:dyDescent="0.25">
      <c r="A5532" s="17"/>
      <c r="B5532" s="17"/>
      <c r="C5532" s="17"/>
      <c r="D5532" s="17"/>
      <c r="E5532" s="17"/>
      <c r="F5532" s="17"/>
      <c r="G5532" s="17"/>
      <c r="H5532" s="17"/>
      <c r="I5532" s="17"/>
      <c r="J5532" s="17"/>
      <c r="K5532" s="17"/>
      <c r="L5532" s="17"/>
      <c r="M5532" s="17"/>
      <c r="N5532" s="17"/>
      <c r="O5532" s="17"/>
      <c r="P5532" s="17"/>
      <c r="Q5532" s="17"/>
      <c r="R5532" s="17"/>
      <c r="S5532" s="17"/>
      <c r="T5532" s="17"/>
      <c r="U5532" s="17"/>
      <c r="V5532" s="18">
        <v>0</v>
      </c>
      <c r="W5532" s="17">
        <f t="shared" si="154"/>
        <v>0</v>
      </c>
    </row>
    <row r="5533" spans="1:23" x14ac:dyDescent="0.25">
      <c r="A5533" s="17"/>
      <c r="B5533" s="17"/>
      <c r="C5533" s="17"/>
      <c r="D5533" s="17"/>
      <c r="E5533" s="17"/>
      <c r="F5533" s="17"/>
      <c r="G5533" s="17"/>
      <c r="H5533" s="17"/>
      <c r="I5533" s="17"/>
      <c r="J5533" s="17"/>
      <c r="K5533" s="17"/>
      <c r="L5533" s="17"/>
      <c r="M5533" s="17"/>
      <c r="N5533" s="17"/>
      <c r="O5533" s="17"/>
      <c r="P5533" s="17"/>
      <c r="Q5533" s="17"/>
      <c r="R5533" s="17"/>
      <c r="S5533" s="17"/>
      <c r="T5533" s="17"/>
      <c r="U5533" s="17"/>
      <c r="V5533" s="18">
        <v>0</v>
      </c>
      <c r="W5533" s="17">
        <f t="shared" si="154"/>
        <v>0</v>
      </c>
    </row>
    <row r="5534" spans="1:23" x14ac:dyDescent="0.25">
      <c r="A5534" s="17"/>
      <c r="B5534" s="17"/>
      <c r="C5534" s="17"/>
      <c r="D5534" s="17"/>
      <c r="E5534" s="17"/>
      <c r="F5534" s="17"/>
      <c r="G5534" s="17"/>
      <c r="H5534" s="17"/>
      <c r="I5534" s="17"/>
      <c r="J5534" s="17"/>
      <c r="K5534" s="17"/>
      <c r="L5534" s="17"/>
      <c r="M5534" s="17"/>
      <c r="N5534" s="17"/>
      <c r="O5534" s="17"/>
      <c r="P5534" s="17"/>
      <c r="Q5534" s="17"/>
      <c r="R5534" s="17"/>
      <c r="S5534" s="17"/>
      <c r="T5534" s="17"/>
      <c r="U5534" s="17"/>
      <c r="V5534" s="18">
        <v>0</v>
      </c>
      <c r="W5534" s="17">
        <f t="shared" si="154"/>
        <v>0</v>
      </c>
    </row>
    <row r="5535" spans="1:23" x14ac:dyDescent="0.25">
      <c r="A5535" s="17"/>
      <c r="B5535" s="17"/>
      <c r="C5535" s="17"/>
      <c r="D5535" s="17"/>
      <c r="E5535" s="17"/>
      <c r="F5535" s="17"/>
      <c r="G5535" s="17"/>
      <c r="H5535" s="17"/>
      <c r="I5535" s="17"/>
      <c r="J5535" s="17"/>
      <c r="K5535" s="17"/>
      <c r="L5535" s="17"/>
      <c r="M5535" s="17"/>
      <c r="N5535" s="17"/>
      <c r="O5535" s="17"/>
      <c r="P5535" s="17"/>
      <c r="Q5535" s="17"/>
      <c r="R5535" s="17"/>
      <c r="S5535" s="17"/>
      <c r="T5535" s="17"/>
      <c r="U5535" s="17"/>
      <c r="V5535" s="18">
        <v>0</v>
      </c>
      <c r="W5535" s="17">
        <f t="shared" si="154"/>
        <v>0</v>
      </c>
    </row>
    <row r="5536" spans="1:23" x14ac:dyDescent="0.25">
      <c r="A5536" s="17"/>
      <c r="B5536" s="17"/>
      <c r="C5536" s="17"/>
      <c r="D5536" s="17"/>
      <c r="E5536" s="17"/>
      <c r="F5536" s="17"/>
      <c r="G5536" s="17"/>
      <c r="H5536" s="17"/>
      <c r="I5536" s="17"/>
      <c r="J5536" s="17"/>
      <c r="K5536" s="17"/>
      <c r="L5536" s="17"/>
      <c r="M5536" s="17"/>
      <c r="N5536" s="17"/>
      <c r="O5536" s="17"/>
      <c r="P5536" s="17"/>
      <c r="Q5536" s="17"/>
      <c r="R5536" s="17"/>
      <c r="S5536" s="17"/>
      <c r="T5536" s="17"/>
      <c r="U5536" s="17"/>
      <c r="V5536" s="18">
        <v>0</v>
      </c>
      <c r="W5536" s="17">
        <f t="shared" si="154"/>
        <v>0</v>
      </c>
    </row>
    <row r="5537" spans="1:23" x14ac:dyDescent="0.25">
      <c r="A5537" s="17"/>
      <c r="B5537" s="17"/>
      <c r="C5537" s="17"/>
      <c r="D5537" s="17"/>
      <c r="E5537" s="17"/>
      <c r="F5537" s="17"/>
      <c r="G5537" s="17"/>
      <c r="H5537" s="17"/>
      <c r="I5537" s="17"/>
      <c r="J5537" s="17"/>
      <c r="K5537" s="17"/>
      <c r="L5537" s="17"/>
      <c r="M5537" s="17"/>
      <c r="N5537" s="17"/>
      <c r="O5537" s="17"/>
      <c r="P5537" s="17"/>
      <c r="Q5537" s="17"/>
      <c r="R5537" s="17"/>
      <c r="S5537" s="17"/>
      <c r="T5537" s="17"/>
      <c r="U5537" s="17"/>
      <c r="V5537" s="18">
        <v>0</v>
      </c>
      <c r="W5537" s="17">
        <f t="shared" si="154"/>
        <v>0</v>
      </c>
    </row>
    <row r="5538" spans="1:23" x14ac:dyDescent="0.25">
      <c r="A5538" s="17"/>
      <c r="B5538" s="17"/>
      <c r="C5538" s="17"/>
      <c r="D5538" s="17"/>
      <c r="E5538" s="17"/>
      <c r="F5538" s="17"/>
      <c r="G5538" s="17"/>
      <c r="H5538" s="17"/>
      <c r="I5538" s="17"/>
      <c r="J5538" s="17"/>
      <c r="K5538" s="17"/>
      <c r="L5538" s="17"/>
      <c r="M5538" s="17"/>
      <c r="N5538" s="17"/>
      <c r="O5538" s="17"/>
      <c r="P5538" s="17"/>
      <c r="Q5538" s="17"/>
      <c r="R5538" s="17"/>
      <c r="S5538" s="17"/>
      <c r="T5538" s="17"/>
      <c r="U5538" s="17"/>
      <c r="V5538" s="18">
        <v>0</v>
      </c>
      <c r="W5538" s="17">
        <f t="shared" si="154"/>
        <v>0</v>
      </c>
    </row>
    <row r="5539" spans="1:23" x14ac:dyDescent="0.25">
      <c r="A5539" s="17"/>
      <c r="B5539" s="17"/>
      <c r="C5539" s="17"/>
      <c r="D5539" s="17"/>
      <c r="E5539" s="17"/>
      <c r="F5539" s="17"/>
      <c r="G5539" s="17"/>
      <c r="H5539" s="17"/>
      <c r="I5539" s="17"/>
      <c r="J5539" s="17"/>
      <c r="K5539" s="17"/>
      <c r="L5539" s="17"/>
      <c r="M5539" s="17"/>
      <c r="N5539" s="17"/>
      <c r="O5539" s="17"/>
      <c r="P5539" s="17"/>
      <c r="Q5539" s="17"/>
      <c r="R5539" s="17"/>
      <c r="S5539" s="17"/>
      <c r="T5539" s="17"/>
      <c r="U5539" s="17"/>
      <c r="V5539" s="18">
        <v>0</v>
      </c>
      <c r="W5539" s="17">
        <f t="shared" si="154"/>
        <v>0</v>
      </c>
    </row>
    <row r="5540" spans="1:23" x14ac:dyDescent="0.25">
      <c r="A5540" s="17"/>
      <c r="B5540" s="17"/>
      <c r="C5540" s="17"/>
      <c r="D5540" s="17"/>
      <c r="E5540" s="17"/>
      <c r="F5540" s="17"/>
      <c r="G5540" s="17"/>
      <c r="H5540" s="17"/>
      <c r="I5540" s="17"/>
      <c r="J5540" s="17"/>
      <c r="K5540" s="17"/>
      <c r="L5540" s="17"/>
      <c r="M5540" s="17"/>
      <c r="N5540" s="17"/>
      <c r="O5540" s="17"/>
      <c r="P5540" s="17"/>
      <c r="Q5540" s="17"/>
      <c r="R5540" s="17"/>
      <c r="S5540" s="17"/>
      <c r="T5540" s="17"/>
      <c r="U5540" s="17"/>
      <c r="V5540" s="18">
        <v>0</v>
      </c>
      <c r="W5540" s="17">
        <f t="shared" si="154"/>
        <v>0</v>
      </c>
    </row>
    <row r="5541" spans="1:23" x14ac:dyDescent="0.25">
      <c r="A5541" s="17"/>
      <c r="B5541" s="17"/>
      <c r="C5541" s="17"/>
      <c r="D5541" s="17"/>
      <c r="E5541" s="17"/>
      <c r="F5541" s="17"/>
      <c r="G5541" s="17"/>
      <c r="H5541" s="17"/>
      <c r="I5541" s="17"/>
      <c r="J5541" s="17"/>
      <c r="K5541" s="17"/>
      <c r="L5541" s="17"/>
      <c r="M5541" s="17"/>
      <c r="N5541" s="17"/>
      <c r="O5541" s="17"/>
      <c r="P5541" s="17"/>
      <c r="Q5541" s="17"/>
      <c r="R5541" s="17"/>
      <c r="S5541" s="17"/>
      <c r="T5541" s="17"/>
      <c r="U5541" s="17"/>
      <c r="V5541" s="18">
        <v>0</v>
      </c>
      <c r="W5541" s="17">
        <f t="shared" si="154"/>
        <v>0</v>
      </c>
    </row>
    <row r="5542" spans="1:23" x14ac:dyDescent="0.25">
      <c r="A5542" s="17"/>
      <c r="B5542" s="17"/>
      <c r="C5542" s="17"/>
      <c r="D5542" s="17"/>
      <c r="E5542" s="17"/>
      <c r="F5542" s="17"/>
      <c r="G5542" s="17"/>
      <c r="H5542" s="17"/>
      <c r="I5542" s="17"/>
      <c r="J5542" s="17"/>
      <c r="K5542" s="17"/>
      <c r="L5542" s="17"/>
      <c r="M5542" s="17"/>
      <c r="N5542" s="17"/>
      <c r="O5542" s="17"/>
      <c r="P5542" s="17"/>
      <c r="Q5542" s="17"/>
      <c r="R5542" s="17"/>
      <c r="S5542" s="17"/>
      <c r="T5542" s="17"/>
      <c r="U5542" s="17"/>
      <c r="V5542" s="18">
        <v>0</v>
      </c>
      <c r="W5542" s="17">
        <f t="shared" si="154"/>
        <v>0</v>
      </c>
    </row>
    <row r="5543" spans="1:23" x14ac:dyDescent="0.25">
      <c r="A5543" s="17"/>
      <c r="B5543" s="17"/>
      <c r="C5543" s="17"/>
      <c r="D5543" s="17"/>
      <c r="E5543" s="17"/>
      <c r="F5543" s="17"/>
      <c r="G5543" s="17"/>
      <c r="H5543" s="17"/>
      <c r="I5543" s="17"/>
      <c r="J5543" s="17"/>
      <c r="K5543" s="17"/>
      <c r="L5543" s="17"/>
      <c r="M5543" s="17"/>
      <c r="N5543" s="17"/>
      <c r="O5543" s="17"/>
      <c r="P5543" s="17"/>
      <c r="Q5543" s="17"/>
      <c r="R5543" s="17"/>
      <c r="S5543" s="17"/>
      <c r="T5543" s="17"/>
      <c r="U5543" s="17"/>
      <c r="V5543" s="18">
        <v>0</v>
      </c>
      <c r="W5543" s="17">
        <f t="shared" si="154"/>
        <v>0</v>
      </c>
    </row>
    <row r="5544" spans="1:23" x14ac:dyDescent="0.25">
      <c r="A5544" s="17"/>
      <c r="B5544" s="17"/>
      <c r="C5544" s="17"/>
      <c r="D5544" s="17"/>
      <c r="E5544" s="17"/>
      <c r="F5544" s="17"/>
      <c r="G5544" s="17"/>
      <c r="H5544" s="17"/>
      <c r="I5544" s="17"/>
      <c r="J5544" s="17"/>
      <c r="K5544" s="17"/>
      <c r="L5544" s="17"/>
      <c r="M5544" s="17"/>
      <c r="N5544" s="17"/>
      <c r="O5544" s="17"/>
      <c r="P5544" s="17"/>
      <c r="Q5544" s="17"/>
      <c r="R5544" s="17"/>
      <c r="S5544" s="17"/>
      <c r="T5544" s="17"/>
      <c r="U5544" s="17"/>
      <c r="V5544" s="18">
        <v>0</v>
      </c>
      <c r="W5544" s="17">
        <f t="shared" si="154"/>
        <v>0</v>
      </c>
    </row>
    <row r="5545" spans="1:23" x14ac:dyDescent="0.25">
      <c r="A5545" s="17"/>
      <c r="B5545" s="17"/>
      <c r="C5545" s="17"/>
      <c r="D5545" s="17"/>
      <c r="E5545" s="17"/>
      <c r="F5545" s="17"/>
      <c r="G5545" s="17"/>
      <c r="H5545" s="17"/>
      <c r="I5545" s="17"/>
      <c r="J5545" s="17"/>
      <c r="K5545" s="17"/>
      <c r="L5545" s="17"/>
      <c r="M5545" s="17"/>
      <c r="N5545" s="17"/>
      <c r="O5545" s="17"/>
      <c r="P5545" s="17"/>
      <c r="Q5545" s="17"/>
      <c r="R5545" s="17"/>
      <c r="S5545" s="17"/>
      <c r="T5545" s="17"/>
      <c r="U5545" s="17"/>
      <c r="V5545" s="18">
        <v>0</v>
      </c>
      <c r="W5545" s="17">
        <f t="shared" si="154"/>
        <v>0</v>
      </c>
    </row>
    <row r="5546" spans="1:23" x14ac:dyDescent="0.25">
      <c r="A5546" s="17"/>
      <c r="B5546" s="17"/>
      <c r="C5546" s="17"/>
      <c r="D5546" s="17"/>
      <c r="E5546" s="17"/>
      <c r="F5546" s="17"/>
      <c r="G5546" s="17"/>
      <c r="H5546" s="17"/>
      <c r="I5546" s="17"/>
      <c r="J5546" s="17"/>
      <c r="K5546" s="17"/>
      <c r="L5546" s="17"/>
      <c r="M5546" s="17"/>
      <c r="N5546" s="17"/>
      <c r="O5546" s="17"/>
      <c r="P5546" s="17"/>
      <c r="Q5546" s="17"/>
      <c r="R5546" s="17"/>
      <c r="S5546" s="17"/>
      <c r="T5546" s="17"/>
      <c r="U5546" s="17"/>
      <c r="V5546" s="18">
        <v>0</v>
      </c>
      <c r="W5546" s="17">
        <f t="shared" si="154"/>
        <v>0</v>
      </c>
    </row>
    <row r="5547" spans="1:23" x14ac:dyDescent="0.25">
      <c r="A5547" s="17"/>
      <c r="B5547" s="17"/>
      <c r="C5547" s="17"/>
      <c r="D5547" s="17"/>
      <c r="E5547" s="17"/>
      <c r="F5547" s="17"/>
      <c r="G5547" s="17"/>
      <c r="H5547" s="17"/>
      <c r="I5547" s="17"/>
      <c r="J5547" s="17"/>
      <c r="K5547" s="17"/>
      <c r="L5547" s="17"/>
      <c r="M5547" s="17"/>
      <c r="N5547" s="17"/>
      <c r="O5547" s="17"/>
      <c r="P5547" s="17"/>
      <c r="Q5547" s="17"/>
      <c r="R5547" s="17"/>
      <c r="S5547" s="17"/>
      <c r="T5547" s="17"/>
      <c r="U5547" s="17"/>
      <c r="V5547" s="18">
        <v>0</v>
      </c>
      <c r="W5547" s="17">
        <f t="shared" si="154"/>
        <v>0</v>
      </c>
    </row>
    <row r="5548" spans="1:23" x14ac:dyDescent="0.25">
      <c r="A5548" s="17"/>
      <c r="B5548" s="17"/>
      <c r="C5548" s="17"/>
      <c r="D5548" s="17"/>
      <c r="E5548" s="17"/>
      <c r="F5548" s="17"/>
      <c r="G5548" s="17"/>
      <c r="H5548" s="17"/>
      <c r="I5548" s="17"/>
      <c r="J5548" s="17"/>
      <c r="K5548" s="17"/>
      <c r="L5548" s="17"/>
      <c r="M5548" s="17"/>
      <c r="N5548" s="17"/>
      <c r="O5548" s="17"/>
      <c r="P5548" s="17"/>
      <c r="Q5548" s="17"/>
      <c r="R5548" s="17"/>
      <c r="S5548" s="17"/>
      <c r="T5548" s="17"/>
      <c r="U5548" s="17"/>
      <c r="V5548" s="18">
        <v>0</v>
      </c>
      <c r="W5548" s="17">
        <f t="shared" si="154"/>
        <v>0</v>
      </c>
    </row>
    <row r="5549" spans="1:23" x14ac:dyDescent="0.25">
      <c r="A5549" s="17"/>
      <c r="B5549" s="17"/>
      <c r="C5549" s="17"/>
      <c r="D5549" s="17"/>
      <c r="E5549" s="17"/>
      <c r="F5549" s="17"/>
      <c r="G5549" s="17"/>
      <c r="H5549" s="17"/>
      <c r="I5549" s="17"/>
      <c r="J5549" s="17"/>
      <c r="K5549" s="17"/>
      <c r="L5549" s="17"/>
      <c r="M5549" s="17"/>
      <c r="N5549" s="17"/>
      <c r="O5549" s="17"/>
      <c r="P5549" s="17"/>
      <c r="Q5549" s="17"/>
      <c r="R5549" s="17"/>
      <c r="S5549" s="17"/>
      <c r="T5549" s="17"/>
      <c r="U5549" s="17"/>
      <c r="V5549" s="18">
        <v>0</v>
      </c>
      <c r="W5549" s="17">
        <f t="shared" si="154"/>
        <v>0</v>
      </c>
    </row>
    <row r="5550" spans="1:23" x14ac:dyDescent="0.25">
      <c r="A5550" s="17"/>
      <c r="B5550" s="17"/>
      <c r="C5550" s="17"/>
      <c r="D5550" s="17"/>
      <c r="E5550" s="17"/>
      <c r="F5550" s="17"/>
      <c r="G5550" s="17"/>
      <c r="H5550" s="17"/>
      <c r="I5550" s="17"/>
      <c r="J5550" s="17"/>
      <c r="K5550" s="17"/>
      <c r="L5550" s="17"/>
      <c r="M5550" s="17"/>
      <c r="N5550" s="17"/>
      <c r="O5550" s="17"/>
      <c r="P5550" s="17"/>
      <c r="Q5550" s="17"/>
      <c r="R5550" s="17"/>
      <c r="S5550" s="17"/>
      <c r="T5550" s="17"/>
      <c r="U5550" s="17"/>
      <c r="V5550" s="18">
        <v>0</v>
      </c>
      <c r="W5550" s="17">
        <f t="shared" si="154"/>
        <v>0</v>
      </c>
    </row>
    <row r="5551" spans="1:23" x14ac:dyDescent="0.25">
      <c r="A5551" s="17"/>
      <c r="B5551" s="17"/>
      <c r="C5551" s="17"/>
      <c r="D5551" s="17"/>
      <c r="E5551" s="17"/>
      <c r="F5551" s="17"/>
      <c r="G5551" s="17"/>
      <c r="H5551" s="17"/>
      <c r="I5551" s="17"/>
      <c r="J5551" s="17"/>
      <c r="K5551" s="17"/>
      <c r="L5551" s="17"/>
      <c r="M5551" s="17"/>
      <c r="N5551" s="17"/>
      <c r="O5551" s="17"/>
      <c r="P5551" s="17"/>
      <c r="Q5551" s="17"/>
      <c r="R5551" s="17"/>
      <c r="S5551" s="17"/>
      <c r="T5551" s="17"/>
      <c r="U5551" s="17"/>
      <c r="V5551" s="18">
        <v>0</v>
      </c>
      <c r="W5551" s="17">
        <f t="shared" si="154"/>
        <v>0</v>
      </c>
    </row>
    <row r="5552" spans="1:23" x14ac:dyDescent="0.25">
      <c r="A5552" s="17"/>
      <c r="B5552" s="17"/>
      <c r="C5552" s="17"/>
      <c r="D5552" s="17"/>
      <c r="E5552" s="17"/>
      <c r="F5552" s="17"/>
      <c r="G5552" s="17"/>
      <c r="H5552" s="17"/>
      <c r="I5552" s="17"/>
      <c r="J5552" s="17"/>
      <c r="K5552" s="17"/>
      <c r="L5552" s="17"/>
      <c r="M5552" s="17"/>
      <c r="N5552" s="17"/>
      <c r="O5552" s="17"/>
      <c r="P5552" s="17"/>
      <c r="Q5552" s="17"/>
      <c r="R5552" s="17"/>
      <c r="S5552" s="17"/>
      <c r="T5552" s="17"/>
      <c r="U5552" s="17"/>
      <c r="V5552" s="18">
        <v>0</v>
      </c>
      <c r="W5552" s="17">
        <f t="shared" si="154"/>
        <v>0</v>
      </c>
    </row>
    <row r="5553" spans="1:23" x14ac:dyDescent="0.25">
      <c r="A5553" s="17"/>
      <c r="B5553" s="17"/>
      <c r="C5553" s="17"/>
      <c r="D5553" s="17"/>
      <c r="E5553" s="17"/>
      <c r="F5553" s="17"/>
      <c r="G5553" s="17"/>
      <c r="H5553" s="17"/>
      <c r="I5553" s="17"/>
      <c r="J5553" s="17"/>
      <c r="K5553" s="17"/>
      <c r="L5553" s="17"/>
      <c r="M5553" s="17"/>
      <c r="N5553" s="17"/>
      <c r="O5553" s="17"/>
      <c r="P5553" s="17"/>
      <c r="Q5553" s="17"/>
      <c r="R5553" s="17"/>
      <c r="S5553" s="17"/>
      <c r="T5553" s="17"/>
      <c r="U5553" s="17"/>
      <c r="V5553" s="18">
        <v>0</v>
      </c>
      <c r="W5553" s="17">
        <f t="shared" si="154"/>
        <v>0</v>
      </c>
    </row>
    <row r="5554" spans="1:23" x14ac:dyDescent="0.25">
      <c r="A5554" s="17"/>
      <c r="B5554" s="17"/>
      <c r="C5554" s="17"/>
      <c r="D5554" s="17"/>
      <c r="E5554" s="17"/>
      <c r="F5554" s="17"/>
      <c r="G5554" s="17"/>
      <c r="H5554" s="17"/>
      <c r="I5554" s="17"/>
      <c r="J5554" s="17"/>
      <c r="K5554" s="17"/>
      <c r="L5554" s="17"/>
      <c r="M5554" s="17"/>
      <c r="N5554" s="17"/>
      <c r="O5554" s="17"/>
      <c r="P5554" s="17"/>
      <c r="Q5554" s="17"/>
      <c r="R5554" s="17"/>
      <c r="S5554" s="17"/>
      <c r="T5554" s="17"/>
      <c r="U5554" s="17"/>
      <c r="V5554" s="18">
        <v>0</v>
      </c>
      <c r="W5554" s="17">
        <f t="shared" si="154"/>
        <v>0</v>
      </c>
    </row>
    <row r="5555" spans="1:23" x14ac:dyDescent="0.25">
      <c r="A5555" s="17"/>
      <c r="B5555" s="17"/>
      <c r="C5555" s="17"/>
      <c r="D5555" s="17"/>
      <c r="E5555" s="17"/>
      <c r="F5555" s="17"/>
      <c r="G5555" s="17"/>
      <c r="H5555" s="17"/>
      <c r="I5555" s="17"/>
      <c r="J5555" s="17"/>
      <c r="K5555" s="17"/>
      <c r="L5555" s="17"/>
      <c r="M5555" s="17"/>
      <c r="N5555" s="17"/>
      <c r="O5555" s="17"/>
      <c r="P5555" s="17"/>
      <c r="Q5555" s="17"/>
      <c r="R5555" s="17"/>
      <c r="S5555" s="17"/>
      <c r="T5555" s="17"/>
      <c r="U5555" s="17"/>
      <c r="V5555" s="18">
        <v>0</v>
      </c>
      <c r="W5555" s="17">
        <f t="shared" si="154"/>
        <v>0</v>
      </c>
    </row>
    <row r="5556" spans="1:23" x14ac:dyDescent="0.25">
      <c r="A5556" s="17"/>
      <c r="B5556" s="17"/>
      <c r="C5556" s="17"/>
      <c r="D5556" s="17"/>
      <c r="E5556" s="17"/>
      <c r="F5556" s="17"/>
      <c r="G5556" s="17"/>
      <c r="H5556" s="17"/>
      <c r="I5556" s="17"/>
      <c r="J5556" s="17"/>
      <c r="K5556" s="17"/>
      <c r="L5556" s="17"/>
      <c r="M5556" s="17"/>
      <c r="N5556" s="17"/>
      <c r="O5556" s="17"/>
      <c r="P5556" s="17"/>
      <c r="Q5556" s="17"/>
      <c r="R5556" s="17"/>
      <c r="S5556" s="17"/>
      <c r="T5556" s="17"/>
      <c r="U5556" s="17"/>
      <c r="V5556" s="18">
        <v>0</v>
      </c>
      <c r="W5556" s="17">
        <f t="shared" si="154"/>
        <v>0</v>
      </c>
    </row>
    <row r="5557" spans="1:23" x14ac:dyDescent="0.25">
      <c r="A5557" s="17"/>
      <c r="B5557" s="17"/>
      <c r="C5557" s="17"/>
      <c r="D5557" s="17"/>
      <c r="E5557" s="17"/>
      <c r="F5557" s="17"/>
      <c r="G5557" s="17"/>
      <c r="H5557" s="17"/>
      <c r="I5557" s="17"/>
      <c r="J5557" s="17"/>
      <c r="K5557" s="17"/>
      <c r="L5557" s="17"/>
      <c r="M5557" s="17"/>
      <c r="N5557" s="17"/>
      <c r="O5557" s="17"/>
      <c r="P5557" s="17"/>
      <c r="Q5557" s="17"/>
      <c r="R5557" s="17"/>
      <c r="S5557" s="17"/>
      <c r="T5557" s="17"/>
      <c r="U5557" s="17"/>
      <c r="V5557" s="18">
        <v>0</v>
      </c>
      <c r="W5557" s="17">
        <f t="shared" si="154"/>
        <v>0</v>
      </c>
    </row>
    <row r="5558" spans="1:23" x14ac:dyDescent="0.25">
      <c r="A5558" s="17"/>
      <c r="B5558" s="17"/>
      <c r="C5558" s="17"/>
      <c r="D5558" s="17"/>
      <c r="E5558" s="17"/>
      <c r="F5558" s="17"/>
      <c r="G5558" s="17"/>
      <c r="H5558" s="17"/>
      <c r="I5558" s="17"/>
      <c r="J5558" s="17"/>
      <c r="K5558" s="17"/>
      <c r="L5558" s="17"/>
      <c r="M5558" s="17"/>
      <c r="N5558" s="17"/>
      <c r="O5558" s="17"/>
      <c r="P5558" s="17"/>
      <c r="Q5558" s="17"/>
      <c r="R5558" s="17"/>
      <c r="S5558" s="17"/>
      <c r="T5558" s="17"/>
      <c r="U5558" s="17"/>
      <c r="V5558" s="18">
        <v>0</v>
      </c>
      <c r="W5558" s="17">
        <f t="shared" si="154"/>
        <v>0</v>
      </c>
    </row>
    <row r="5559" spans="1:23" x14ac:dyDescent="0.25">
      <c r="A5559" s="17"/>
      <c r="B5559" s="17"/>
      <c r="C5559" s="17"/>
      <c r="D5559" s="17"/>
      <c r="E5559" s="17"/>
      <c r="F5559" s="17"/>
      <c r="G5559" s="17"/>
      <c r="H5559" s="17"/>
      <c r="I5559" s="17"/>
      <c r="J5559" s="17"/>
      <c r="K5559" s="17"/>
      <c r="L5559" s="17"/>
      <c r="M5559" s="17"/>
      <c r="N5559" s="17"/>
      <c r="O5559" s="17"/>
      <c r="P5559" s="17"/>
      <c r="Q5559" s="17"/>
      <c r="R5559" s="17"/>
      <c r="S5559" s="17"/>
      <c r="T5559" s="17"/>
      <c r="U5559" s="17"/>
      <c r="V5559" s="18">
        <v>0</v>
      </c>
      <c r="W5559" s="17">
        <f t="shared" si="154"/>
        <v>0</v>
      </c>
    </row>
    <row r="5560" spans="1:23" x14ac:dyDescent="0.25">
      <c r="A5560" s="17"/>
      <c r="B5560" s="17"/>
      <c r="C5560" s="17"/>
      <c r="D5560" s="17"/>
      <c r="E5560" s="17"/>
      <c r="F5560" s="17"/>
      <c r="G5560" s="17"/>
      <c r="H5560" s="17"/>
      <c r="I5560" s="17"/>
      <c r="J5560" s="17"/>
      <c r="K5560" s="17"/>
      <c r="L5560" s="17"/>
      <c r="M5560" s="17"/>
      <c r="N5560" s="17"/>
      <c r="O5560" s="17"/>
      <c r="P5560" s="17"/>
      <c r="Q5560" s="17"/>
      <c r="R5560" s="17"/>
      <c r="S5560" s="17"/>
      <c r="T5560" s="17"/>
      <c r="U5560" s="17"/>
      <c r="V5560" s="18">
        <v>0</v>
      </c>
      <c r="W5560" s="17">
        <f t="shared" si="154"/>
        <v>0</v>
      </c>
    </row>
    <row r="5561" spans="1:23" x14ac:dyDescent="0.25">
      <c r="A5561" s="17"/>
      <c r="B5561" s="17"/>
      <c r="C5561" s="17"/>
      <c r="D5561" s="17"/>
      <c r="E5561" s="17"/>
      <c r="F5561" s="17"/>
      <c r="G5561" s="17"/>
      <c r="H5561" s="17"/>
      <c r="I5561" s="17"/>
      <c r="J5561" s="17"/>
      <c r="K5561" s="17"/>
      <c r="L5561" s="17"/>
      <c r="M5561" s="17"/>
      <c r="N5561" s="17"/>
      <c r="O5561" s="17"/>
      <c r="P5561" s="17"/>
      <c r="Q5561" s="17"/>
      <c r="R5561" s="17"/>
      <c r="S5561" s="17"/>
      <c r="T5561" s="17"/>
      <c r="U5561" s="17"/>
      <c r="V5561" s="18">
        <v>0</v>
      </c>
      <c r="W5561" s="17">
        <f t="shared" si="154"/>
        <v>0</v>
      </c>
    </row>
    <row r="5562" spans="1:23" x14ac:dyDescent="0.25">
      <c r="A5562" s="17"/>
      <c r="B5562" s="17"/>
      <c r="C5562" s="17"/>
      <c r="D5562" s="17"/>
      <c r="E5562" s="17"/>
      <c r="F5562" s="17"/>
      <c r="G5562" s="17"/>
      <c r="H5562" s="17"/>
      <c r="I5562" s="17"/>
      <c r="J5562" s="17"/>
      <c r="K5562" s="17"/>
      <c r="L5562" s="17"/>
      <c r="M5562" s="17"/>
      <c r="N5562" s="17"/>
      <c r="O5562" s="17"/>
      <c r="P5562" s="17"/>
      <c r="Q5562" s="17"/>
      <c r="R5562" s="17"/>
      <c r="S5562" s="17"/>
      <c r="T5562" s="17"/>
      <c r="U5562" s="17"/>
      <c r="V5562" s="18">
        <v>0</v>
      </c>
      <c r="W5562" s="17">
        <f t="shared" si="154"/>
        <v>0</v>
      </c>
    </row>
    <row r="5563" spans="1:23" x14ac:dyDescent="0.25">
      <c r="A5563" s="17"/>
      <c r="B5563" s="17"/>
      <c r="C5563" s="17"/>
      <c r="D5563" s="17"/>
      <c r="E5563" s="17"/>
      <c r="F5563" s="17"/>
      <c r="G5563" s="17"/>
      <c r="H5563" s="17"/>
      <c r="I5563" s="17"/>
      <c r="J5563" s="17"/>
      <c r="K5563" s="17"/>
      <c r="L5563" s="17"/>
      <c r="M5563" s="17"/>
      <c r="N5563" s="17"/>
      <c r="O5563" s="17"/>
      <c r="P5563" s="17"/>
      <c r="Q5563" s="17"/>
      <c r="R5563" s="17"/>
      <c r="S5563" s="17"/>
      <c r="T5563" s="17"/>
      <c r="U5563" s="17"/>
      <c r="V5563" s="18">
        <v>0</v>
      </c>
      <c r="W5563" s="17">
        <f t="shared" si="154"/>
        <v>0</v>
      </c>
    </row>
    <row r="5564" spans="1:23" x14ac:dyDescent="0.25">
      <c r="A5564" s="17"/>
      <c r="B5564" s="17"/>
      <c r="C5564" s="17"/>
      <c r="D5564" s="17"/>
      <c r="E5564" s="17"/>
      <c r="F5564" s="17"/>
      <c r="G5564" s="17"/>
      <c r="H5564" s="17"/>
      <c r="I5564" s="17"/>
      <c r="J5564" s="17"/>
      <c r="K5564" s="17"/>
      <c r="L5564" s="17"/>
      <c r="M5564" s="17"/>
      <c r="N5564" s="17"/>
      <c r="O5564" s="17"/>
      <c r="P5564" s="17"/>
      <c r="Q5564" s="17"/>
      <c r="R5564" s="17"/>
      <c r="S5564" s="17"/>
      <c r="T5564" s="17"/>
      <c r="U5564" s="17"/>
      <c r="V5564" s="18">
        <v>0</v>
      </c>
      <c r="W5564" s="17">
        <f t="shared" si="154"/>
        <v>0</v>
      </c>
    </row>
    <row r="5565" spans="1:23" x14ac:dyDescent="0.25">
      <c r="A5565" s="17"/>
      <c r="B5565" s="17"/>
      <c r="C5565" s="17"/>
      <c r="D5565" s="17"/>
      <c r="E5565" s="17"/>
      <c r="F5565" s="17"/>
      <c r="G5565" s="17"/>
      <c r="H5565" s="17"/>
      <c r="I5565" s="17"/>
      <c r="J5565" s="17"/>
      <c r="K5565" s="17"/>
      <c r="L5565" s="17"/>
      <c r="M5565" s="17"/>
      <c r="N5565" s="17"/>
      <c r="O5565" s="17"/>
      <c r="P5565" s="17"/>
      <c r="Q5565" s="17"/>
      <c r="R5565" s="17"/>
      <c r="S5565" s="17"/>
      <c r="T5565" s="17"/>
      <c r="U5565" s="17"/>
      <c r="V5565" s="18">
        <v>0</v>
      </c>
      <c r="W5565" s="17">
        <f t="shared" si="154"/>
        <v>0</v>
      </c>
    </row>
    <row r="5566" spans="1:23" x14ac:dyDescent="0.25">
      <c r="A5566" s="17"/>
      <c r="B5566" s="17"/>
      <c r="C5566" s="17"/>
      <c r="D5566" s="17"/>
      <c r="E5566" s="17"/>
      <c r="F5566" s="17"/>
      <c r="G5566" s="17"/>
      <c r="H5566" s="17"/>
      <c r="I5566" s="17"/>
      <c r="J5566" s="17"/>
      <c r="K5566" s="17"/>
      <c r="L5566" s="17"/>
      <c r="M5566" s="17"/>
      <c r="N5566" s="17"/>
      <c r="O5566" s="17"/>
      <c r="P5566" s="17"/>
      <c r="Q5566" s="17"/>
      <c r="R5566" s="17"/>
      <c r="S5566" s="17"/>
      <c r="T5566" s="17"/>
      <c r="U5566" s="17"/>
      <c r="V5566" s="18">
        <v>0</v>
      </c>
      <c r="W5566" s="17">
        <f t="shared" si="154"/>
        <v>0</v>
      </c>
    </row>
    <row r="5567" spans="1:23" x14ac:dyDescent="0.25">
      <c r="A5567" s="17"/>
      <c r="B5567" s="17"/>
      <c r="C5567" s="17"/>
      <c r="D5567" s="17"/>
      <c r="E5567" s="17"/>
      <c r="F5567" s="17"/>
      <c r="G5567" s="17"/>
      <c r="H5567" s="17"/>
      <c r="I5567" s="17"/>
      <c r="J5567" s="17"/>
      <c r="K5567" s="17"/>
      <c r="L5567" s="17"/>
      <c r="M5567" s="17"/>
      <c r="N5567" s="17"/>
      <c r="O5567" s="17"/>
      <c r="P5567" s="17"/>
      <c r="Q5567" s="17"/>
      <c r="R5567" s="17"/>
      <c r="S5567" s="17"/>
      <c r="T5567" s="17"/>
      <c r="U5567" s="17"/>
      <c r="V5567" s="18">
        <v>0</v>
      </c>
      <c r="W5567" s="17">
        <f t="shared" si="154"/>
        <v>0</v>
      </c>
    </row>
    <row r="5568" spans="1:23" x14ac:dyDescent="0.25">
      <c r="A5568" s="17"/>
      <c r="B5568" s="17"/>
      <c r="C5568" s="17"/>
      <c r="D5568" s="17"/>
      <c r="E5568" s="17"/>
      <c r="F5568" s="17"/>
      <c r="G5568" s="17"/>
      <c r="H5568" s="17"/>
      <c r="I5568" s="17"/>
      <c r="J5568" s="17"/>
      <c r="K5568" s="17"/>
      <c r="L5568" s="17"/>
      <c r="M5568" s="17"/>
      <c r="N5568" s="17"/>
      <c r="O5568" s="17"/>
      <c r="P5568" s="17"/>
      <c r="Q5568" s="17"/>
      <c r="R5568" s="17"/>
      <c r="S5568" s="17"/>
      <c r="T5568" s="17"/>
      <c r="U5568" s="17"/>
      <c r="V5568" s="18">
        <v>0</v>
      </c>
      <c r="W5568" s="17">
        <f t="shared" si="154"/>
        <v>0</v>
      </c>
    </row>
    <row r="5569" spans="1:23" x14ac:dyDescent="0.25">
      <c r="A5569" s="17"/>
      <c r="B5569" s="17"/>
      <c r="C5569" s="17"/>
      <c r="D5569" s="17"/>
      <c r="E5569" s="17"/>
      <c r="F5569" s="17"/>
      <c r="G5569" s="17"/>
      <c r="H5569" s="17"/>
      <c r="I5569" s="17"/>
      <c r="J5569" s="17"/>
      <c r="K5569" s="17"/>
      <c r="L5569" s="17"/>
      <c r="M5569" s="17"/>
      <c r="N5569" s="17"/>
      <c r="O5569" s="17"/>
      <c r="P5569" s="17"/>
      <c r="Q5569" s="17"/>
      <c r="R5569" s="17"/>
      <c r="S5569" s="17"/>
      <c r="T5569" s="17"/>
      <c r="U5569" s="17"/>
      <c r="V5569" s="18">
        <v>0</v>
      </c>
      <c r="W5569" s="17">
        <f t="shared" si="154"/>
        <v>0</v>
      </c>
    </row>
    <row r="5570" spans="1:23" x14ac:dyDescent="0.25">
      <c r="A5570" s="17"/>
      <c r="B5570" s="17"/>
      <c r="C5570" s="17"/>
      <c r="D5570" s="17"/>
      <c r="E5570" s="17"/>
      <c r="F5570" s="17"/>
      <c r="G5570" s="17"/>
      <c r="H5570" s="17"/>
      <c r="I5570" s="17"/>
      <c r="J5570" s="17"/>
      <c r="K5570" s="17"/>
      <c r="L5570" s="17"/>
      <c r="M5570" s="17"/>
      <c r="N5570" s="17"/>
      <c r="O5570" s="17"/>
      <c r="P5570" s="17"/>
      <c r="Q5570" s="17"/>
      <c r="R5570" s="17"/>
      <c r="S5570" s="17"/>
      <c r="T5570" s="17"/>
      <c r="U5570" s="17"/>
      <c r="V5570" s="18">
        <v>0</v>
      </c>
      <c r="W5570" s="17">
        <f t="shared" si="154"/>
        <v>0</v>
      </c>
    </row>
    <row r="5571" spans="1:23" x14ac:dyDescent="0.25">
      <c r="A5571" s="17"/>
      <c r="B5571" s="17"/>
      <c r="C5571" s="17"/>
      <c r="D5571" s="17"/>
      <c r="E5571" s="17"/>
      <c r="F5571" s="17"/>
      <c r="G5571" s="17"/>
      <c r="H5571" s="17"/>
      <c r="I5571" s="17"/>
      <c r="J5571" s="17"/>
      <c r="K5571" s="17"/>
      <c r="L5571" s="17"/>
      <c r="M5571" s="17"/>
      <c r="N5571" s="17"/>
      <c r="O5571" s="17"/>
      <c r="P5571" s="17"/>
      <c r="Q5571" s="17"/>
      <c r="R5571" s="17"/>
      <c r="S5571" s="17"/>
      <c r="T5571" s="17"/>
      <c r="U5571" s="17"/>
      <c r="V5571" s="18">
        <v>0</v>
      </c>
      <c r="W5571" s="17">
        <f t="shared" ref="W5571:W5634" si="155">HOUR(E5571)</f>
        <v>0</v>
      </c>
    </row>
    <row r="5572" spans="1:23" x14ac:dyDescent="0.25">
      <c r="A5572" s="17"/>
      <c r="B5572" s="17"/>
      <c r="C5572" s="17"/>
      <c r="D5572" s="17"/>
      <c r="E5572" s="17"/>
      <c r="F5572" s="17"/>
      <c r="G5572" s="17"/>
      <c r="H5572" s="17"/>
      <c r="I5572" s="17"/>
      <c r="J5572" s="17"/>
      <c r="K5572" s="17"/>
      <c r="L5572" s="17"/>
      <c r="M5572" s="17"/>
      <c r="N5572" s="17"/>
      <c r="O5572" s="17"/>
      <c r="P5572" s="17"/>
      <c r="Q5572" s="17"/>
      <c r="R5572" s="17"/>
      <c r="S5572" s="17"/>
      <c r="T5572" s="17"/>
      <c r="U5572" s="17"/>
      <c r="V5572" s="18">
        <v>0</v>
      </c>
      <c r="W5572" s="17">
        <f t="shared" si="155"/>
        <v>0</v>
      </c>
    </row>
    <row r="5573" spans="1:23" x14ac:dyDescent="0.25">
      <c r="A5573" s="17"/>
      <c r="B5573" s="17"/>
      <c r="C5573" s="17"/>
      <c r="D5573" s="17"/>
      <c r="E5573" s="17"/>
      <c r="F5573" s="17"/>
      <c r="G5573" s="17"/>
      <c r="H5573" s="17"/>
      <c r="I5573" s="17"/>
      <c r="J5573" s="17"/>
      <c r="K5573" s="17"/>
      <c r="L5573" s="17"/>
      <c r="M5573" s="17"/>
      <c r="N5573" s="17"/>
      <c r="O5573" s="17"/>
      <c r="P5573" s="17"/>
      <c r="Q5573" s="17"/>
      <c r="R5573" s="17"/>
      <c r="S5573" s="17"/>
      <c r="T5573" s="17"/>
      <c r="U5573" s="17"/>
      <c r="V5573" s="18">
        <v>0</v>
      </c>
      <c r="W5573" s="17">
        <f t="shared" si="155"/>
        <v>0</v>
      </c>
    </row>
    <row r="5574" spans="1:23" x14ac:dyDescent="0.25">
      <c r="A5574" s="17"/>
      <c r="B5574" s="17"/>
      <c r="C5574" s="17"/>
      <c r="D5574" s="17"/>
      <c r="E5574" s="17"/>
      <c r="F5574" s="17"/>
      <c r="G5574" s="17"/>
      <c r="H5574" s="17"/>
      <c r="I5574" s="17"/>
      <c r="J5574" s="17"/>
      <c r="K5574" s="17"/>
      <c r="L5574" s="17"/>
      <c r="M5574" s="17"/>
      <c r="N5574" s="17"/>
      <c r="O5574" s="17"/>
      <c r="P5574" s="17"/>
      <c r="Q5574" s="17"/>
      <c r="R5574" s="17"/>
      <c r="S5574" s="17"/>
      <c r="T5574" s="17"/>
      <c r="U5574" s="17"/>
      <c r="V5574" s="18">
        <v>0</v>
      </c>
      <c r="W5574" s="17">
        <f t="shared" si="155"/>
        <v>0</v>
      </c>
    </row>
    <row r="5575" spans="1:23" x14ac:dyDescent="0.25">
      <c r="A5575" s="17"/>
      <c r="B5575" s="17"/>
      <c r="C5575" s="17"/>
      <c r="D5575" s="17"/>
      <c r="E5575" s="17"/>
      <c r="F5575" s="17"/>
      <c r="G5575" s="17"/>
      <c r="H5575" s="17"/>
      <c r="I5575" s="17"/>
      <c r="J5575" s="17"/>
      <c r="K5575" s="17"/>
      <c r="L5575" s="17"/>
      <c r="M5575" s="17"/>
      <c r="N5575" s="17"/>
      <c r="O5575" s="17"/>
      <c r="P5575" s="17"/>
      <c r="Q5575" s="17"/>
      <c r="R5575" s="17"/>
      <c r="S5575" s="17"/>
      <c r="T5575" s="17"/>
      <c r="U5575" s="17"/>
      <c r="V5575" s="18">
        <v>0</v>
      </c>
      <c r="W5575" s="17">
        <f t="shared" si="155"/>
        <v>0</v>
      </c>
    </row>
    <row r="5576" spans="1:23" x14ac:dyDescent="0.25">
      <c r="A5576" s="17"/>
      <c r="B5576" s="17"/>
      <c r="C5576" s="17"/>
      <c r="D5576" s="17"/>
      <c r="E5576" s="17"/>
      <c r="F5576" s="17"/>
      <c r="G5576" s="17"/>
      <c r="H5576" s="17"/>
      <c r="I5576" s="17"/>
      <c r="J5576" s="17"/>
      <c r="K5576" s="17"/>
      <c r="L5576" s="17"/>
      <c r="M5576" s="17"/>
      <c r="N5576" s="17"/>
      <c r="O5576" s="17"/>
      <c r="P5576" s="17"/>
      <c r="Q5576" s="17"/>
      <c r="R5576" s="17"/>
      <c r="S5576" s="17"/>
      <c r="T5576" s="17"/>
      <c r="U5576" s="17"/>
      <c r="V5576" s="18">
        <v>0</v>
      </c>
      <c r="W5576" s="17">
        <f t="shared" si="155"/>
        <v>0</v>
      </c>
    </row>
    <row r="5577" spans="1:23" x14ac:dyDescent="0.25">
      <c r="A5577" s="17"/>
      <c r="B5577" s="17"/>
      <c r="C5577" s="17"/>
      <c r="D5577" s="17"/>
      <c r="E5577" s="17"/>
      <c r="F5577" s="17"/>
      <c r="G5577" s="17"/>
      <c r="H5577" s="17"/>
      <c r="I5577" s="17"/>
      <c r="J5577" s="17"/>
      <c r="K5577" s="17"/>
      <c r="L5577" s="17"/>
      <c r="M5577" s="17"/>
      <c r="N5577" s="17"/>
      <c r="O5577" s="17"/>
      <c r="P5577" s="17"/>
      <c r="Q5577" s="17"/>
      <c r="R5577" s="17"/>
      <c r="S5577" s="17"/>
      <c r="T5577" s="17"/>
      <c r="U5577" s="17"/>
      <c r="V5577" s="18">
        <v>0</v>
      </c>
      <c r="W5577" s="17">
        <f t="shared" si="155"/>
        <v>0</v>
      </c>
    </row>
    <row r="5578" spans="1:23" x14ac:dyDescent="0.25">
      <c r="A5578" s="17"/>
      <c r="B5578" s="17"/>
      <c r="C5578" s="17"/>
      <c r="D5578" s="17"/>
      <c r="E5578" s="17"/>
      <c r="F5578" s="17"/>
      <c r="G5578" s="17"/>
      <c r="H5578" s="17"/>
      <c r="I5578" s="17"/>
      <c r="J5578" s="17"/>
      <c r="K5578" s="17"/>
      <c r="L5578" s="17"/>
      <c r="M5578" s="17"/>
      <c r="N5578" s="17"/>
      <c r="O5578" s="17"/>
      <c r="P5578" s="17"/>
      <c r="Q5578" s="17"/>
      <c r="R5578" s="17"/>
      <c r="S5578" s="17"/>
      <c r="T5578" s="17"/>
      <c r="U5578" s="17"/>
      <c r="V5578" s="18">
        <v>0</v>
      </c>
      <c r="W5578" s="17">
        <f t="shared" si="155"/>
        <v>0</v>
      </c>
    </row>
    <row r="5579" spans="1:23" x14ac:dyDescent="0.25">
      <c r="A5579" s="17"/>
      <c r="B5579" s="17"/>
      <c r="C5579" s="17"/>
      <c r="D5579" s="17"/>
      <c r="E5579" s="17"/>
      <c r="F5579" s="17"/>
      <c r="G5579" s="17"/>
      <c r="H5579" s="17"/>
      <c r="I5579" s="17"/>
      <c r="J5579" s="17"/>
      <c r="K5579" s="17"/>
      <c r="L5579" s="17"/>
      <c r="M5579" s="17"/>
      <c r="N5579" s="17"/>
      <c r="O5579" s="17"/>
      <c r="P5579" s="17"/>
      <c r="Q5579" s="17"/>
      <c r="R5579" s="17"/>
      <c r="S5579" s="17"/>
      <c r="T5579" s="17"/>
      <c r="U5579" s="17"/>
      <c r="V5579" s="18">
        <v>0</v>
      </c>
      <c r="W5579" s="17">
        <f t="shared" si="155"/>
        <v>0</v>
      </c>
    </row>
    <row r="5580" spans="1:23" x14ac:dyDescent="0.25">
      <c r="A5580" s="17"/>
      <c r="B5580" s="17"/>
      <c r="C5580" s="17"/>
      <c r="D5580" s="17"/>
      <c r="E5580" s="17"/>
      <c r="F5580" s="17"/>
      <c r="G5580" s="17"/>
      <c r="H5580" s="17"/>
      <c r="I5580" s="17"/>
      <c r="J5580" s="17"/>
      <c r="K5580" s="17"/>
      <c r="L5580" s="17"/>
      <c r="M5580" s="17"/>
      <c r="N5580" s="17"/>
      <c r="O5580" s="17"/>
      <c r="P5580" s="17"/>
      <c r="Q5580" s="17"/>
      <c r="R5580" s="17"/>
      <c r="S5580" s="17"/>
      <c r="T5580" s="17"/>
      <c r="U5580" s="17"/>
      <c r="V5580" s="18">
        <v>0</v>
      </c>
      <c r="W5580" s="17">
        <f t="shared" si="155"/>
        <v>0</v>
      </c>
    </row>
    <row r="5581" spans="1:23" x14ac:dyDescent="0.25">
      <c r="A5581" s="17"/>
      <c r="B5581" s="17"/>
      <c r="C5581" s="17"/>
      <c r="D5581" s="17"/>
      <c r="E5581" s="17"/>
      <c r="F5581" s="17"/>
      <c r="G5581" s="17"/>
      <c r="H5581" s="17"/>
      <c r="I5581" s="17"/>
      <c r="J5581" s="17"/>
      <c r="K5581" s="17"/>
      <c r="L5581" s="17"/>
      <c r="M5581" s="17"/>
      <c r="N5581" s="17"/>
      <c r="O5581" s="17"/>
      <c r="P5581" s="17"/>
      <c r="Q5581" s="17"/>
      <c r="R5581" s="17"/>
      <c r="S5581" s="17"/>
      <c r="T5581" s="17"/>
      <c r="U5581" s="17"/>
      <c r="V5581" s="18">
        <v>0</v>
      </c>
      <c r="W5581" s="17">
        <f t="shared" si="155"/>
        <v>0</v>
      </c>
    </row>
    <row r="5582" spans="1:23" x14ac:dyDescent="0.25">
      <c r="A5582" s="17"/>
      <c r="B5582" s="17"/>
      <c r="C5582" s="17"/>
      <c r="D5582" s="17"/>
      <c r="E5582" s="17"/>
      <c r="F5582" s="17"/>
      <c r="G5582" s="17"/>
      <c r="H5582" s="17"/>
      <c r="I5582" s="17"/>
      <c r="J5582" s="17"/>
      <c r="K5582" s="17"/>
      <c r="L5582" s="17"/>
      <c r="M5582" s="17"/>
      <c r="N5582" s="17"/>
      <c r="O5582" s="17"/>
      <c r="P5582" s="17"/>
      <c r="Q5582" s="17"/>
      <c r="R5582" s="17"/>
      <c r="S5582" s="17"/>
      <c r="T5582" s="17"/>
      <c r="U5582" s="17"/>
      <c r="V5582" s="18">
        <v>0</v>
      </c>
      <c r="W5582" s="17">
        <f t="shared" si="155"/>
        <v>0</v>
      </c>
    </row>
    <row r="5583" spans="1:23" x14ac:dyDescent="0.25">
      <c r="A5583" s="17"/>
      <c r="B5583" s="17"/>
      <c r="C5583" s="17"/>
      <c r="D5583" s="17"/>
      <c r="E5583" s="17"/>
      <c r="F5583" s="17"/>
      <c r="G5583" s="17"/>
      <c r="H5583" s="17"/>
      <c r="I5583" s="17"/>
      <c r="J5583" s="17"/>
      <c r="K5583" s="17"/>
      <c r="L5583" s="17"/>
      <c r="M5583" s="17"/>
      <c r="N5583" s="17"/>
      <c r="O5583" s="17"/>
      <c r="P5583" s="17"/>
      <c r="Q5583" s="17"/>
      <c r="R5583" s="17"/>
      <c r="S5583" s="17"/>
      <c r="T5583" s="17"/>
      <c r="U5583" s="17"/>
      <c r="V5583" s="18">
        <v>0</v>
      </c>
      <c r="W5583" s="17">
        <f t="shared" si="155"/>
        <v>0</v>
      </c>
    </row>
    <row r="5584" spans="1:23" x14ac:dyDescent="0.25">
      <c r="A5584" s="17"/>
      <c r="B5584" s="17"/>
      <c r="C5584" s="17"/>
      <c r="D5584" s="17"/>
      <c r="E5584" s="17"/>
      <c r="F5584" s="17"/>
      <c r="G5584" s="17"/>
      <c r="H5584" s="17"/>
      <c r="I5584" s="17"/>
      <c r="J5584" s="17"/>
      <c r="K5584" s="17"/>
      <c r="L5584" s="17"/>
      <c r="M5584" s="17"/>
      <c r="N5584" s="17"/>
      <c r="O5584" s="17"/>
      <c r="P5584" s="17"/>
      <c r="Q5584" s="17"/>
      <c r="R5584" s="17"/>
      <c r="S5584" s="17"/>
      <c r="T5584" s="17"/>
      <c r="U5584" s="17"/>
      <c r="V5584" s="18">
        <v>0</v>
      </c>
      <c r="W5584" s="17">
        <f t="shared" si="155"/>
        <v>0</v>
      </c>
    </row>
    <row r="5585" spans="1:23" x14ac:dyDescent="0.25">
      <c r="A5585" s="17"/>
      <c r="B5585" s="17"/>
      <c r="C5585" s="17"/>
      <c r="D5585" s="17"/>
      <c r="E5585" s="17"/>
      <c r="F5585" s="17"/>
      <c r="G5585" s="17"/>
      <c r="H5585" s="17"/>
      <c r="I5585" s="17"/>
      <c r="J5585" s="17"/>
      <c r="K5585" s="17"/>
      <c r="L5585" s="17"/>
      <c r="M5585" s="17"/>
      <c r="N5585" s="17"/>
      <c r="O5585" s="17"/>
      <c r="P5585" s="17"/>
      <c r="Q5585" s="17"/>
      <c r="R5585" s="17"/>
      <c r="S5585" s="17"/>
      <c r="T5585" s="17"/>
      <c r="U5585" s="17"/>
      <c r="V5585" s="18">
        <v>0</v>
      </c>
      <c r="W5585" s="17">
        <f t="shared" si="155"/>
        <v>0</v>
      </c>
    </row>
    <row r="5586" spans="1:23" x14ac:dyDescent="0.25">
      <c r="A5586" s="17"/>
      <c r="B5586" s="17"/>
      <c r="C5586" s="17"/>
      <c r="D5586" s="17"/>
      <c r="E5586" s="17"/>
      <c r="F5586" s="17"/>
      <c r="G5586" s="17"/>
      <c r="H5586" s="17"/>
      <c r="I5586" s="17"/>
      <c r="J5586" s="17"/>
      <c r="K5586" s="17"/>
      <c r="L5586" s="17"/>
      <c r="M5586" s="17"/>
      <c r="N5586" s="17"/>
      <c r="O5586" s="17"/>
      <c r="P5586" s="17"/>
      <c r="Q5586" s="17"/>
      <c r="R5586" s="17"/>
      <c r="S5586" s="17"/>
      <c r="T5586" s="17"/>
      <c r="U5586" s="17"/>
      <c r="V5586" s="18">
        <v>0</v>
      </c>
      <c r="W5586" s="17">
        <f t="shared" si="155"/>
        <v>0</v>
      </c>
    </row>
    <row r="5587" spans="1:23" x14ac:dyDescent="0.25">
      <c r="A5587" s="17"/>
      <c r="B5587" s="17"/>
      <c r="C5587" s="17"/>
      <c r="D5587" s="17"/>
      <c r="E5587" s="17"/>
      <c r="F5587" s="17"/>
      <c r="G5587" s="17"/>
      <c r="H5587" s="17"/>
      <c r="I5587" s="17"/>
      <c r="J5587" s="17"/>
      <c r="K5587" s="17"/>
      <c r="L5587" s="17"/>
      <c r="M5587" s="17"/>
      <c r="N5587" s="17"/>
      <c r="O5587" s="17"/>
      <c r="P5587" s="17"/>
      <c r="Q5587" s="17"/>
      <c r="R5587" s="17"/>
      <c r="S5587" s="17"/>
      <c r="T5587" s="17"/>
      <c r="U5587" s="17"/>
      <c r="V5587" s="18">
        <v>0</v>
      </c>
      <c r="W5587" s="17">
        <f t="shared" si="155"/>
        <v>0</v>
      </c>
    </row>
    <row r="5588" spans="1:23" x14ac:dyDescent="0.25">
      <c r="A5588" s="17"/>
      <c r="B5588" s="17"/>
      <c r="C5588" s="17"/>
      <c r="D5588" s="17"/>
      <c r="E5588" s="17"/>
      <c r="F5588" s="17"/>
      <c r="G5588" s="17"/>
      <c r="H5588" s="17"/>
      <c r="I5588" s="17"/>
      <c r="J5588" s="17"/>
      <c r="K5588" s="17"/>
      <c r="L5588" s="17"/>
      <c r="M5588" s="17"/>
      <c r="N5588" s="17"/>
      <c r="O5588" s="17"/>
      <c r="P5588" s="17"/>
      <c r="Q5588" s="17"/>
      <c r="R5588" s="17"/>
      <c r="S5588" s="17"/>
      <c r="T5588" s="17"/>
      <c r="U5588" s="17"/>
      <c r="V5588" s="18">
        <v>0</v>
      </c>
      <c r="W5588" s="17">
        <f t="shared" si="155"/>
        <v>0</v>
      </c>
    </row>
    <row r="5589" spans="1:23" x14ac:dyDescent="0.25">
      <c r="A5589" s="17"/>
      <c r="B5589" s="17"/>
      <c r="C5589" s="17"/>
      <c r="D5589" s="17"/>
      <c r="E5589" s="17"/>
      <c r="F5589" s="17"/>
      <c r="G5589" s="17"/>
      <c r="H5589" s="17"/>
      <c r="I5589" s="17"/>
      <c r="J5589" s="17"/>
      <c r="K5589" s="17"/>
      <c r="L5589" s="17"/>
      <c r="M5589" s="17"/>
      <c r="N5589" s="17"/>
      <c r="O5589" s="17"/>
      <c r="P5589" s="17"/>
      <c r="Q5589" s="17"/>
      <c r="R5589" s="17"/>
      <c r="S5589" s="17"/>
      <c r="T5589" s="17"/>
      <c r="U5589" s="17"/>
      <c r="V5589" s="18">
        <v>0</v>
      </c>
      <c r="W5589" s="17">
        <f t="shared" si="155"/>
        <v>0</v>
      </c>
    </row>
    <row r="5590" spans="1:23" x14ac:dyDescent="0.25">
      <c r="A5590" s="17"/>
      <c r="B5590" s="17"/>
      <c r="C5590" s="17"/>
      <c r="D5590" s="17"/>
      <c r="E5590" s="17"/>
      <c r="F5590" s="17"/>
      <c r="G5590" s="17"/>
      <c r="H5590" s="17"/>
      <c r="I5590" s="17"/>
      <c r="J5590" s="17"/>
      <c r="K5590" s="17"/>
      <c r="L5590" s="17"/>
      <c r="M5590" s="17"/>
      <c r="N5590" s="17"/>
      <c r="O5590" s="17"/>
      <c r="P5590" s="17"/>
      <c r="Q5590" s="17"/>
      <c r="R5590" s="17"/>
      <c r="S5590" s="17"/>
      <c r="T5590" s="17"/>
      <c r="U5590" s="17"/>
      <c r="V5590" s="18">
        <v>0</v>
      </c>
      <c r="W5590" s="17">
        <f t="shared" si="155"/>
        <v>0</v>
      </c>
    </row>
    <row r="5591" spans="1:23" x14ac:dyDescent="0.25">
      <c r="A5591" s="17"/>
      <c r="B5591" s="17"/>
      <c r="C5591" s="17"/>
      <c r="D5591" s="17"/>
      <c r="E5591" s="17"/>
      <c r="F5591" s="17"/>
      <c r="G5591" s="17"/>
      <c r="H5591" s="17"/>
      <c r="I5591" s="17"/>
      <c r="J5591" s="17"/>
      <c r="K5591" s="17"/>
      <c r="L5591" s="17"/>
      <c r="M5591" s="17"/>
      <c r="N5591" s="17"/>
      <c r="O5591" s="17"/>
      <c r="P5591" s="17"/>
      <c r="Q5591" s="17"/>
      <c r="R5591" s="17"/>
      <c r="S5591" s="17"/>
      <c r="T5591" s="17"/>
      <c r="U5591" s="17"/>
      <c r="V5591" s="18">
        <v>0</v>
      </c>
      <c r="W5591" s="17">
        <f t="shared" si="155"/>
        <v>0</v>
      </c>
    </row>
    <row r="5592" spans="1:23" x14ac:dyDescent="0.25">
      <c r="A5592" s="17"/>
      <c r="B5592" s="17"/>
      <c r="C5592" s="17"/>
      <c r="D5592" s="17"/>
      <c r="E5592" s="17"/>
      <c r="F5592" s="17"/>
      <c r="G5592" s="17"/>
      <c r="H5592" s="17"/>
      <c r="I5592" s="17"/>
      <c r="J5592" s="17"/>
      <c r="K5592" s="17"/>
      <c r="L5592" s="17"/>
      <c r="M5592" s="17"/>
      <c r="N5592" s="17"/>
      <c r="O5592" s="17"/>
      <c r="P5592" s="17"/>
      <c r="Q5592" s="17"/>
      <c r="R5592" s="17"/>
      <c r="S5592" s="17"/>
      <c r="T5592" s="17"/>
      <c r="U5592" s="17"/>
      <c r="V5592" s="18">
        <v>0</v>
      </c>
      <c r="W5592" s="17">
        <f t="shared" si="155"/>
        <v>0</v>
      </c>
    </row>
    <row r="5593" spans="1:23" x14ac:dyDescent="0.25">
      <c r="A5593" s="17"/>
      <c r="B5593" s="17"/>
      <c r="C5593" s="17"/>
      <c r="D5593" s="17"/>
      <c r="E5593" s="17"/>
      <c r="F5593" s="17"/>
      <c r="G5593" s="17"/>
      <c r="H5593" s="17"/>
      <c r="I5593" s="17"/>
      <c r="J5593" s="17"/>
      <c r="K5593" s="17"/>
      <c r="L5593" s="17"/>
      <c r="M5593" s="17"/>
      <c r="N5593" s="17"/>
      <c r="O5593" s="17"/>
      <c r="P5593" s="17"/>
      <c r="Q5593" s="17"/>
      <c r="R5593" s="17"/>
      <c r="S5593" s="17"/>
      <c r="T5593" s="17"/>
      <c r="U5593" s="17"/>
      <c r="V5593" s="18">
        <v>0</v>
      </c>
      <c r="W5593" s="17">
        <f t="shared" si="155"/>
        <v>0</v>
      </c>
    </row>
    <row r="5594" spans="1:23" x14ac:dyDescent="0.25">
      <c r="A5594" s="17"/>
      <c r="B5594" s="17"/>
      <c r="C5594" s="17"/>
      <c r="D5594" s="17"/>
      <c r="E5594" s="17"/>
      <c r="F5594" s="17"/>
      <c r="G5594" s="17"/>
      <c r="H5594" s="17"/>
      <c r="I5594" s="17"/>
      <c r="J5594" s="17"/>
      <c r="K5594" s="17"/>
      <c r="L5594" s="17"/>
      <c r="M5594" s="17"/>
      <c r="N5594" s="17"/>
      <c r="O5594" s="17"/>
      <c r="P5594" s="17"/>
      <c r="Q5594" s="17"/>
      <c r="R5594" s="17"/>
      <c r="S5594" s="17"/>
      <c r="T5594" s="17"/>
      <c r="U5594" s="17"/>
      <c r="V5594" s="18">
        <v>0</v>
      </c>
      <c r="W5594" s="17">
        <f t="shared" si="155"/>
        <v>0</v>
      </c>
    </row>
    <row r="5595" spans="1:23" x14ac:dyDescent="0.25">
      <c r="A5595" s="17"/>
      <c r="B5595" s="17"/>
      <c r="C5595" s="17"/>
      <c r="D5595" s="17"/>
      <c r="E5595" s="17"/>
      <c r="F5595" s="17"/>
      <c r="G5595" s="17"/>
      <c r="H5595" s="17"/>
      <c r="I5595" s="17"/>
      <c r="J5595" s="17"/>
      <c r="K5595" s="17"/>
      <c r="L5595" s="17"/>
      <c r="M5595" s="17"/>
      <c r="N5595" s="17"/>
      <c r="O5595" s="17"/>
      <c r="P5595" s="17"/>
      <c r="Q5595" s="17"/>
      <c r="R5595" s="17"/>
      <c r="S5595" s="17"/>
      <c r="T5595" s="17"/>
      <c r="U5595" s="17"/>
      <c r="V5595" s="18">
        <v>0</v>
      </c>
      <c r="W5595" s="17">
        <f t="shared" si="155"/>
        <v>0</v>
      </c>
    </row>
    <row r="5596" spans="1:23" x14ac:dyDescent="0.25">
      <c r="A5596" s="17"/>
      <c r="B5596" s="17"/>
      <c r="C5596" s="17"/>
      <c r="D5596" s="17"/>
      <c r="E5596" s="17"/>
      <c r="F5596" s="17"/>
      <c r="G5596" s="17"/>
      <c r="H5596" s="17"/>
      <c r="I5596" s="17"/>
      <c r="J5596" s="17"/>
      <c r="K5596" s="17"/>
      <c r="L5596" s="17"/>
      <c r="M5596" s="17"/>
      <c r="N5596" s="17"/>
      <c r="O5596" s="17"/>
      <c r="P5596" s="17"/>
      <c r="Q5596" s="17"/>
      <c r="R5596" s="17"/>
      <c r="S5596" s="17"/>
      <c r="T5596" s="17"/>
      <c r="U5596" s="17"/>
      <c r="V5596" s="18">
        <v>0</v>
      </c>
      <c r="W5596" s="17">
        <f t="shared" si="155"/>
        <v>0</v>
      </c>
    </row>
    <row r="5597" spans="1:23" x14ac:dyDescent="0.25">
      <c r="A5597" s="17"/>
      <c r="B5597" s="17"/>
      <c r="C5597" s="17"/>
      <c r="D5597" s="17"/>
      <c r="E5597" s="17"/>
      <c r="F5597" s="17"/>
      <c r="G5597" s="17"/>
      <c r="H5597" s="17"/>
      <c r="I5597" s="17"/>
      <c r="J5597" s="17"/>
      <c r="K5597" s="17"/>
      <c r="L5597" s="17"/>
      <c r="M5597" s="17"/>
      <c r="N5597" s="17"/>
      <c r="O5597" s="17"/>
      <c r="P5597" s="17"/>
      <c r="Q5597" s="17"/>
      <c r="R5597" s="17"/>
      <c r="S5597" s="17"/>
      <c r="T5597" s="17"/>
      <c r="U5597" s="17"/>
      <c r="V5597" s="18">
        <v>0</v>
      </c>
      <c r="W5597" s="17">
        <f t="shared" si="155"/>
        <v>0</v>
      </c>
    </row>
    <row r="5598" spans="1:23" x14ac:dyDescent="0.25">
      <c r="A5598" s="17"/>
      <c r="B5598" s="17"/>
      <c r="C5598" s="17"/>
      <c r="D5598" s="17"/>
      <c r="E5598" s="17"/>
      <c r="F5598" s="17"/>
      <c r="G5598" s="17"/>
      <c r="H5598" s="17"/>
      <c r="I5598" s="17"/>
      <c r="J5598" s="17"/>
      <c r="K5598" s="17"/>
      <c r="L5598" s="17"/>
      <c r="M5598" s="17"/>
      <c r="N5598" s="17"/>
      <c r="O5598" s="17"/>
      <c r="P5598" s="17"/>
      <c r="Q5598" s="17"/>
      <c r="R5598" s="17"/>
      <c r="S5598" s="17"/>
      <c r="T5598" s="17"/>
      <c r="U5598" s="17"/>
      <c r="V5598" s="18">
        <v>0</v>
      </c>
      <c r="W5598" s="17">
        <f t="shared" si="155"/>
        <v>0</v>
      </c>
    </row>
    <row r="5599" spans="1:23" x14ac:dyDescent="0.25">
      <c r="A5599" s="17"/>
      <c r="B5599" s="17"/>
      <c r="C5599" s="17"/>
      <c r="D5599" s="17"/>
      <c r="E5599" s="17"/>
      <c r="F5599" s="17"/>
      <c r="G5599" s="17"/>
      <c r="H5599" s="17"/>
      <c r="I5599" s="17"/>
      <c r="J5599" s="17"/>
      <c r="K5599" s="17"/>
      <c r="L5599" s="17"/>
      <c r="M5599" s="17"/>
      <c r="N5599" s="17"/>
      <c r="O5599" s="17"/>
      <c r="P5599" s="17"/>
      <c r="Q5599" s="17"/>
      <c r="R5599" s="17"/>
      <c r="S5599" s="17"/>
      <c r="T5599" s="17"/>
      <c r="U5599" s="17"/>
      <c r="V5599" s="18">
        <v>0</v>
      </c>
      <c r="W5599" s="17">
        <f t="shared" si="155"/>
        <v>0</v>
      </c>
    </row>
    <row r="5600" spans="1:23" x14ac:dyDescent="0.25">
      <c r="A5600" s="17"/>
      <c r="B5600" s="17"/>
      <c r="C5600" s="17"/>
      <c r="D5600" s="17"/>
      <c r="E5600" s="17"/>
      <c r="F5600" s="17"/>
      <c r="G5600" s="17"/>
      <c r="H5600" s="17"/>
      <c r="I5600" s="17"/>
      <c r="J5600" s="17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8">
        <v>0</v>
      </c>
      <c r="W5600" s="17">
        <f t="shared" si="155"/>
        <v>0</v>
      </c>
    </row>
    <row r="5601" spans="1:23" x14ac:dyDescent="0.25">
      <c r="A5601" s="17"/>
      <c r="B5601" s="17"/>
      <c r="C5601" s="17"/>
      <c r="D5601" s="17"/>
      <c r="E5601" s="17"/>
      <c r="F5601" s="17"/>
      <c r="G5601" s="17"/>
      <c r="H5601" s="17"/>
      <c r="I5601" s="17"/>
      <c r="J5601" s="17"/>
      <c r="K5601" s="17"/>
      <c r="L5601" s="17"/>
      <c r="M5601" s="17"/>
      <c r="N5601" s="17"/>
      <c r="O5601" s="17"/>
      <c r="P5601" s="17"/>
      <c r="Q5601" s="17"/>
      <c r="R5601" s="17"/>
      <c r="S5601" s="17"/>
      <c r="T5601" s="17"/>
      <c r="U5601" s="17"/>
      <c r="V5601" s="18">
        <v>0</v>
      </c>
      <c r="W5601" s="17">
        <f t="shared" si="155"/>
        <v>0</v>
      </c>
    </row>
    <row r="5602" spans="1:23" x14ac:dyDescent="0.25">
      <c r="A5602" s="17"/>
      <c r="B5602" s="17"/>
      <c r="C5602" s="17"/>
      <c r="D5602" s="17"/>
      <c r="E5602" s="17"/>
      <c r="F5602" s="17"/>
      <c r="G5602" s="17"/>
      <c r="H5602" s="17"/>
      <c r="I5602" s="17"/>
      <c r="J5602" s="17"/>
      <c r="K5602" s="17"/>
      <c r="L5602" s="17"/>
      <c r="M5602" s="17"/>
      <c r="N5602" s="17"/>
      <c r="O5602" s="17"/>
      <c r="P5602" s="17"/>
      <c r="Q5602" s="17"/>
      <c r="R5602" s="17"/>
      <c r="S5602" s="17"/>
      <c r="T5602" s="17"/>
      <c r="U5602" s="17"/>
      <c r="V5602" s="18">
        <v>0</v>
      </c>
      <c r="W5602" s="17">
        <f t="shared" si="155"/>
        <v>0</v>
      </c>
    </row>
    <row r="5603" spans="1:23" x14ac:dyDescent="0.25">
      <c r="A5603" s="17"/>
      <c r="B5603" s="17"/>
      <c r="C5603" s="17"/>
      <c r="D5603" s="17"/>
      <c r="E5603" s="17"/>
      <c r="F5603" s="17"/>
      <c r="G5603" s="17"/>
      <c r="H5603" s="17"/>
      <c r="I5603" s="17"/>
      <c r="J5603" s="17"/>
      <c r="K5603" s="17"/>
      <c r="L5603" s="17"/>
      <c r="M5603" s="17"/>
      <c r="N5603" s="17"/>
      <c r="O5603" s="17"/>
      <c r="P5603" s="17"/>
      <c r="Q5603" s="17"/>
      <c r="R5603" s="17"/>
      <c r="S5603" s="17"/>
      <c r="T5603" s="17"/>
      <c r="U5603" s="17"/>
      <c r="V5603" s="18">
        <v>0</v>
      </c>
      <c r="W5603" s="17">
        <f t="shared" si="155"/>
        <v>0</v>
      </c>
    </row>
    <row r="5604" spans="1:23" x14ac:dyDescent="0.25">
      <c r="A5604" s="17"/>
      <c r="B5604" s="17"/>
      <c r="C5604" s="17"/>
      <c r="D5604" s="17"/>
      <c r="E5604" s="17"/>
      <c r="F5604" s="17"/>
      <c r="G5604" s="17"/>
      <c r="H5604" s="17"/>
      <c r="I5604" s="17"/>
      <c r="J5604" s="17"/>
      <c r="K5604" s="17"/>
      <c r="L5604" s="17"/>
      <c r="M5604" s="17"/>
      <c r="N5604" s="17"/>
      <c r="O5604" s="17"/>
      <c r="P5604" s="17"/>
      <c r="Q5604" s="17"/>
      <c r="R5604" s="17"/>
      <c r="S5604" s="17"/>
      <c r="T5604" s="17"/>
      <c r="U5604" s="17"/>
      <c r="V5604" s="18">
        <v>0</v>
      </c>
      <c r="W5604" s="17">
        <f t="shared" si="155"/>
        <v>0</v>
      </c>
    </row>
    <row r="5605" spans="1:23" x14ac:dyDescent="0.25">
      <c r="A5605" s="17"/>
      <c r="B5605" s="17"/>
      <c r="C5605" s="17"/>
      <c r="D5605" s="17"/>
      <c r="E5605" s="17"/>
      <c r="F5605" s="17"/>
      <c r="G5605" s="17"/>
      <c r="H5605" s="17"/>
      <c r="I5605" s="17"/>
      <c r="J5605" s="17"/>
      <c r="K5605" s="17"/>
      <c r="L5605" s="17"/>
      <c r="M5605" s="17"/>
      <c r="N5605" s="17"/>
      <c r="O5605" s="17"/>
      <c r="P5605" s="17"/>
      <c r="Q5605" s="17"/>
      <c r="R5605" s="17"/>
      <c r="S5605" s="17"/>
      <c r="T5605" s="17"/>
      <c r="U5605" s="17"/>
      <c r="V5605" s="18">
        <v>0</v>
      </c>
      <c r="W5605" s="17">
        <f t="shared" si="155"/>
        <v>0</v>
      </c>
    </row>
    <row r="5606" spans="1:23" x14ac:dyDescent="0.25">
      <c r="A5606" s="17"/>
      <c r="B5606" s="17"/>
      <c r="C5606" s="17"/>
      <c r="D5606" s="17"/>
      <c r="E5606" s="17"/>
      <c r="F5606" s="17"/>
      <c r="G5606" s="17"/>
      <c r="H5606" s="17"/>
      <c r="I5606" s="17"/>
      <c r="J5606" s="17"/>
      <c r="K5606" s="17"/>
      <c r="L5606" s="17"/>
      <c r="M5606" s="17"/>
      <c r="N5606" s="17"/>
      <c r="O5606" s="17"/>
      <c r="P5606" s="17"/>
      <c r="Q5606" s="17"/>
      <c r="R5606" s="17"/>
      <c r="S5606" s="17"/>
      <c r="T5606" s="17"/>
      <c r="U5606" s="17"/>
      <c r="V5606" s="18">
        <v>0</v>
      </c>
      <c r="W5606" s="17">
        <f t="shared" si="155"/>
        <v>0</v>
      </c>
    </row>
    <row r="5607" spans="1:23" x14ac:dyDescent="0.25">
      <c r="A5607" s="17"/>
      <c r="B5607" s="17"/>
      <c r="C5607" s="17"/>
      <c r="D5607" s="17"/>
      <c r="E5607" s="17"/>
      <c r="F5607" s="17"/>
      <c r="G5607" s="17"/>
      <c r="H5607" s="17"/>
      <c r="I5607" s="17"/>
      <c r="J5607" s="17"/>
      <c r="K5607" s="17"/>
      <c r="L5607" s="17"/>
      <c r="M5607" s="17"/>
      <c r="N5607" s="17"/>
      <c r="O5607" s="17"/>
      <c r="P5607" s="17"/>
      <c r="Q5607" s="17"/>
      <c r="R5607" s="17"/>
      <c r="S5607" s="17"/>
      <c r="T5607" s="17"/>
      <c r="U5607" s="17"/>
      <c r="V5607" s="18">
        <v>0</v>
      </c>
      <c r="W5607" s="17">
        <f t="shared" si="155"/>
        <v>0</v>
      </c>
    </row>
    <row r="5608" spans="1:23" x14ac:dyDescent="0.25">
      <c r="A5608" s="17"/>
      <c r="B5608" s="17"/>
      <c r="C5608" s="17"/>
      <c r="D5608" s="17"/>
      <c r="E5608" s="17"/>
      <c r="F5608" s="17"/>
      <c r="G5608" s="17"/>
      <c r="H5608" s="17"/>
      <c r="I5608" s="17"/>
      <c r="J5608" s="17"/>
      <c r="K5608" s="17"/>
      <c r="L5608" s="17"/>
      <c r="M5608" s="17"/>
      <c r="N5608" s="17"/>
      <c r="O5608" s="17"/>
      <c r="P5608" s="17"/>
      <c r="Q5608" s="17"/>
      <c r="R5608" s="17"/>
      <c r="S5608" s="17"/>
      <c r="T5608" s="17"/>
      <c r="U5608" s="17"/>
      <c r="V5608" s="18">
        <v>0</v>
      </c>
      <c r="W5608" s="17">
        <f t="shared" si="155"/>
        <v>0</v>
      </c>
    </row>
    <row r="5609" spans="1:23" x14ac:dyDescent="0.25">
      <c r="A5609" s="17"/>
      <c r="B5609" s="17"/>
      <c r="C5609" s="17"/>
      <c r="D5609" s="17"/>
      <c r="E5609" s="17"/>
      <c r="F5609" s="17"/>
      <c r="G5609" s="17"/>
      <c r="H5609" s="17"/>
      <c r="I5609" s="17"/>
      <c r="J5609" s="17"/>
      <c r="K5609" s="17"/>
      <c r="L5609" s="17"/>
      <c r="M5609" s="17"/>
      <c r="N5609" s="17"/>
      <c r="O5609" s="17"/>
      <c r="P5609" s="17"/>
      <c r="Q5609" s="17"/>
      <c r="R5609" s="17"/>
      <c r="S5609" s="17"/>
      <c r="T5609" s="17"/>
      <c r="U5609" s="17"/>
      <c r="V5609" s="18">
        <v>0</v>
      </c>
      <c r="W5609" s="17">
        <f t="shared" si="155"/>
        <v>0</v>
      </c>
    </row>
    <row r="5610" spans="1:23" x14ac:dyDescent="0.25">
      <c r="A5610" s="17"/>
      <c r="B5610" s="17"/>
      <c r="C5610" s="17"/>
      <c r="D5610" s="17"/>
      <c r="E5610" s="17"/>
      <c r="F5610" s="17"/>
      <c r="G5610" s="17"/>
      <c r="H5610" s="17"/>
      <c r="I5610" s="17"/>
      <c r="J5610" s="17"/>
      <c r="K5610" s="17"/>
      <c r="L5610" s="17"/>
      <c r="M5610" s="17"/>
      <c r="N5610" s="17"/>
      <c r="O5610" s="17"/>
      <c r="P5610" s="17"/>
      <c r="Q5610" s="17"/>
      <c r="R5610" s="17"/>
      <c r="S5610" s="17"/>
      <c r="T5610" s="17"/>
      <c r="U5610" s="17"/>
      <c r="V5610" s="18">
        <v>0</v>
      </c>
      <c r="W5610" s="17">
        <f t="shared" si="155"/>
        <v>0</v>
      </c>
    </row>
    <row r="5611" spans="1:23" x14ac:dyDescent="0.25">
      <c r="A5611" s="17"/>
      <c r="B5611" s="17"/>
      <c r="C5611" s="17"/>
      <c r="D5611" s="17"/>
      <c r="E5611" s="17"/>
      <c r="F5611" s="17"/>
      <c r="G5611" s="17"/>
      <c r="H5611" s="17"/>
      <c r="I5611" s="17"/>
      <c r="J5611" s="17"/>
      <c r="K5611" s="17"/>
      <c r="L5611" s="17"/>
      <c r="M5611" s="17"/>
      <c r="N5611" s="17"/>
      <c r="O5611" s="17"/>
      <c r="P5611" s="17"/>
      <c r="Q5611" s="17"/>
      <c r="R5611" s="17"/>
      <c r="S5611" s="17"/>
      <c r="T5611" s="17"/>
      <c r="U5611" s="17"/>
      <c r="V5611" s="18">
        <v>0</v>
      </c>
      <c r="W5611" s="17">
        <f t="shared" si="155"/>
        <v>0</v>
      </c>
    </row>
    <row r="5612" spans="1:23" x14ac:dyDescent="0.25">
      <c r="A5612" s="17"/>
      <c r="B5612" s="17"/>
      <c r="C5612" s="17"/>
      <c r="D5612" s="17"/>
      <c r="E5612" s="17"/>
      <c r="F5612" s="17"/>
      <c r="G5612" s="17"/>
      <c r="H5612" s="17"/>
      <c r="I5612" s="17"/>
      <c r="J5612" s="17"/>
      <c r="K5612" s="17"/>
      <c r="L5612" s="17"/>
      <c r="M5612" s="17"/>
      <c r="N5612" s="17"/>
      <c r="O5612" s="17"/>
      <c r="P5612" s="17"/>
      <c r="Q5612" s="17"/>
      <c r="R5612" s="17"/>
      <c r="S5612" s="17"/>
      <c r="T5612" s="17"/>
      <c r="U5612" s="17"/>
      <c r="V5612" s="18">
        <v>0</v>
      </c>
      <c r="W5612" s="17">
        <f t="shared" si="155"/>
        <v>0</v>
      </c>
    </row>
    <row r="5613" spans="1:23" x14ac:dyDescent="0.25">
      <c r="A5613" s="17"/>
      <c r="B5613" s="17"/>
      <c r="C5613" s="17"/>
      <c r="D5613" s="17"/>
      <c r="E5613" s="17"/>
      <c r="F5613" s="17"/>
      <c r="G5613" s="17"/>
      <c r="H5613" s="17"/>
      <c r="I5613" s="17"/>
      <c r="J5613" s="17"/>
      <c r="K5613" s="17"/>
      <c r="L5613" s="17"/>
      <c r="M5613" s="17"/>
      <c r="N5613" s="17"/>
      <c r="O5613" s="17"/>
      <c r="P5613" s="17"/>
      <c r="Q5613" s="17"/>
      <c r="R5613" s="17"/>
      <c r="S5613" s="17"/>
      <c r="T5613" s="17"/>
      <c r="U5613" s="17"/>
      <c r="V5613" s="18">
        <v>0</v>
      </c>
      <c r="W5613" s="17">
        <f t="shared" si="155"/>
        <v>0</v>
      </c>
    </row>
    <row r="5614" spans="1:23" x14ac:dyDescent="0.25">
      <c r="A5614" s="17"/>
      <c r="B5614" s="17"/>
      <c r="C5614" s="17"/>
      <c r="D5614" s="17"/>
      <c r="E5614" s="17"/>
      <c r="F5614" s="17"/>
      <c r="G5614" s="17"/>
      <c r="H5614" s="17"/>
      <c r="I5614" s="17"/>
      <c r="J5614" s="17"/>
      <c r="K5614" s="17"/>
      <c r="L5614" s="17"/>
      <c r="M5614" s="17"/>
      <c r="N5614" s="17"/>
      <c r="O5614" s="17"/>
      <c r="P5614" s="17"/>
      <c r="Q5614" s="17"/>
      <c r="R5614" s="17"/>
      <c r="S5614" s="17"/>
      <c r="T5614" s="17"/>
      <c r="U5614" s="17"/>
      <c r="V5614" s="18">
        <v>0</v>
      </c>
      <c r="W5614" s="17">
        <f t="shared" si="155"/>
        <v>0</v>
      </c>
    </row>
    <row r="5615" spans="1:23" x14ac:dyDescent="0.25">
      <c r="A5615" s="17"/>
      <c r="B5615" s="17"/>
      <c r="C5615" s="17"/>
      <c r="D5615" s="17"/>
      <c r="E5615" s="17"/>
      <c r="F5615" s="17"/>
      <c r="G5615" s="17"/>
      <c r="H5615" s="17"/>
      <c r="I5615" s="17"/>
      <c r="J5615" s="17"/>
      <c r="K5615" s="17"/>
      <c r="L5615" s="17"/>
      <c r="M5615" s="17"/>
      <c r="N5615" s="17"/>
      <c r="O5615" s="17"/>
      <c r="P5615" s="17"/>
      <c r="Q5615" s="17"/>
      <c r="R5615" s="17"/>
      <c r="S5615" s="17"/>
      <c r="T5615" s="17"/>
      <c r="U5615" s="17"/>
      <c r="V5615" s="18">
        <v>0</v>
      </c>
      <c r="W5615" s="17">
        <f t="shared" si="155"/>
        <v>0</v>
      </c>
    </row>
    <row r="5616" spans="1:23" x14ac:dyDescent="0.25">
      <c r="A5616" s="17"/>
      <c r="B5616" s="17"/>
      <c r="C5616" s="17"/>
      <c r="D5616" s="17"/>
      <c r="E5616" s="17"/>
      <c r="F5616" s="17"/>
      <c r="G5616" s="17"/>
      <c r="H5616" s="17"/>
      <c r="I5616" s="17"/>
      <c r="J5616" s="17"/>
      <c r="K5616" s="17"/>
      <c r="L5616" s="17"/>
      <c r="M5616" s="17"/>
      <c r="N5616" s="17"/>
      <c r="O5616" s="17"/>
      <c r="P5616" s="17"/>
      <c r="Q5616" s="17"/>
      <c r="R5616" s="17"/>
      <c r="S5616" s="17"/>
      <c r="T5616" s="17"/>
      <c r="U5616" s="17"/>
      <c r="V5616" s="18">
        <v>0</v>
      </c>
      <c r="W5616" s="17">
        <f t="shared" si="155"/>
        <v>0</v>
      </c>
    </row>
    <row r="5617" spans="1:23" x14ac:dyDescent="0.25">
      <c r="A5617" s="17"/>
      <c r="B5617" s="17"/>
      <c r="C5617" s="17"/>
      <c r="D5617" s="17"/>
      <c r="E5617" s="17"/>
      <c r="F5617" s="17"/>
      <c r="G5617" s="17"/>
      <c r="H5617" s="17"/>
      <c r="I5617" s="17"/>
      <c r="J5617" s="17"/>
      <c r="K5617" s="17"/>
      <c r="L5617" s="17"/>
      <c r="M5617" s="17"/>
      <c r="N5617" s="17"/>
      <c r="O5617" s="17"/>
      <c r="P5617" s="17"/>
      <c r="Q5617" s="17"/>
      <c r="R5617" s="17"/>
      <c r="S5617" s="17"/>
      <c r="T5617" s="17"/>
      <c r="U5617" s="17"/>
      <c r="V5617" s="18">
        <v>0</v>
      </c>
      <c r="W5617" s="17">
        <f t="shared" si="155"/>
        <v>0</v>
      </c>
    </row>
    <row r="5618" spans="1:23" x14ac:dyDescent="0.25">
      <c r="A5618" s="17"/>
      <c r="B5618" s="17"/>
      <c r="C5618" s="17"/>
      <c r="D5618" s="17"/>
      <c r="E5618" s="17"/>
      <c r="F5618" s="17"/>
      <c r="G5618" s="17"/>
      <c r="H5618" s="17"/>
      <c r="I5618" s="17"/>
      <c r="J5618" s="17"/>
      <c r="K5618" s="17"/>
      <c r="L5618" s="17"/>
      <c r="M5618" s="17"/>
      <c r="N5618" s="17"/>
      <c r="O5618" s="17"/>
      <c r="P5618" s="17"/>
      <c r="Q5618" s="17"/>
      <c r="R5618" s="17"/>
      <c r="S5618" s="17"/>
      <c r="T5618" s="17"/>
      <c r="U5618" s="17"/>
      <c r="V5618" s="18">
        <v>0</v>
      </c>
      <c r="W5618" s="17">
        <f t="shared" si="155"/>
        <v>0</v>
      </c>
    </row>
    <row r="5619" spans="1:23" x14ac:dyDescent="0.25">
      <c r="A5619" s="17"/>
      <c r="B5619" s="17"/>
      <c r="C5619" s="17"/>
      <c r="D5619" s="17"/>
      <c r="E5619" s="17"/>
      <c r="F5619" s="17"/>
      <c r="G5619" s="17"/>
      <c r="H5619" s="17"/>
      <c r="I5619" s="17"/>
      <c r="J5619" s="17"/>
      <c r="K5619" s="17"/>
      <c r="L5619" s="17"/>
      <c r="M5619" s="17"/>
      <c r="N5619" s="17"/>
      <c r="O5619" s="17"/>
      <c r="P5619" s="17"/>
      <c r="Q5619" s="17"/>
      <c r="R5619" s="17"/>
      <c r="S5619" s="17"/>
      <c r="T5619" s="17"/>
      <c r="U5619" s="17"/>
      <c r="V5619" s="18">
        <v>0</v>
      </c>
      <c r="W5619" s="17">
        <f t="shared" si="155"/>
        <v>0</v>
      </c>
    </row>
    <row r="5620" spans="1:23" x14ac:dyDescent="0.25">
      <c r="A5620" s="17"/>
      <c r="B5620" s="17"/>
      <c r="C5620" s="17"/>
      <c r="D5620" s="17"/>
      <c r="E5620" s="17"/>
      <c r="F5620" s="17"/>
      <c r="G5620" s="17"/>
      <c r="H5620" s="17"/>
      <c r="I5620" s="17"/>
      <c r="J5620" s="17"/>
      <c r="K5620" s="17"/>
      <c r="L5620" s="17"/>
      <c r="M5620" s="17"/>
      <c r="N5620" s="17"/>
      <c r="O5620" s="17"/>
      <c r="P5620" s="17"/>
      <c r="Q5620" s="17"/>
      <c r="R5620" s="17"/>
      <c r="S5620" s="17"/>
      <c r="T5620" s="17"/>
      <c r="U5620" s="17"/>
      <c r="V5620" s="18">
        <v>0</v>
      </c>
      <c r="W5620" s="17">
        <f t="shared" si="155"/>
        <v>0</v>
      </c>
    </row>
    <row r="5621" spans="1:23" x14ac:dyDescent="0.25">
      <c r="A5621" s="17"/>
      <c r="B5621" s="17"/>
      <c r="C5621" s="17"/>
      <c r="D5621" s="17"/>
      <c r="E5621" s="17"/>
      <c r="F5621" s="17"/>
      <c r="G5621" s="17"/>
      <c r="H5621" s="17"/>
      <c r="I5621" s="17"/>
      <c r="J5621" s="17"/>
      <c r="K5621" s="17"/>
      <c r="L5621" s="17"/>
      <c r="M5621" s="17"/>
      <c r="N5621" s="17"/>
      <c r="O5621" s="17"/>
      <c r="P5621" s="17"/>
      <c r="Q5621" s="17"/>
      <c r="R5621" s="17"/>
      <c r="S5621" s="17"/>
      <c r="T5621" s="17"/>
      <c r="U5621" s="17"/>
      <c r="V5621" s="18">
        <v>0</v>
      </c>
      <c r="W5621" s="17">
        <f t="shared" si="155"/>
        <v>0</v>
      </c>
    </row>
    <row r="5622" spans="1:23" x14ac:dyDescent="0.25">
      <c r="A5622" s="17"/>
      <c r="B5622" s="17"/>
      <c r="C5622" s="17"/>
      <c r="D5622" s="17"/>
      <c r="E5622" s="17"/>
      <c r="F5622" s="17"/>
      <c r="G5622" s="17"/>
      <c r="H5622" s="17"/>
      <c r="I5622" s="17"/>
      <c r="J5622" s="17"/>
      <c r="K5622" s="17"/>
      <c r="L5622" s="17"/>
      <c r="M5622" s="17"/>
      <c r="N5622" s="17"/>
      <c r="O5622" s="17"/>
      <c r="P5622" s="17"/>
      <c r="Q5622" s="17"/>
      <c r="R5622" s="17"/>
      <c r="S5622" s="17"/>
      <c r="T5622" s="17"/>
      <c r="U5622" s="17"/>
      <c r="V5622" s="18">
        <v>0</v>
      </c>
      <c r="W5622" s="17">
        <f t="shared" si="155"/>
        <v>0</v>
      </c>
    </row>
    <row r="5623" spans="1:23" x14ac:dyDescent="0.25">
      <c r="A5623" s="17"/>
      <c r="B5623" s="17"/>
      <c r="C5623" s="17"/>
      <c r="D5623" s="17"/>
      <c r="E5623" s="17"/>
      <c r="F5623" s="17"/>
      <c r="G5623" s="17"/>
      <c r="H5623" s="17"/>
      <c r="I5623" s="17"/>
      <c r="J5623" s="17"/>
      <c r="K5623" s="17"/>
      <c r="L5623" s="17"/>
      <c r="M5623" s="17"/>
      <c r="N5623" s="17"/>
      <c r="O5623" s="17"/>
      <c r="P5623" s="17"/>
      <c r="Q5623" s="17"/>
      <c r="R5623" s="17"/>
      <c r="S5623" s="17"/>
      <c r="T5623" s="17"/>
      <c r="U5623" s="17"/>
      <c r="V5623" s="18">
        <v>0</v>
      </c>
      <c r="W5623" s="17">
        <f t="shared" si="155"/>
        <v>0</v>
      </c>
    </row>
    <row r="5624" spans="1:23" x14ac:dyDescent="0.25">
      <c r="A5624" s="17"/>
      <c r="B5624" s="17"/>
      <c r="C5624" s="17"/>
      <c r="D5624" s="17"/>
      <c r="E5624" s="17"/>
      <c r="F5624" s="17"/>
      <c r="G5624" s="17"/>
      <c r="H5624" s="17"/>
      <c r="I5624" s="17"/>
      <c r="J5624" s="17"/>
      <c r="K5624" s="17"/>
      <c r="L5624" s="17"/>
      <c r="M5624" s="17"/>
      <c r="N5624" s="17"/>
      <c r="O5624" s="17"/>
      <c r="P5624" s="17"/>
      <c r="Q5624" s="17"/>
      <c r="R5624" s="17"/>
      <c r="S5624" s="17"/>
      <c r="T5624" s="17"/>
      <c r="U5624" s="17"/>
      <c r="V5624" s="18">
        <v>0</v>
      </c>
      <c r="W5624" s="17">
        <f t="shared" si="155"/>
        <v>0</v>
      </c>
    </row>
    <row r="5625" spans="1:23" x14ac:dyDescent="0.25">
      <c r="A5625" s="17"/>
      <c r="B5625" s="17"/>
      <c r="C5625" s="17"/>
      <c r="D5625" s="17"/>
      <c r="E5625" s="17"/>
      <c r="F5625" s="17"/>
      <c r="G5625" s="17"/>
      <c r="H5625" s="17"/>
      <c r="I5625" s="17"/>
      <c r="J5625" s="17"/>
      <c r="K5625" s="17"/>
      <c r="L5625" s="17"/>
      <c r="M5625" s="17"/>
      <c r="N5625" s="17"/>
      <c r="O5625" s="17"/>
      <c r="P5625" s="17"/>
      <c r="Q5625" s="17"/>
      <c r="R5625" s="17"/>
      <c r="S5625" s="17"/>
      <c r="T5625" s="17"/>
      <c r="U5625" s="17"/>
      <c r="V5625" s="18">
        <v>0</v>
      </c>
      <c r="W5625" s="17">
        <f t="shared" si="155"/>
        <v>0</v>
      </c>
    </row>
    <row r="5626" spans="1:23" x14ac:dyDescent="0.25">
      <c r="A5626" s="17"/>
      <c r="B5626" s="17"/>
      <c r="C5626" s="17"/>
      <c r="D5626" s="17"/>
      <c r="E5626" s="17"/>
      <c r="F5626" s="17"/>
      <c r="G5626" s="17"/>
      <c r="H5626" s="17"/>
      <c r="I5626" s="17"/>
      <c r="J5626" s="17"/>
      <c r="K5626" s="17"/>
      <c r="L5626" s="17"/>
      <c r="M5626" s="17"/>
      <c r="N5626" s="17"/>
      <c r="O5626" s="17"/>
      <c r="P5626" s="17"/>
      <c r="Q5626" s="17"/>
      <c r="R5626" s="17"/>
      <c r="S5626" s="17"/>
      <c r="T5626" s="17"/>
      <c r="U5626" s="17"/>
      <c r="V5626" s="18">
        <v>0</v>
      </c>
      <c r="W5626" s="17">
        <f t="shared" si="155"/>
        <v>0</v>
      </c>
    </row>
    <row r="5627" spans="1:23" x14ac:dyDescent="0.25">
      <c r="A5627" s="17"/>
      <c r="B5627" s="17"/>
      <c r="C5627" s="17"/>
      <c r="D5627" s="17"/>
      <c r="E5627" s="17"/>
      <c r="F5627" s="17"/>
      <c r="G5627" s="17"/>
      <c r="H5627" s="17"/>
      <c r="I5627" s="17"/>
      <c r="J5627" s="17"/>
      <c r="K5627" s="17"/>
      <c r="L5627" s="17"/>
      <c r="M5627" s="17"/>
      <c r="N5627" s="17"/>
      <c r="O5627" s="17"/>
      <c r="P5627" s="17"/>
      <c r="Q5627" s="17"/>
      <c r="R5627" s="17"/>
      <c r="S5627" s="17"/>
      <c r="T5627" s="17"/>
      <c r="U5627" s="17"/>
      <c r="V5627" s="18">
        <v>0</v>
      </c>
      <c r="W5627" s="17">
        <f t="shared" si="155"/>
        <v>0</v>
      </c>
    </row>
    <row r="5628" spans="1:23" x14ac:dyDescent="0.25">
      <c r="A5628" s="17"/>
      <c r="B5628" s="17"/>
      <c r="C5628" s="17"/>
      <c r="D5628" s="17"/>
      <c r="E5628" s="17"/>
      <c r="F5628" s="17"/>
      <c r="G5628" s="17"/>
      <c r="H5628" s="17"/>
      <c r="I5628" s="17"/>
      <c r="J5628" s="17"/>
      <c r="K5628" s="17"/>
      <c r="L5628" s="17"/>
      <c r="M5628" s="17"/>
      <c r="N5628" s="17"/>
      <c r="O5628" s="17"/>
      <c r="P5628" s="17"/>
      <c r="Q5628" s="17"/>
      <c r="R5628" s="17"/>
      <c r="S5628" s="17"/>
      <c r="T5628" s="17"/>
      <c r="U5628" s="17"/>
      <c r="V5628" s="18">
        <v>0</v>
      </c>
      <c r="W5628" s="17">
        <f t="shared" si="155"/>
        <v>0</v>
      </c>
    </row>
    <row r="5629" spans="1:23" x14ac:dyDescent="0.25">
      <c r="A5629" s="17"/>
      <c r="B5629" s="17"/>
      <c r="C5629" s="17"/>
      <c r="D5629" s="17"/>
      <c r="E5629" s="17"/>
      <c r="F5629" s="17"/>
      <c r="G5629" s="17"/>
      <c r="H5629" s="17"/>
      <c r="I5629" s="17"/>
      <c r="J5629" s="17"/>
      <c r="K5629" s="17"/>
      <c r="L5629" s="17"/>
      <c r="M5629" s="17"/>
      <c r="N5629" s="17"/>
      <c r="O5629" s="17"/>
      <c r="P5629" s="17"/>
      <c r="Q5629" s="17"/>
      <c r="R5629" s="17"/>
      <c r="S5629" s="17"/>
      <c r="T5629" s="17"/>
      <c r="U5629" s="17"/>
      <c r="V5629" s="18">
        <v>0</v>
      </c>
      <c r="W5629" s="17">
        <f t="shared" si="155"/>
        <v>0</v>
      </c>
    </row>
    <row r="5630" spans="1:23" x14ac:dyDescent="0.25">
      <c r="A5630" s="17"/>
      <c r="B5630" s="17"/>
      <c r="C5630" s="17"/>
      <c r="D5630" s="17"/>
      <c r="E5630" s="17"/>
      <c r="F5630" s="17"/>
      <c r="G5630" s="17"/>
      <c r="H5630" s="17"/>
      <c r="I5630" s="17"/>
      <c r="J5630" s="17"/>
      <c r="K5630" s="17"/>
      <c r="L5630" s="17"/>
      <c r="M5630" s="17"/>
      <c r="N5630" s="17"/>
      <c r="O5630" s="17"/>
      <c r="P5630" s="17"/>
      <c r="Q5630" s="17"/>
      <c r="R5630" s="17"/>
      <c r="S5630" s="17"/>
      <c r="T5630" s="17"/>
      <c r="U5630" s="17"/>
      <c r="V5630" s="18">
        <v>0</v>
      </c>
      <c r="W5630" s="17">
        <f t="shared" si="155"/>
        <v>0</v>
      </c>
    </row>
    <row r="5631" spans="1:23" x14ac:dyDescent="0.25">
      <c r="A5631" s="17"/>
      <c r="B5631" s="17"/>
      <c r="C5631" s="17"/>
      <c r="D5631" s="17"/>
      <c r="E5631" s="17"/>
      <c r="F5631" s="17"/>
      <c r="G5631" s="17"/>
      <c r="H5631" s="17"/>
      <c r="I5631" s="17"/>
      <c r="J5631" s="17"/>
      <c r="K5631" s="17"/>
      <c r="L5631" s="17"/>
      <c r="M5631" s="17"/>
      <c r="N5631" s="17"/>
      <c r="O5631" s="17"/>
      <c r="P5631" s="17"/>
      <c r="Q5631" s="17"/>
      <c r="R5631" s="17"/>
      <c r="S5631" s="17"/>
      <c r="T5631" s="17"/>
      <c r="U5631" s="17"/>
      <c r="V5631" s="18">
        <v>0</v>
      </c>
      <c r="W5631" s="17">
        <f t="shared" si="155"/>
        <v>0</v>
      </c>
    </row>
    <row r="5632" spans="1:23" x14ac:dyDescent="0.25">
      <c r="A5632" s="17"/>
      <c r="B5632" s="17"/>
      <c r="C5632" s="17"/>
      <c r="D5632" s="17"/>
      <c r="E5632" s="17"/>
      <c r="F5632" s="17"/>
      <c r="G5632" s="17"/>
      <c r="H5632" s="17"/>
      <c r="I5632" s="17"/>
      <c r="J5632" s="17"/>
      <c r="K5632" s="17"/>
      <c r="L5632" s="17"/>
      <c r="M5632" s="17"/>
      <c r="N5632" s="17"/>
      <c r="O5632" s="17"/>
      <c r="P5632" s="17"/>
      <c r="Q5632" s="17"/>
      <c r="R5632" s="17"/>
      <c r="S5632" s="17"/>
      <c r="T5632" s="17"/>
      <c r="U5632" s="17"/>
      <c r="V5632" s="18">
        <v>0</v>
      </c>
      <c r="W5632" s="17">
        <f t="shared" si="155"/>
        <v>0</v>
      </c>
    </row>
    <row r="5633" spans="1:23" x14ac:dyDescent="0.25">
      <c r="A5633" s="17"/>
      <c r="B5633" s="17"/>
      <c r="C5633" s="17"/>
      <c r="D5633" s="17"/>
      <c r="E5633" s="17"/>
      <c r="F5633" s="17"/>
      <c r="G5633" s="17"/>
      <c r="H5633" s="17"/>
      <c r="I5633" s="17"/>
      <c r="J5633" s="17"/>
      <c r="K5633" s="17"/>
      <c r="L5633" s="17"/>
      <c r="M5633" s="17"/>
      <c r="N5633" s="17"/>
      <c r="O5633" s="17"/>
      <c r="P5633" s="17"/>
      <c r="Q5633" s="17"/>
      <c r="R5633" s="17"/>
      <c r="S5633" s="17"/>
      <c r="T5633" s="17"/>
      <c r="U5633" s="17"/>
      <c r="V5633" s="18">
        <v>0</v>
      </c>
      <c r="W5633" s="17">
        <f t="shared" si="155"/>
        <v>0</v>
      </c>
    </row>
    <row r="5634" spans="1:23" x14ac:dyDescent="0.25">
      <c r="A5634" s="17"/>
      <c r="B5634" s="17"/>
      <c r="C5634" s="17"/>
      <c r="D5634" s="17"/>
      <c r="E5634" s="17"/>
      <c r="F5634" s="17"/>
      <c r="G5634" s="17"/>
      <c r="H5634" s="17"/>
      <c r="I5634" s="17"/>
      <c r="J5634" s="17"/>
      <c r="K5634" s="17"/>
      <c r="L5634" s="17"/>
      <c r="M5634" s="17"/>
      <c r="N5634" s="17"/>
      <c r="O5634" s="17"/>
      <c r="P5634" s="17"/>
      <c r="Q5634" s="17"/>
      <c r="R5634" s="17"/>
      <c r="S5634" s="17"/>
      <c r="T5634" s="17"/>
      <c r="U5634" s="17"/>
      <c r="V5634" s="18">
        <v>0</v>
      </c>
      <c r="W5634" s="17">
        <f t="shared" si="155"/>
        <v>0</v>
      </c>
    </row>
    <row r="5635" spans="1:23" x14ac:dyDescent="0.25">
      <c r="A5635" s="17"/>
      <c r="B5635" s="17"/>
      <c r="C5635" s="17"/>
      <c r="D5635" s="17"/>
      <c r="E5635" s="17"/>
      <c r="F5635" s="17"/>
      <c r="G5635" s="17"/>
      <c r="H5635" s="17"/>
      <c r="I5635" s="17"/>
      <c r="J5635" s="17"/>
      <c r="K5635" s="17"/>
      <c r="L5635" s="17"/>
      <c r="M5635" s="17"/>
      <c r="N5635" s="17"/>
      <c r="O5635" s="17"/>
      <c r="P5635" s="17"/>
      <c r="Q5635" s="17"/>
      <c r="R5635" s="17"/>
      <c r="S5635" s="17"/>
      <c r="T5635" s="17"/>
      <c r="U5635" s="17"/>
      <c r="V5635" s="18">
        <v>0</v>
      </c>
      <c r="W5635" s="17">
        <f t="shared" ref="W5635:W5698" si="156">HOUR(E5635)</f>
        <v>0</v>
      </c>
    </row>
    <row r="5636" spans="1:23" x14ac:dyDescent="0.25">
      <c r="A5636" s="17"/>
      <c r="B5636" s="17"/>
      <c r="C5636" s="17"/>
      <c r="D5636" s="17"/>
      <c r="E5636" s="17"/>
      <c r="F5636" s="17"/>
      <c r="G5636" s="17"/>
      <c r="H5636" s="17"/>
      <c r="I5636" s="17"/>
      <c r="J5636" s="17"/>
      <c r="K5636" s="17"/>
      <c r="L5636" s="17"/>
      <c r="M5636" s="17"/>
      <c r="N5636" s="17"/>
      <c r="O5636" s="17"/>
      <c r="P5636" s="17"/>
      <c r="Q5636" s="17"/>
      <c r="R5636" s="17"/>
      <c r="S5636" s="17"/>
      <c r="T5636" s="17"/>
      <c r="U5636" s="17"/>
      <c r="V5636" s="18">
        <v>0</v>
      </c>
      <c r="W5636" s="17">
        <f t="shared" si="156"/>
        <v>0</v>
      </c>
    </row>
    <row r="5637" spans="1:23" x14ac:dyDescent="0.25">
      <c r="A5637" s="17"/>
      <c r="B5637" s="17"/>
      <c r="C5637" s="17"/>
      <c r="D5637" s="17"/>
      <c r="E5637" s="17"/>
      <c r="F5637" s="17"/>
      <c r="G5637" s="17"/>
      <c r="H5637" s="17"/>
      <c r="I5637" s="17"/>
      <c r="J5637" s="17"/>
      <c r="K5637" s="17"/>
      <c r="L5637" s="17"/>
      <c r="M5637" s="17"/>
      <c r="N5637" s="17"/>
      <c r="O5637" s="17"/>
      <c r="P5637" s="17"/>
      <c r="Q5637" s="17"/>
      <c r="R5637" s="17"/>
      <c r="S5637" s="17"/>
      <c r="T5637" s="17"/>
      <c r="U5637" s="17"/>
      <c r="V5637" s="18">
        <v>0</v>
      </c>
      <c r="W5637" s="17">
        <f t="shared" si="156"/>
        <v>0</v>
      </c>
    </row>
    <row r="5638" spans="1:23" x14ac:dyDescent="0.25">
      <c r="A5638" s="17"/>
      <c r="B5638" s="17"/>
      <c r="C5638" s="17"/>
      <c r="D5638" s="17"/>
      <c r="E5638" s="17"/>
      <c r="F5638" s="17"/>
      <c r="G5638" s="17"/>
      <c r="H5638" s="17"/>
      <c r="I5638" s="17"/>
      <c r="J5638" s="17"/>
      <c r="K5638" s="17"/>
      <c r="L5638" s="17"/>
      <c r="M5638" s="17"/>
      <c r="N5638" s="17"/>
      <c r="O5638" s="17"/>
      <c r="P5638" s="17"/>
      <c r="Q5638" s="17"/>
      <c r="R5638" s="17"/>
      <c r="S5638" s="17"/>
      <c r="T5638" s="17"/>
      <c r="U5638" s="17"/>
      <c r="V5638" s="18">
        <v>0</v>
      </c>
      <c r="W5638" s="17">
        <f t="shared" si="156"/>
        <v>0</v>
      </c>
    </row>
    <row r="5639" spans="1:23" x14ac:dyDescent="0.25">
      <c r="A5639" s="17"/>
      <c r="B5639" s="17"/>
      <c r="C5639" s="17"/>
      <c r="D5639" s="17"/>
      <c r="E5639" s="17"/>
      <c r="F5639" s="17"/>
      <c r="G5639" s="17"/>
      <c r="H5639" s="17"/>
      <c r="I5639" s="17"/>
      <c r="J5639" s="17"/>
      <c r="K5639" s="17"/>
      <c r="L5639" s="17"/>
      <c r="M5639" s="17"/>
      <c r="N5639" s="17"/>
      <c r="O5639" s="17"/>
      <c r="P5639" s="17"/>
      <c r="Q5639" s="17"/>
      <c r="R5639" s="17"/>
      <c r="S5639" s="17"/>
      <c r="T5639" s="17"/>
      <c r="U5639" s="17"/>
      <c r="V5639" s="18">
        <v>0</v>
      </c>
      <c r="W5639" s="17">
        <f t="shared" si="156"/>
        <v>0</v>
      </c>
    </row>
    <row r="5640" spans="1:23" x14ac:dyDescent="0.25">
      <c r="A5640" s="17"/>
      <c r="B5640" s="17"/>
      <c r="C5640" s="17"/>
      <c r="D5640" s="17"/>
      <c r="E5640" s="17"/>
      <c r="F5640" s="17"/>
      <c r="G5640" s="17"/>
      <c r="H5640" s="17"/>
      <c r="I5640" s="17"/>
      <c r="J5640" s="17"/>
      <c r="K5640" s="17"/>
      <c r="L5640" s="17"/>
      <c r="M5640" s="17"/>
      <c r="N5640" s="17"/>
      <c r="O5640" s="17"/>
      <c r="P5640" s="17"/>
      <c r="Q5640" s="17"/>
      <c r="R5640" s="17"/>
      <c r="S5640" s="17"/>
      <c r="T5640" s="17"/>
      <c r="U5640" s="17"/>
      <c r="V5640" s="18">
        <v>0</v>
      </c>
      <c r="W5640" s="17">
        <f t="shared" si="156"/>
        <v>0</v>
      </c>
    </row>
    <row r="5641" spans="1:23" x14ac:dyDescent="0.25">
      <c r="A5641" s="17"/>
      <c r="B5641" s="17"/>
      <c r="C5641" s="17"/>
      <c r="D5641" s="17"/>
      <c r="E5641" s="17"/>
      <c r="F5641" s="17"/>
      <c r="G5641" s="17"/>
      <c r="H5641" s="17"/>
      <c r="I5641" s="17"/>
      <c r="J5641" s="17"/>
      <c r="K5641" s="17"/>
      <c r="L5641" s="17"/>
      <c r="M5641" s="17"/>
      <c r="N5641" s="17"/>
      <c r="O5641" s="17"/>
      <c r="P5641" s="17"/>
      <c r="Q5641" s="17"/>
      <c r="R5641" s="17"/>
      <c r="S5641" s="17"/>
      <c r="T5641" s="17"/>
      <c r="U5641" s="17"/>
      <c r="V5641" s="18">
        <v>0</v>
      </c>
      <c r="W5641" s="17">
        <f t="shared" si="156"/>
        <v>0</v>
      </c>
    </row>
    <row r="5642" spans="1:23" x14ac:dyDescent="0.25">
      <c r="A5642" s="17"/>
      <c r="B5642" s="17"/>
      <c r="C5642" s="17"/>
      <c r="D5642" s="17"/>
      <c r="E5642" s="17"/>
      <c r="F5642" s="17"/>
      <c r="G5642" s="17"/>
      <c r="H5642" s="17"/>
      <c r="I5642" s="17"/>
      <c r="J5642" s="17"/>
      <c r="K5642" s="17"/>
      <c r="L5642" s="17"/>
      <c r="M5642" s="17"/>
      <c r="N5642" s="17"/>
      <c r="O5642" s="17"/>
      <c r="P5642" s="17"/>
      <c r="Q5642" s="17"/>
      <c r="R5642" s="17"/>
      <c r="S5642" s="17"/>
      <c r="T5642" s="17"/>
      <c r="U5642" s="17"/>
      <c r="V5642" s="18">
        <v>0</v>
      </c>
      <c r="W5642" s="17">
        <f t="shared" si="156"/>
        <v>0</v>
      </c>
    </row>
    <row r="5643" spans="1:23" x14ac:dyDescent="0.25">
      <c r="A5643" s="17"/>
      <c r="B5643" s="17"/>
      <c r="C5643" s="17"/>
      <c r="D5643" s="17"/>
      <c r="E5643" s="17"/>
      <c r="F5643" s="17"/>
      <c r="G5643" s="17"/>
      <c r="H5643" s="17"/>
      <c r="I5643" s="17"/>
      <c r="J5643" s="17"/>
      <c r="K5643" s="17"/>
      <c r="L5643" s="17"/>
      <c r="M5643" s="17"/>
      <c r="N5643" s="17"/>
      <c r="O5643" s="17"/>
      <c r="P5643" s="17"/>
      <c r="Q5643" s="17"/>
      <c r="R5643" s="17"/>
      <c r="S5643" s="17"/>
      <c r="T5643" s="17"/>
      <c r="U5643" s="17"/>
      <c r="V5643" s="18">
        <v>0</v>
      </c>
      <c r="W5643" s="17">
        <f t="shared" si="156"/>
        <v>0</v>
      </c>
    </row>
    <row r="5644" spans="1:23" x14ac:dyDescent="0.25">
      <c r="A5644" s="17"/>
      <c r="B5644" s="17"/>
      <c r="C5644" s="17"/>
      <c r="D5644" s="17"/>
      <c r="E5644" s="17"/>
      <c r="F5644" s="17"/>
      <c r="G5644" s="17"/>
      <c r="H5644" s="17"/>
      <c r="I5644" s="17"/>
      <c r="J5644" s="17"/>
      <c r="K5644" s="17"/>
      <c r="L5644" s="17"/>
      <c r="M5644" s="17"/>
      <c r="N5644" s="17"/>
      <c r="O5644" s="17"/>
      <c r="P5644" s="17"/>
      <c r="Q5644" s="17"/>
      <c r="R5644" s="17"/>
      <c r="S5644" s="17"/>
      <c r="T5644" s="17"/>
      <c r="U5644" s="17"/>
      <c r="V5644" s="18">
        <v>0</v>
      </c>
      <c r="W5644" s="17">
        <f t="shared" si="156"/>
        <v>0</v>
      </c>
    </row>
    <row r="5645" spans="1:23" x14ac:dyDescent="0.25">
      <c r="A5645" s="17"/>
      <c r="B5645" s="17"/>
      <c r="C5645" s="17"/>
      <c r="D5645" s="17"/>
      <c r="E5645" s="17"/>
      <c r="F5645" s="17"/>
      <c r="G5645" s="17"/>
      <c r="H5645" s="17"/>
      <c r="I5645" s="17"/>
      <c r="J5645" s="17"/>
      <c r="K5645" s="17"/>
      <c r="L5645" s="17"/>
      <c r="M5645" s="17"/>
      <c r="N5645" s="17"/>
      <c r="O5645" s="17"/>
      <c r="P5645" s="17"/>
      <c r="Q5645" s="17"/>
      <c r="R5645" s="17"/>
      <c r="S5645" s="17"/>
      <c r="T5645" s="17"/>
      <c r="U5645" s="17"/>
      <c r="V5645" s="18">
        <v>0</v>
      </c>
      <c r="W5645" s="17">
        <f t="shared" si="156"/>
        <v>0</v>
      </c>
    </row>
    <row r="5646" spans="1:23" x14ac:dyDescent="0.25">
      <c r="A5646" s="17"/>
      <c r="B5646" s="17"/>
      <c r="C5646" s="17"/>
      <c r="D5646" s="17"/>
      <c r="E5646" s="17"/>
      <c r="F5646" s="17"/>
      <c r="G5646" s="17"/>
      <c r="H5646" s="17"/>
      <c r="I5646" s="17"/>
      <c r="J5646" s="17"/>
      <c r="K5646" s="17"/>
      <c r="L5646" s="17"/>
      <c r="M5646" s="17"/>
      <c r="N5646" s="17"/>
      <c r="O5646" s="17"/>
      <c r="P5646" s="17"/>
      <c r="Q5646" s="17"/>
      <c r="R5646" s="17"/>
      <c r="S5646" s="17"/>
      <c r="T5646" s="17"/>
      <c r="U5646" s="17"/>
      <c r="V5646" s="18">
        <v>0</v>
      </c>
      <c r="W5646" s="17">
        <f t="shared" si="156"/>
        <v>0</v>
      </c>
    </row>
    <row r="5647" spans="1:23" x14ac:dyDescent="0.25">
      <c r="A5647" s="17"/>
      <c r="B5647" s="17"/>
      <c r="C5647" s="17"/>
      <c r="D5647" s="17"/>
      <c r="E5647" s="17"/>
      <c r="F5647" s="17"/>
      <c r="G5647" s="17"/>
      <c r="H5647" s="17"/>
      <c r="I5647" s="17"/>
      <c r="J5647" s="17"/>
      <c r="K5647" s="17"/>
      <c r="L5647" s="17"/>
      <c r="M5647" s="17"/>
      <c r="N5647" s="17"/>
      <c r="O5647" s="17"/>
      <c r="P5647" s="17"/>
      <c r="Q5647" s="17"/>
      <c r="R5647" s="17"/>
      <c r="S5647" s="17"/>
      <c r="T5647" s="17"/>
      <c r="U5647" s="17"/>
      <c r="V5647" s="18">
        <v>0</v>
      </c>
      <c r="W5647" s="17">
        <f t="shared" si="156"/>
        <v>0</v>
      </c>
    </row>
    <row r="5648" spans="1:23" x14ac:dyDescent="0.25">
      <c r="A5648" s="17"/>
      <c r="B5648" s="17"/>
      <c r="C5648" s="17"/>
      <c r="D5648" s="17"/>
      <c r="E5648" s="17"/>
      <c r="F5648" s="17"/>
      <c r="G5648" s="17"/>
      <c r="H5648" s="17"/>
      <c r="I5648" s="17"/>
      <c r="J5648" s="17"/>
      <c r="K5648" s="17"/>
      <c r="L5648" s="17"/>
      <c r="M5648" s="17"/>
      <c r="N5648" s="17"/>
      <c r="O5648" s="17"/>
      <c r="P5648" s="17"/>
      <c r="Q5648" s="17"/>
      <c r="R5648" s="17"/>
      <c r="S5648" s="17"/>
      <c r="T5648" s="17"/>
      <c r="U5648" s="17"/>
      <c r="V5648" s="18">
        <v>0</v>
      </c>
      <c r="W5648" s="17">
        <f t="shared" si="156"/>
        <v>0</v>
      </c>
    </row>
    <row r="5649" spans="1:23" x14ac:dyDescent="0.25">
      <c r="A5649" s="17"/>
      <c r="B5649" s="17"/>
      <c r="C5649" s="17"/>
      <c r="D5649" s="17"/>
      <c r="E5649" s="17"/>
      <c r="F5649" s="17"/>
      <c r="G5649" s="17"/>
      <c r="H5649" s="17"/>
      <c r="I5649" s="17"/>
      <c r="J5649" s="17"/>
      <c r="K5649" s="17"/>
      <c r="L5649" s="17"/>
      <c r="M5649" s="17"/>
      <c r="N5649" s="17"/>
      <c r="O5649" s="17"/>
      <c r="P5649" s="17"/>
      <c r="Q5649" s="17"/>
      <c r="R5649" s="17"/>
      <c r="S5649" s="17"/>
      <c r="T5649" s="17"/>
      <c r="U5649" s="17"/>
      <c r="V5649" s="18">
        <v>0</v>
      </c>
      <c r="W5649" s="17">
        <f t="shared" si="156"/>
        <v>0</v>
      </c>
    </row>
    <row r="5650" spans="1:23" x14ac:dyDescent="0.25">
      <c r="A5650" s="17"/>
      <c r="B5650" s="17"/>
      <c r="C5650" s="17"/>
      <c r="D5650" s="17"/>
      <c r="E5650" s="17"/>
      <c r="F5650" s="17"/>
      <c r="G5650" s="17"/>
      <c r="H5650" s="17"/>
      <c r="I5650" s="17"/>
      <c r="J5650" s="17"/>
      <c r="K5650" s="17"/>
      <c r="L5650" s="17"/>
      <c r="M5650" s="17"/>
      <c r="N5650" s="17"/>
      <c r="O5650" s="17"/>
      <c r="P5650" s="17"/>
      <c r="Q5650" s="17"/>
      <c r="R5650" s="17"/>
      <c r="S5650" s="17"/>
      <c r="T5650" s="17"/>
      <c r="U5650" s="17"/>
      <c r="V5650" s="18">
        <v>0</v>
      </c>
      <c r="W5650" s="17">
        <f t="shared" si="156"/>
        <v>0</v>
      </c>
    </row>
    <row r="5651" spans="1:23" x14ac:dyDescent="0.25">
      <c r="A5651" s="17"/>
      <c r="B5651" s="17"/>
      <c r="C5651" s="17"/>
      <c r="D5651" s="17"/>
      <c r="E5651" s="17"/>
      <c r="F5651" s="17"/>
      <c r="G5651" s="17"/>
      <c r="H5651" s="17"/>
      <c r="I5651" s="17"/>
      <c r="J5651" s="17"/>
      <c r="K5651" s="17"/>
      <c r="L5651" s="17"/>
      <c r="M5651" s="17"/>
      <c r="N5651" s="17"/>
      <c r="O5651" s="17"/>
      <c r="P5651" s="17"/>
      <c r="Q5651" s="17"/>
      <c r="R5651" s="17"/>
      <c r="S5651" s="17"/>
      <c r="T5651" s="17"/>
      <c r="U5651" s="17"/>
      <c r="V5651" s="18">
        <v>0</v>
      </c>
      <c r="W5651" s="17">
        <f t="shared" si="156"/>
        <v>0</v>
      </c>
    </row>
    <row r="5652" spans="1:23" x14ac:dyDescent="0.25">
      <c r="A5652" s="17"/>
      <c r="B5652" s="17"/>
      <c r="C5652" s="17"/>
      <c r="D5652" s="17"/>
      <c r="E5652" s="17"/>
      <c r="F5652" s="17"/>
      <c r="G5652" s="17"/>
      <c r="H5652" s="17"/>
      <c r="I5652" s="17"/>
      <c r="J5652" s="17"/>
      <c r="K5652" s="17"/>
      <c r="L5652" s="17"/>
      <c r="M5652" s="17"/>
      <c r="N5652" s="17"/>
      <c r="O5652" s="17"/>
      <c r="P5652" s="17"/>
      <c r="Q5652" s="17"/>
      <c r="R5652" s="17"/>
      <c r="S5652" s="17"/>
      <c r="T5652" s="17"/>
      <c r="U5652" s="17"/>
      <c r="V5652" s="18">
        <v>0</v>
      </c>
      <c r="W5652" s="17">
        <f t="shared" si="156"/>
        <v>0</v>
      </c>
    </row>
    <row r="5653" spans="1:23" x14ac:dyDescent="0.25">
      <c r="A5653" s="17"/>
      <c r="B5653" s="17"/>
      <c r="C5653" s="17"/>
      <c r="D5653" s="17"/>
      <c r="E5653" s="17"/>
      <c r="F5653" s="17"/>
      <c r="G5653" s="17"/>
      <c r="H5653" s="17"/>
      <c r="I5653" s="17"/>
      <c r="J5653" s="17"/>
      <c r="K5653" s="17"/>
      <c r="L5653" s="17"/>
      <c r="M5653" s="17"/>
      <c r="N5653" s="17"/>
      <c r="O5653" s="17"/>
      <c r="P5653" s="17"/>
      <c r="Q5653" s="17"/>
      <c r="R5653" s="17"/>
      <c r="S5653" s="17"/>
      <c r="T5653" s="17"/>
      <c r="U5653" s="17"/>
      <c r="V5653" s="18">
        <v>0</v>
      </c>
      <c r="W5653" s="17">
        <f t="shared" si="156"/>
        <v>0</v>
      </c>
    </row>
    <row r="5654" spans="1:23" x14ac:dyDescent="0.25">
      <c r="A5654" s="17"/>
      <c r="B5654" s="17"/>
      <c r="C5654" s="17"/>
      <c r="D5654" s="17"/>
      <c r="E5654" s="17"/>
      <c r="F5654" s="17"/>
      <c r="G5654" s="17"/>
      <c r="H5654" s="17"/>
      <c r="I5654" s="17"/>
      <c r="J5654" s="17"/>
      <c r="K5654" s="17"/>
      <c r="L5654" s="17"/>
      <c r="M5654" s="17"/>
      <c r="N5654" s="17"/>
      <c r="O5654" s="17"/>
      <c r="P5654" s="17"/>
      <c r="Q5654" s="17"/>
      <c r="R5654" s="17"/>
      <c r="S5654" s="17"/>
      <c r="T5654" s="17"/>
      <c r="U5654" s="17"/>
      <c r="V5654" s="18">
        <v>0</v>
      </c>
      <c r="W5654" s="17">
        <f t="shared" si="156"/>
        <v>0</v>
      </c>
    </row>
    <row r="5655" spans="1:23" x14ac:dyDescent="0.25">
      <c r="A5655" s="17"/>
      <c r="B5655" s="17"/>
      <c r="C5655" s="17"/>
      <c r="D5655" s="17"/>
      <c r="E5655" s="17"/>
      <c r="F5655" s="17"/>
      <c r="G5655" s="17"/>
      <c r="H5655" s="17"/>
      <c r="I5655" s="17"/>
      <c r="J5655" s="17"/>
      <c r="K5655" s="17"/>
      <c r="L5655" s="17"/>
      <c r="M5655" s="17"/>
      <c r="N5655" s="17"/>
      <c r="O5655" s="17"/>
      <c r="P5655" s="17"/>
      <c r="Q5655" s="17"/>
      <c r="R5655" s="17"/>
      <c r="S5655" s="17"/>
      <c r="T5655" s="17"/>
      <c r="U5655" s="17"/>
      <c r="V5655" s="18">
        <v>0</v>
      </c>
      <c r="W5655" s="17">
        <f t="shared" si="156"/>
        <v>0</v>
      </c>
    </row>
    <row r="5656" spans="1:23" x14ac:dyDescent="0.25">
      <c r="A5656" s="17"/>
      <c r="B5656" s="17"/>
      <c r="C5656" s="17"/>
      <c r="D5656" s="17"/>
      <c r="E5656" s="17"/>
      <c r="F5656" s="17"/>
      <c r="G5656" s="17"/>
      <c r="H5656" s="17"/>
      <c r="I5656" s="17"/>
      <c r="J5656" s="17"/>
      <c r="K5656" s="17"/>
      <c r="L5656" s="17"/>
      <c r="M5656" s="17"/>
      <c r="N5656" s="17"/>
      <c r="O5656" s="17"/>
      <c r="P5656" s="17"/>
      <c r="Q5656" s="17"/>
      <c r="R5656" s="17"/>
      <c r="S5656" s="17"/>
      <c r="T5656" s="17"/>
      <c r="U5656" s="17"/>
      <c r="V5656" s="18">
        <v>0</v>
      </c>
      <c r="W5656" s="17">
        <f t="shared" si="156"/>
        <v>0</v>
      </c>
    </row>
    <row r="5657" spans="1:23" x14ac:dyDescent="0.25">
      <c r="A5657" s="17"/>
      <c r="B5657" s="17"/>
      <c r="C5657" s="17"/>
      <c r="D5657" s="17"/>
      <c r="E5657" s="17"/>
      <c r="F5657" s="17"/>
      <c r="G5657" s="17"/>
      <c r="H5657" s="17"/>
      <c r="I5657" s="17"/>
      <c r="J5657" s="17"/>
      <c r="K5657" s="17"/>
      <c r="L5657" s="17"/>
      <c r="M5657" s="17"/>
      <c r="N5657" s="17"/>
      <c r="O5657" s="17"/>
      <c r="P5657" s="17"/>
      <c r="Q5657" s="17"/>
      <c r="R5657" s="17"/>
      <c r="S5657" s="17"/>
      <c r="T5657" s="17"/>
      <c r="U5657" s="17"/>
      <c r="V5657" s="18">
        <v>0</v>
      </c>
      <c r="W5657" s="17">
        <f t="shared" si="156"/>
        <v>0</v>
      </c>
    </row>
    <row r="5658" spans="1:23" x14ac:dyDescent="0.25">
      <c r="A5658" s="17"/>
      <c r="B5658" s="17"/>
      <c r="C5658" s="17"/>
      <c r="D5658" s="17"/>
      <c r="E5658" s="17"/>
      <c r="F5658" s="17"/>
      <c r="G5658" s="17"/>
      <c r="H5658" s="17"/>
      <c r="I5658" s="17"/>
      <c r="J5658" s="17"/>
      <c r="K5658" s="17"/>
      <c r="L5658" s="17"/>
      <c r="M5658" s="17"/>
      <c r="N5658" s="17"/>
      <c r="O5658" s="17"/>
      <c r="P5658" s="17"/>
      <c r="Q5658" s="17"/>
      <c r="R5658" s="17"/>
      <c r="S5658" s="17"/>
      <c r="T5658" s="17"/>
      <c r="U5658" s="17"/>
      <c r="V5658" s="18">
        <v>0</v>
      </c>
      <c r="W5658" s="17">
        <f t="shared" si="156"/>
        <v>0</v>
      </c>
    </row>
    <row r="5659" spans="1:23" x14ac:dyDescent="0.25">
      <c r="A5659" s="17"/>
      <c r="B5659" s="17"/>
      <c r="C5659" s="17"/>
      <c r="D5659" s="17"/>
      <c r="E5659" s="17"/>
      <c r="F5659" s="17"/>
      <c r="G5659" s="17"/>
      <c r="H5659" s="17"/>
      <c r="I5659" s="17"/>
      <c r="J5659" s="17"/>
      <c r="K5659" s="17"/>
      <c r="L5659" s="17"/>
      <c r="M5659" s="17"/>
      <c r="N5659" s="17"/>
      <c r="O5659" s="17"/>
      <c r="P5659" s="17"/>
      <c r="Q5659" s="17"/>
      <c r="R5659" s="17"/>
      <c r="S5659" s="17"/>
      <c r="T5659" s="17"/>
      <c r="U5659" s="17"/>
      <c r="V5659" s="18">
        <v>0</v>
      </c>
      <c r="W5659" s="17">
        <f t="shared" si="156"/>
        <v>0</v>
      </c>
    </row>
    <row r="5660" spans="1:23" x14ac:dyDescent="0.25">
      <c r="A5660" s="17"/>
      <c r="B5660" s="17"/>
      <c r="C5660" s="17"/>
      <c r="D5660" s="17"/>
      <c r="E5660" s="17"/>
      <c r="F5660" s="17"/>
      <c r="G5660" s="17"/>
      <c r="H5660" s="17"/>
      <c r="I5660" s="17"/>
      <c r="J5660" s="17"/>
      <c r="K5660" s="17"/>
      <c r="L5660" s="17"/>
      <c r="M5660" s="17"/>
      <c r="N5660" s="17"/>
      <c r="O5660" s="17"/>
      <c r="P5660" s="17"/>
      <c r="Q5660" s="17"/>
      <c r="R5660" s="17"/>
      <c r="S5660" s="17"/>
      <c r="T5660" s="17"/>
      <c r="U5660" s="17"/>
      <c r="V5660" s="18">
        <v>0</v>
      </c>
      <c r="W5660" s="17">
        <f t="shared" si="156"/>
        <v>0</v>
      </c>
    </row>
    <row r="5661" spans="1:23" x14ac:dyDescent="0.25">
      <c r="A5661" s="17"/>
      <c r="B5661" s="17"/>
      <c r="C5661" s="17"/>
      <c r="D5661" s="17"/>
      <c r="E5661" s="17"/>
      <c r="F5661" s="17"/>
      <c r="G5661" s="17"/>
      <c r="H5661" s="17"/>
      <c r="I5661" s="17"/>
      <c r="J5661" s="17"/>
      <c r="K5661" s="17"/>
      <c r="L5661" s="17"/>
      <c r="M5661" s="17"/>
      <c r="N5661" s="17"/>
      <c r="O5661" s="17"/>
      <c r="P5661" s="17"/>
      <c r="Q5661" s="17"/>
      <c r="R5661" s="17"/>
      <c r="S5661" s="17"/>
      <c r="T5661" s="17"/>
      <c r="U5661" s="17"/>
      <c r="V5661" s="18">
        <v>0</v>
      </c>
      <c r="W5661" s="17">
        <f t="shared" si="156"/>
        <v>0</v>
      </c>
    </row>
    <row r="5662" spans="1:23" x14ac:dyDescent="0.25">
      <c r="A5662" s="17"/>
      <c r="B5662" s="17"/>
      <c r="C5662" s="17"/>
      <c r="D5662" s="17"/>
      <c r="E5662" s="17"/>
      <c r="F5662" s="17"/>
      <c r="G5662" s="17"/>
      <c r="H5662" s="17"/>
      <c r="I5662" s="17"/>
      <c r="J5662" s="17"/>
      <c r="K5662" s="17"/>
      <c r="L5662" s="17"/>
      <c r="M5662" s="17"/>
      <c r="N5662" s="17"/>
      <c r="O5662" s="17"/>
      <c r="P5662" s="17"/>
      <c r="Q5662" s="17"/>
      <c r="R5662" s="17"/>
      <c r="S5662" s="17"/>
      <c r="T5662" s="17"/>
      <c r="U5662" s="17"/>
      <c r="V5662" s="18">
        <v>0</v>
      </c>
      <c r="W5662" s="17">
        <f t="shared" si="156"/>
        <v>0</v>
      </c>
    </row>
    <row r="5663" spans="1:23" x14ac:dyDescent="0.25">
      <c r="A5663" s="17"/>
      <c r="B5663" s="17"/>
      <c r="C5663" s="17"/>
      <c r="D5663" s="17"/>
      <c r="E5663" s="17"/>
      <c r="F5663" s="17"/>
      <c r="G5663" s="17"/>
      <c r="H5663" s="17"/>
      <c r="I5663" s="17"/>
      <c r="J5663" s="17"/>
      <c r="K5663" s="17"/>
      <c r="L5663" s="17"/>
      <c r="M5663" s="17"/>
      <c r="N5663" s="17"/>
      <c r="O5663" s="17"/>
      <c r="P5663" s="17"/>
      <c r="Q5663" s="17"/>
      <c r="R5663" s="17"/>
      <c r="S5663" s="17"/>
      <c r="T5663" s="17"/>
      <c r="U5663" s="17"/>
      <c r="V5663" s="18">
        <v>0</v>
      </c>
      <c r="W5663" s="17">
        <f t="shared" si="156"/>
        <v>0</v>
      </c>
    </row>
    <row r="5664" spans="1:23" x14ac:dyDescent="0.25">
      <c r="A5664" s="17"/>
      <c r="B5664" s="17"/>
      <c r="C5664" s="17"/>
      <c r="D5664" s="17"/>
      <c r="E5664" s="17"/>
      <c r="F5664" s="17"/>
      <c r="G5664" s="17"/>
      <c r="H5664" s="17"/>
      <c r="I5664" s="17"/>
      <c r="J5664" s="17"/>
      <c r="K5664" s="17"/>
      <c r="L5664" s="17"/>
      <c r="M5664" s="17"/>
      <c r="N5664" s="17"/>
      <c r="O5664" s="17"/>
      <c r="P5664" s="17"/>
      <c r="Q5664" s="17"/>
      <c r="R5664" s="17"/>
      <c r="S5664" s="17"/>
      <c r="T5664" s="17"/>
      <c r="U5664" s="17"/>
      <c r="V5664" s="18">
        <v>0</v>
      </c>
      <c r="W5664" s="17">
        <f t="shared" si="156"/>
        <v>0</v>
      </c>
    </row>
    <row r="5665" spans="1:23" x14ac:dyDescent="0.25">
      <c r="A5665" s="17"/>
      <c r="B5665" s="17"/>
      <c r="C5665" s="17"/>
      <c r="D5665" s="17"/>
      <c r="E5665" s="17"/>
      <c r="F5665" s="17"/>
      <c r="G5665" s="17"/>
      <c r="H5665" s="17"/>
      <c r="I5665" s="17"/>
      <c r="J5665" s="17"/>
      <c r="K5665" s="17"/>
      <c r="L5665" s="17"/>
      <c r="M5665" s="17"/>
      <c r="N5665" s="17"/>
      <c r="O5665" s="17"/>
      <c r="P5665" s="17"/>
      <c r="Q5665" s="17"/>
      <c r="R5665" s="17"/>
      <c r="S5665" s="17"/>
      <c r="T5665" s="17"/>
      <c r="U5665" s="17"/>
      <c r="V5665" s="18">
        <v>0</v>
      </c>
      <c r="W5665" s="17">
        <f t="shared" si="156"/>
        <v>0</v>
      </c>
    </row>
    <row r="5666" spans="1:23" x14ac:dyDescent="0.25">
      <c r="A5666" s="17"/>
      <c r="B5666" s="17"/>
      <c r="C5666" s="17"/>
      <c r="D5666" s="17"/>
      <c r="E5666" s="17"/>
      <c r="F5666" s="17"/>
      <c r="G5666" s="17"/>
      <c r="H5666" s="17"/>
      <c r="I5666" s="17"/>
      <c r="J5666" s="17"/>
      <c r="K5666" s="17"/>
      <c r="L5666" s="17"/>
      <c r="M5666" s="17"/>
      <c r="N5666" s="17"/>
      <c r="O5666" s="17"/>
      <c r="P5666" s="17"/>
      <c r="Q5666" s="17"/>
      <c r="R5666" s="17"/>
      <c r="S5666" s="17"/>
      <c r="T5666" s="17"/>
      <c r="U5666" s="17"/>
      <c r="V5666" s="18">
        <v>0</v>
      </c>
      <c r="W5666" s="17">
        <f t="shared" si="156"/>
        <v>0</v>
      </c>
    </row>
    <row r="5667" spans="1:23" x14ac:dyDescent="0.25">
      <c r="A5667" s="17"/>
      <c r="B5667" s="17"/>
      <c r="C5667" s="17"/>
      <c r="D5667" s="17"/>
      <c r="E5667" s="17"/>
      <c r="F5667" s="17"/>
      <c r="G5667" s="17"/>
      <c r="H5667" s="17"/>
      <c r="I5667" s="17"/>
      <c r="J5667" s="17"/>
      <c r="K5667" s="17"/>
      <c r="L5667" s="17"/>
      <c r="M5667" s="17"/>
      <c r="N5667" s="17"/>
      <c r="O5667" s="17"/>
      <c r="P5667" s="17"/>
      <c r="Q5667" s="17"/>
      <c r="R5667" s="17"/>
      <c r="S5667" s="17"/>
      <c r="T5667" s="17"/>
      <c r="U5667" s="17"/>
      <c r="V5667" s="18">
        <v>0</v>
      </c>
      <c r="W5667" s="17">
        <f t="shared" si="156"/>
        <v>0</v>
      </c>
    </row>
    <row r="5668" spans="1:23" x14ac:dyDescent="0.25">
      <c r="A5668" s="17"/>
      <c r="B5668" s="17"/>
      <c r="C5668" s="17"/>
      <c r="D5668" s="17"/>
      <c r="E5668" s="17"/>
      <c r="F5668" s="17"/>
      <c r="G5668" s="17"/>
      <c r="H5668" s="17"/>
      <c r="I5668" s="17"/>
      <c r="J5668" s="17"/>
      <c r="K5668" s="17"/>
      <c r="L5668" s="17"/>
      <c r="M5668" s="17"/>
      <c r="N5668" s="17"/>
      <c r="O5668" s="17"/>
      <c r="P5668" s="17"/>
      <c r="Q5668" s="17"/>
      <c r="R5668" s="17"/>
      <c r="S5668" s="17"/>
      <c r="T5668" s="17"/>
      <c r="U5668" s="17"/>
      <c r="V5668" s="18">
        <v>0</v>
      </c>
      <c r="W5668" s="17">
        <f t="shared" si="156"/>
        <v>0</v>
      </c>
    </row>
    <row r="5669" spans="1:23" x14ac:dyDescent="0.25">
      <c r="A5669" s="17"/>
      <c r="B5669" s="17"/>
      <c r="C5669" s="17"/>
      <c r="D5669" s="17"/>
      <c r="E5669" s="17"/>
      <c r="F5669" s="17"/>
      <c r="G5669" s="17"/>
      <c r="H5669" s="17"/>
      <c r="I5669" s="17"/>
      <c r="J5669" s="17"/>
      <c r="K5669" s="17"/>
      <c r="L5669" s="17"/>
      <c r="M5669" s="17"/>
      <c r="N5669" s="17"/>
      <c r="O5669" s="17"/>
      <c r="P5669" s="17"/>
      <c r="Q5669" s="17"/>
      <c r="R5669" s="17"/>
      <c r="S5669" s="17"/>
      <c r="T5669" s="17"/>
      <c r="U5669" s="17"/>
      <c r="V5669" s="18">
        <v>0</v>
      </c>
      <c r="W5669" s="17">
        <f t="shared" si="156"/>
        <v>0</v>
      </c>
    </row>
    <row r="5670" spans="1:23" x14ac:dyDescent="0.25">
      <c r="A5670" s="17"/>
      <c r="B5670" s="17"/>
      <c r="C5670" s="17"/>
      <c r="D5670" s="17"/>
      <c r="E5670" s="17"/>
      <c r="F5670" s="17"/>
      <c r="G5670" s="17"/>
      <c r="H5670" s="17"/>
      <c r="I5670" s="17"/>
      <c r="J5670" s="17"/>
      <c r="K5670" s="17"/>
      <c r="L5670" s="17"/>
      <c r="M5670" s="17"/>
      <c r="N5670" s="17"/>
      <c r="O5670" s="17"/>
      <c r="P5670" s="17"/>
      <c r="Q5670" s="17"/>
      <c r="R5670" s="17"/>
      <c r="S5670" s="17"/>
      <c r="T5670" s="17"/>
      <c r="U5670" s="17"/>
      <c r="V5670" s="18">
        <v>0</v>
      </c>
      <c r="W5670" s="17">
        <f t="shared" si="156"/>
        <v>0</v>
      </c>
    </row>
    <row r="5671" spans="1:23" x14ac:dyDescent="0.25">
      <c r="A5671" s="17"/>
      <c r="B5671" s="17"/>
      <c r="C5671" s="17"/>
      <c r="D5671" s="17"/>
      <c r="E5671" s="17"/>
      <c r="F5671" s="17"/>
      <c r="G5671" s="17"/>
      <c r="H5671" s="17"/>
      <c r="I5671" s="17"/>
      <c r="J5671" s="17"/>
      <c r="K5671" s="17"/>
      <c r="L5671" s="17"/>
      <c r="M5671" s="17"/>
      <c r="N5671" s="17"/>
      <c r="O5671" s="17"/>
      <c r="P5671" s="17"/>
      <c r="Q5671" s="17"/>
      <c r="R5671" s="17"/>
      <c r="S5671" s="17"/>
      <c r="T5671" s="17"/>
      <c r="U5671" s="17"/>
      <c r="V5671" s="18">
        <v>0</v>
      </c>
      <c r="W5671" s="17">
        <f t="shared" si="156"/>
        <v>0</v>
      </c>
    </row>
    <row r="5672" spans="1:23" x14ac:dyDescent="0.25">
      <c r="A5672" s="17"/>
      <c r="B5672" s="17"/>
      <c r="C5672" s="17"/>
      <c r="D5672" s="17"/>
      <c r="E5672" s="17"/>
      <c r="F5672" s="17"/>
      <c r="G5672" s="17"/>
      <c r="H5672" s="17"/>
      <c r="I5672" s="17"/>
      <c r="J5672" s="17"/>
      <c r="K5672" s="17"/>
      <c r="L5672" s="17"/>
      <c r="M5672" s="17"/>
      <c r="N5672" s="17"/>
      <c r="O5672" s="17"/>
      <c r="P5672" s="17"/>
      <c r="Q5672" s="17"/>
      <c r="R5672" s="17"/>
      <c r="S5672" s="17"/>
      <c r="T5672" s="17"/>
      <c r="U5672" s="17"/>
      <c r="V5672" s="18">
        <v>0</v>
      </c>
      <c r="W5672" s="17">
        <f t="shared" si="156"/>
        <v>0</v>
      </c>
    </row>
    <row r="5673" spans="1:23" x14ac:dyDescent="0.25">
      <c r="A5673" s="17"/>
      <c r="B5673" s="17"/>
      <c r="C5673" s="17"/>
      <c r="D5673" s="17"/>
      <c r="E5673" s="17"/>
      <c r="F5673" s="17"/>
      <c r="G5673" s="17"/>
      <c r="H5673" s="17"/>
      <c r="I5673" s="17"/>
      <c r="J5673" s="17"/>
      <c r="K5673" s="17"/>
      <c r="L5673" s="17"/>
      <c r="M5673" s="17"/>
      <c r="N5673" s="17"/>
      <c r="O5673" s="17"/>
      <c r="P5673" s="17"/>
      <c r="Q5673" s="17"/>
      <c r="R5673" s="17"/>
      <c r="S5673" s="17"/>
      <c r="T5673" s="17"/>
      <c r="U5673" s="17"/>
      <c r="V5673" s="18">
        <v>0</v>
      </c>
      <c r="W5673" s="17">
        <f t="shared" si="156"/>
        <v>0</v>
      </c>
    </row>
    <row r="5674" spans="1:23" x14ac:dyDescent="0.25">
      <c r="A5674" s="17"/>
      <c r="B5674" s="17"/>
      <c r="C5674" s="17"/>
      <c r="D5674" s="17"/>
      <c r="E5674" s="17"/>
      <c r="F5674" s="17"/>
      <c r="G5674" s="17"/>
      <c r="H5674" s="17"/>
      <c r="I5674" s="17"/>
      <c r="J5674" s="17"/>
      <c r="K5674" s="17"/>
      <c r="L5674" s="17"/>
      <c r="M5674" s="17"/>
      <c r="N5674" s="17"/>
      <c r="O5674" s="17"/>
      <c r="P5674" s="17"/>
      <c r="Q5674" s="17"/>
      <c r="R5674" s="17"/>
      <c r="S5674" s="17"/>
      <c r="T5674" s="17"/>
      <c r="U5674" s="17"/>
      <c r="V5674" s="18">
        <v>0</v>
      </c>
      <c r="W5674" s="17">
        <f t="shared" si="156"/>
        <v>0</v>
      </c>
    </row>
    <row r="5675" spans="1:23" x14ac:dyDescent="0.25">
      <c r="A5675" s="17"/>
      <c r="B5675" s="17"/>
      <c r="C5675" s="17"/>
      <c r="D5675" s="17"/>
      <c r="E5675" s="17"/>
      <c r="F5675" s="17"/>
      <c r="G5675" s="17"/>
      <c r="H5675" s="17"/>
      <c r="I5675" s="17"/>
      <c r="J5675" s="17"/>
      <c r="K5675" s="17"/>
      <c r="L5675" s="17"/>
      <c r="M5675" s="17"/>
      <c r="N5675" s="17"/>
      <c r="O5675" s="17"/>
      <c r="P5675" s="17"/>
      <c r="Q5675" s="17"/>
      <c r="R5675" s="17"/>
      <c r="S5675" s="17"/>
      <c r="T5675" s="17"/>
      <c r="U5675" s="17"/>
      <c r="V5675" s="18">
        <v>0</v>
      </c>
      <c r="W5675" s="17">
        <f t="shared" si="156"/>
        <v>0</v>
      </c>
    </row>
    <row r="5676" spans="1:23" x14ac:dyDescent="0.25">
      <c r="A5676" s="17"/>
      <c r="B5676" s="17"/>
      <c r="C5676" s="17"/>
      <c r="D5676" s="17"/>
      <c r="E5676" s="17"/>
      <c r="F5676" s="17"/>
      <c r="G5676" s="17"/>
      <c r="H5676" s="17"/>
      <c r="I5676" s="17"/>
      <c r="J5676" s="17"/>
      <c r="K5676" s="17"/>
      <c r="L5676" s="17"/>
      <c r="M5676" s="17"/>
      <c r="N5676" s="17"/>
      <c r="O5676" s="17"/>
      <c r="P5676" s="17"/>
      <c r="Q5676" s="17"/>
      <c r="R5676" s="17"/>
      <c r="S5676" s="17"/>
      <c r="T5676" s="17"/>
      <c r="U5676" s="17"/>
      <c r="V5676" s="18">
        <v>0</v>
      </c>
      <c r="W5676" s="17">
        <f t="shared" si="156"/>
        <v>0</v>
      </c>
    </row>
    <row r="5677" spans="1:23" x14ac:dyDescent="0.25">
      <c r="A5677" s="17"/>
      <c r="B5677" s="17"/>
      <c r="C5677" s="17"/>
      <c r="D5677" s="17"/>
      <c r="E5677" s="17"/>
      <c r="F5677" s="17"/>
      <c r="G5677" s="17"/>
      <c r="H5677" s="17"/>
      <c r="I5677" s="17"/>
      <c r="J5677" s="17"/>
      <c r="K5677" s="17"/>
      <c r="L5677" s="17"/>
      <c r="M5677" s="17"/>
      <c r="N5677" s="17"/>
      <c r="O5677" s="17"/>
      <c r="P5677" s="17"/>
      <c r="Q5677" s="17"/>
      <c r="R5677" s="17"/>
      <c r="S5677" s="17"/>
      <c r="T5677" s="17"/>
      <c r="U5677" s="17"/>
      <c r="V5677" s="18">
        <v>0</v>
      </c>
      <c r="W5677" s="17">
        <f t="shared" si="156"/>
        <v>0</v>
      </c>
    </row>
    <row r="5678" spans="1:23" x14ac:dyDescent="0.25">
      <c r="A5678" s="17"/>
      <c r="B5678" s="17"/>
      <c r="C5678" s="17"/>
      <c r="D5678" s="17"/>
      <c r="E5678" s="17"/>
      <c r="F5678" s="17"/>
      <c r="G5678" s="17"/>
      <c r="H5678" s="17"/>
      <c r="I5678" s="17"/>
      <c r="J5678" s="17"/>
      <c r="K5678" s="17"/>
      <c r="L5678" s="17"/>
      <c r="M5678" s="17"/>
      <c r="N5678" s="17"/>
      <c r="O5678" s="17"/>
      <c r="P5678" s="17"/>
      <c r="Q5678" s="17"/>
      <c r="R5678" s="17"/>
      <c r="S5678" s="17"/>
      <c r="T5678" s="17"/>
      <c r="U5678" s="17"/>
      <c r="V5678" s="18">
        <v>0</v>
      </c>
      <c r="W5678" s="17">
        <f t="shared" si="156"/>
        <v>0</v>
      </c>
    </row>
    <row r="5679" spans="1:23" x14ac:dyDescent="0.25">
      <c r="A5679" s="17"/>
      <c r="B5679" s="17"/>
      <c r="C5679" s="17"/>
      <c r="D5679" s="17"/>
      <c r="E5679" s="17"/>
      <c r="F5679" s="17"/>
      <c r="G5679" s="17"/>
      <c r="H5679" s="17"/>
      <c r="I5679" s="17"/>
      <c r="J5679" s="17"/>
      <c r="K5679" s="17"/>
      <c r="L5679" s="17"/>
      <c r="M5679" s="17"/>
      <c r="N5679" s="17"/>
      <c r="O5679" s="17"/>
      <c r="P5679" s="17"/>
      <c r="Q5679" s="17"/>
      <c r="R5679" s="17"/>
      <c r="S5679" s="17"/>
      <c r="T5679" s="17"/>
      <c r="U5679" s="17"/>
      <c r="V5679" s="18">
        <v>0</v>
      </c>
      <c r="W5679" s="17">
        <f t="shared" si="156"/>
        <v>0</v>
      </c>
    </row>
    <row r="5680" spans="1:23" x14ac:dyDescent="0.25">
      <c r="A5680" s="17"/>
      <c r="B5680" s="17"/>
      <c r="C5680" s="17"/>
      <c r="D5680" s="17"/>
      <c r="E5680" s="17"/>
      <c r="F5680" s="17"/>
      <c r="G5680" s="17"/>
      <c r="H5680" s="17"/>
      <c r="I5680" s="17"/>
      <c r="J5680" s="17"/>
      <c r="K5680" s="17"/>
      <c r="L5680" s="17"/>
      <c r="M5680" s="17"/>
      <c r="N5680" s="17"/>
      <c r="O5680" s="17"/>
      <c r="P5680" s="17"/>
      <c r="Q5680" s="17"/>
      <c r="R5680" s="17"/>
      <c r="S5680" s="17"/>
      <c r="T5680" s="17"/>
      <c r="U5680" s="17"/>
      <c r="V5680" s="18">
        <v>0</v>
      </c>
      <c r="W5680" s="17">
        <f t="shared" si="156"/>
        <v>0</v>
      </c>
    </row>
    <row r="5681" spans="1:23" x14ac:dyDescent="0.25">
      <c r="A5681" s="17"/>
      <c r="B5681" s="17"/>
      <c r="C5681" s="17"/>
      <c r="D5681" s="17"/>
      <c r="E5681" s="17"/>
      <c r="F5681" s="17"/>
      <c r="G5681" s="17"/>
      <c r="H5681" s="17"/>
      <c r="I5681" s="17"/>
      <c r="J5681" s="17"/>
      <c r="K5681" s="17"/>
      <c r="L5681" s="17"/>
      <c r="M5681" s="17"/>
      <c r="N5681" s="17"/>
      <c r="O5681" s="17"/>
      <c r="P5681" s="17"/>
      <c r="Q5681" s="17"/>
      <c r="R5681" s="17"/>
      <c r="S5681" s="17"/>
      <c r="T5681" s="17"/>
      <c r="U5681" s="17"/>
      <c r="V5681" s="18">
        <v>0</v>
      </c>
      <c r="W5681" s="17">
        <f t="shared" si="156"/>
        <v>0</v>
      </c>
    </row>
    <row r="5682" spans="1:23" x14ac:dyDescent="0.25">
      <c r="A5682" s="17"/>
      <c r="B5682" s="17"/>
      <c r="C5682" s="17"/>
      <c r="D5682" s="17"/>
      <c r="E5682" s="17"/>
      <c r="F5682" s="17"/>
      <c r="G5682" s="17"/>
      <c r="H5682" s="17"/>
      <c r="I5682" s="17"/>
      <c r="J5682" s="17"/>
      <c r="K5682" s="17"/>
      <c r="L5682" s="17"/>
      <c r="M5682" s="17"/>
      <c r="N5682" s="17"/>
      <c r="O5682" s="17"/>
      <c r="P5682" s="17"/>
      <c r="Q5682" s="17"/>
      <c r="R5682" s="17"/>
      <c r="S5682" s="17"/>
      <c r="T5682" s="17"/>
      <c r="U5682" s="17"/>
      <c r="V5682" s="18">
        <v>0</v>
      </c>
      <c r="W5682" s="17">
        <f t="shared" si="156"/>
        <v>0</v>
      </c>
    </row>
    <row r="5683" spans="1:23" x14ac:dyDescent="0.25">
      <c r="A5683" s="17"/>
      <c r="B5683" s="17"/>
      <c r="C5683" s="17"/>
      <c r="D5683" s="17"/>
      <c r="E5683" s="17"/>
      <c r="F5683" s="17"/>
      <c r="G5683" s="17"/>
      <c r="H5683" s="17"/>
      <c r="I5683" s="17"/>
      <c r="J5683" s="17"/>
      <c r="K5683" s="17"/>
      <c r="L5683" s="17"/>
      <c r="M5683" s="17"/>
      <c r="N5683" s="17"/>
      <c r="O5683" s="17"/>
      <c r="P5683" s="17"/>
      <c r="Q5683" s="17"/>
      <c r="R5683" s="17"/>
      <c r="S5683" s="17"/>
      <c r="T5683" s="17"/>
      <c r="U5683" s="17"/>
      <c r="V5683" s="18">
        <v>0</v>
      </c>
      <c r="W5683" s="17">
        <f t="shared" si="156"/>
        <v>0</v>
      </c>
    </row>
    <row r="5684" spans="1:23" x14ac:dyDescent="0.25">
      <c r="A5684" s="17"/>
      <c r="B5684" s="17"/>
      <c r="C5684" s="17"/>
      <c r="D5684" s="17"/>
      <c r="E5684" s="17"/>
      <c r="F5684" s="17"/>
      <c r="G5684" s="17"/>
      <c r="H5684" s="17"/>
      <c r="I5684" s="17"/>
      <c r="J5684" s="17"/>
      <c r="K5684" s="17"/>
      <c r="L5684" s="17"/>
      <c r="M5684" s="17"/>
      <c r="N5684" s="17"/>
      <c r="O5684" s="17"/>
      <c r="P5684" s="17"/>
      <c r="Q5684" s="17"/>
      <c r="R5684" s="17"/>
      <c r="S5684" s="17"/>
      <c r="T5684" s="17"/>
      <c r="U5684" s="17"/>
      <c r="V5684" s="18">
        <v>0</v>
      </c>
      <c r="W5684" s="17">
        <f t="shared" si="156"/>
        <v>0</v>
      </c>
    </row>
    <row r="5685" spans="1:23" x14ac:dyDescent="0.25">
      <c r="A5685" s="17"/>
      <c r="B5685" s="17"/>
      <c r="C5685" s="17"/>
      <c r="D5685" s="17"/>
      <c r="E5685" s="17"/>
      <c r="F5685" s="17"/>
      <c r="G5685" s="17"/>
      <c r="H5685" s="17"/>
      <c r="I5685" s="17"/>
      <c r="J5685" s="17"/>
      <c r="K5685" s="17"/>
      <c r="L5685" s="17"/>
      <c r="M5685" s="17"/>
      <c r="N5685" s="17"/>
      <c r="O5685" s="17"/>
      <c r="P5685" s="17"/>
      <c r="Q5685" s="17"/>
      <c r="R5685" s="17"/>
      <c r="S5685" s="17"/>
      <c r="T5685" s="17"/>
      <c r="U5685" s="17"/>
      <c r="V5685" s="18">
        <v>0</v>
      </c>
      <c r="W5685" s="17">
        <f t="shared" si="156"/>
        <v>0</v>
      </c>
    </row>
    <row r="5686" spans="1:23" x14ac:dyDescent="0.25">
      <c r="A5686" s="17"/>
      <c r="B5686" s="17"/>
      <c r="C5686" s="17"/>
      <c r="D5686" s="17"/>
      <c r="E5686" s="17"/>
      <c r="F5686" s="17"/>
      <c r="G5686" s="17"/>
      <c r="H5686" s="17"/>
      <c r="I5686" s="17"/>
      <c r="J5686" s="17"/>
      <c r="K5686" s="17"/>
      <c r="L5686" s="17"/>
      <c r="M5686" s="17"/>
      <c r="N5686" s="17"/>
      <c r="O5686" s="17"/>
      <c r="P5686" s="17"/>
      <c r="Q5686" s="17"/>
      <c r="R5686" s="17"/>
      <c r="S5686" s="17"/>
      <c r="T5686" s="17"/>
      <c r="U5686" s="17"/>
      <c r="V5686" s="18">
        <v>0</v>
      </c>
      <c r="W5686" s="17">
        <f t="shared" si="156"/>
        <v>0</v>
      </c>
    </row>
    <row r="5687" spans="1:23" x14ac:dyDescent="0.25">
      <c r="A5687" s="17"/>
      <c r="B5687" s="17"/>
      <c r="C5687" s="17"/>
      <c r="D5687" s="17"/>
      <c r="E5687" s="17"/>
      <c r="F5687" s="17"/>
      <c r="G5687" s="17"/>
      <c r="H5687" s="17"/>
      <c r="I5687" s="17"/>
      <c r="J5687" s="17"/>
      <c r="K5687" s="17"/>
      <c r="L5687" s="17"/>
      <c r="M5687" s="17"/>
      <c r="N5687" s="17"/>
      <c r="O5687" s="17"/>
      <c r="P5687" s="17"/>
      <c r="Q5687" s="17"/>
      <c r="R5687" s="17"/>
      <c r="S5687" s="17"/>
      <c r="T5687" s="17"/>
      <c r="U5687" s="17"/>
      <c r="V5687" s="18">
        <v>0</v>
      </c>
      <c r="W5687" s="17">
        <f t="shared" si="156"/>
        <v>0</v>
      </c>
    </row>
    <row r="5688" spans="1:23" x14ac:dyDescent="0.25">
      <c r="A5688" s="17"/>
      <c r="B5688" s="17"/>
      <c r="C5688" s="17"/>
      <c r="D5688" s="17"/>
      <c r="E5688" s="17"/>
      <c r="F5688" s="17"/>
      <c r="G5688" s="17"/>
      <c r="H5688" s="17"/>
      <c r="I5688" s="17"/>
      <c r="J5688" s="17"/>
      <c r="K5688" s="17"/>
      <c r="L5688" s="17"/>
      <c r="M5688" s="17"/>
      <c r="N5688" s="17"/>
      <c r="O5688" s="17"/>
      <c r="P5688" s="17"/>
      <c r="Q5688" s="17"/>
      <c r="R5688" s="17"/>
      <c r="S5688" s="17"/>
      <c r="T5688" s="17"/>
      <c r="U5688" s="17"/>
      <c r="V5688" s="18">
        <v>0</v>
      </c>
      <c r="W5688" s="17">
        <f t="shared" si="156"/>
        <v>0</v>
      </c>
    </row>
    <row r="5689" spans="1:23" x14ac:dyDescent="0.25">
      <c r="A5689" s="17"/>
      <c r="B5689" s="17"/>
      <c r="C5689" s="17"/>
      <c r="D5689" s="17"/>
      <c r="E5689" s="17"/>
      <c r="F5689" s="17"/>
      <c r="G5689" s="17"/>
      <c r="H5689" s="17"/>
      <c r="I5689" s="17"/>
      <c r="J5689" s="17"/>
      <c r="K5689" s="17"/>
      <c r="L5689" s="17"/>
      <c r="M5689" s="17"/>
      <c r="N5689" s="17"/>
      <c r="O5689" s="17"/>
      <c r="P5689" s="17"/>
      <c r="Q5689" s="17"/>
      <c r="R5689" s="17"/>
      <c r="S5689" s="17"/>
      <c r="T5689" s="17"/>
      <c r="U5689" s="17"/>
      <c r="V5689" s="18">
        <v>0</v>
      </c>
      <c r="W5689" s="17">
        <f t="shared" si="156"/>
        <v>0</v>
      </c>
    </row>
    <row r="5690" spans="1:23" x14ac:dyDescent="0.25">
      <c r="A5690" s="17"/>
      <c r="B5690" s="17"/>
      <c r="C5690" s="17"/>
      <c r="D5690" s="17"/>
      <c r="E5690" s="17"/>
      <c r="F5690" s="17"/>
      <c r="G5690" s="17"/>
      <c r="H5690" s="17"/>
      <c r="I5690" s="17"/>
      <c r="J5690" s="17"/>
      <c r="K5690" s="17"/>
      <c r="L5690" s="17"/>
      <c r="M5690" s="17"/>
      <c r="N5690" s="17"/>
      <c r="O5690" s="17"/>
      <c r="P5690" s="17"/>
      <c r="Q5690" s="17"/>
      <c r="R5690" s="17"/>
      <c r="S5690" s="17"/>
      <c r="T5690" s="17"/>
      <c r="U5690" s="17"/>
      <c r="V5690" s="18">
        <v>0</v>
      </c>
      <c r="W5690" s="17">
        <f t="shared" si="156"/>
        <v>0</v>
      </c>
    </row>
    <row r="5691" spans="1:23" x14ac:dyDescent="0.25">
      <c r="A5691" s="17"/>
      <c r="B5691" s="17"/>
      <c r="C5691" s="17"/>
      <c r="D5691" s="17"/>
      <c r="E5691" s="17"/>
      <c r="F5691" s="17"/>
      <c r="G5691" s="17"/>
      <c r="H5691" s="17"/>
      <c r="I5691" s="17"/>
      <c r="J5691" s="17"/>
      <c r="K5691" s="17"/>
      <c r="L5691" s="17"/>
      <c r="M5691" s="17"/>
      <c r="N5691" s="17"/>
      <c r="O5691" s="17"/>
      <c r="P5691" s="17"/>
      <c r="Q5691" s="17"/>
      <c r="R5691" s="17"/>
      <c r="S5691" s="17"/>
      <c r="T5691" s="17"/>
      <c r="U5691" s="17"/>
      <c r="V5691" s="18">
        <v>0</v>
      </c>
      <c r="W5691" s="17">
        <f t="shared" si="156"/>
        <v>0</v>
      </c>
    </row>
    <row r="5692" spans="1:23" x14ac:dyDescent="0.25">
      <c r="A5692" s="17"/>
      <c r="B5692" s="17"/>
      <c r="C5692" s="17"/>
      <c r="D5692" s="17"/>
      <c r="E5692" s="17"/>
      <c r="F5692" s="17"/>
      <c r="G5692" s="17"/>
      <c r="H5692" s="17"/>
      <c r="I5692" s="17"/>
      <c r="J5692" s="17"/>
      <c r="K5692" s="17"/>
      <c r="L5692" s="17"/>
      <c r="M5692" s="17"/>
      <c r="N5692" s="17"/>
      <c r="O5692" s="17"/>
      <c r="P5692" s="17"/>
      <c r="Q5692" s="17"/>
      <c r="R5692" s="17"/>
      <c r="S5692" s="17"/>
      <c r="T5692" s="17"/>
      <c r="U5692" s="17"/>
      <c r="V5692" s="18">
        <v>0</v>
      </c>
      <c r="W5692" s="17">
        <f t="shared" si="156"/>
        <v>0</v>
      </c>
    </row>
    <row r="5693" spans="1:23" x14ac:dyDescent="0.25">
      <c r="A5693" s="17"/>
      <c r="B5693" s="17"/>
      <c r="C5693" s="17"/>
      <c r="D5693" s="17"/>
      <c r="E5693" s="17"/>
      <c r="F5693" s="17"/>
      <c r="G5693" s="17"/>
      <c r="H5693" s="17"/>
      <c r="I5693" s="17"/>
      <c r="J5693" s="17"/>
      <c r="K5693" s="17"/>
      <c r="L5693" s="17"/>
      <c r="M5693" s="17"/>
      <c r="N5693" s="17"/>
      <c r="O5693" s="17"/>
      <c r="P5693" s="17"/>
      <c r="Q5693" s="17"/>
      <c r="R5693" s="17"/>
      <c r="S5693" s="17"/>
      <c r="T5693" s="17"/>
      <c r="U5693" s="17"/>
      <c r="V5693" s="18">
        <v>0</v>
      </c>
      <c r="W5693" s="17">
        <f t="shared" si="156"/>
        <v>0</v>
      </c>
    </row>
    <row r="5694" spans="1:23" x14ac:dyDescent="0.25">
      <c r="A5694" s="17"/>
      <c r="B5694" s="17"/>
      <c r="C5694" s="17"/>
      <c r="D5694" s="17"/>
      <c r="E5694" s="17"/>
      <c r="F5694" s="17"/>
      <c r="G5694" s="17"/>
      <c r="H5694" s="17"/>
      <c r="I5694" s="17"/>
      <c r="J5694" s="17"/>
      <c r="K5694" s="17"/>
      <c r="L5694" s="17"/>
      <c r="M5694" s="17"/>
      <c r="N5694" s="17"/>
      <c r="O5694" s="17"/>
      <c r="P5694" s="17"/>
      <c r="Q5694" s="17"/>
      <c r="R5694" s="17"/>
      <c r="S5694" s="17"/>
      <c r="T5694" s="17"/>
      <c r="U5694" s="17"/>
      <c r="V5694" s="18">
        <v>0</v>
      </c>
      <c r="W5694" s="17">
        <f t="shared" si="156"/>
        <v>0</v>
      </c>
    </row>
    <row r="5695" spans="1:23" x14ac:dyDescent="0.25">
      <c r="A5695" s="17"/>
      <c r="B5695" s="17"/>
      <c r="C5695" s="17"/>
      <c r="D5695" s="17"/>
      <c r="E5695" s="17"/>
      <c r="F5695" s="17"/>
      <c r="G5695" s="17"/>
      <c r="H5695" s="17"/>
      <c r="I5695" s="17"/>
      <c r="J5695" s="17"/>
      <c r="K5695" s="17"/>
      <c r="L5695" s="17"/>
      <c r="M5695" s="17"/>
      <c r="N5695" s="17"/>
      <c r="O5695" s="17"/>
      <c r="P5695" s="17"/>
      <c r="Q5695" s="17"/>
      <c r="R5695" s="17"/>
      <c r="S5695" s="17"/>
      <c r="T5695" s="17"/>
      <c r="U5695" s="17"/>
      <c r="V5695" s="18">
        <v>0</v>
      </c>
      <c r="W5695" s="17">
        <f t="shared" si="156"/>
        <v>0</v>
      </c>
    </row>
    <row r="5696" spans="1:23" x14ac:dyDescent="0.25">
      <c r="A5696" s="17"/>
      <c r="B5696" s="17"/>
      <c r="C5696" s="17"/>
      <c r="D5696" s="17"/>
      <c r="E5696" s="17"/>
      <c r="F5696" s="17"/>
      <c r="G5696" s="17"/>
      <c r="H5696" s="17"/>
      <c r="I5696" s="17"/>
      <c r="J5696" s="17"/>
      <c r="K5696" s="17"/>
      <c r="L5696" s="17"/>
      <c r="M5696" s="17"/>
      <c r="N5696" s="17"/>
      <c r="O5696" s="17"/>
      <c r="P5696" s="17"/>
      <c r="Q5696" s="17"/>
      <c r="R5696" s="17"/>
      <c r="S5696" s="17"/>
      <c r="T5696" s="17"/>
      <c r="U5696" s="17"/>
      <c r="V5696" s="18">
        <v>0</v>
      </c>
      <c r="W5696" s="17">
        <f t="shared" si="156"/>
        <v>0</v>
      </c>
    </row>
    <row r="5697" spans="1:23" x14ac:dyDescent="0.25">
      <c r="A5697" s="17"/>
      <c r="B5697" s="17"/>
      <c r="C5697" s="17"/>
      <c r="D5697" s="17"/>
      <c r="E5697" s="17"/>
      <c r="F5697" s="17"/>
      <c r="G5697" s="17"/>
      <c r="H5697" s="17"/>
      <c r="I5697" s="17"/>
      <c r="J5697" s="17"/>
      <c r="K5697" s="17"/>
      <c r="L5697" s="17"/>
      <c r="M5697" s="17"/>
      <c r="N5697" s="17"/>
      <c r="O5697" s="17"/>
      <c r="P5697" s="17"/>
      <c r="Q5697" s="17"/>
      <c r="R5697" s="17"/>
      <c r="S5697" s="17"/>
      <c r="T5697" s="17"/>
      <c r="U5697" s="17"/>
      <c r="V5697" s="18">
        <v>0</v>
      </c>
      <c r="W5697" s="17">
        <f t="shared" si="156"/>
        <v>0</v>
      </c>
    </row>
    <row r="5698" spans="1:23" x14ac:dyDescent="0.25">
      <c r="A5698" s="17"/>
      <c r="B5698" s="17"/>
      <c r="C5698" s="17"/>
      <c r="D5698" s="17"/>
      <c r="E5698" s="17"/>
      <c r="F5698" s="17"/>
      <c r="G5698" s="17"/>
      <c r="H5698" s="17"/>
      <c r="I5698" s="17"/>
      <c r="J5698" s="17"/>
      <c r="K5698" s="17"/>
      <c r="L5698" s="17"/>
      <c r="M5698" s="17"/>
      <c r="N5698" s="17"/>
      <c r="O5698" s="17"/>
      <c r="P5698" s="17"/>
      <c r="Q5698" s="17"/>
      <c r="R5698" s="17"/>
      <c r="S5698" s="17"/>
      <c r="T5698" s="17"/>
      <c r="U5698" s="17"/>
      <c r="V5698" s="18">
        <v>0</v>
      </c>
      <c r="W5698" s="17">
        <f t="shared" si="156"/>
        <v>0</v>
      </c>
    </row>
    <row r="5699" spans="1:23" x14ac:dyDescent="0.25">
      <c r="A5699" s="17"/>
      <c r="B5699" s="17"/>
      <c r="C5699" s="17"/>
      <c r="D5699" s="17"/>
      <c r="E5699" s="17"/>
      <c r="F5699" s="17"/>
      <c r="G5699" s="17"/>
      <c r="H5699" s="17"/>
      <c r="I5699" s="17"/>
      <c r="J5699" s="17"/>
      <c r="K5699" s="17"/>
      <c r="L5699" s="17"/>
      <c r="M5699" s="17"/>
      <c r="N5699" s="17"/>
      <c r="O5699" s="17"/>
      <c r="P5699" s="17"/>
      <c r="Q5699" s="17"/>
      <c r="R5699" s="17"/>
      <c r="S5699" s="17"/>
      <c r="T5699" s="17"/>
      <c r="U5699" s="17"/>
      <c r="V5699" s="18">
        <v>0</v>
      </c>
      <c r="W5699" s="17">
        <f t="shared" ref="W5699:W5762" si="157">HOUR(E5699)</f>
        <v>0</v>
      </c>
    </row>
    <row r="5700" spans="1:23" x14ac:dyDescent="0.25">
      <c r="A5700" s="17"/>
      <c r="B5700" s="17"/>
      <c r="C5700" s="17"/>
      <c r="D5700" s="17"/>
      <c r="E5700" s="17"/>
      <c r="F5700" s="17"/>
      <c r="G5700" s="17"/>
      <c r="H5700" s="17"/>
      <c r="I5700" s="17"/>
      <c r="J5700" s="17"/>
      <c r="K5700" s="17"/>
      <c r="L5700" s="17"/>
      <c r="M5700" s="17"/>
      <c r="N5700" s="17"/>
      <c r="O5700" s="17"/>
      <c r="P5700" s="17"/>
      <c r="Q5700" s="17"/>
      <c r="R5700" s="17"/>
      <c r="S5700" s="17"/>
      <c r="T5700" s="17"/>
      <c r="U5700" s="17"/>
      <c r="V5700" s="18">
        <v>0</v>
      </c>
      <c r="W5700" s="17">
        <f t="shared" si="157"/>
        <v>0</v>
      </c>
    </row>
    <row r="5701" spans="1:23" x14ac:dyDescent="0.25">
      <c r="A5701" s="17"/>
      <c r="B5701" s="17"/>
      <c r="C5701" s="17"/>
      <c r="D5701" s="17"/>
      <c r="E5701" s="17"/>
      <c r="F5701" s="17"/>
      <c r="G5701" s="17"/>
      <c r="H5701" s="17"/>
      <c r="I5701" s="17"/>
      <c r="J5701" s="17"/>
      <c r="K5701" s="17"/>
      <c r="L5701" s="17"/>
      <c r="M5701" s="17"/>
      <c r="N5701" s="17"/>
      <c r="O5701" s="17"/>
      <c r="P5701" s="17"/>
      <c r="Q5701" s="17"/>
      <c r="R5701" s="17"/>
      <c r="S5701" s="17"/>
      <c r="T5701" s="17"/>
      <c r="U5701" s="17"/>
      <c r="V5701" s="18">
        <v>0</v>
      </c>
      <c r="W5701" s="17">
        <f t="shared" si="157"/>
        <v>0</v>
      </c>
    </row>
    <row r="5702" spans="1:23" x14ac:dyDescent="0.25">
      <c r="A5702" s="17"/>
      <c r="B5702" s="17"/>
      <c r="C5702" s="17"/>
      <c r="D5702" s="17"/>
      <c r="E5702" s="17"/>
      <c r="F5702" s="17"/>
      <c r="G5702" s="17"/>
      <c r="H5702" s="17"/>
      <c r="I5702" s="17"/>
      <c r="J5702" s="17"/>
      <c r="K5702" s="17"/>
      <c r="L5702" s="17"/>
      <c r="M5702" s="17"/>
      <c r="N5702" s="17"/>
      <c r="O5702" s="17"/>
      <c r="P5702" s="17"/>
      <c r="Q5702" s="17"/>
      <c r="R5702" s="17"/>
      <c r="S5702" s="17"/>
      <c r="T5702" s="17"/>
      <c r="U5702" s="17"/>
      <c r="V5702" s="18">
        <v>0</v>
      </c>
      <c r="W5702" s="17">
        <f t="shared" si="157"/>
        <v>0</v>
      </c>
    </row>
    <row r="5703" spans="1:23" x14ac:dyDescent="0.25">
      <c r="A5703" s="17"/>
      <c r="B5703" s="17"/>
      <c r="C5703" s="17"/>
      <c r="D5703" s="17"/>
      <c r="E5703" s="17"/>
      <c r="F5703" s="17"/>
      <c r="G5703" s="17"/>
      <c r="H5703" s="17"/>
      <c r="I5703" s="17"/>
      <c r="J5703" s="17"/>
      <c r="K5703" s="17"/>
      <c r="L5703" s="17"/>
      <c r="M5703" s="17"/>
      <c r="N5703" s="17"/>
      <c r="O5703" s="17"/>
      <c r="P5703" s="17"/>
      <c r="Q5703" s="17"/>
      <c r="R5703" s="17"/>
      <c r="S5703" s="17"/>
      <c r="T5703" s="17"/>
      <c r="U5703" s="17"/>
      <c r="V5703" s="18">
        <v>0</v>
      </c>
      <c r="W5703" s="17">
        <f t="shared" si="157"/>
        <v>0</v>
      </c>
    </row>
    <row r="5704" spans="1:23" x14ac:dyDescent="0.25">
      <c r="A5704" s="17"/>
      <c r="B5704" s="17"/>
      <c r="C5704" s="17"/>
      <c r="D5704" s="17"/>
      <c r="E5704" s="17"/>
      <c r="F5704" s="17"/>
      <c r="G5704" s="17"/>
      <c r="H5704" s="17"/>
      <c r="I5704" s="17"/>
      <c r="J5704" s="17"/>
      <c r="K5704" s="17"/>
      <c r="L5704" s="17"/>
      <c r="M5704" s="17"/>
      <c r="N5704" s="17"/>
      <c r="O5704" s="17"/>
      <c r="P5704" s="17"/>
      <c r="Q5704" s="17"/>
      <c r="R5704" s="17"/>
      <c r="S5704" s="17"/>
      <c r="T5704" s="17"/>
      <c r="U5704" s="17"/>
      <c r="V5704" s="18">
        <v>0</v>
      </c>
      <c r="W5704" s="17">
        <f t="shared" si="157"/>
        <v>0</v>
      </c>
    </row>
    <row r="5705" spans="1:23" x14ac:dyDescent="0.25">
      <c r="A5705" s="17"/>
      <c r="B5705" s="17"/>
      <c r="C5705" s="17"/>
      <c r="D5705" s="17"/>
      <c r="E5705" s="17"/>
      <c r="F5705" s="17"/>
      <c r="G5705" s="17"/>
      <c r="H5705" s="17"/>
      <c r="I5705" s="17"/>
      <c r="J5705" s="17"/>
      <c r="K5705" s="17"/>
      <c r="L5705" s="17"/>
      <c r="M5705" s="17"/>
      <c r="N5705" s="17"/>
      <c r="O5705" s="17"/>
      <c r="P5705" s="17"/>
      <c r="Q5705" s="17"/>
      <c r="R5705" s="17"/>
      <c r="S5705" s="17"/>
      <c r="T5705" s="17"/>
      <c r="U5705" s="17"/>
      <c r="V5705" s="18">
        <v>0</v>
      </c>
      <c r="W5705" s="17">
        <f t="shared" si="157"/>
        <v>0</v>
      </c>
    </row>
    <row r="5706" spans="1:23" x14ac:dyDescent="0.25">
      <c r="A5706" s="17"/>
      <c r="B5706" s="17"/>
      <c r="C5706" s="17"/>
      <c r="D5706" s="17"/>
      <c r="E5706" s="17"/>
      <c r="F5706" s="17"/>
      <c r="G5706" s="17"/>
      <c r="H5706" s="17"/>
      <c r="I5706" s="17"/>
      <c r="J5706" s="17"/>
      <c r="K5706" s="17"/>
      <c r="L5706" s="17"/>
      <c r="M5706" s="17"/>
      <c r="N5706" s="17"/>
      <c r="O5706" s="17"/>
      <c r="P5706" s="17"/>
      <c r="Q5706" s="17"/>
      <c r="R5706" s="17"/>
      <c r="S5706" s="17"/>
      <c r="T5706" s="17"/>
      <c r="U5706" s="17"/>
      <c r="V5706" s="18">
        <v>0</v>
      </c>
      <c r="W5706" s="17">
        <f t="shared" si="157"/>
        <v>0</v>
      </c>
    </row>
    <row r="5707" spans="1:23" x14ac:dyDescent="0.25">
      <c r="A5707" s="17"/>
      <c r="B5707" s="17"/>
      <c r="C5707" s="17"/>
      <c r="D5707" s="17"/>
      <c r="E5707" s="17"/>
      <c r="F5707" s="17"/>
      <c r="G5707" s="17"/>
      <c r="H5707" s="17"/>
      <c r="I5707" s="17"/>
      <c r="J5707" s="17"/>
      <c r="K5707" s="17"/>
      <c r="L5707" s="17"/>
      <c r="M5707" s="17"/>
      <c r="N5707" s="17"/>
      <c r="O5707" s="17"/>
      <c r="P5707" s="17"/>
      <c r="Q5707" s="17"/>
      <c r="R5707" s="17"/>
      <c r="S5707" s="17"/>
      <c r="T5707" s="17"/>
      <c r="U5707" s="17"/>
      <c r="V5707" s="18">
        <v>0</v>
      </c>
      <c r="W5707" s="17">
        <f t="shared" si="157"/>
        <v>0</v>
      </c>
    </row>
    <row r="5708" spans="1:23" x14ac:dyDescent="0.25">
      <c r="A5708" s="17"/>
      <c r="B5708" s="17"/>
      <c r="C5708" s="17"/>
      <c r="D5708" s="17"/>
      <c r="E5708" s="17"/>
      <c r="F5708" s="17"/>
      <c r="G5708" s="17"/>
      <c r="H5708" s="17"/>
      <c r="I5708" s="17"/>
      <c r="J5708" s="17"/>
      <c r="K5708" s="17"/>
      <c r="L5708" s="17"/>
      <c r="M5708" s="17"/>
      <c r="N5708" s="17"/>
      <c r="O5708" s="17"/>
      <c r="P5708" s="17"/>
      <c r="Q5708" s="17"/>
      <c r="R5708" s="17"/>
      <c r="S5708" s="17"/>
      <c r="T5708" s="17"/>
      <c r="U5708" s="17"/>
      <c r="V5708" s="18">
        <v>0</v>
      </c>
      <c r="W5708" s="17">
        <f t="shared" si="157"/>
        <v>0</v>
      </c>
    </row>
    <row r="5709" spans="1:23" x14ac:dyDescent="0.25">
      <c r="A5709" s="17"/>
      <c r="B5709" s="17"/>
      <c r="C5709" s="17"/>
      <c r="D5709" s="17"/>
      <c r="E5709" s="17"/>
      <c r="F5709" s="17"/>
      <c r="G5709" s="17"/>
      <c r="H5709" s="17"/>
      <c r="I5709" s="17"/>
      <c r="J5709" s="17"/>
      <c r="K5709" s="17"/>
      <c r="L5709" s="17"/>
      <c r="M5709" s="17"/>
      <c r="N5709" s="17"/>
      <c r="O5709" s="17"/>
      <c r="P5709" s="17"/>
      <c r="Q5709" s="17"/>
      <c r="R5709" s="17"/>
      <c r="S5709" s="17"/>
      <c r="T5709" s="17"/>
      <c r="U5709" s="17"/>
      <c r="V5709" s="18">
        <v>0</v>
      </c>
      <c r="W5709" s="17">
        <f t="shared" si="157"/>
        <v>0</v>
      </c>
    </row>
    <row r="5710" spans="1:23" x14ac:dyDescent="0.25">
      <c r="A5710" s="17"/>
      <c r="B5710" s="17"/>
      <c r="C5710" s="17"/>
      <c r="D5710" s="17"/>
      <c r="E5710" s="17"/>
      <c r="F5710" s="17"/>
      <c r="G5710" s="17"/>
      <c r="H5710" s="17"/>
      <c r="I5710" s="17"/>
      <c r="J5710" s="17"/>
      <c r="K5710" s="17"/>
      <c r="L5710" s="17"/>
      <c r="M5710" s="17"/>
      <c r="N5710" s="17"/>
      <c r="O5710" s="17"/>
      <c r="P5710" s="17"/>
      <c r="Q5710" s="17"/>
      <c r="R5710" s="17"/>
      <c r="S5710" s="17"/>
      <c r="T5710" s="17"/>
      <c r="U5710" s="17"/>
      <c r="V5710" s="18">
        <v>0</v>
      </c>
      <c r="W5710" s="17">
        <f t="shared" si="157"/>
        <v>0</v>
      </c>
    </row>
    <row r="5711" spans="1:23" x14ac:dyDescent="0.25">
      <c r="A5711" s="17"/>
      <c r="B5711" s="17"/>
      <c r="C5711" s="17"/>
      <c r="D5711" s="17"/>
      <c r="E5711" s="17"/>
      <c r="F5711" s="17"/>
      <c r="G5711" s="17"/>
      <c r="H5711" s="17"/>
      <c r="I5711" s="17"/>
      <c r="J5711" s="17"/>
      <c r="K5711" s="17"/>
      <c r="L5711" s="17"/>
      <c r="M5711" s="17"/>
      <c r="N5711" s="17"/>
      <c r="O5711" s="17"/>
      <c r="P5711" s="17"/>
      <c r="Q5711" s="17"/>
      <c r="R5711" s="17"/>
      <c r="S5711" s="17"/>
      <c r="T5711" s="17"/>
      <c r="U5711" s="17"/>
      <c r="V5711" s="18">
        <v>0</v>
      </c>
      <c r="W5711" s="17">
        <f t="shared" si="157"/>
        <v>0</v>
      </c>
    </row>
    <row r="5712" spans="1:23" x14ac:dyDescent="0.25">
      <c r="A5712" s="17"/>
      <c r="B5712" s="17"/>
      <c r="C5712" s="17"/>
      <c r="D5712" s="17"/>
      <c r="E5712" s="17"/>
      <c r="F5712" s="17"/>
      <c r="G5712" s="17"/>
      <c r="H5712" s="17"/>
      <c r="I5712" s="17"/>
      <c r="J5712" s="17"/>
      <c r="K5712" s="17"/>
      <c r="L5712" s="17"/>
      <c r="M5712" s="17"/>
      <c r="N5712" s="17"/>
      <c r="O5712" s="17"/>
      <c r="P5712" s="17"/>
      <c r="Q5712" s="17"/>
      <c r="R5712" s="17"/>
      <c r="S5712" s="17"/>
      <c r="T5712" s="17"/>
      <c r="U5712" s="17"/>
      <c r="V5712" s="18">
        <v>0</v>
      </c>
      <c r="W5712" s="17">
        <f t="shared" si="157"/>
        <v>0</v>
      </c>
    </row>
    <row r="5713" spans="1:23" x14ac:dyDescent="0.25">
      <c r="A5713" s="17"/>
      <c r="B5713" s="17"/>
      <c r="C5713" s="17"/>
      <c r="D5713" s="17"/>
      <c r="E5713" s="17"/>
      <c r="F5713" s="17"/>
      <c r="G5713" s="17"/>
      <c r="H5713" s="17"/>
      <c r="I5713" s="17"/>
      <c r="J5713" s="17"/>
      <c r="K5713" s="17"/>
      <c r="L5713" s="17"/>
      <c r="M5713" s="17"/>
      <c r="N5713" s="17"/>
      <c r="O5713" s="17"/>
      <c r="P5713" s="17"/>
      <c r="Q5713" s="17"/>
      <c r="R5713" s="17"/>
      <c r="S5713" s="17"/>
      <c r="T5713" s="17"/>
      <c r="U5713" s="17"/>
      <c r="V5713" s="18">
        <v>0</v>
      </c>
      <c r="W5713" s="17">
        <f t="shared" si="157"/>
        <v>0</v>
      </c>
    </row>
    <row r="5714" spans="1:23" x14ac:dyDescent="0.25">
      <c r="A5714" s="17"/>
      <c r="B5714" s="17"/>
      <c r="C5714" s="17"/>
      <c r="D5714" s="17"/>
      <c r="E5714" s="17"/>
      <c r="F5714" s="17"/>
      <c r="G5714" s="17"/>
      <c r="H5714" s="17"/>
      <c r="I5714" s="17"/>
      <c r="J5714" s="17"/>
      <c r="K5714" s="17"/>
      <c r="L5714" s="17"/>
      <c r="M5714" s="17"/>
      <c r="N5714" s="17"/>
      <c r="O5714" s="17"/>
      <c r="P5714" s="17"/>
      <c r="Q5714" s="17"/>
      <c r="R5714" s="17"/>
      <c r="S5714" s="17"/>
      <c r="T5714" s="17"/>
      <c r="U5714" s="17"/>
      <c r="V5714" s="18">
        <v>0</v>
      </c>
      <c r="W5714" s="17">
        <f t="shared" si="157"/>
        <v>0</v>
      </c>
    </row>
    <row r="5715" spans="1:23" x14ac:dyDescent="0.25">
      <c r="A5715" s="17"/>
      <c r="B5715" s="17"/>
      <c r="C5715" s="17"/>
      <c r="D5715" s="17"/>
      <c r="E5715" s="17"/>
      <c r="F5715" s="17"/>
      <c r="G5715" s="17"/>
      <c r="H5715" s="17"/>
      <c r="I5715" s="17"/>
      <c r="J5715" s="17"/>
      <c r="K5715" s="17"/>
      <c r="L5715" s="17"/>
      <c r="M5715" s="17"/>
      <c r="N5715" s="17"/>
      <c r="O5715" s="17"/>
      <c r="P5715" s="17"/>
      <c r="Q5715" s="17"/>
      <c r="R5715" s="17"/>
      <c r="S5715" s="17"/>
      <c r="T5715" s="17"/>
      <c r="U5715" s="17"/>
      <c r="V5715" s="18">
        <v>0</v>
      </c>
      <c r="W5715" s="17">
        <f t="shared" si="157"/>
        <v>0</v>
      </c>
    </row>
    <row r="5716" spans="1:23" x14ac:dyDescent="0.25">
      <c r="A5716" s="17"/>
      <c r="B5716" s="17"/>
      <c r="C5716" s="17"/>
      <c r="D5716" s="17"/>
      <c r="E5716" s="17"/>
      <c r="F5716" s="17"/>
      <c r="G5716" s="17"/>
      <c r="H5716" s="17"/>
      <c r="I5716" s="17"/>
      <c r="J5716" s="17"/>
      <c r="K5716" s="17"/>
      <c r="L5716" s="17"/>
      <c r="M5716" s="17"/>
      <c r="N5716" s="17"/>
      <c r="O5716" s="17"/>
      <c r="P5716" s="17"/>
      <c r="Q5716" s="17"/>
      <c r="R5716" s="17"/>
      <c r="S5716" s="17"/>
      <c r="T5716" s="17"/>
      <c r="U5716" s="17"/>
      <c r="V5716" s="18">
        <v>0</v>
      </c>
      <c r="W5716" s="17">
        <f t="shared" si="157"/>
        <v>0</v>
      </c>
    </row>
    <row r="5717" spans="1:23" x14ac:dyDescent="0.25">
      <c r="A5717" s="17"/>
      <c r="B5717" s="17"/>
      <c r="C5717" s="17"/>
      <c r="D5717" s="17"/>
      <c r="E5717" s="17"/>
      <c r="F5717" s="17"/>
      <c r="G5717" s="17"/>
      <c r="H5717" s="17"/>
      <c r="I5717" s="17"/>
      <c r="J5717" s="17"/>
      <c r="K5717" s="17"/>
      <c r="L5717" s="17"/>
      <c r="M5717" s="17"/>
      <c r="N5717" s="17"/>
      <c r="O5717" s="17"/>
      <c r="P5717" s="17"/>
      <c r="Q5717" s="17"/>
      <c r="R5717" s="17"/>
      <c r="S5717" s="17"/>
      <c r="T5717" s="17"/>
      <c r="U5717" s="17"/>
      <c r="V5717" s="18">
        <v>0</v>
      </c>
      <c r="W5717" s="17">
        <f t="shared" si="157"/>
        <v>0</v>
      </c>
    </row>
    <row r="5718" spans="1:23" x14ac:dyDescent="0.25">
      <c r="A5718" s="17"/>
      <c r="B5718" s="17"/>
      <c r="C5718" s="17"/>
      <c r="D5718" s="17"/>
      <c r="E5718" s="17"/>
      <c r="F5718" s="17"/>
      <c r="G5718" s="17"/>
      <c r="H5718" s="17"/>
      <c r="I5718" s="17"/>
      <c r="J5718" s="17"/>
      <c r="K5718" s="17"/>
      <c r="L5718" s="17"/>
      <c r="M5718" s="17"/>
      <c r="N5718" s="17"/>
      <c r="O5718" s="17"/>
      <c r="P5718" s="17"/>
      <c r="Q5718" s="17"/>
      <c r="R5718" s="17"/>
      <c r="S5718" s="17"/>
      <c r="T5718" s="17"/>
      <c r="U5718" s="17"/>
      <c r="V5718" s="18">
        <v>0</v>
      </c>
      <c r="W5718" s="17">
        <f t="shared" si="157"/>
        <v>0</v>
      </c>
    </row>
    <row r="5719" spans="1:23" x14ac:dyDescent="0.25">
      <c r="A5719" s="17"/>
      <c r="B5719" s="17"/>
      <c r="C5719" s="17"/>
      <c r="D5719" s="17"/>
      <c r="E5719" s="17"/>
      <c r="F5719" s="17"/>
      <c r="G5719" s="17"/>
      <c r="H5719" s="17"/>
      <c r="I5719" s="17"/>
      <c r="J5719" s="17"/>
      <c r="K5719" s="17"/>
      <c r="L5719" s="17"/>
      <c r="M5719" s="17"/>
      <c r="N5719" s="17"/>
      <c r="O5719" s="17"/>
      <c r="P5719" s="17"/>
      <c r="Q5719" s="17"/>
      <c r="R5719" s="17"/>
      <c r="S5719" s="17"/>
      <c r="T5719" s="17"/>
      <c r="U5719" s="17"/>
      <c r="V5719" s="18">
        <v>0</v>
      </c>
      <c r="W5719" s="17">
        <f t="shared" si="157"/>
        <v>0</v>
      </c>
    </row>
    <row r="5720" spans="1:23" x14ac:dyDescent="0.25">
      <c r="A5720" s="17"/>
      <c r="B5720" s="17"/>
      <c r="C5720" s="17"/>
      <c r="D5720" s="17"/>
      <c r="E5720" s="17"/>
      <c r="F5720" s="17"/>
      <c r="G5720" s="17"/>
      <c r="H5720" s="17"/>
      <c r="I5720" s="17"/>
      <c r="J5720" s="17"/>
      <c r="K5720" s="17"/>
      <c r="L5720" s="17"/>
      <c r="M5720" s="17"/>
      <c r="N5720" s="17"/>
      <c r="O5720" s="17"/>
      <c r="P5720" s="17"/>
      <c r="Q5720" s="17"/>
      <c r="R5720" s="17"/>
      <c r="S5720" s="17"/>
      <c r="T5720" s="17"/>
      <c r="U5720" s="17"/>
      <c r="V5720" s="18">
        <v>0</v>
      </c>
      <c r="W5720" s="17">
        <f t="shared" si="157"/>
        <v>0</v>
      </c>
    </row>
    <row r="5721" spans="1:23" x14ac:dyDescent="0.25">
      <c r="A5721" s="17"/>
      <c r="B5721" s="17"/>
      <c r="C5721" s="17"/>
      <c r="D5721" s="17"/>
      <c r="E5721" s="17"/>
      <c r="F5721" s="17"/>
      <c r="G5721" s="17"/>
      <c r="H5721" s="17"/>
      <c r="I5721" s="17"/>
      <c r="J5721" s="17"/>
      <c r="K5721" s="17"/>
      <c r="L5721" s="17"/>
      <c r="M5721" s="17"/>
      <c r="N5721" s="17"/>
      <c r="O5721" s="17"/>
      <c r="P5721" s="17"/>
      <c r="Q5721" s="17"/>
      <c r="R5721" s="17"/>
      <c r="S5721" s="17"/>
      <c r="T5721" s="17"/>
      <c r="U5721" s="17"/>
      <c r="V5721" s="18">
        <v>0</v>
      </c>
      <c r="W5721" s="17">
        <f t="shared" si="157"/>
        <v>0</v>
      </c>
    </row>
    <row r="5722" spans="1:23" x14ac:dyDescent="0.25">
      <c r="A5722" s="17"/>
      <c r="B5722" s="17"/>
      <c r="C5722" s="17"/>
      <c r="D5722" s="17"/>
      <c r="E5722" s="17"/>
      <c r="F5722" s="17"/>
      <c r="G5722" s="17"/>
      <c r="H5722" s="17"/>
      <c r="I5722" s="17"/>
      <c r="J5722" s="17"/>
      <c r="K5722" s="17"/>
      <c r="L5722" s="17"/>
      <c r="M5722" s="17"/>
      <c r="N5722" s="17"/>
      <c r="O5722" s="17"/>
      <c r="P5722" s="17"/>
      <c r="Q5722" s="17"/>
      <c r="R5722" s="17"/>
      <c r="S5722" s="17"/>
      <c r="T5722" s="17"/>
      <c r="U5722" s="17"/>
      <c r="V5722" s="18">
        <v>0</v>
      </c>
      <c r="W5722" s="17">
        <f t="shared" si="157"/>
        <v>0</v>
      </c>
    </row>
    <row r="5723" spans="1:23" x14ac:dyDescent="0.25">
      <c r="A5723" s="17"/>
      <c r="B5723" s="17"/>
      <c r="C5723" s="17"/>
      <c r="D5723" s="17"/>
      <c r="E5723" s="17"/>
      <c r="F5723" s="17"/>
      <c r="G5723" s="17"/>
      <c r="H5723" s="17"/>
      <c r="I5723" s="17"/>
      <c r="J5723" s="17"/>
      <c r="K5723" s="17"/>
      <c r="L5723" s="17"/>
      <c r="M5723" s="17"/>
      <c r="N5723" s="17"/>
      <c r="O5723" s="17"/>
      <c r="P5723" s="17"/>
      <c r="Q5723" s="17"/>
      <c r="R5723" s="17"/>
      <c r="S5723" s="17"/>
      <c r="T5723" s="17"/>
      <c r="U5723" s="17"/>
      <c r="V5723" s="18">
        <v>0</v>
      </c>
      <c r="W5723" s="17">
        <f t="shared" si="157"/>
        <v>0</v>
      </c>
    </row>
    <row r="5724" spans="1:23" x14ac:dyDescent="0.25">
      <c r="A5724" s="17"/>
      <c r="B5724" s="17"/>
      <c r="C5724" s="17"/>
      <c r="D5724" s="17"/>
      <c r="E5724" s="17"/>
      <c r="F5724" s="17"/>
      <c r="G5724" s="17"/>
      <c r="H5724" s="17"/>
      <c r="I5724" s="17"/>
      <c r="J5724" s="17"/>
      <c r="K5724" s="17"/>
      <c r="L5724" s="17"/>
      <c r="M5724" s="17"/>
      <c r="N5724" s="17"/>
      <c r="O5724" s="17"/>
      <c r="P5724" s="17"/>
      <c r="Q5724" s="17"/>
      <c r="R5724" s="17"/>
      <c r="S5724" s="17"/>
      <c r="T5724" s="17"/>
      <c r="U5724" s="17"/>
      <c r="V5724" s="18">
        <v>0</v>
      </c>
      <c r="W5724" s="17">
        <f t="shared" si="157"/>
        <v>0</v>
      </c>
    </row>
    <row r="5725" spans="1:23" x14ac:dyDescent="0.25">
      <c r="A5725" s="17"/>
      <c r="B5725" s="17"/>
      <c r="C5725" s="17"/>
      <c r="D5725" s="17"/>
      <c r="E5725" s="17"/>
      <c r="F5725" s="17"/>
      <c r="G5725" s="17"/>
      <c r="H5725" s="17"/>
      <c r="I5725" s="17"/>
      <c r="J5725" s="17"/>
      <c r="K5725" s="17"/>
      <c r="L5725" s="17"/>
      <c r="M5725" s="17"/>
      <c r="N5725" s="17"/>
      <c r="O5725" s="17"/>
      <c r="P5725" s="17"/>
      <c r="Q5725" s="17"/>
      <c r="R5725" s="17"/>
      <c r="S5725" s="17"/>
      <c r="T5725" s="17"/>
      <c r="U5725" s="17"/>
      <c r="V5725" s="18">
        <v>0</v>
      </c>
      <c r="W5725" s="17">
        <f t="shared" si="157"/>
        <v>0</v>
      </c>
    </row>
    <row r="5726" spans="1:23" x14ac:dyDescent="0.25">
      <c r="A5726" s="17"/>
      <c r="B5726" s="17"/>
      <c r="C5726" s="17"/>
      <c r="D5726" s="17"/>
      <c r="E5726" s="17"/>
      <c r="F5726" s="17"/>
      <c r="G5726" s="17"/>
      <c r="H5726" s="17"/>
      <c r="I5726" s="17"/>
      <c r="J5726" s="17"/>
      <c r="K5726" s="17"/>
      <c r="L5726" s="17"/>
      <c r="M5726" s="17"/>
      <c r="N5726" s="17"/>
      <c r="O5726" s="17"/>
      <c r="P5726" s="17"/>
      <c r="Q5726" s="17"/>
      <c r="R5726" s="17"/>
      <c r="S5726" s="17"/>
      <c r="T5726" s="17"/>
      <c r="U5726" s="17"/>
      <c r="V5726" s="18">
        <v>0</v>
      </c>
      <c r="W5726" s="17">
        <f t="shared" si="157"/>
        <v>0</v>
      </c>
    </row>
    <row r="5727" spans="1:23" x14ac:dyDescent="0.25">
      <c r="A5727" s="17"/>
      <c r="B5727" s="17"/>
      <c r="C5727" s="17"/>
      <c r="D5727" s="17"/>
      <c r="E5727" s="17"/>
      <c r="F5727" s="17"/>
      <c r="G5727" s="17"/>
      <c r="H5727" s="17"/>
      <c r="I5727" s="17"/>
      <c r="J5727" s="17"/>
      <c r="K5727" s="17"/>
      <c r="L5727" s="17"/>
      <c r="M5727" s="17"/>
      <c r="N5727" s="17"/>
      <c r="O5727" s="17"/>
      <c r="P5727" s="17"/>
      <c r="Q5727" s="17"/>
      <c r="R5727" s="17"/>
      <c r="S5727" s="17"/>
      <c r="T5727" s="17"/>
      <c r="U5727" s="17"/>
      <c r="V5727" s="18">
        <v>0</v>
      </c>
      <c r="W5727" s="17">
        <f t="shared" si="157"/>
        <v>0</v>
      </c>
    </row>
    <row r="5728" spans="1:23" x14ac:dyDescent="0.25">
      <c r="A5728" s="17"/>
      <c r="B5728" s="17"/>
      <c r="C5728" s="17"/>
      <c r="D5728" s="17"/>
      <c r="E5728" s="17"/>
      <c r="F5728" s="17"/>
      <c r="G5728" s="17"/>
      <c r="H5728" s="17"/>
      <c r="I5728" s="17"/>
      <c r="J5728" s="17"/>
      <c r="K5728" s="17"/>
      <c r="L5728" s="17"/>
      <c r="M5728" s="17"/>
      <c r="N5728" s="17"/>
      <c r="O5728" s="17"/>
      <c r="P5728" s="17"/>
      <c r="Q5728" s="17"/>
      <c r="R5728" s="17"/>
      <c r="S5728" s="17"/>
      <c r="T5728" s="17"/>
      <c r="U5728" s="17"/>
      <c r="V5728" s="18">
        <v>0</v>
      </c>
      <c r="W5728" s="17">
        <f t="shared" si="157"/>
        <v>0</v>
      </c>
    </row>
    <row r="5729" spans="1:23" x14ac:dyDescent="0.25">
      <c r="A5729" s="17"/>
      <c r="B5729" s="17"/>
      <c r="C5729" s="17"/>
      <c r="D5729" s="17"/>
      <c r="E5729" s="17"/>
      <c r="F5729" s="17"/>
      <c r="G5729" s="17"/>
      <c r="H5729" s="17"/>
      <c r="I5729" s="17"/>
      <c r="J5729" s="17"/>
      <c r="K5729" s="17"/>
      <c r="L5729" s="17"/>
      <c r="M5729" s="17"/>
      <c r="N5729" s="17"/>
      <c r="O5729" s="17"/>
      <c r="P5729" s="17"/>
      <c r="Q5729" s="17"/>
      <c r="R5729" s="17"/>
      <c r="S5729" s="17"/>
      <c r="T5729" s="17"/>
      <c r="U5729" s="17"/>
      <c r="V5729" s="18">
        <v>0</v>
      </c>
      <c r="W5729" s="17">
        <f t="shared" si="157"/>
        <v>0</v>
      </c>
    </row>
    <row r="5730" spans="1:23" x14ac:dyDescent="0.25">
      <c r="A5730" s="17"/>
      <c r="B5730" s="17"/>
      <c r="C5730" s="17"/>
      <c r="D5730" s="17"/>
      <c r="E5730" s="17"/>
      <c r="F5730" s="17"/>
      <c r="G5730" s="17"/>
      <c r="H5730" s="17"/>
      <c r="I5730" s="17"/>
      <c r="J5730" s="17"/>
      <c r="K5730" s="17"/>
      <c r="L5730" s="17"/>
      <c r="M5730" s="17"/>
      <c r="N5730" s="17"/>
      <c r="O5730" s="17"/>
      <c r="P5730" s="17"/>
      <c r="Q5730" s="17"/>
      <c r="R5730" s="17"/>
      <c r="S5730" s="17"/>
      <c r="T5730" s="17"/>
      <c r="U5730" s="17"/>
      <c r="V5730" s="18">
        <v>0</v>
      </c>
      <c r="W5730" s="17">
        <f t="shared" si="157"/>
        <v>0</v>
      </c>
    </row>
    <row r="5731" spans="1:23" x14ac:dyDescent="0.25">
      <c r="A5731" s="17"/>
      <c r="B5731" s="17"/>
      <c r="C5731" s="17"/>
      <c r="D5731" s="17"/>
      <c r="E5731" s="17"/>
      <c r="F5731" s="17"/>
      <c r="G5731" s="17"/>
      <c r="H5731" s="17"/>
      <c r="I5731" s="17"/>
      <c r="J5731" s="17"/>
      <c r="K5731" s="17"/>
      <c r="L5731" s="17"/>
      <c r="M5731" s="17"/>
      <c r="N5731" s="17"/>
      <c r="O5731" s="17"/>
      <c r="P5731" s="17"/>
      <c r="Q5731" s="17"/>
      <c r="R5731" s="17"/>
      <c r="S5731" s="17"/>
      <c r="T5731" s="17"/>
      <c r="U5731" s="17"/>
      <c r="V5731" s="18">
        <v>0</v>
      </c>
      <c r="W5731" s="17">
        <f t="shared" si="157"/>
        <v>0</v>
      </c>
    </row>
    <row r="5732" spans="1:23" x14ac:dyDescent="0.25">
      <c r="A5732" s="17"/>
      <c r="B5732" s="17"/>
      <c r="C5732" s="17"/>
      <c r="D5732" s="17"/>
      <c r="E5732" s="17"/>
      <c r="F5732" s="17"/>
      <c r="G5732" s="17"/>
      <c r="H5732" s="17"/>
      <c r="I5732" s="17"/>
      <c r="J5732" s="17"/>
      <c r="K5732" s="17"/>
      <c r="L5732" s="17"/>
      <c r="M5732" s="17"/>
      <c r="N5732" s="17"/>
      <c r="O5732" s="17"/>
      <c r="P5732" s="17"/>
      <c r="Q5732" s="17"/>
      <c r="R5732" s="17"/>
      <c r="S5732" s="17"/>
      <c r="T5732" s="17"/>
      <c r="U5732" s="17"/>
      <c r="V5732" s="18">
        <v>0</v>
      </c>
      <c r="W5732" s="17">
        <f t="shared" si="157"/>
        <v>0</v>
      </c>
    </row>
    <row r="5733" spans="1:23" x14ac:dyDescent="0.25">
      <c r="A5733" s="17"/>
      <c r="B5733" s="17"/>
      <c r="C5733" s="17"/>
      <c r="D5733" s="17"/>
      <c r="E5733" s="17"/>
      <c r="F5733" s="17"/>
      <c r="G5733" s="17"/>
      <c r="H5733" s="17"/>
      <c r="I5733" s="17"/>
      <c r="J5733" s="17"/>
      <c r="K5733" s="17"/>
      <c r="L5733" s="17"/>
      <c r="M5733" s="17"/>
      <c r="N5733" s="17"/>
      <c r="O5733" s="17"/>
      <c r="P5733" s="17"/>
      <c r="Q5733" s="17"/>
      <c r="R5733" s="17"/>
      <c r="S5733" s="17"/>
      <c r="T5733" s="17"/>
      <c r="U5733" s="17"/>
      <c r="V5733" s="18">
        <v>0</v>
      </c>
      <c r="W5733" s="17">
        <f t="shared" si="157"/>
        <v>0</v>
      </c>
    </row>
    <row r="5734" spans="1:23" x14ac:dyDescent="0.25">
      <c r="A5734" s="17"/>
      <c r="B5734" s="17"/>
      <c r="C5734" s="17"/>
      <c r="D5734" s="17"/>
      <c r="E5734" s="17"/>
      <c r="F5734" s="17"/>
      <c r="G5734" s="17"/>
      <c r="H5734" s="17"/>
      <c r="I5734" s="17"/>
      <c r="J5734" s="17"/>
      <c r="K5734" s="17"/>
      <c r="L5734" s="17"/>
      <c r="M5734" s="17"/>
      <c r="N5734" s="17"/>
      <c r="O5734" s="17"/>
      <c r="P5734" s="17"/>
      <c r="Q5734" s="17"/>
      <c r="R5734" s="17"/>
      <c r="S5734" s="17"/>
      <c r="T5734" s="17"/>
      <c r="U5734" s="17"/>
      <c r="V5734" s="18">
        <v>0</v>
      </c>
      <c r="W5734" s="17">
        <f t="shared" si="157"/>
        <v>0</v>
      </c>
    </row>
    <row r="5735" spans="1:23" x14ac:dyDescent="0.25">
      <c r="A5735" s="17"/>
      <c r="B5735" s="17"/>
      <c r="C5735" s="17"/>
      <c r="D5735" s="17"/>
      <c r="E5735" s="17"/>
      <c r="F5735" s="17"/>
      <c r="G5735" s="17"/>
      <c r="H5735" s="17"/>
      <c r="I5735" s="17"/>
      <c r="J5735" s="17"/>
      <c r="K5735" s="17"/>
      <c r="L5735" s="17"/>
      <c r="M5735" s="17"/>
      <c r="N5735" s="17"/>
      <c r="O5735" s="17"/>
      <c r="P5735" s="17"/>
      <c r="Q5735" s="17"/>
      <c r="R5735" s="17"/>
      <c r="S5735" s="17"/>
      <c r="T5735" s="17"/>
      <c r="U5735" s="17"/>
      <c r="V5735" s="18">
        <v>0</v>
      </c>
      <c r="W5735" s="17">
        <f t="shared" si="157"/>
        <v>0</v>
      </c>
    </row>
    <row r="5736" spans="1:23" x14ac:dyDescent="0.25">
      <c r="A5736" s="17"/>
      <c r="B5736" s="17"/>
      <c r="C5736" s="17"/>
      <c r="D5736" s="17"/>
      <c r="E5736" s="17"/>
      <c r="F5736" s="17"/>
      <c r="G5736" s="17"/>
      <c r="H5736" s="17"/>
      <c r="I5736" s="17"/>
      <c r="J5736" s="17"/>
      <c r="K5736" s="17"/>
      <c r="L5736" s="17"/>
      <c r="M5736" s="17"/>
      <c r="N5736" s="17"/>
      <c r="O5736" s="17"/>
      <c r="P5736" s="17"/>
      <c r="Q5736" s="17"/>
      <c r="R5736" s="17"/>
      <c r="S5736" s="17"/>
      <c r="T5736" s="17"/>
      <c r="U5736" s="17"/>
      <c r="V5736" s="18">
        <v>0</v>
      </c>
      <c r="W5736" s="17">
        <f t="shared" si="157"/>
        <v>0</v>
      </c>
    </row>
    <row r="5737" spans="1:23" x14ac:dyDescent="0.25">
      <c r="A5737" s="17"/>
      <c r="B5737" s="17"/>
      <c r="C5737" s="17"/>
      <c r="D5737" s="17"/>
      <c r="E5737" s="17"/>
      <c r="F5737" s="17"/>
      <c r="G5737" s="17"/>
      <c r="H5737" s="17"/>
      <c r="I5737" s="17"/>
      <c r="J5737" s="17"/>
      <c r="K5737" s="17"/>
      <c r="L5737" s="17"/>
      <c r="M5737" s="17"/>
      <c r="N5737" s="17"/>
      <c r="O5737" s="17"/>
      <c r="P5737" s="17"/>
      <c r="Q5737" s="17"/>
      <c r="R5737" s="17"/>
      <c r="S5737" s="17"/>
      <c r="T5737" s="17"/>
      <c r="U5737" s="17"/>
      <c r="V5737" s="18">
        <v>0</v>
      </c>
      <c r="W5737" s="17">
        <f t="shared" si="157"/>
        <v>0</v>
      </c>
    </row>
    <row r="5738" spans="1:23" x14ac:dyDescent="0.25">
      <c r="A5738" s="17"/>
      <c r="B5738" s="17"/>
      <c r="C5738" s="17"/>
      <c r="D5738" s="17"/>
      <c r="E5738" s="17"/>
      <c r="F5738" s="17"/>
      <c r="G5738" s="17"/>
      <c r="H5738" s="17"/>
      <c r="I5738" s="17"/>
      <c r="J5738" s="17"/>
      <c r="K5738" s="17"/>
      <c r="L5738" s="17"/>
      <c r="M5738" s="17"/>
      <c r="N5738" s="17"/>
      <c r="O5738" s="17"/>
      <c r="P5738" s="17"/>
      <c r="Q5738" s="17"/>
      <c r="R5738" s="17"/>
      <c r="S5738" s="17"/>
      <c r="T5738" s="17"/>
      <c r="U5738" s="17"/>
      <c r="V5738" s="18">
        <v>0</v>
      </c>
      <c r="W5738" s="17">
        <f t="shared" si="157"/>
        <v>0</v>
      </c>
    </row>
    <row r="5739" spans="1:23" x14ac:dyDescent="0.25">
      <c r="A5739" s="17"/>
      <c r="B5739" s="17"/>
      <c r="C5739" s="17"/>
      <c r="D5739" s="17"/>
      <c r="E5739" s="17"/>
      <c r="F5739" s="17"/>
      <c r="G5739" s="17"/>
      <c r="H5739" s="17"/>
      <c r="I5739" s="17"/>
      <c r="J5739" s="17"/>
      <c r="K5739" s="17"/>
      <c r="L5739" s="17"/>
      <c r="M5739" s="17"/>
      <c r="N5739" s="17"/>
      <c r="O5739" s="17"/>
      <c r="P5739" s="17"/>
      <c r="Q5739" s="17"/>
      <c r="R5739" s="17"/>
      <c r="S5739" s="17"/>
      <c r="T5739" s="17"/>
      <c r="U5739" s="17"/>
      <c r="V5739" s="18">
        <v>0</v>
      </c>
      <c r="W5739" s="17">
        <f t="shared" si="157"/>
        <v>0</v>
      </c>
    </row>
    <row r="5740" spans="1:23" x14ac:dyDescent="0.25">
      <c r="A5740" s="17"/>
      <c r="B5740" s="17"/>
      <c r="C5740" s="17"/>
      <c r="D5740" s="17"/>
      <c r="E5740" s="17"/>
      <c r="F5740" s="17"/>
      <c r="G5740" s="17"/>
      <c r="H5740" s="17"/>
      <c r="I5740" s="17"/>
      <c r="J5740" s="17"/>
      <c r="K5740" s="17"/>
      <c r="L5740" s="17"/>
      <c r="M5740" s="17"/>
      <c r="N5740" s="17"/>
      <c r="O5740" s="17"/>
      <c r="P5740" s="17"/>
      <c r="Q5740" s="17"/>
      <c r="R5740" s="17"/>
      <c r="S5740" s="17"/>
      <c r="T5740" s="17"/>
      <c r="U5740" s="17"/>
      <c r="V5740" s="18">
        <v>0</v>
      </c>
      <c r="W5740" s="17">
        <f t="shared" si="157"/>
        <v>0</v>
      </c>
    </row>
    <row r="5741" spans="1:23" x14ac:dyDescent="0.25">
      <c r="A5741" s="17"/>
      <c r="B5741" s="17"/>
      <c r="C5741" s="17"/>
      <c r="D5741" s="17"/>
      <c r="E5741" s="17"/>
      <c r="F5741" s="17"/>
      <c r="G5741" s="17"/>
      <c r="H5741" s="17"/>
      <c r="I5741" s="17"/>
      <c r="J5741" s="17"/>
      <c r="K5741" s="17"/>
      <c r="L5741" s="17"/>
      <c r="M5741" s="17"/>
      <c r="N5741" s="17"/>
      <c r="O5741" s="17"/>
      <c r="P5741" s="17"/>
      <c r="Q5741" s="17"/>
      <c r="R5741" s="17"/>
      <c r="S5741" s="17"/>
      <c r="T5741" s="17"/>
      <c r="U5741" s="17"/>
      <c r="V5741" s="18">
        <v>0</v>
      </c>
      <c r="W5741" s="17">
        <f t="shared" si="157"/>
        <v>0</v>
      </c>
    </row>
    <row r="5742" spans="1:23" x14ac:dyDescent="0.25">
      <c r="A5742" s="17"/>
      <c r="B5742" s="17"/>
      <c r="C5742" s="17"/>
      <c r="D5742" s="17"/>
      <c r="E5742" s="17"/>
      <c r="F5742" s="17"/>
      <c r="G5742" s="17"/>
      <c r="H5742" s="17"/>
      <c r="I5742" s="17"/>
      <c r="J5742" s="17"/>
      <c r="K5742" s="17"/>
      <c r="L5742" s="17"/>
      <c r="M5742" s="17"/>
      <c r="N5742" s="17"/>
      <c r="O5742" s="17"/>
      <c r="P5742" s="17"/>
      <c r="Q5742" s="17"/>
      <c r="R5742" s="17"/>
      <c r="S5742" s="17"/>
      <c r="T5742" s="17"/>
      <c r="U5742" s="17"/>
      <c r="V5742" s="18">
        <v>0</v>
      </c>
      <c r="W5742" s="17">
        <f t="shared" si="157"/>
        <v>0</v>
      </c>
    </row>
    <row r="5743" spans="1:23" x14ac:dyDescent="0.25">
      <c r="A5743" s="17"/>
      <c r="B5743" s="17"/>
      <c r="C5743" s="17"/>
      <c r="D5743" s="17"/>
      <c r="E5743" s="17"/>
      <c r="F5743" s="17"/>
      <c r="G5743" s="17"/>
      <c r="H5743" s="17"/>
      <c r="I5743" s="17"/>
      <c r="J5743" s="17"/>
      <c r="K5743" s="17"/>
      <c r="L5743" s="17"/>
      <c r="M5743" s="17"/>
      <c r="N5743" s="17"/>
      <c r="O5743" s="17"/>
      <c r="P5743" s="17"/>
      <c r="Q5743" s="17"/>
      <c r="R5743" s="17"/>
      <c r="S5743" s="17"/>
      <c r="T5743" s="17"/>
      <c r="U5743" s="17"/>
      <c r="V5743" s="18">
        <v>0</v>
      </c>
      <c r="W5743" s="17">
        <f t="shared" si="157"/>
        <v>0</v>
      </c>
    </row>
    <row r="5744" spans="1:23" x14ac:dyDescent="0.25">
      <c r="A5744" s="17"/>
      <c r="B5744" s="17"/>
      <c r="C5744" s="17"/>
      <c r="D5744" s="17"/>
      <c r="E5744" s="17"/>
      <c r="F5744" s="17"/>
      <c r="G5744" s="17"/>
      <c r="H5744" s="17"/>
      <c r="I5744" s="17"/>
      <c r="J5744" s="17"/>
      <c r="K5744" s="17"/>
      <c r="L5744" s="17"/>
      <c r="M5744" s="17"/>
      <c r="N5744" s="17"/>
      <c r="O5744" s="17"/>
      <c r="P5744" s="17"/>
      <c r="Q5744" s="17"/>
      <c r="R5744" s="17"/>
      <c r="S5744" s="17"/>
      <c r="T5744" s="17"/>
      <c r="U5744" s="17"/>
      <c r="V5744" s="18">
        <v>0</v>
      </c>
      <c r="W5744" s="17">
        <f t="shared" si="157"/>
        <v>0</v>
      </c>
    </row>
    <row r="5745" spans="1:23" x14ac:dyDescent="0.25">
      <c r="A5745" s="17"/>
      <c r="B5745" s="17"/>
      <c r="C5745" s="17"/>
      <c r="D5745" s="17"/>
      <c r="E5745" s="17"/>
      <c r="F5745" s="17"/>
      <c r="G5745" s="17"/>
      <c r="H5745" s="17"/>
      <c r="I5745" s="17"/>
      <c r="J5745" s="17"/>
      <c r="K5745" s="17"/>
      <c r="L5745" s="17"/>
      <c r="M5745" s="17"/>
      <c r="N5745" s="17"/>
      <c r="O5745" s="17"/>
      <c r="P5745" s="17"/>
      <c r="Q5745" s="17"/>
      <c r="R5745" s="17"/>
      <c r="S5745" s="17"/>
      <c r="T5745" s="17"/>
      <c r="U5745" s="17"/>
      <c r="V5745" s="18">
        <v>0</v>
      </c>
      <c r="W5745" s="17">
        <f t="shared" si="157"/>
        <v>0</v>
      </c>
    </row>
    <row r="5746" spans="1:23" x14ac:dyDescent="0.25">
      <c r="A5746" s="17"/>
      <c r="B5746" s="17"/>
      <c r="C5746" s="17"/>
      <c r="D5746" s="17"/>
      <c r="E5746" s="17"/>
      <c r="F5746" s="17"/>
      <c r="G5746" s="17"/>
      <c r="H5746" s="17"/>
      <c r="I5746" s="17"/>
      <c r="J5746" s="17"/>
      <c r="K5746" s="17"/>
      <c r="L5746" s="17"/>
      <c r="M5746" s="17"/>
      <c r="N5746" s="17"/>
      <c r="O5746" s="17"/>
      <c r="P5746" s="17"/>
      <c r="Q5746" s="17"/>
      <c r="R5746" s="17"/>
      <c r="S5746" s="17"/>
      <c r="T5746" s="17"/>
      <c r="U5746" s="17"/>
      <c r="V5746" s="18">
        <v>0</v>
      </c>
      <c r="W5746" s="17">
        <f t="shared" si="157"/>
        <v>0</v>
      </c>
    </row>
    <row r="5747" spans="1:23" x14ac:dyDescent="0.25">
      <c r="A5747" s="17"/>
      <c r="B5747" s="17"/>
      <c r="C5747" s="17"/>
      <c r="D5747" s="17"/>
      <c r="E5747" s="17"/>
      <c r="F5747" s="17"/>
      <c r="G5747" s="17"/>
      <c r="H5747" s="17"/>
      <c r="I5747" s="17"/>
      <c r="J5747" s="17"/>
      <c r="K5747" s="17"/>
      <c r="L5747" s="17"/>
      <c r="M5747" s="17"/>
      <c r="N5747" s="17"/>
      <c r="O5747" s="17"/>
      <c r="P5747" s="17"/>
      <c r="Q5747" s="17"/>
      <c r="R5747" s="17"/>
      <c r="S5747" s="17"/>
      <c r="T5747" s="17"/>
      <c r="U5747" s="17"/>
      <c r="V5747" s="18">
        <v>0</v>
      </c>
      <c r="W5747" s="17">
        <f t="shared" si="157"/>
        <v>0</v>
      </c>
    </row>
    <row r="5748" spans="1:23" x14ac:dyDescent="0.25">
      <c r="A5748" s="17"/>
      <c r="B5748" s="17"/>
      <c r="C5748" s="17"/>
      <c r="D5748" s="17"/>
      <c r="E5748" s="17"/>
      <c r="F5748" s="17"/>
      <c r="G5748" s="17"/>
      <c r="H5748" s="17"/>
      <c r="I5748" s="17"/>
      <c r="J5748" s="17"/>
      <c r="K5748" s="17"/>
      <c r="L5748" s="17"/>
      <c r="M5748" s="17"/>
      <c r="N5748" s="17"/>
      <c r="O5748" s="17"/>
      <c r="P5748" s="17"/>
      <c r="Q5748" s="17"/>
      <c r="R5748" s="17"/>
      <c r="S5748" s="17"/>
      <c r="T5748" s="17"/>
      <c r="U5748" s="17"/>
      <c r="V5748" s="18">
        <v>0</v>
      </c>
      <c r="W5748" s="17">
        <f t="shared" si="157"/>
        <v>0</v>
      </c>
    </row>
    <row r="5749" spans="1:23" x14ac:dyDescent="0.25">
      <c r="A5749" s="17"/>
      <c r="B5749" s="17"/>
      <c r="C5749" s="17"/>
      <c r="D5749" s="17"/>
      <c r="E5749" s="17"/>
      <c r="F5749" s="17"/>
      <c r="G5749" s="17"/>
      <c r="H5749" s="17"/>
      <c r="I5749" s="17"/>
      <c r="J5749" s="17"/>
      <c r="K5749" s="17"/>
      <c r="L5749" s="17"/>
      <c r="M5749" s="17"/>
      <c r="N5749" s="17"/>
      <c r="O5749" s="17"/>
      <c r="P5749" s="17"/>
      <c r="Q5749" s="17"/>
      <c r="R5749" s="17"/>
      <c r="S5749" s="17"/>
      <c r="T5749" s="17"/>
      <c r="U5749" s="17"/>
      <c r="V5749" s="18">
        <v>0</v>
      </c>
      <c r="W5749" s="17">
        <f t="shared" si="157"/>
        <v>0</v>
      </c>
    </row>
    <row r="5750" spans="1:23" x14ac:dyDescent="0.25">
      <c r="A5750" s="17"/>
      <c r="B5750" s="17"/>
      <c r="C5750" s="17"/>
      <c r="D5750" s="17"/>
      <c r="E5750" s="17"/>
      <c r="F5750" s="17"/>
      <c r="G5750" s="17"/>
      <c r="H5750" s="17"/>
      <c r="I5750" s="17"/>
      <c r="J5750" s="17"/>
      <c r="K5750" s="17"/>
      <c r="L5750" s="17"/>
      <c r="M5750" s="17"/>
      <c r="N5750" s="17"/>
      <c r="O5750" s="17"/>
      <c r="P5750" s="17"/>
      <c r="Q5750" s="17"/>
      <c r="R5750" s="17"/>
      <c r="S5750" s="17"/>
      <c r="T5750" s="17"/>
      <c r="U5750" s="17"/>
      <c r="V5750" s="18">
        <v>0</v>
      </c>
      <c r="W5750" s="17">
        <f t="shared" si="157"/>
        <v>0</v>
      </c>
    </row>
    <row r="5751" spans="1:23" x14ac:dyDescent="0.25">
      <c r="A5751" s="17"/>
      <c r="B5751" s="17"/>
      <c r="C5751" s="17"/>
      <c r="D5751" s="17"/>
      <c r="E5751" s="17"/>
      <c r="F5751" s="17"/>
      <c r="G5751" s="17"/>
      <c r="H5751" s="17"/>
      <c r="I5751" s="17"/>
      <c r="J5751" s="17"/>
      <c r="K5751" s="17"/>
      <c r="L5751" s="17"/>
      <c r="M5751" s="17"/>
      <c r="N5751" s="17"/>
      <c r="O5751" s="17"/>
      <c r="P5751" s="17"/>
      <c r="Q5751" s="17"/>
      <c r="R5751" s="17"/>
      <c r="S5751" s="17"/>
      <c r="T5751" s="17"/>
      <c r="U5751" s="17"/>
      <c r="V5751" s="18">
        <v>0</v>
      </c>
      <c r="W5751" s="17">
        <f t="shared" si="157"/>
        <v>0</v>
      </c>
    </row>
    <row r="5752" spans="1:23" x14ac:dyDescent="0.25">
      <c r="A5752" s="17"/>
      <c r="B5752" s="17"/>
      <c r="C5752" s="17"/>
      <c r="D5752" s="17"/>
      <c r="E5752" s="17"/>
      <c r="F5752" s="17"/>
      <c r="G5752" s="17"/>
      <c r="H5752" s="17"/>
      <c r="I5752" s="17"/>
      <c r="J5752" s="17"/>
      <c r="K5752" s="17"/>
      <c r="L5752" s="17"/>
      <c r="M5752" s="17"/>
      <c r="N5752" s="17"/>
      <c r="O5752" s="17"/>
      <c r="P5752" s="17"/>
      <c r="Q5752" s="17"/>
      <c r="R5752" s="17"/>
      <c r="S5752" s="17"/>
      <c r="T5752" s="17"/>
      <c r="U5752" s="17"/>
      <c r="V5752" s="18">
        <v>0</v>
      </c>
      <c r="W5752" s="17">
        <f t="shared" si="157"/>
        <v>0</v>
      </c>
    </row>
    <row r="5753" spans="1:23" x14ac:dyDescent="0.25">
      <c r="A5753" s="17"/>
      <c r="B5753" s="17"/>
      <c r="C5753" s="17"/>
      <c r="D5753" s="17"/>
      <c r="E5753" s="17"/>
      <c r="F5753" s="17"/>
      <c r="G5753" s="17"/>
      <c r="H5753" s="17"/>
      <c r="I5753" s="17"/>
      <c r="J5753" s="17"/>
      <c r="K5753" s="17"/>
      <c r="L5753" s="17"/>
      <c r="M5753" s="17"/>
      <c r="N5753" s="17"/>
      <c r="O5753" s="17"/>
      <c r="P5753" s="17"/>
      <c r="Q5753" s="17"/>
      <c r="R5753" s="17"/>
      <c r="S5753" s="17"/>
      <c r="T5753" s="17"/>
      <c r="U5753" s="17"/>
      <c r="V5753" s="18">
        <v>0</v>
      </c>
      <c r="W5753" s="17">
        <f t="shared" si="157"/>
        <v>0</v>
      </c>
    </row>
    <row r="5754" spans="1:23" x14ac:dyDescent="0.25">
      <c r="A5754" s="17"/>
      <c r="B5754" s="17"/>
      <c r="C5754" s="17"/>
      <c r="D5754" s="17"/>
      <c r="E5754" s="17"/>
      <c r="F5754" s="17"/>
      <c r="G5754" s="17"/>
      <c r="H5754" s="17"/>
      <c r="I5754" s="17"/>
      <c r="J5754" s="17"/>
      <c r="K5754" s="17"/>
      <c r="L5754" s="17"/>
      <c r="M5754" s="17"/>
      <c r="N5754" s="17"/>
      <c r="O5754" s="17"/>
      <c r="P5754" s="17"/>
      <c r="Q5754" s="17"/>
      <c r="R5754" s="17"/>
      <c r="S5754" s="17"/>
      <c r="T5754" s="17"/>
      <c r="U5754" s="17"/>
      <c r="V5754" s="18">
        <v>0</v>
      </c>
      <c r="W5754" s="17">
        <f t="shared" si="157"/>
        <v>0</v>
      </c>
    </row>
    <row r="5755" spans="1:23" x14ac:dyDescent="0.25">
      <c r="A5755" s="17"/>
      <c r="B5755" s="17"/>
      <c r="C5755" s="17"/>
      <c r="D5755" s="17"/>
      <c r="E5755" s="17"/>
      <c r="F5755" s="17"/>
      <c r="G5755" s="17"/>
      <c r="H5755" s="17"/>
      <c r="I5755" s="17"/>
      <c r="J5755" s="17"/>
      <c r="K5755" s="17"/>
      <c r="L5755" s="17"/>
      <c r="M5755" s="17"/>
      <c r="N5755" s="17"/>
      <c r="O5755" s="17"/>
      <c r="P5755" s="17"/>
      <c r="Q5755" s="17"/>
      <c r="R5755" s="17"/>
      <c r="S5755" s="17"/>
      <c r="T5755" s="17"/>
      <c r="U5755" s="17"/>
      <c r="V5755" s="18">
        <v>0</v>
      </c>
      <c r="W5755" s="17">
        <f t="shared" si="157"/>
        <v>0</v>
      </c>
    </row>
    <row r="5756" spans="1:23" x14ac:dyDescent="0.25">
      <c r="A5756" s="17"/>
      <c r="B5756" s="17"/>
      <c r="C5756" s="17"/>
      <c r="D5756" s="17"/>
      <c r="E5756" s="17"/>
      <c r="F5756" s="17"/>
      <c r="G5756" s="17"/>
      <c r="H5756" s="17"/>
      <c r="I5756" s="17"/>
      <c r="J5756" s="17"/>
      <c r="K5756" s="17"/>
      <c r="L5756" s="17"/>
      <c r="M5756" s="17"/>
      <c r="N5756" s="17"/>
      <c r="O5756" s="17"/>
      <c r="P5756" s="17"/>
      <c r="Q5756" s="17"/>
      <c r="R5756" s="17"/>
      <c r="S5756" s="17"/>
      <c r="T5756" s="17"/>
      <c r="U5756" s="17"/>
      <c r="V5756" s="18">
        <v>0</v>
      </c>
      <c r="W5756" s="17">
        <f t="shared" si="157"/>
        <v>0</v>
      </c>
    </row>
    <row r="5757" spans="1:23" x14ac:dyDescent="0.25">
      <c r="A5757" s="17"/>
      <c r="B5757" s="17"/>
      <c r="C5757" s="17"/>
      <c r="D5757" s="17"/>
      <c r="E5757" s="17"/>
      <c r="F5757" s="17"/>
      <c r="G5757" s="17"/>
      <c r="H5757" s="17"/>
      <c r="I5757" s="17"/>
      <c r="J5757" s="17"/>
      <c r="K5757" s="17"/>
      <c r="L5757" s="17"/>
      <c r="M5757" s="17"/>
      <c r="N5757" s="17"/>
      <c r="O5757" s="17"/>
      <c r="P5757" s="17"/>
      <c r="Q5757" s="17"/>
      <c r="R5757" s="17"/>
      <c r="S5757" s="17"/>
      <c r="T5757" s="17"/>
      <c r="U5757" s="17"/>
      <c r="V5757" s="18">
        <v>0</v>
      </c>
      <c r="W5757" s="17">
        <f t="shared" si="157"/>
        <v>0</v>
      </c>
    </row>
    <row r="5758" spans="1:23" x14ac:dyDescent="0.25">
      <c r="A5758" s="17"/>
      <c r="B5758" s="17"/>
      <c r="C5758" s="17"/>
      <c r="D5758" s="17"/>
      <c r="E5758" s="17"/>
      <c r="F5758" s="17"/>
      <c r="G5758" s="17"/>
      <c r="H5758" s="17"/>
      <c r="I5758" s="17"/>
      <c r="J5758" s="17"/>
      <c r="K5758" s="17"/>
      <c r="L5758" s="17"/>
      <c r="M5758" s="17"/>
      <c r="N5758" s="17"/>
      <c r="O5758" s="17"/>
      <c r="P5758" s="17"/>
      <c r="Q5758" s="17"/>
      <c r="R5758" s="17"/>
      <c r="S5758" s="17"/>
      <c r="T5758" s="17"/>
      <c r="U5758" s="17"/>
      <c r="V5758" s="18">
        <v>0</v>
      </c>
      <c r="W5758" s="17">
        <f t="shared" si="157"/>
        <v>0</v>
      </c>
    </row>
    <row r="5759" spans="1:23" x14ac:dyDescent="0.25">
      <c r="A5759" s="17"/>
      <c r="B5759" s="17"/>
      <c r="C5759" s="17"/>
      <c r="D5759" s="17"/>
      <c r="E5759" s="17"/>
      <c r="F5759" s="17"/>
      <c r="G5759" s="17"/>
      <c r="H5759" s="17"/>
      <c r="I5759" s="17"/>
      <c r="J5759" s="17"/>
      <c r="K5759" s="17"/>
      <c r="L5759" s="17"/>
      <c r="M5759" s="17"/>
      <c r="N5759" s="17"/>
      <c r="O5759" s="17"/>
      <c r="P5759" s="17"/>
      <c r="Q5759" s="17"/>
      <c r="R5759" s="17"/>
      <c r="S5759" s="17"/>
      <c r="T5759" s="17"/>
      <c r="U5759" s="17"/>
      <c r="V5759" s="18">
        <v>0</v>
      </c>
      <c r="W5759" s="17">
        <f t="shared" si="157"/>
        <v>0</v>
      </c>
    </row>
    <row r="5760" spans="1:23" x14ac:dyDescent="0.25">
      <c r="A5760" s="17"/>
      <c r="B5760" s="17"/>
      <c r="C5760" s="17"/>
      <c r="D5760" s="17"/>
      <c r="E5760" s="17"/>
      <c r="F5760" s="17"/>
      <c r="G5760" s="17"/>
      <c r="H5760" s="17"/>
      <c r="I5760" s="17"/>
      <c r="J5760" s="17"/>
      <c r="K5760" s="17"/>
      <c r="L5760" s="17"/>
      <c r="M5760" s="17"/>
      <c r="N5760" s="17"/>
      <c r="O5760" s="17"/>
      <c r="P5760" s="17"/>
      <c r="Q5760" s="17"/>
      <c r="R5760" s="17"/>
      <c r="S5760" s="17"/>
      <c r="T5760" s="17"/>
      <c r="U5760" s="17"/>
      <c r="V5760" s="18">
        <v>0</v>
      </c>
      <c r="W5760" s="17">
        <f t="shared" si="157"/>
        <v>0</v>
      </c>
    </row>
    <row r="5761" spans="1:23" x14ac:dyDescent="0.25">
      <c r="A5761" s="17"/>
      <c r="B5761" s="17"/>
      <c r="C5761" s="17"/>
      <c r="D5761" s="17"/>
      <c r="E5761" s="17"/>
      <c r="F5761" s="17"/>
      <c r="G5761" s="17"/>
      <c r="H5761" s="17"/>
      <c r="I5761" s="17"/>
      <c r="J5761" s="17"/>
      <c r="K5761" s="17"/>
      <c r="L5761" s="17"/>
      <c r="M5761" s="17"/>
      <c r="N5761" s="17"/>
      <c r="O5761" s="17"/>
      <c r="P5761" s="17"/>
      <c r="Q5761" s="17"/>
      <c r="R5761" s="17"/>
      <c r="S5761" s="17"/>
      <c r="T5761" s="17"/>
      <c r="U5761" s="17"/>
      <c r="V5761" s="18">
        <v>0</v>
      </c>
      <c r="W5761" s="17">
        <f t="shared" si="157"/>
        <v>0</v>
      </c>
    </row>
    <row r="5762" spans="1:23" x14ac:dyDescent="0.25">
      <c r="A5762" s="17"/>
      <c r="B5762" s="17"/>
      <c r="C5762" s="17"/>
      <c r="D5762" s="17"/>
      <c r="E5762" s="17"/>
      <c r="F5762" s="17"/>
      <c r="G5762" s="17"/>
      <c r="H5762" s="17"/>
      <c r="I5762" s="17"/>
      <c r="J5762" s="17"/>
      <c r="K5762" s="17"/>
      <c r="L5762" s="17"/>
      <c r="M5762" s="17"/>
      <c r="N5762" s="17"/>
      <c r="O5762" s="17"/>
      <c r="P5762" s="17"/>
      <c r="Q5762" s="17"/>
      <c r="R5762" s="17"/>
      <c r="S5762" s="17"/>
      <c r="T5762" s="17"/>
      <c r="U5762" s="17"/>
      <c r="V5762" s="18">
        <v>0</v>
      </c>
      <c r="W5762" s="17">
        <f t="shared" si="157"/>
        <v>0</v>
      </c>
    </row>
    <row r="5763" spans="1:23" x14ac:dyDescent="0.25">
      <c r="A5763" s="17"/>
      <c r="B5763" s="17"/>
      <c r="C5763" s="17"/>
      <c r="D5763" s="17"/>
      <c r="E5763" s="17"/>
      <c r="F5763" s="17"/>
      <c r="G5763" s="17"/>
      <c r="H5763" s="17"/>
      <c r="I5763" s="17"/>
      <c r="J5763" s="17"/>
      <c r="K5763" s="17"/>
      <c r="L5763" s="17"/>
      <c r="M5763" s="17"/>
      <c r="N5763" s="17"/>
      <c r="O5763" s="17"/>
      <c r="P5763" s="17"/>
      <c r="Q5763" s="17"/>
      <c r="R5763" s="17"/>
      <c r="S5763" s="17"/>
      <c r="T5763" s="17"/>
      <c r="U5763" s="17"/>
      <c r="V5763" s="18">
        <v>0</v>
      </c>
      <c r="W5763" s="17">
        <f t="shared" ref="W5763:W5777" si="158">HOUR(E5763)</f>
        <v>0</v>
      </c>
    </row>
    <row r="5764" spans="1:23" x14ac:dyDescent="0.25">
      <c r="A5764" s="17"/>
      <c r="B5764" s="17"/>
      <c r="C5764" s="17"/>
      <c r="D5764" s="17"/>
      <c r="E5764" s="17"/>
      <c r="F5764" s="17"/>
      <c r="G5764" s="17"/>
      <c r="H5764" s="17"/>
      <c r="I5764" s="17"/>
      <c r="J5764" s="17"/>
      <c r="K5764" s="17"/>
      <c r="L5764" s="17"/>
      <c r="M5764" s="17"/>
      <c r="N5764" s="17"/>
      <c r="O5764" s="17"/>
      <c r="P5764" s="17"/>
      <c r="Q5764" s="17"/>
      <c r="R5764" s="17"/>
      <c r="S5764" s="17"/>
      <c r="T5764" s="17"/>
      <c r="U5764" s="17"/>
      <c r="V5764" s="18">
        <v>0</v>
      </c>
      <c r="W5764" s="17">
        <f t="shared" si="158"/>
        <v>0</v>
      </c>
    </row>
    <row r="5765" spans="1:23" x14ac:dyDescent="0.25">
      <c r="A5765" s="17"/>
      <c r="B5765" s="17"/>
      <c r="C5765" s="17"/>
      <c r="D5765" s="17"/>
      <c r="E5765" s="17"/>
      <c r="F5765" s="17"/>
      <c r="G5765" s="17"/>
      <c r="H5765" s="17"/>
      <c r="I5765" s="17"/>
      <c r="J5765" s="17"/>
      <c r="K5765" s="17"/>
      <c r="L5765" s="17"/>
      <c r="M5765" s="17"/>
      <c r="N5765" s="17"/>
      <c r="O5765" s="17"/>
      <c r="P5765" s="17"/>
      <c r="Q5765" s="17"/>
      <c r="R5765" s="17"/>
      <c r="S5765" s="17"/>
      <c r="T5765" s="17"/>
      <c r="U5765" s="17"/>
      <c r="V5765" s="18">
        <v>0</v>
      </c>
      <c r="W5765" s="17">
        <f t="shared" si="158"/>
        <v>0</v>
      </c>
    </row>
    <row r="5766" spans="1:23" x14ac:dyDescent="0.25">
      <c r="A5766" s="17"/>
      <c r="B5766" s="17"/>
      <c r="C5766" s="17"/>
      <c r="D5766" s="17"/>
      <c r="E5766" s="17"/>
      <c r="F5766" s="17"/>
      <c r="G5766" s="17"/>
      <c r="H5766" s="17"/>
      <c r="I5766" s="17"/>
      <c r="J5766" s="17"/>
      <c r="K5766" s="17"/>
      <c r="L5766" s="17"/>
      <c r="M5766" s="17"/>
      <c r="N5766" s="17"/>
      <c r="O5766" s="17"/>
      <c r="P5766" s="17"/>
      <c r="Q5766" s="17"/>
      <c r="R5766" s="17"/>
      <c r="S5766" s="17"/>
      <c r="T5766" s="17"/>
      <c r="U5766" s="17"/>
      <c r="V5766" s="18">
        <v>0</v>
      </c>
      <c r="W5766" s="17">
        <f t="shared" si="158"/>
        <v>0</v>
      </c>
    </row>
    <row r="5767" spans="1:23" x14ac:dyDescent="0.25">
      <c r="A5767" s="17"/>
      <c r="B5767" s="17"/>
      <c r="C5767" s="17"/>
      <c r="D5767" s="17"/>
      <c r="E5767" s="17"/>
      <c r="F5767" s="17"/>
      <c r="G5767" s="17"/>
      <c r="H5767" s="17"/>
      <c r="I5767" s="17"/>
      <c r="J5767" s="17"/>
      <c r="K5767" s="17"/>
      <c r="L5767" s="17"/>
      <c r="M5767" s="17"/>
      <c r="N5767" s="17"/>
      <c r="O5767" s="17"/>
      <c r="P5767" s="17"/>
      <c r="Q5767" s="17"/>
      <c r="R5767" s="17"/>
      <c r="S5767" s="17"/>
      <c r="T5767" s="17"/>
      <c r="U5767" s="17"/>
      <c r="V5767" s="18">
        <v>0</v>
      </c>
      <c r="W5767" s="17">
        <f t="shared" si="158"/>
        <v>0</v>
      </c>
    </row>
    <row r="5768" spans="1:23" x14ac:dyDescent="0.25">
      <c r="A5768" s="17"/>
      <c r="B5768" s="17"/>
      <c r="C5768" s="17"/>
      <c r="D5768" s="17"/>
      <c r="E5768" s="17"/>
      <c r="F5768" s="17"/>
      <c r="G5768" s="17"/>
      <c r="H5768" s="17"/>
      <c r="I5768" s="17"/>
      <c r="J5768" s="17"/>
      <c r="K5768" s="17"/>
      <c r="L5768" s="17"/>
      <c r="M5768" s="17"/>
      <c r="N5768" s="17"/>
      <c r="O5768" s="17"/>
      <c r="P5768" s="17"/>
      <c r="Q5768" s="17"/>
      <c r="R5768" s="17"/>
      <c r="S5768" s="17"/>
      <c r="T5768" s="17"/>
      <c r="U5768" s="17"/>
      <c r="V5768" s="18">
        <v>0</v>
      </c>
      <c r="W5768" s="17">
        <f t="shared" si="158"/>
        <v>0</v>
      </c>
    </row>
    <row r="5769" spans="1:23" x14ac:dyDescent="0.25">
      <c r="A5769" s="17"/>
      <c r="B5769" s="17"/>
      <c r="C5769" s="17"/>
      <c r="D5769" s="17"/>
      <c r="E5769" s="17"/>
      <c r="F5769" s="17"/>
      <c r="G5769" s="17"/>
      <c r="H5769" s="17"/>
      <c r="I5769" s="17"/>
      <c r="J5769" s="17"/>
      <c r="K5769" s="17"/>
      <c r="L5769" s="17"/>
      <c r="M5769" s="17"/>
      <c r="N5769" s="17"/>
      <c r="O5769" s="17"/>
      <c r="P5769" s="17"/>
      <c r="Q5769" s="17"/>
      <c r="R5769" s="17"/>
      <c r="S5769" s="17"/>
      <c r="T5769" s="17"/>
      <c r="U5769" s="17"/>
      <c r="V5769" s="18">
        <v>0</v>
      </c>
      <c r="W5769" s="17">
        <f t="shared" si="158"/>
        <v>0</v>
      </c>
    </row>
    <row r="5770" spans="1:23" x14ac:dyDescent="0.25">
      <c r="A5770" s="17"/>
      <c r="B5770" s="17"/>
      <c r="C5770" s="17"/>
      <c r="D5770" s="17"/>
      <c r="E5770" s="17"/>
      <c r="F5770" s="17"/>
      <c r="G5770" s="17"/>
      <c r="H5770" s="17"/>
      <c r="I5770" s="17"/>
      <c r="J5770" s="17"/>
      <c r="K5770" s="17"/>
      <c r="L5770" s="17"/>
      <c r="M5770" s="17"/>
      <c r="N5770" s="17"/>
      <c r="O5770" s="17"/>
      <c r="P5770" s="17"/>
      <c r="Q5770" s="17"/>
      <c r="R5770" s="17"/>
      <c r="S5770" s="17"/>
      <c r="T5770" s="17"/>
      <c r="U5770" s="17"/>
      <c r="V5770" s="18">
        <v>0</v>
      </c>
      <c r="W5770" s="17">
        <f t="shared" si="158"/>
        <v>0</v>
      </c>
    </row>
    <row r="5771" spans="1:23" x14ac:dyDescent="0.25">
      <c r="A5771" s="17"/>
      <c r="B5771" s="17"/>
      <c r="C5771" s="17"/>
      <c r="D5771" s="17"/>
      <c r="E5771" s="17"/>
      <c r="F5771" s="17"/>
      <c r="G5771" s="17"/>
      <c r="H5771" s="17"/>
      <c r="I5771" s="17"/>
      <c r="J5771" s="17"/>
      <c r="K5771" s="17"/>
      <c r="L5771" s="17"/>
      <c r="M5771" s="17"/>
      <c r="N5771" s="17"/>
      <c r="O5771" s="17"/>
      <c r="P5771" s="17"/>
      <c r="Q5771" s="17"/>
      <c r="R5771" s="17"/>
      <c r="S5771" s="17"/>
      <c r="T5771" s="17"/>
      <c r="U5771" s="17"/>
      <c r="V5771" s="18">
        <v>0</v>
      </c>
      <c r="W5771" s="17">
        <f t="shared" si="158"/>
        <v>0</v>
      </c>
    </row>
    <row r="5772" spans="1:23" x14ac:dyDescent="0.25">
      <c r="A5772" s="17"/>
      <c r="B5772" s="17"/>
      <c r="C5772" s="17"/>
      <c r="D5772" s="17"/>
      <c r="E5772" s="17"/>
      <c r="F5772" s="17"/>
      <c r="G5772" s="17"/>
      <c r="H5772" s="17"/>
      <c r="I5772" s="17"/>
      <c r="J5772" s="17"/>
      <c r="K5772" s="17"/>
      <c r="L5772" s="17"/>
      <c r="M5772" s="17"/>
      <c r="N5772" s="17"/>
      <c r="O5772" s="17"/>
      <c r="P5772" s="17"/>
      <c r="Q5772" s="17"/>
      <c r="R5772" s="17"/>
      <c r="S5772" s="17"/>
      <c r="T5772" s="17"/>
      <c r="U5772" s="17"/>
      <c r="V5772" s="18">
        <v>0</v>
      </c>
      <c r="W5772" s="17">
        <f t="shared" si="158"/>
        <v>0</v>
      </c>
    </row>
    <row r="5773" spans="1:23" x14ac:dyDescent="0.25">
      <c r="A5773" s="17"/>
      <c r="B5773" s="17"/>
      <c r="C5773" s="17"/>
      <c r="D5773" s="17"/>
      <c r="E5773" s="17"/>
      <c r="F5773" s="17"/>
      <c r="G5773" s="17"/>
      <c r="H5773" s="17"/>
      <c r="I5773" s="17"/>
      <c r="J5773" s="17"/>
      <c r="K5773" s="17"/>
      <c r="L5773" s="17"/>
      <c r="M5773" s="17"/>
      <c r="N5773" s="17"/>
      <c r="O5773" s="17"/>
      <c r="P5773" s="17"/>
      <c r="Q5773" s="17"/>
      <c r="R5773" s="17"/>
      <c r="S5773" s="17"/>
      <c r="T5773" s="17"/>
      <c r="U5773" s="17"/>
      <c r="V5773" s="18">
        <v>0</v>
      </c>
      <c r="W5773" s="17">
        <f t="shared" si="158"/>
        <v>0</v>
      </c>
    </row>
    <row r="5774" spans="1:23" x14ac:dyDescent="0.25">
      <c r="A5774" s="17"/>
      <c r="B5774" s="17"/>
      <c r="C5774" s="17"/>
      <c r="D5774" s="17"/>
      <c r="E5774" s="17"/>
      <c r="F5774" s="17"/>
      <c r="G5774" s="17"/>
      <c r="H5774" s="17"/>
      <c r="I5774" s="17"/>
      <c r="J5774" s="17"/>
      <c r="K5774" s="17"/>
      <c r="L5774" s="17"/>
      <c r="M5774" s="17"/>
      <c r="N5774" s="17"/>
      <c r="O5774" s="17"/>
      <c r="P5774" s="17"/>
      <c r="Q5774" s="17"/>
      <c r="R5774" s="17"/>
      <c r="S5774" s="17"/>
      <c r="T5774" s="17"/>
      <c r="U5774" s="17"/>
      <c r="V5774" s="18">
        <v>0</v>
      </c>
      <c r="W5774" s="17">
        <f t="shared" si="158"/>
        <v>0</v>
      </c>
    </row>
    <row r="5775" spans="1:23" x14ac:dyDescent="0.25">
      <c r="A5775" s="17"/>
      <c r="B5775" s="17"/>
      <c r="C5775" s="17"/>
      <c r="D5775" s="17"/>
      <c r="E5775" s="17"/>
      <c r="F5775" s="17"/>
      <c r="G5775" s="17"/>
      <c r="H5775" s="17"/>
      <c r="I5775" s="17"/>
      <c r="J5775" s="17"/>
      <c r="K5775" s="17"/>
      <c r="L5775" s="17"/>
      <c r="M5775" s="17"/>
      <c r="N5775" s="17"/>
      <c r="O5775" s="17"/>
      <c r="P5775" s="17"/>
      <c r="Q5775" s="17"/>
      <c r="R5775" s="17"/>
      <c r="S5775" s="17"/>
      <c r="T5775" s="17"/>
      <c r="U5775" s="17"/>
      <c r="V5775" s="18">
        <v>0</v>
      </c>
      <c r="W5775" s="17">
        <f t="shared" si="158"/>
        <v>0</v>
      </c>
    </row>
    <row r="5776" spans="1:23" x14ac:dyDescent="0.25">
      <c r="A5776" s="17"/>
      <c r="B5776" s="17"/>
      <c r="C5776" s="17"/>
      <c r="D5776" s="17"/>
      <c r="E5776" s="17"/>
      <c r="F5776" s="17"/>
      <c r="G5776" s="17"/>
      <c r="H5776" s="17"/>
      <c r="I5776" s="17"/>
      <c r="J5776" s="17"/>
      <c r="K5776" s="17"/>
      <c r="L5776" s="17"/>
      <c r="M5776" s="17"/>
      <c r="N5776" s="17"/>
      <c r="O5776" s="17"/>
      <c r="P5776" s="17"/>
      <c r="Q5776" s="17"/>
      <c r="R5776" s="17"/>
      <c r="S5776" s="17"/>
      <c r="T5776" s="17"/>
      <c r="U5776" s="17"/>
      <c r="V5776" s="18">
        <v>0</v>
      </c>
      <c r="W5776" s="17">
        <f t="shared" si="158"/>
        <v>0</v>
      </c>
    </row>
    <row r="5777" spans="1:23" x14ac:dyDescent="0.25">
      <c r="A5777" s="17"/>
      <c r="B5777" s="17"/>
      <c r="C5777" s="17"/>
      <c r="D5777" s="17"/>
      <c r="E5777" s="17"/>
      <c r="F5777" s="17"/>
      <c r="G5777" s="17"/>
      <c r="H5777" s="17"/>
      <c r="I5777" s="17"/>
      <c r="J5777" s="17"/>
      <c r="K5777" s="17"/>
      <c r="L5777" s="17"/>
      <c r="M5777" s="17"/>
      <c r="N5777" s="17"/>
      <c r="O5777" s="17"/>
      <c r="P5777" s="17"/>
      <c r="Q5777" s="17"/>
      <c r="R5777" s="17"/>
      <c r="S5777" s="17"/>
      <c r="T5777" s="17"/>
      <c r="U5777" s="17"/>
      <c r="V5777" s="18">
        <v>0</v>
      </c>
      <c r="W5777" s="17">
        <f t="shared" si="15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0"/>
  <sheetViews>
    <sheetView workbookViewId="0">
      <selection activeCell="E26" sqref="E26"/>
    </sheetView>
  </sheetViews>
  <sheetFormatPr defaultRowHeight="15" x14ac:dyDescent="0.25"/>
  <cols>
    <col min="1" max="1" width="14.140625" customWidth="1"/>
    <col min="2" max="2" width="18.140625" customWidth="1"/>
  </cols>
  <sheetData>
    <row r="1" spans="1:2" x14ac:dyDescent="0.25">
      <c r="A1" s="27" t="s">
        <v>61</v>
      </c>
      <c r="B1" s="28" t="s">
        <v>62</v>
      </c>
    </row>
    <row r="2" spans="1:2" x14ac:dyDescent="0.25">
      <c r="A2" s="29" t="s">
        <v>63</v>
      </c>
      <c r="B2" s="30">
        <f ca="1">TODAY()-1</f>
        <v>46290</v>
      </c>
    </row>
    <row r="3" spans="1:2" x14ac:dyDescent="0.25">
      <c r="A3" s="29" t="s">
        <v>64</v>
      </c>
      <c r="B3" s="31">
        <f>[1]DSR!D54</f>
        <v>3029539.7443347853</v>
      </c>
    </row>
    <row r="4" spans="1:2" x14ac:dyDescent="0.25">
      <c r="A4" s="27" t="s">
        <v>65</v>
      </c>
      <c r="B4" s="31">
        <f ca="1">VLOOKUP(B2,[1]DSR!C8:D52,2,0)</f>
        <v>96074.199080384322</v>
      </c>
    </row>
    <row r="5" spans="1:2" x14ac:dyDescent="0.25">
      <c r="A5" s="27" t="s">
        <v>66</v>
      </c>
      <c r="B5" s="31">
        <f ca="1">IFERROR(VLOOKUP(B2,[1]DSR!C9:E54,3,0),0)</f>
        <v>96738</v>
      </c>
    </row>
    <row r="6" spans="1:2" x14ac:dyDescent="0.25">
      <c r="A6" s="27" t="s">
        <v>67</v>
      </c>
      <c r="B6" s="28">
        <f ca="1">VLOOKUP(B2,[1]DSR!C8:S52,17,0)</f>
        <v>265</v>
      </c>
    </row>
    <row r="7" spans="1:2" x14ac:dyDescent="0.25">
      <c r="A7" s="27" t="s">
        <v>68</v>
      </c>
      <c r="B7" s="28">
        <f ca="1">VLOOKUP(B2,[1]DSR!C8:R52,16,0)</f>
        <v>48</v>
      </c>
    </row>
    <row r="8" spans="1:2" x14ac:dyDescent="0.25">
      <c r="A8" s="27" t="s">
        <v>69</v>
      </c>
      <c r="B8" s="28">
        <f ca="1">IFERROR(VLOOKUP(B2,[1]DSR!C9:Q54,15,0),0)</f>
        <v>100</v>
      </c>
    </row>
    <row r="9" spans="1:2" x14ac:dyDescent="0.25">
      <c r="A9" s="27" t="s">
        <v>70</v>
      </c>
      <c r="B9" s="32">
        <f ca="1">VLOOKUP(B2,[1]DSR!C9:AA52,25,0)</f>
        <v>2.0833333333333335</v>
      </c>
    </row>
    <row r="10" spans="1:2" x14ac:dyDescent="0.25">
      <c r="A10" s="27" t="s">
        <v>71</v>
      </c>
      <c r="B10" s="31">
        <f ca="1">VLOOKUP(B2,[1]DSR!C9:Z52,24,0)</f>
        <v>2015.375</v>
      </c>
    </row>
    <row r="11" spans="1:2" x14ac:dyDescent="0.25">
      <c r="A11" s="27" t="s">
        <v>72</v>
      </c>
      <c r="B11" s="31">
        <f ca="1">VLOOKUP(B2,[1]DSR!C9:Y52,23,0)</f>
        <v>967.38</v>
      </c>
    </row>
    <row r="12" spans="1:2" x14ac:dyDescent="0.25">
      <c r="A12" s="27" t="s">
        <v>73</v>
      </c>
      <c r="B12" s="33" t="str">
        <f>VLOOKUP('[1]MSG '!B2,[1]DSR!C9:AB52,26,0)</f>
        <v/>
      </c>
    </row>
    <row r="13" spans="1:2" x14ac:dyDescent="0.25">
      <c r="A13" s="27"/>
      <c r="B13" s="28"/>
    </row>
    <row r="14" spans="1:2" x14ac:dyDescent="0.25">
      <c r="A14" s="27" t="s">
        <v>74</v>
      </c>
      <c r="B14" s="31">
        <f ca="1">VLOOKUP(B2,[1]DSR!C9:K52,9,0)</f>
        <v>2449892.076549801</v>
      </c>
    </row>
    <row r="15" spans="1:2" x14ac:dyDescent="0.25">
      <c r="A15" s="27" t="s">
        <v>75</v>
      </c>
      <c r="B15" s="31">
        <f>[1]DSR!E54</f>
        <v>2404186</v>
      </c>
    </row>
    <row r="16" spans="1:2" x14ac:dyDescent="0.25">
      <c r="A16" s="27" t="s">
        <v>76</v>
      </c>
      <c r="B16" s="33">
        <f ca="1">B15/B14</f>
        <v>0.98134363673106395</v>
      </c>
    </row>
    <row r="17" spans="1:2" x14ac:dyDescent="0.25">
      <c r="A17" s="27" t="s">
        <v>77</v>
      </c>
      <c r="B17" s="28">
        <f>[1]DSR!S54</f>
        <v>6418</v>
      </c>
    </row>
    <row r="18" spans="1:2" x14ac:dyDescent="0.25">
      <c r="A18" s="27" t="s">
        <v>78</v>
      </c>
      <c r="B18" s="28">
        <f>[1]DSR!R54</f>
        <v>1021</v>
      </c>
    </row>
    <row r="19" spans="1:2" x14ac:dyDescent="0.25">
      <c r="A19" s="27" t="s">
        <v>79</v>
      </c>
      <c r="B19" s="28">
        <f>[1]DSR!Q54</f>
        <v>2292</v>
      </c>
    </row>
    <row r="20" spans="1:2" x14ac:dyDescent="0.25">
      <c r="A20" s="27" t="s">
        <v>80</v>
      </c>
      <c r="B20" s="34">
        <f>[1]DSR!AA54</f>
        <v>2.2448579823702253</v>
      </c>
    </row>
    <row r="21" spans="1:2" x14ac:dyDescent="0.25">
      <c r="A21" s="27" t="s">
        <v>81</v>
      </c>
      <c r="B21" s="31">
        <f>[1]DSR!Z54</f>
        <v>2354.7365328109695</v>
      </c>
    </row>
    <row r="22" spans="1:2" x14ac:dyDescent="0.25">
      <c r="A22" s="27" t="s">
        <v>82</v>
      </c>
      <c r="B22" s="31">
        <f>[1]DSR!Y54</f>
        <v>1048.9467713787085</v>
      </c>
    </row>
    <row r="23" spans="1:2" x14ac:dyDescent="0.25">
      <c r="A23" s="27" t="s">
        <v>83</v>
      </c>
      <c r="B23" s="33">
        <f>[1]DSR!AB54</f>
        <v>0.15908382673730134</v>
      </c>
    </row>
    <row r="24" spans="1:2" x14ac:dyDescent="0.25">
      <c r="A24" s="27"/>
      <c r="B24" s="33"/>
    </row>
    <row r="25" spans="1:2" x14ac:dyDescent="0.25">
      <c r="A25" s="27" t="s">
        <v>84</v>
      </c>
      <c r="B25" s="28">
        <f ca="1">VLOOKUP(B2,[1]DSR!C9:AH52,32,0)</f>
        <v>0</v>
      </c>
    </row>
    <row r="26" spans="1:2" x14ac:dyDescent="0.25">
      <c r="A26" s="27" t="s">
        <v>85</v>
      </c>
      <c r="B26" s="28">
        <f ca="1">VLOOKUP(B2,[1]DSR!C9:U52,19,0)</f>
        <v>0</v>
      </c>
    </row>
    <row r="27" spans="1:2" x14ac:dyDescent="0.25">
      <c r="A27" s="27" t="s">
        <v>86</v>
      </c>
      <c r="B27" s="33">
        <f ca="1">VLOOKUP(B2,[1]DSR!C9:AI52,33,0)</f>
        <v>0</v>
      </c>
    </row>
    <row r="28" spans="1:2" x14ac:dyDescent="0.25">
      <c r="A28" s="27" t="s">
        <v>87</v>
      </c>
      <c r="B28" s="33">
        <f>[1]DSR!AI54</f>
        <v>6.5564810709321155E-3</v>
      </c>
    </row>
    <row r="29" spans="1:2" x14ac:dyDescent="0.25">
      <c r="A29" s="27"/>
      <c r="B29" s="28"/>
    </row>
    <row r="30" spans="1:2" x14ac:dyDescent="0.25">
      <c r="A30" s="27" t="s">
        <v>88</v>
      </c>
      <c r="B30" s="28">
        <f ca="1">VLOOKUP(B2,[1]DSR!C9:AS52,43,0)</f>
        <v>1799</v>
      </c>
    </row>
    <row r="31" spans="1:2" x14ac:dyDescent="0.25">
      <c r="A31" s="27" t="s">
        <v>89</v>
      </c>
      <c r="B31" s="33">
        <f ca="1">VLOOKUP(B2,[1]DSR!C9:AT52,44,0)</f>
        <v>1.859662180322107E-2</v>
      </c>
    </row>
    <row r="32" spans="1:2" x14ac:dyDescent="0.25">
      <c r="A32" s="27" t="s">
        <v>90</v>
      </c>
      <c r="B32" s="33">
        <f>[1]DSR!AT54</f>
        <v>4.0668234487681067E-2</v>
      </c>
    </row>
    <row r="33" spans="1:2" x14ac:dyDescent="0.25">
      <c r="A33" s="27"/>
      <c r="B33" s="28"/>
    </row>
    <row r="34" spans="1:2" x14ac:dyDescent="0.25">
      <c r="A34" s="27" t="s">
        <v>91</v>
      </c>
      <c r="B34" s="31">
        <f ca="1">VLOOKUP(B2,[1]DSR!C9:AP52,40,0)</f>
        <v>5309</v>
      </c>
    </row>
    <row r="35" spans="1:2" x14ac:dyDescent="0.25">
      <c r="A35" s="27" t="s">
        <v>92</v>
      </c>
      <c r="B35" s="33">
        <f ca="1">VLOOKUP(B2,[1]DSR!C9:AQ52,41,0)</f>
        <v>5.4880191858421717E-2</v>
      </c>
    </row>
    <row r="36" spans="1:2" x14ac:dyDescent="0.25">
      <c r="A36" s="27" t="s">
        <v>93</v>
      </c>
      <c r="B36" s="33">
        <f>[1]DSR!AQ54</f>
        <v>3.6314577990222058E-2</v>
      </c>
    </row>
    <row r="37" spans="1:2" x14ac:dyDescent="0.25">
      <c r="A37" s="27"/>
      <c r="B37" s="28"/>
    </row>
    <row r="38" spans="1:2" x14ac:dyDescent="0.25">
      <c r="A38" s="27" t="s">
        <v>94</v>
      </c>
      <c r="B38" s="28">
        <f ca="1">VLOOKUP(B2,[1]DSR!C9:AM52,37,0)</f>
        <v>1860</v>
      </c>
    </row>
    <row r="39" spans="1:2" x14ac:dyDescent="0.25">
      <c r="A39" s="27" t="s">
        <v>95</v>
      </c>
      <c r="B39" s="33">
        <f ca="1">VLOOKUP(B2,[1]DSR!C9:AN52,38,0)</f>
        <v>1.9227190969422565E-2</v>
      </c>
    </row>
    <row r="40" spans="1:2" x14ac:dyDescent="0.25">
      <c r="A40" s="27" t="s">
        <v>96</v>
      </c>
      <c r="B40" s="28">
        <f>[1]DSR!AM54</f>
        <v>102517</v>
      </c>
    </row>
    <row r="41" spans="1:2" x14ac:dyDescent="0.25">
      <c r="A41" s="27" t="s">
        <v>97</v>
      </c>
      <c r="B41" s="33">
        <f>[1]DSR!AN54</f>
        <v>4.264104357982286E-2</v>
      </c>
    </row>
    <row r="42" spans="1:2" x14ac:dyDescent="0.25">
      <c r="A42" s="27"/>
      <c r="B42" s="28"/>
    </row>
    <row r="43" spans="1:2" x14ac:dyDescent="0.25">
      <c r="A43" s="27" t="s">
        <v>98</v>
      </c>
      <c r="B43" s="28">
        <f ca="1">VLOOKUP(B2,[1]DSR!C9:AV52,46,0)</f>
        <v>8581</v>
      </c>
    </row>
    <row r="44" spans="1:2" x14ac:dyDescent="0.25">
      <c r="A44" s="27" t="s">
        <v>99</v>
      </c>
      <c r="B44" s="33">
        <f ca="1">VLOOKUP(B2,[1]DSR!C9:AW52,47,0)</f>
        <v>8.8703508445491949E-2</v>
      </c>
    </row>
    <row r="45" spans="1:2" x14ac:dyDescent="0.25">
      <c r="A45" s="27" t="s">
        <v>100</v>
      </c>
      <c r="B45" s="28">
        <f>[1]DSR!AV54</f>
        <v>219214</v>
      </c>
    </row>
    <row r="46" spans="1:2" x14ac:dyDescent="0.25">
      <c r="A46" s="27" t="s">
        <v>101</v>
      </c>
      <c r="B46" s="33">
        <f>[1]DSR!AW54</f>
        <v>9.1180133317472115E-2</v>
      </c>
    </row>
    <row r="47" spans="1:2" x14ac:dyDescent="0.25">
      <c r="A47" s="27"/>
      <c r="B47" s="28"/>
    </row>
    <row r="48" spans="1:2" x14ac:dyDescent="0.25">
      <c r="A48" s="27" t="s">
        <v>102</v>
      </c>
      <c r="B48" s="28">
        <f ca="1">VLOOKUP(B2,[1]DSR!C9:T52,18,0)</f>
        <v>11</v>
      </c>
    </row>
    <row r="49" spans="1:2" x14ac:dyDescent="0.25">
      <c r="A49" s="27" t="s">
        <v>103</v>
      </c>
      <c r="B49" s="33">
        <f ca="1">VLOOKUP(B2,[1]DSR!C9:AC52,27,0)</f>
        <v>0.22916666666666666</v>
      </c>
    </row>
    <row r="50" spans="1:2" x14ac:dyDescent="0.25">
      <c r="A50" s="27" t="s">
        <v>104</v>
      </c>
      <c r="B50" s="33">
        <f>[1]DSR!AC54</f>
        <v>0.12340842311459353</v>
      </c>
    </row>
    <row r="51" spans="1:2" x14ac:dyDescent="0.25">
      <c r="A51" s="27"/>
      <c r="B51" s="35"/>
    </row>
    <row r="52" spans="1:2" x14ac:dyDescent="0.25">
      <c r="A52" s="27" t="s">
        <v>105</v>
      </c>
      <c r="B52" s="31">
        <f ca="1">VLOOKUP(B2,[1]DSR!C9:X52,22,0)</f>
        <v>0</v>
      </c>
    </row>
    <row r="53" spans="1:2" x14ac:dyDescent="0.25">
      <c r="A53" s="27" t="s">
        <v>106</v>
      </c>
      <c r="B53" s="33">
        <f ca="1">VLOOKUP(B2,[1]DSR!C9:AG52,31,0)</f>
        <v>0</v>
      </c>
    </row>
    <row r="54" spans="1:2" x14ac:dyDescent="0.25">
      <c r="A54" s="27" t="s">
        <v>107</v>
      </c>
      <c r="B54" s="33">
        <f>[1]DSR!AG54</f>
        <v>2.0568070519098921E-2</v>
      </c>
    </row>
    <row r="55" spans="1:2" x14ac:dyDescent="0.25">
      <c r="A55" s="27"/>
      <c r="B55" s="35"/>
    </row>
    <row r="56" spans="1:2" x14ac:dyDescent="0.25">
      <c r="A56" s="27" t="s">
        <v>108</v>
      </c>
      <c r="B56" s="33">
        <v>0.6</v>
      </c>
    </row>
    <row r="57" spans="1:2" x14ac:dyDescent="0.25">
      <c r="A57" s="27" t="s">
        <v>109</v>
      </c>
      <c r="B57" s="28">
        <f ca="1">VLOOKUP(B2,[1]DSR!C9:AX52,48,0)</f>
        <v>31</v>
      </c>
    </row>
    <row r="58" spans="1:2" x14ac:dyDescent="0.25">
      <c r="A58" s="27" t="s">
        <v>110</v>
      </c>
      <c r="B58" s="33">
        <f ca="1">VLOOKUP(B2,[1]DSR!C9:AY52,49,0)</f>
        <v>0.64583333333333337</v>
      </c>
    </row>
    <row r="59" spans="1:2" x14ac:dyDescent="0.25">
      <c r="A59" s="27"/>
      <c r="B59" s="28"/>
    </row>
    <row r="60" spans="1:2" x14ac:dyDescent="0.25">
      <c r="A60" s="27" t="s">
        <v>111</v>
      </c>
      <c r="B60" s="28">
        <f ca="1">VLOOKUP(B2,[1]DSR!C9:V52,20,0)</f>
        <v>5</v>
      </c>
    </row>
    <row r="61" spans="1:2" x14ac:dyDescent="0.25">
      <c r="A61" s="27" t="s">
        <v>112</v>
      </c>
      <c r="B61" s="36">
        <f ca="1">VLOOKUP(B2,[1]DSR!C8:AF52,30,0)</f>
        <v>0.10416666666666667</v>
      </c>
    </row>
    <row r="62" spans="1:2" x14ac:dyDescent="0.25">
      <c r="A62" s="27" t="s">
        <v>113</v>
      </c>
      <c r="B62" s="28">
        <f>[1]DSR!V54</f>
        <v>121</v>
      </c>
    </row>
    <row r="63" spans="1:2" x14ac:dyDescent="0.25">
      <c r="A63" s="27" t="s">
        <v>114</v>
      </c>
      <c r="B63" s="33">
        <f>[1]DSR!AF54</f>
        <v>0.11851126346718903</v>
      </c>
    </row>
    <row r="64" spans="1:2" x14ac:dyDescent="0.25">
      <c r="A64" s="27"/>
      <c r="B64" s="33"/>
    </row>
    <row r="65" spans="1:2" x14ac:dyDescent="0.25">
      <c r="A65" s="27" t="s">
        <v>115</v>
      </c>
      <c r="B65" s="31">
        <f ca="1">VLOOKUP(B2,[1]DSR!C9:W52,21,0)</f>
        <v>0</v>
      </c>
    </row>
    <row r="66" spans="1:2" x14ac:dyDescent="0.25">
      <c r="A66" s="27" t="s">
        <v>116</v>
      </c>
      <c r="B66" s="31">
        <f>[1]DSR!W54</f>
        <v>1</v>
      </c>
    </row>
    <row r="67" spans="1:2" x14ac:dyDescent="0.25">
      <c r="A67" s="27"/>
      <c r="B67" s="35"/>
    </row>
    <row r="68" spans="1:2" x14ac:dyDescent="0.25">
      <c r="A68" s="27" t="s">
        <v>117</v>
      </c>
      <c r="B68" s="31">
        <f ca="1">VLOOKUP(B2,[1]DSR!C9:M52,11,0)</f>
        <v>2354330</v>
      </c>
    </row>
    <row r="69" spans="1:2" x14ac:dyDescent="0.25">
      <c r="A69" s="27" t="s">
        <v>118</v>
      </c>
      <c r="B69" s="31">
        <f ca="1">VLOOKUP(B2,[1]DSR!C9:H52,6,0)</f>
        <v>89900</v>
      </c>
    </row>
    <row r="70" spans="1:2" x14ac:dyDescent="0.25">
      <c r="A70" s="27" t="s">
        <v>119</v>
      </c>
      <c r="B70" s="33">
        <f ca="1">VLOOKUP(B2,[1]DSR!C9:O52,13,0)</f>
        <v>2.1176300688518612E-2</v>
      </c>
    </row>
    <row r="71" spans="1:2" x14ac:dyDescent="0.25">
      <c r="A71" s="27"/>
      <c r="B71" s="28"/>
    </row>
    <row r="72" spans="1:2" x14ac:dyDescent="0.25">
      <c r="A72" s="27" t="s">
        <v>120</v>
      </c>
      <c r="B72" s="37" t="e">
        <f>VLOOKUP(C2,I2:J34,2,0)</f>
        <v>#N/A</v>
      </c>
    </row>
    <row r="73" spans="1:2" x14ac:dyDescent="0.25">
      <c r="A73" s="27" t="s">
        <v>121</v>
      </c>
      <c r="B73" s="37" t="e">
        <f>VLOOKUP(C2,I1:L33,4,0)</f>
        <v>#N/A</v>
      </c>
    </row>
    <row r="74" spans="1:2" x14ac:dyDescent="0.25">
      <c r="A74" s="27"/>
      <c r="B74" s="28"/>
    </row>
    <row r="75" spans="1:2" x14ac:dyDescent="0.25">
      <c r="A75" s="27" t="s">
        <v>122</v>
      </c>
      <c r="B75" s="28">
        <f ca="1">VLOOKUP(B2,[1]DSR!C9:AZ52,50,0)</f>
        <v>100</v>
      </c>
    </row>
    <row r="76" spans="1:2" x14ac:dyDescent="0.25">
      <c r="A76" s="27" t="s">
        <v>123</v>
      </c>
      <c r="B76" s="28">
        <f ca="1">VLOOKUP(B2,[1]DSR!C9:BA52,51,0)</f>
        <v>50</v>
      </c>
    </row>
    <row r="77" spans="1:2" x14ac:dyDescent="0.25">
      <c r="A77" s="27" t="s">
        <v>124</v>
      </c>
      <c r="B77" s="28">
        <f ca="1">VLOOKUP(B2,[1]DSR!C9:BC52,53,0)</f>
        <v>0</v>
      </c>
    </row>
    <row r="78" spans="1:2" x14ac:dyDescent="0.25">
      <c r="A78" s="27" t="s">
        <v>125</v>
      </c>
      <c r="B78" s="28">
        <f ca="1">VLOOKUP(B2,[1]DSR!C9:BB52,52,0)</f>
        <v>0</v>
      </c>
    </row>
    <row r="79" spans="1:2" x14ac:dyDescent="0.25">
      <c r="A79" s="27" t="s">
        <v>126</v>
      </c>
      <c r="B79" s="28">
        <v>0</v>
      </c>
    </row>
    <row r="80" spans="1:2" x14ac:dyDescent="0.25">
      <c r="A80" s="27" t="s">
        <v>127</v>
      </c>
      <c r="B80" s="28">
        <v>0</v>
      </c>
    </row>
    <row r="81" spans="1:2" x14ac:dyDescent="0.25">
      <c r="A81" s="27" t="s">
        <v>128</v>
      </c>
      <c r="B81" s="28">
        <v>0</v>
      </c>
    </row>
    <row r="82" spans="1:2" x14ac:dyDescent="0.25">
      <c r="A82" s="27" t="s">
        <v>129</v>
      </c>
      <c r="B82" s="28">
        <v>0</v>
      </c>
    </row>
    <row r="83" spans="1:2" x14ac:dyDescent="0.25">
      <c r="A83" s="27" t="s">
        <v>130</v>
      </c>
      <c r="B83" s="28">
        <f>[1]DSR!BA54</f>
        <v>1500</v>
      </c>
    </row>
    <row r="84" spans="1:2" x14ac:dyDescent="0.25">
      <c r="A84" s="27" t="s">
        <v>78</v>
      </c>
      <c r="B84" s="28">
        <v>0</v>
      </c>
    </row>
    <row r="85" spans="1:2" x14ac:dyDescent="0.25">
      <c r="A85" s="27" t="s">
        <v>75</v>
      </c>
      <c r="B85" s="28">
        <f>[1]DSR!BC54</f>
        <v>46834</v>
      </c>
    </row>
    <row r="86" spans="1:2" x14ac:dyDescent="0.25">
      <c r="A86" s="29"/>
      <c r="B86" s="28"/>
    </row>
    <row r="87" spans="1:2" x14ac:dyDescent="0.25">
      <c r="A87" s="27" t="s">
        <v>131</v>
      </c>
      <c r="B87" s="31">
        <f>[1]Netplay!Q4</f>
        <v>11996.078057746645</v>
      </c>
    </row>
    <row r="88" spans="1:2" x14ac:dyDescent="0.25">
      <c r="A88" s="27" t="s">
        <v>132</v>
      </c>
      <c r="B88" s="31">
        <f>[1]Netplay!R4</f>
        <v>0</v>
      </c>
    </row>
    <row r="89" spans="1:2" x14ac:dyDescent="0.25">
      <c r="A89" s="38" t="s">
        <v>133</v>
      </c>
      <c r="B89" s="31">
        <f>[1]Netplay!Q5</f>
        <v>181800.24313518929</v>
      </c>
    </row>
    <row r="90" spans="1:2" x14ac:dyDescent="0.25">
      <c r="A90" s="38" t="s">
        <v>134</v>
      </c>
      <c r="B90" s="39">
        <f>[1]Netplay!R5</f>
        <v>47200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</vt:lpstr>
      <vt:lpstr>Master</vt:lpstr>
      <vt:lpstr>PIVOT</vt:lpstr>
      <vt:lpstr>sale.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2026-09-26T13:45:13Z</dcterms:modified>
</cp:coreProperties>
</file>