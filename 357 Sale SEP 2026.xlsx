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24226"/>
  <xr:revisionPtr revIDLastSave="0" documentId="13_ncr:1_{4A5EF0D9-B306-4398-AA9D-FC0CF33A0DBC}" xr6:coauthVersionLast="36" xr6:coauthVersionMax="36" xr10:uidLastSave="{00000000-0000-0000-0000-000000000000}"/>
  <bookViews>
    <workbookView xWindow="0" yWindow="0" windowWidth="28800" windowHeight="11085" activeTab="2" xr2:uid="{00000000-000D-0000-FFFF-FFFF00000000}"/>
  </bookViews>
  <sheets>
    <sheet name="3PM" sheetId="1" r:id="rId1"/>
    <sheet name="5PM" sheetId="77" r:id="rId2"/>
    <sheet name="7PM" sheetId="78" r:id="rId3"/>
    <sheet name="9PM" sheetId="79" r:id="rId4"/>
    <sheet name="Retail" sheetId="71" r:id="rId5"/>
    <sheet name="Attraction" sheetId="72" r:id="rId6"/>
    <sheet name="LFL 2024" sheetId="80" state="hidden" r:id="rId7"/>
  </sheets>
  <definedNames>
    <definedName name="_xlnm._FilterDatabase" localSheetId="0" hidden="1">'3PM'!$A$3:$J$32</definedName>
    <definedName name="_xlnm._FilterDatabase" localSheetId="1" hidden="1">'5PM'!$A$1:$M$26</definedName>
    <definedName name="_xlnm._FilterDatabase" localSheetId="2" hidden="1">'7PM'!$A$1:$M$26</definedName>
  </definedNames>
  <calcPr calcId="191029"/>
</workbook>
</file>

<file path=xl/calcChain.xml><?xml version="1.0" encoding="utf-8"?>
<calcChain xmlns="http://schemas.openxmlformats.org/spreadsheetml/2006/main">
  <c r="I16" i="78" l="1"/>
  <c r="I16" i="77" l="1"/>
  <c r="I16" i="1"/>
  <c r="S49" i="77" l="1"/>
  <c r="I26" i="1"/>
  <c r="W34" i="71" l="1"/>
  <c r="E29" i="77" l="1"/>
  <c r="E29" i="78"/>
  <c r="L5" i="78"/>
  <c r="L6" i="78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4" i="78"/>
  <c r="L18" i="77"/>
  <c r="L19" i="77"/>
  <c r="L20" i="77"/>
  <c r="L21" i="77"/>
  <c r="L22" i="77"/>
  <c r="L23" i="77"/>
  <c r="L24" i="77"/>
  <c r="L25" i="77"/>
  <c r="L17" i="77"/>
  <c r="L5" i="77"/>
  <c r="L6" i="77"/>
  <c r="L7" i="77"/>
  <c r="L8" i="77"/>
  <c r="L9" i="77"/>
  <c r="L10" i="77"/>
  <c r="L11" i="77"/>
  <c r="L12" i="77"/>
  <c r="L13" i="77"/>
  <c r="L14" i="77"/>
  <c r="L15" i="77"/>
  <c r="L16" i="77"/>
  <c r="L4" i="77"/>
  <c r="L29" i="78" l="1"/>
  <c r="L29" i="77"/>
  <c r="L32" i="77"/>
  <c r="E26" i="78" l="1"/>
  <c r="J25" i="77" l="1"/>
  <c r="E26" i="77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4" i="1"/>
  <c r="E29" i="1"/>
  <c r="E26" i="1"/>
  <c r="O25" i="1"/>
  <c r="L32" i="1" l="1"/>
  <c r="L29" i="1"/>
  <c r="L31" i="1"/>
  <c r="L26" i="1"/>
  <c r="L33" i="1" l="1"/>
  <c r="I26" i="78" l="1"/>
  <c r="I26" i="77"/>
  <c r="V34" i="71"/>
  <c r="X4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" i="71"/>
  <c r="I31" i="78"/>
  <c r="E31" i="78"/>
  <c r="I31" i="77"/>
  <c r="S24" i="1"/>
  <c r="O24" i="1"/>
  <c r="R31" i="1"/>
  <c r="Q31" i="1"/>
  <c r="I31" i="1"/>
  <c r="E31" i="1"/>
  <c r="E31" i="77" l="1"/>
  <c r="J24" i="77"/>
  <c r="O26" i="77"/>
  <c r="A59" i="1" l="1"/>
  <c r="H30" i="78" l="1"/>
  <c r="E32" i="78"/>
  <c r="F30" i="1" l="1"/>
  <c r="E32" i="77" l="1"/>
  <c r="E33" i="77" l="1"/>
  <c r="J14" i="77" l="1"/>
  <c r="X5" i="72" l="1"/>
  <c r="X6" i="72"/>
  <c r="X7" i="72"/>
  <c r="X8" i="72"/>
  <c r="X9" i="72"/>
  <c r="X10" i="72"/>
  <c r="X11" i="72"/>
  <c r="X12" i="72"/>
  <c r="X13" i="72"/>
  <c r="X14" i="72"/>
  <c r="X15" i="72"/>
  <c r="X16" i="72"/>
  <c r="X17" i="72"/>
  <c r="X18" i="72"/>
  <c r="X19" i="72"/>
  <c r="X20" i="72"/>
  <c r="X21" i="72"/>
  <c r="X22" i="72"/>
  <c r="X23" i="72"/>
  <c r="X24" i="72"/>
  <c r="X25" i="72"/>
  <c r="X26" i="72"/>
  <c r="X27" i="72"/>
  <c r="X28" i="72"/>
  <c r="X29" i="72"/>
  <c r="X30" i="72"/>
  <c r="X31" i="72"/>
  <c r="X32" i="72"/>
  <c r="X33" i="72"/>
  <c r="X34" i="72"/>
  <c r="X4" i="72"/>
  <c r="S23" i="78" l="1"/>
  <c r="S22" i="78"/>
  <c r="S21" i="78"/>
  <c r="S20" i="78"/>
  <c r="S19" i="78"/>
  <c r="S18" i="78"/>
  <c r="S17" i="78"/>
  <c r="S16" i="78"/>
  <c r="S15" i="78"/>
  <c r="S14" i="78"/>
  <c r="S5" i="78"/>
  <c r="S6" i="78"/>
  <c r="S7" i="78"/>
  <c r="S8" i="78"/>
  <c r="S9" i="78"/>
  <c r="S10" i="78"/>
  <c r="S11" i="78"/>
  <c r="S12" i="78"/>
  <c r="S13" i="78"/>
  <c r="S4" i="78"/>
  <c r="O4" i="78"/>
  <c r="O5" i="78"/>
  <c r="O6" i="78"/>
  <c r="O7" i="78"/>
  <c r="O8" i="78"/>
  <c r="O9" i="78"/>
  <c r="O10" i="78"/>
  <c r="O11" i="78"/>
  <c r="O12" i="78"/>
  <c r="O13" i="78"/>
  <c r="O14" i="78"/>
  <c r="O15" i="78"/>
  <c r="O16" i="78"/>
  <c r="O17" i="78"/>
  <c r="O18" i="78"/>
  <c r="O19" i="78"/>
  <c r="O20" i="78"/>
  <c r="O21" i="78"/>
  <c r="O22" i="78"/>
  <c r="O23" i="78"/>
  <c r="Q26" i="78"/>
  <c r="R26" i="78"/>
  <c r="S26" i="78" l="1"/>
  <c r="O26" i="78"/>
  <c r="R26" i="77" l="1"/>
  <c r="Q26" i="77"/>
  <c r="R29" i="77"/>
  <c r="Q29" i="77"/>
  <c r="R32" i="77"/>
  <c r="Q32" i="77"/>
  <c r="R31" i="77"/>
  <c r="Q31" i="77"/>
  <c r="R30" i="77"/>
  <c r="Q30" i="77"/>
  <c r="S23" i="77"/>
  <c r="O23" i="77"/>
  <c r="S22" i="77"/>
  <c r="O22" i="77"/>
  <c r="S21" i="77"/>
  <c r="O21" i="77"/>
  <c r="S20" i="77"/>
  <c r="O20" i="77"/>
  <c r="S19" i="77"/>
  <c r="O19" i="77"/>
  <c r="S18" i="77"/>
  <c r="O18" i="77"/>
  <c r="S17" i="77"/>
  <c r="O17" i="77"/>
  <c r="S16" i="77"/>
  <c r="O16" i="77"/>
  <c r="S15" i="77"/>
  <c r="O15" i="77"/>
  <c r="S14" i="77"/>
  <c r="O14" i="77"/>
  <c r="S13" i="77"/>
  <c r="O13" i="77"/>
  <c r="S12" i="77"/>
  <c r="O12" i="77"/>
  <c r="S11" i="77"/>
  <c r="O11" i="77"/>
  <c r="S10" i="77"/>
  <c r="O10" i="77"/>
  <c r="S9" i="77"/>
  <c r="O9" i="77"/>
  <c r="S8" i="77"/>
  <c r="O8" i="77"/>
  <c r="S7" i="77"/>
  <c r="O7" i="77"/>
  <c r="S6" i="77"/>
  <c r="O6" i="77"/>
  <c r="S5" i="77"/>
  <c r="O5" i="77"/>
  <c r="S4" i="77"/>
  <c r="O4" i="77"/>
  <c r="S31" i="77" l="1"/>
  <c r="S30" i="77"/>
  <c r="S29" i="77"/>
  <c r="R33" i="77"/>
  <c r="S32" i="77"/>
  <c r="S26" i="77"/>
  <c r="Q33" i="77"/>
  <c r="S33" i="77" l="1"/>
  <c r="R32" i="1" l="1"/>
  <c r="I32" i="1"/>
  <c r="E32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4" i="1"/>
  <c r="L26" i="77" l="1"/>
  <c r="L31" i="77"/>
  <c r="R30" i="78"/>
  <c r="R31" i="78"/>
  <c r="R32" i="78"/>
  <c r="R29" i="78"/>
  <c r="Q30" i="78"/>
  <c r="S30" i="78" s="1"/>
  <c r="Q31" i="78"/>
  <c r="Q32" i="78"/>
  <c r="Q29" i="78"/>
  <c r="S31" i="78" l="1"/>
  <c r="S29" i="78"/>
  <c r="S32" i="78"/>
  <c r="J22" i="77" l="1"/>
  <c r="O22" i="1" l="1"/>
  <c r="I29" i="1" l="1"/>
  <c r="I29" i="77"/>
  <c r="I29" i="78"/>
  <c r="J21" i="77" l="1"/>
  <c r="T34" i="71" l="1"/>
  <c r="U34" i="71"/>
  <c r="D36" i="77" l="1"/>
  <c r="E36" i="77" s="1"/>
  <c r="F36" i="77" l="1"/>
  <c r="G36" i="77" s="1"/>
  <c r="H36" i="77" s="1"/>
  <c r="I36" i="77" s="1"/>
  <c r="J36" i="77" s="1"/>
  <c r="K36" i="77" s="1"/>
  <c r="L36" i="77" s="1"/>
  <c r="M36" i="77" s="1"/>
  <c r="N36" i="77" s="1"/>
  <c r="O36" i="77" s="1"/>
  <c r="P36" i="77" s="1"/>
  <c r="Q36" i="77" s="1"/>
  <c r="R36" i="77" s="1"/>
  <c r="S36" i="77" s="1"/>
  <c r="T36" i="77" s="1"/>
  <c r="U36" i="77" s="1"/>
  <c r="V36" i="77" s="1"/>
  <c r="W36" i="77" s="1"/>
  <c r="X36" i="77" s="1"/>
  <c r="Y36" i="77" s="1"/>
  <c r="Z36" i="77" s="1"/>
  <c r="AA36" i="77" s="1"/>
  <c r="AB36" i="77" s="1"/>
  <c r="AC36" i="77" s="1"/>
  <c r="AD36" i="77" s="1"/>
  <c r="I32" i="77"/>
  <c r="I33" i="77" s="1"/>
  <c r="AE36" i="77" l="1"/>
  <c r="AF36" i="77" s="1"/>
  <c r="AG36" i="77" s="1"/>
  <c r="AH36" i="77" s="1"/>
  <c r="AI36" i="77" s="1"/>
  <c r="AJ36" i="77" s="1"/>
  <c r="AK36" i="77" s="1"/>
  <c r="AL36" i="77" s="1"/>
  <c r="AM36" i="77" s="1"/>
  <c r="AN36" i="77" s="1"/>
  <c r="AO36" i="77" s="1"/>
  <c r="AP36" i="77" s="1"/>
  <c r="E33" i="1"/>
  <c r="R26" i="1" l="1"/>
  <c r="Q26" i="1"/>
  <c r="O23" i="1"/>
  <c r="O21" i="1"/>
  <c r="O20" i="1"/>
  <c r="O19" i="1"/>
  <c r="O18" i="1"/>
  <c r="O17" i="1"/>
  <c r="O16" i="1"/>
  <c r="O15" i="1"/>
  <c r="O14" i="1"/>
  <c r="O13" i="1"/>
  <c r="S26" i="1" l="1"/>
  <c r="L31" i="78" l="1"/>
  <c r="D36" i="78"/>
  <c r="E36" i="78" s="1"/>
  <c r="F36" i="78" s="1"/>
  <c r="G36" i="78" s="1"/>
  <c r="H36" i="78" s="1"/>
  <c r="I36" i="78" s="1"/>
  <c r="J36" i="78" s="1"/>
  <c r="K36" i="78" s="1"/>
  <c r="L36" i="78" s="1"/>
  <c r="M36" i="78" s="1"/>
  <c r="N36" i="78" s="1"/>
  <c r="O36" i="78" s="1"/>
  <c r="P36" i="78" s="1"/>
  <c r="Q36" i="78" s="1"/>
  <c r="R36" i="78" s="1"/>
  <c r="S36" i="78" s="1"/>
  <c r="T36" i="78" s="1"/>
  <c r="U36" i="78" s="1"/>
  <c r="V36" i="78" s="1"/>
  <c r="W36" i="78" s="1"/>
  <c r="X36" i="78" s="1"/>
  <c r="Y36" i="78" s="1"/>
  <c r="Z36" i="78" s="1"/>
  <c r="AA36" i="78" s="1"/>
  <c r="AB36" i="78" s="1"/>
  <c r="AC36" i="78" s="1"/>
  <c r="AD36" i="78" s="1"/>
  <c r="AE36" i="78" s="1"/>
  <c r="AF36" i="78" s="1"/>
  <c r="AG36" i="78" s="1"/>
  <c r="AH36" i="78" s="1"/>
  <c r="AI36" i="78" s="1"/>
  <c r="AJ36" i="78" s="1"/>
  <c r="AK36" i="78" s="1"/>
  <c r="AL36" i="78" s="1"/>
  <c r="AM36" i="78" s="1"/>
  <c r="AN36" i="78" s="1"/>
  <c r="AO36" i="78" s="1"/>
  <c r="AP36" i="78" s="1"/>
  <c r="D36" i="1"/>
  <c r="E36" i="1" l="1"/>
  <c r="F36" i="1" s="1"/>
  <c r="G36" i="1" s="1"/>
  <c r="H36" i="1" s="1"/>
  <c r="I36" i="1" s="1"/>
  <c r="J36" i="1" s="1"/>
  <c r="K36" i="1" s="1"/>
  <c r="B34" i="71"/>
  <c r="C34" i="71"/>
  <c r="D34" i="71"/>
  <c r="E34" i="71"/>
  <c r="F34" i="71"/>
  <c r="G34" i="71"/>
  <c r="H34" i="71"/>
  <c r="I34" i="71"/>
  <c r="J34" i="71"/>
  <c r="K34" i="71"/>
  <c r="L34" i="71"/>
  <c r="M34" i="71"/>
  <c r="N34" i="71"/>
  <c r="O34" i="71"/>
  <c r="P34" i="71"/>
  <c r="Q34" i="71"/>
  <c r="R34" i="71"/>
  <c r="S34" i="71"/>
  <c r="X34" i="71" l="1"/>
  <c r="A53" i="79"/>
  <c r="D33" i="79"/>
  <c r="R29" i="79"/>
  <c r="Q29" i="79"/>
  <c r="E29" i="79"/>
  <c r="R28" i="79"/>
  <c r="Q28" i="79"/>
  <c r="I28" i="79"/>
  <c r="E28" i="79"/>
  <c r="R27" i="79"/>
  <c r="Q27" i="79"/>
  <c r="I27" i="79"/>
  <c r="E27" i="79"/>
  <c r="R26" i="79"/>
  <c r="Q26" i="79"/>
  <c r="I26" i="79"/>
  <c r="E26" i="79"/>
  <c r="R23" i="79"/>
  <c r="Q23" i="79"/>
  <c r="E23" i="79"/>
  <c r="O22" i="79"/>
  <c r="L22" i="79"/>
  <c r="O21" i="79"/>
  <c r="L21" i="79"/>
  <c r="O20" i="79"/>
  <c r="L20" i="79"/>
  <c r="O19" i="79"/>
  <c r="L19" i="79"/>
  <c r="O18" i="79"/>
  <c r="L18" i="79"/>
  <c r="O17" i="79"/>
  <c r="L17" i="79"/>
  <c r="O16" i="79"/>
  <c r="O15" i="79"/>
  <c r="L15" i="79"/>
  <c r="O14" i="79"/>
  <c r="L14" i="79"/>
  <c r="O13" i="79"/>
  <c r="L13" i="79"/>
  <c r="O12" i="79"/>
  <c r="L12" i="79"/>
  <c r="O11" i="79"/>
  <c r="L11" i="79"/>
  <c r="O10" i="79"/>
  <c r="L10" i="79"/>
  <c r="O9" i="79"/>
  <c r="L9" i="79"/>
  <c r="O8" i="79"/>
  <c r="L8" i="79"/>
  <c r="O7" i="79"/>
  <c r="L7" i="79"/>
  <c r="O6" i="79"/>
  <c r="L6" i="79"/>
  <c r="O5" i="79"/>
  <c r="L5" i="79"/>
  <c r="O4" i="79"/>
  <c r="L4" i="79"/>
  <c r="T1" i="79"/>
  <c r="R30" i="79" l="1"/>
  <c r="O27" i="79"/>
  <c r="Q30" i="79"/>
  <c r="L26" i="79"/>
  <c r="I29" i="79"/>
  <c r="I30" i="79" s="1"/>
  <c r="L16" i="79"/>
  <c r="L23" i="79" s="1"/>
  <c r="I23" i="79"/>
  <c r="L28" i="79"/>
  <c r="E33" i="79"/>
  <c r="O29" i="79"/>
  <c r="L27" i="79"/>
  <c r="O23" i="79"/>
  <c r="E30" i="79"/>
  <c r="O26" i="79"/>
  <c r="O28" i="79"/>
  <c r="L29" i="79" l="1"/>
  <c r="L30" i="79" s="1"/>
  <c r="O30" i="79"/>
  <c r="F33" i="79"/>
  <c r="G33" i="79" l="1"/>
  <c r="H33" i="79" l="1"/>
  <c r="J11" i="77"/>
  <c r="I33" i="79" l="1"/>
  <c r="J33" i="79" l="1"/>
  <c r="O12" i="1"/>
  <c r="O11" i="1"/>
  <c r="O10" i="1"/>
  <c r="O9" i="1"/>
  <c r="O8" i="1"/>
  <c r="O7" i="1"/>
  <c r="O6" i="1"/>
  <c r="O5" i="1"/>
  <c r="O4" i="1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H33" i="80"/>
  <c r="G33" i="80"/>
  <c r="F33" i="80"/>
  <c r="E33" i="80"/>
  <c r="D33" i="80"/>
  <c r="C33" i="80"/>
  <c r="A3" i="80"/>
  <c r="O31" i="1" l="1"/>
  <c r="O29" i="77"/>
  <c r="O29" i="1"/>
  <c r="K33" i="79"/>
  <c r="A4" i="80"/>
  <c r="L33" i="79" l="1"/>
  <c r="A5" i="80"/>
  <c r="M33" i="79" l="1"/>
  <c r="N33" i="79" s="1"/>
  <c r="O33" i="79" s="1"/>
  <c r="P33" i="79" s="1"/>
  <c r="Q33" i="79" s="1"/>
  <c r="R33" i="79" s="1"/>
  <c r="S33" i="79" s="1"/>
  <c r="T33" i="79" s="1"/>
  <c r="U33" i="79" s="1"/>
  <c r="V33" i="79" s="1"/>
  <c r="W33" i="79" s="1"/>
  <c r="X33" i="79" s="1"/>
  <c r="Y33" i="79" s="1"/>
  <c r="Z33" i="79" s="1"/>
  <c r="AA33" i="79" s="1"/>
  <c r="AB33" i="79" s="1"/>
  <c r="AC33" i="79" s="1"/>
  <c r="AD33" i="79" s="1"/>
  <c r="AE33" i="79" s="1"/>
  <c r="AF33" i="79" s="1"/>
  <c r="AG33" i="79" s="1"/>
  <c r="AH33" i="79" s="1"/>
  <c r="AI33" i="79" s="1"/>
  <c r="AJ33" i="79" s="1"/>
  <c r="AK33" i="79" s="1"/>
  <c r="AL33" i="79" s="1"/>
  <c r="AM33" i="79" s="1"/>
  <c r="AN33" i="79" s="1"/>
  <c r="AO33" i="79" s="1"/>
  <c r="AP33" i="79" s="1"/>
  <c r="D13" i="79"/>
  <c r="F13" i="79" s="1"/>
  <c r="D16" i="79"/>
  <c r="F16" i="79" s="1"/>
  <c r="D19" i="79"/>
  <c r="F19" i="79" s="1"/>
  <c r="D10" i="79"/>
  <c r="D8" i="79"/>
  <c r="F8" i="79" s="1"/>
  <c r="D9" i="79"/>
  <c r="F9" i="79" s="1"/>
  <c r="D4" i="79"/>
  <c r="A6" i="80"/>
  <c r="O31" i="78"/>
  <c r="O30" i="78"/>
  <c r="O29" i="78"/>
  <c r="O31" i="77"/>
  <c r="R30" i="1"/>
  <c r="R29" i="1"/>
  <c r="Q32" i="1"/>
  <c r="S32" i="1" s="1"/>
  <c r="Q30" i="1"/>
  <c r="Q29" i="1"/>
  <c r="O32" i="1"/>
  <c r="S29" i="1" l="1"/>
  <c r="D21" i="79"/>
  <c r="F21" i="79" s="1"/>
  <c r="D17" i="79"/>
  <c r="F17" i="79" s="1"/>
  <c r="S30" i="1"/>
  <c r="S31" i="1"/>
  <c r="R33" i="1"/>
  <c r="O33" i="1"/>
  <c r="A7" i="80"/>
  <c r="D14" i="79"/>
  <c r="F14" i="79" s="1"/>
  <c r="D12" i="79"/>
  <c r="F12" i="79" s="1"/>
  <c r="D6" i="79"/>
  <c r="F6" i="79" s="1"/>
  <c r="D11" i="79"/>
  <c r="F11" i="79" s="1"/>
  <c r="D5" i="79"/>
  <c r="F5" i="79" s="1"/>
  <c r="D22" i="79"/>
  <c r="F22" i="79" s="1"/>
  <c r="D18" i="79"/>
  <c r="F18" i="79" s="1"/>
  <c r="D20" i="79"/>
  <c r="F20" i="79" s="1"/>
  <c r="D7" i="79"/>
  <c r="F7" i="79" s="1"/>
  <c r="F4" i="79"/>
  <c r="D15" i="79"/>
  <c r="F15" i="79" s="1"/>
  <c r="F10" i="79"/>
  <c r="R33" i="78"/>
  <c r="Q33" i="78"/>
  <c r="Q33" i="1"/>
  <c r="S33" i="1" s="1"/>
  <c r="I32" i="78"/>
  <c r="S33" i="78" l="1"/>
  <c r="I33" i="78"/>
  <c r="D26" i="79"/>
  <c r="F26" i="79" s="1"/>
  <c r="D29" i="79"/>
  <c r="F29" i="79" s="1"/>
  <c r="D28" i="79"/>
  <c r="F28" i="79" s="1"/>
  <c r="A8" i="80"/>
  <c r="D27" i="79"/>
  <c r="F27" i="79" s="1"/>
  <c r="D23" i="79"/>
  <c r="F23" i="79" s="1"/>
  <c r="A9" i="80" l="1"/>
  <c r="D30" i="79"/>
  <c r="F30" i="79" s="1"/>
  <c r="A10" i="80" l="1"/>
  <c r="J23" i="77"/>
  <c r="O26" i="1"/>
  <c r="A11" i="80" l="1"/>
  <c r="A12" i="80" l="1"/>
  <c r="J7" i="77"/>
  <c r="A13" i="80" l="1"/>
  <c r="I33" i="72"/>
  <c r="A14" i="80" l="1"/>
  <c r="B34" i="72"/>
  <c r="C34" i="72"/>
  <c r="D34" i="72"/>
  <c r="E34" i="72"/>
  <c r="F34" i="72"/>
  <c r="G34" i="72"/>
  <c r="H34" i="72"/>
  <c r="A15" i="80" l="1"/>
  <c r="A16" i="80" l="1"/>
  <c r="A17" i="80" l="1"/>
  <c r="A37" i="71"/>
  <c r="A18" i="80" l="1"/>
  <c r="A19" i="80" l="1"/>
  <c r="L36" i="1"/>
  <c r="A20" i="80" l="1"/>
  <c r="M36" i="1"/>
  <c r="N36" i="1" s="1"/>
  <c r="A21" i="80" l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N26" i="1"/>
  <c r="P26" i="1" s="1"/>
  <c r="J19" i="77"/>
  <c r="J18" i="77"/>
  <c r="J13" i="77"/>
  <c r="J12" i="77"/>
  <c r="J10" i="77"/>
  <c r="J9" i="77"/>
  <c r="N24" i="1" l="1"/>
  <c r="P24" i="1" s="1"/>
  <c r="N26" i="77"/>
  <c r="P26" i="77" s="1"/>
  <c r="N23" i="1"/>
  <c r="P23" i="1" s="1"/>
  <c r="N6" i="78"/>
  <c r="P6" i="78" s="1"/>
  <c r="N10" i="77"/>
  <c r="P10" i="77" s="1"/>
  <c r="N16" i="78"/>
  <c r="P16" i="78" s="1"/>
  <c r="N18" i="78"/>
  <c r="P18" i="78" s="1"/>
  <c r="N10" i="78"/>
  <c r="P10" i="78" s="1"/>
  <c r="N14" i="77"/>
  <c r="P14" i="77" s="1"/>
  <c r="N23" i="78"/>
  <c r="P23" i="78" s="1"/>
  <c r="N11" i="78"/>
  <c r="P11" i="78" s="1"/>
  <c r="N5" i="77"/>
  <c r="P5" i="77" s="1"/>
  <c r="N9" i="78"/>
  <c r="P9" i="78" s="1"/>
  <c r="N14" i="78"/>
  <c r="P14" i="78" s="1"/>
  <c r="N12" i="78"/>
  <c r="P12" i="78" s="1"/>
  <c r="N15" i="78"/>
  <c r="P15" i="78" s="1"/>
  <c r="N19" i="78"/>
  <c r="P19" i="78" s="1"/>
  <c r="N4" i="78"/>
  <c r="N7" i="77"/>
  <c r="P7" i="77" s="1"/>
  <c r="N13" i="77"/>
  <c r="P13" i="77" s="1"/>
  <c r="N5" i="78"/>
  <c r="P5" i="78" s="1"/>
  <c r="N12" i="77"/>
  <c r="P12" i="77" s="1"/>
  <c r="N21" i="78"/>
  <c r="P21" i="78" s="1"/>
  <c r="N17" i="78"/>
  <c r="P17" i="78" s="1"/>
  <c r="N7" i="78"/>
  <c r="P7" i="78" s="1"/>
  <c r="N22" i="78"/>
  <c r="P22" i="78" s="1"/>
  <c r="N13" i="78"/>
  <c r="P13" i="78" s="1"/>
  <c r="N4" i="77"/>
  <c r="P4" i="77" s="1"/>
  <c r="N20" i="78"/>
  <c r="P20" i="78" s="1"/>
  <c r="N11" i="77"/>
  <c r="P11" i="77" s="1"/>
  <c r="N8" i="77"/>
  <c r="P8" i="77" s="1"/>
  <c r="N8" i="78"/>
  <c r="P8" i="78" s="1"/>
  <c r="N9" i="77"/>
  <c r="P9" i="77" s="1"/>
  <c r="N4" i="1"/>
  <c r="N6" i="77"/>
  <c r="P6" i="77" s="1"/>
  <c r="N15" i="77"/>
  <c r="P15" i="77" s="1"/>
  <c r="N16" i="77"/>
  <c r="P16" i="77" s="1"/>
  <c r="N17" i="77"/>
  <c r="P17" i="77" s="1"/>
  <c r="N18" i="77"/>
  <c r="P18" i="77" s="1"/>
  <c r="N19" i="77"/>
  <c r="P19" i="77" s="1"/>
  <c r="N20" i="77"/>
  <c r="P20" i="77" s="1"/>
  <c r="N22" i="77"/>
  <c r="P22" i="77" s="1"/>
  <c r="N21" i="77"/>
  <c r="P21" i="77" s="1"/>
  <c r="N23" i="77"/>
  <c r="P23" i="77" s="1"/>
  <c r="N22" i="1"/>
  <c r="P22" i="1" s="1"/>
  <c r="N14" i="1"/>
  <c r="P14" i="1" s="1"/>
  <c r="N13" i="1"/>
  <c r="P13" i="1" s="1"/>
  <c r="N15" i="1"/>
  <c r="P15" i="1" s="1"/>
  <c r="N16" i="1"/>
  <c r="P16" i="1" s="1"/>
  <c r="N6" i="1"/>
  <c r="P6" i="1" s="1"/>
  <c r="N5" i="1"/>
  <c r="N7" i="1"/>
  <c r="P7" i="1" s="1"/>
  <c r="N9" i="1"/>
  <c r="P9" i="1" s="1"/>
  <c r="N10" i="1"/>
  <c r="N8" i="1"/>
  <c r="P8" i="1" s="1"/>
  <c r="N11" i="1"/>
  <c r="N12" i="1"/>
  <c r="P12" i="1" s="1"/>
  <c r="N17" i="1"/>
  <c r="P17" i="1" s="1"/>
  <c r="N14" i="79"/>
  <c r="P14" i="79" s="1"/>
  <c r="N19" i="79"/>
  <c r="P19" i="79" s="1"/>
  <c r="N22" i="79"/>
  <c r="P22" i="79" s="1"/>
  <c r="N15" i="79"/>
  <c r="P15" i="79" s="1"/>
  <c r="N10" i="79"/>
  <c r="N4" i="79"/>
  <c r="N20" i="79"/>
  <c r="P20" i="79" s="1"/>
  <c r="N7" i="79"/>
  <c r="P7" i="79" s="1"/>
  <c r="N18" i="1"/>
  <c r="P18" i="1" s="1"/>
  <c r="N8" i="79"/>
  <c r="P8" i="79" s="1"/>
  <c r="N16" i="79"/>
  <c r="P16" i="79" s="1"/>
  <c r="N13" i="79"/>
  <c r="P13" i="79" s="1"/>
  <c r="N12" i="79"/>
  <c r="P12" i="79" s="1"/>
  <c r="N17" i="79"/>
  <c r="P17" i="79" s="1"/>
  <c r="N6" i="79"/>
  <c r="P6" i="79" s="1"/>
  <c r="N21" i="79"/>
  <c r="P21" i="79" s="1"/>
  <c r="N5" i="79"/>
  <c r="N9" i="79"/>
  <c r="P9" i="79" s="1"/>
  <c r="N11" i="79"/>
  <c r="N18" i="79"/>
  <c r="P18" i="79" s="1"/>
  <c r="N19" i="1"/>
  <c r="P19" i="1" s="1"/>
  <c r="N20" i="1"/>
  <c r="P20" i="1" s="1"/>
  <c r="N21" i="1"/>
  <c r="P21" i="1" s="1"/>
  <c r="O36" i="1"/>
  <c r="N26" i="78" l="1"/>
  <c r="P26" i="78" s="1"/>
  <c r="P4" i="78"/>
  <c r="P36" i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P5" i="79"/>
  <c r="N29" i="79"/>
  <c r="P29" i="79" s="1"/>
  <c r="P5" i="1"/>
  <c r="N32" i="1"/>
  <c r="P32" i="1" s="1"/>
  <c r="P4" i="1"/>
  <c r="N29" i="1"/>
  <c r="N30" i="78"/>
  <c r="P30" i="78" s="1"/>
  <c r="N31" i="77"/>
  <c r="P31" i="77" s="1"/>
  <c r="P4" i="79"/>
  <c r="N26" i="79"/>
  <c r="N23" i="79"/>
  <c r="P23" i="79" s="1"/>
  <c r="N29" i="78"/>
  <c r="N32" i="78"/>
  <c r="P11" i="79"/>
  <c r="N28" i="79"/>
  <c r="P28" i="79" s="1"/>
  <c r="N30" i="77"/>
  <c r="P30" i="77" s="1"/>
  <c r="P11" i="1"/>
  <c r="N31" i="1"/>
  <c r="P31" i="1" s="1"/>
  <c r="P10" i="1"/>
  <c r="N30" i="1"/>
  <c r="P30" i="1" s="1"/>
  <c r="N27" i="79"/>
  <c r="P27" i="79" s="1"/>
  <c r="P10" i="79"/>
  <c r="N32" i="77"/>
  <c r="N33" i="77"/>
  <c r="P33" i="77"/>
  <c r="N29" i="77"/>
  <c r="P29" i="77" s="1"/>
  <c r="N31" i="78"/>
  <c r="P31" i="78" s="1"/>
  <c r="N30" i="79" l="1"/>
  <c r="P30" i="79" s="1"/>
  <c r="P26" i="79"/>
  <c r="P29" i="78"/>
  <c r="N33" i="78"/>
  <c r="P29" i="1"/>
  <c r="N33" i="1"/>
  <c r="P33" i="1" s="1"/>
  <c r="AI36" i="1" l="1"/>
  <c r="AJ36" i="1" l="1"/>
  <c r="AK36" i="1" s="1"/>
  <c r="AL36" i="1" s="1"/>
  <c r="AM36" i="1" s="1"/>
  <c r="D20" i="1" s="1"/>
  <c r="D25" i="1" l="1"/>
  <c r="F25" i="1" s="1"/>
  <c r="D15" i="1"/>
  <c r="D14" i="1"/>
  <c r="D18" i="1"/>
  <c r="D4" i="1"/>
  <c r="D22" i="1"/>
  <c r="F22" i="1" s="1"/>
  <c r="D19" i="1"/>
  <c r="D17" i="1"/>
  <c r="D5" i="1"/>
  <c r="D10" i="1"/>
  <c r="D8" i="1"/>
  <c r="D16" i="1"/>
  <c r="D6" i="1"/>
  <c r="D13" i="1"/>
  <c r="D7" i="1"/>
  <c r="D11" i="1"/>
  <c r="D9" i="1"/>
  <c r="D21" i="1"/>
  <c r="D12" i="1"/>
  <c r="D23" i="1"/>
  <c r="F23" i="1" s="1"/>
  <c r="D24" i="1"/>
  <c r="F24" i="1" s="1"/>
  <c r="AN36" i="1"/>
  <c r="AO36" i="1" s="1"/>
  <c r="AP36" i="1" s="1"/>
  <c r="D29" i="1" l="1"/>
  <c r="D26" i="1"/>
  <c r="A4" i="72"/>
  <c r="A4" i="71"/>
  <c r="A5" i="71" l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5" i="72"/>
  <c r="A6" i="72" s="1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59" i="78"/>
  <c r="W35" i="71" l="1"/>
  <c r="D19" i="78"/>
  <c r="F19" i="78" s="1"/>
  <c r="D23" i="78"/>
  <c r="F23" i="78" s="1"/>
  <c r="D25" i="78"/>
  <c r="F25" i="78" s="1"/>
  <c r="D18" i="78"/>
  <c r="F18" i="78" s="1"/>
  <c r="D20" i="78"/>
  <c r="F20" i="78" s="1"/>
  <c r="D24" i="78"/>
  <c r="F24" i="78" s="1"/>
  <c r="D17" i="78"/>
  <c r="F17" i="78" s="1"/>
  <c r="D21" i="78"/>
  <c r="F21" i="78" s="1"/>
  <c r="D22" i="78"/>
  <c r="F22" i="78" s="1"/>
  <c r="D16" i="78"/>
  <c r="F16" i="78" s="1"/>
  <c r="D14" i="78"/>
  <c r="F14" i="78" s="1"/>
  <c r="D15" i="78"/>
  <c r="F15" i="78" s="1"/>
  <c r="D4" i="78"/>
  <c r="F4" i="78" s="1"/>
  <c r="D7" i="78"/>
  <c r="F7" i="78" s="1"/>
  <c r="D11" i="78"/>
  <c r="F11" i="78" s="1"/>
  <c r="D8" i="78"/>
  <c r="F8" i="78" s="1"/>
  <c r="D12" i="78"/>
  <c r="F12" i="78" s="1"/>
  <c r="D5" i="78"/>
  <c r="D9" i="78"/>
  <c r="F9" i="78" s="1"/>
  <c r="D13" i="78"/>
  <c r="F13" i="78" s="1"/>
  <c r="D6" i="78"/>
  <c r="F6" i="78" s="1"/>
  <c r="D10" i="78"/>
  <c r="F10" i="78" s="1"/>
  <c r="V35" i="71"/>
  <c r="C24" i="77" s="1"/>
  <c r="T35" i="71"/>
  <c r="U35" i="71"/>
  <c r="L35" i="71"/>
  <c r="K35" i="71"/>
  <c r="G35" i="71"/>
  <c r="F35" i="71"/>
  <c r="N35" i="71"/>
  <c r="H35" i="71"/>
  <c r="R35" i="71"/>
  <c r="I35" i="71"/>
  <c r="C35" i="71"/>
  <c r="S35" i="71"/>
  <c r="J35" i="71"/>
  <c r="D35" i="71"/>
  <c r="M35" i="71"/>
  <c r="Q35" i="71"/>
  <c r="O35" i="71"/>
  <c r="B35" i="71"/>
  <c r="P35" i="71"/>
  <c r="E35" i="71"/>
  <c r="A59" i="77"/>
  <c r="D25" i="77" s="1"/>
  <c r="F25" i="77" s="1"/>
  <c r="C25" i="78" l="1"/>
  <c r="C25" i="1"/>
  <c r="C25" i="77"/>
  <c r="D26" i="78"/>
  <c r="F5" i="78"/>
  <c r="D29" i="78"/>
  <c r="C24" i="1"/>
  <c r="G24" i="1" s="1"/>
  <c r="C24" i="78"/>
  <c r="G24" i="78" s="1"/>
  <c r="G24" i="77"/>
  <c r="K24" i="77"/>
  <c r="M24" i="77" s="1"/>
  <c r="D24" i="77"/>
  <c r="F24" i="77" s="1"/>
  <c r="X35" i="71"/>
  <c r="D31" i="78"/>
  <c r="F31" i="78" s="1"/>
  <c r="G14" i="78"/>
  <c r="C21" i="78"/>
  <c r="C15" i="78"/>
  <c r="G15" i="78" s="1"/>
  <c r="C23" i="77"/>
  <c r="G23" i="77" s="1"/>
  <c r="C19" i="78"/>
  <c r="C22" i="1"/>
  <c r="G22" i="1" s="1"/>
  <c r="F14" i="77"/>
  <c r="D15" i="77"/>
  <c r="F15" i="77" s="1"/>
  <c r="D4" i="77"/>
  <c r="D5" i="77"/>
  <c r="D6" i="77"/>
  <c r="F6" i="77" s="1"/>
  <c r="D10" i="77"/>
  <c r="F10" i="77" s="1"/>
  <c r="D19" i="77"/>
  <c r="F19" i="77" s="1"/>
  <c r="D23" i="77"/>
  <c r="F23" i="77" s="1"/>
  <c r="D7" i="77"/>
  <c r="F7" i="77" s="1"/>
  <c r="D11" i="77"/>
  <c r="D16" i="77"/>
  <c r="F16" i="77" s="1"/>
  <c r="D20" i="77"/>
  <c r="F20" i="77" s="1"/>
  <c r="D8" i="77"/>
  <c r="F8" i="77" s="1"/>
  <c r="D12" i="77"/>
  <c r="F12" i="77" s="1"/>
  <c r="F17" i="77"/>
  <c r="D21" i="77"/>
  <c r="F21" i="77" s="1"/>
  <c r="D9" i="77"/>
  <c r="F9" i="77" s="1"/>
  <c r="D13" i="77"/>
  <c r="F13" i="77" s="1"/>
  <c r="D18" i="77"/>
  <c r="F18" i="77" s="1"/>
  <c r="D22" i="77"/>
  <c r="F22" i="77" s="1"/>
  <c r="D32" i="78"/>
  <c r="C22" i="78"/>
  <c r="C22" i="77"/>
  <c r="G22" i="77" s="1"/>
  <c r="C23" i="1"/>
  <c r="G23" i="1" s="1"/>
  <c r="C23" i="78"/>
  <c r="C16" i="77"/>
  <c r="G16" i="77" s="1"/>
  <c r="F6" i="1"/>
  <c r="F14" i="1"/>
  <c r="F18" i="1"/>
  <c r="F7" i="1"/>
  <c r="F15" i="1"/>
  <c r="F19" i="1"/>
  <c r="F8" i="1"/>
  <c r="F12" i="1"/>
  <c r="F16" i="1"/>
  <c r="F20" i="1"/>
  <c r="F13" i="1"/>
  <c r="F17" i="1"/>
  <c r="F21" i="1"/>
  <c r="C20" i="78"/>
  <c r="C20" i="1"/>
  <c r="C22" i="79"/>
  <c r="K22" i="79" s="1"/>
  <c r="M22" i="79" s="1"/>
  <c r="F30" i="78"/>
  <c r="G25" i="77" l="1"/>
  <c r="K25" i="77"/>
  <c r="M25" i="77" s="1"/>
  <c r="K25" i="1"/>
  <c r="M25" i="1" s="1"/>
  <c r="G25" i="1"/>
  <c r="K25" i="78"/>
  <c r="M25" i="78" s="1"/>
  <c r="G25" i="78"/>
  <c r="K24" i="78"/>
  <c r="M24" i="78" s="1"/>
  <c r="K24" i="1"/>
  <c r="M24" i="1" s="1"/>
  <c r="F5" i="77"/>
  <c r="D32" i="77"/>
  <c r="G20" i="78"/>
  <c r="G22" i="78"/>
  <c r="K22" i="78"/>
  <c r="M22" i="78" s="1"/>
  <c r="G21" i="78"/>
  <c r="K21" i="78"/>
  <c r="G23" i="78"/>
  <c r="K23" i="78"/>
  <c r="M23" i="78" s="1"/>
  <c r="G19" i="78"/>
  <c r="K19" i="78"/>
  <c r="D31" i="1"/>
  <c r="F31" i="1" s="1"/>
  <c r="G14" i="77"/>
  <c r="K14" i="77"/>
  <c r="M14" i="77" s="1"/>
  <c r="F11" i="77"/>
  <c r="D31" i="77"/>
  <c r="F4" i="77"/>
  <c r="D26" i="77"/>
  <c r="K22" i="1"/>
  <c r="M22" i="1" s="1"/>
  <c r="D32" i="1"/>
  <c r="F32" i="1" s="1"/>
  <c r="K22" i="77"/>
  <c r="M22" i="77" s="1"/>
  <c r="D29" i="77"/>
  <c r="D33" i="78"/>
  <c r="L26" i="78"/>
  <c r="F26" i="78"/>
  <c r="K23" i="1"/>
  <c r="M23" i="1" s="1"/>
  <c r="K23" i="77"/>
  <c r="M23" i="77" s="1"/>
  <c r="G22" i="79"/>
  <c r="F29" i="78"/>
  <c r="F11" i="1"/>
  <c r="F10" i="1"/>
  <c r="F5" i="1"/>
  <c r="F9" i="1"/>
  <c r="F4" i="1"/>
  <c r="A37" i="72"/>
  <c r="B35" i="72" s="1"/>
  <c r="H6" i="77" s="1"/>
  <c r="C21" i="79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10" i="72"/>
  <c r="I9" i="72"/>
  <c r="I8" i="72"/>
  <c r="I7" i="72"/>
  <c r="I6" i="72"/>
  <c r="I5" i="72"/>
  <c r="I4" i="72"/>
  <c r="I3" i="72"/>
  <c r="H31" i="77" l="1"/>
  <c r="H6" i="78"/>
  <c r="H6" i="1"/>
  <c r="H31" i="1" s="1"/>
  <c r="F32" i="78"/>
  <c r="E33" i="78"/>
  <c r="F33" i="78" s="1"/>
  <c r="D33" i="1"/>
  <c r="F33" i="1" s="1"/>
  <c r="O32" i="77"/>
  <c r="L33" i="77"/>
  <c r="O32" i="78"/>
  <c r="L32" i="78"/>
  <c r="L33" i="78" s="1"/>
  <c r="G35" i="72"/>
  <c r="C35" i="72"/>
  <c r="H15" i="77" s="1"/>
  <c r="F35" i="72"/>
  <c r="H16" i="77" s="1"/>
  <c r="I35" i="72"/>
  <c r="E35" i="72"/>
  <c r="H5" i="78" s="1"/>
  <c r="H35" i="72"/>
  <c r="D35" i="72"/>
  <c r="H8" i="77" s="1"/>
  <c r="G21" i="79"/>
  <c r="K21" i="79"/>
  <c r="M21" i="79" s="1"/>
  <c r="I34" i="72"/>
  <c r="F29" i="1"/>
  <c r="C21" i="1"/>
  <c r="C21" i="77"/>
  <c r="G21" i="77" s="1"/>
  <c r="C8" i="79"/>
  <c r="C16" i="79"/>
  <c r="C11" i="79"/>
  <c r="C18" i="79"/>
  <c r="C10" i="79"/>
  <c r="C5" i="79"/>
  <c r="C12" i="79"/>
  <c r="C14" i="79"/>
  <c r="C13" i="79"/>
  <c r="C4" i="79"/>
  <c r="C20" i="79"/>
  <c r="C9" i="79"/>
  <c r="C6" i="79"/>
  <c r="C15" i="79"/>
  <c r="C19" i="79"/>
  <c r="C17" i="79"/>
  <c r="C7" i="79"/>
  <c r="H4" i="77" l="1"/>
  <c r="H4" i="78"/>
  <c r="J15" i="77"/>
  <c r="H20" i="78"/>
  <c r="J20" i="77"/>
  <c r="H16" i="1"/>
  <c r="J16" i="77"/>
  <c r="H5" i="1"/>
  <c r="H5" i="77"/>
  <c r="H4" i="1"/>
  <c r="H8" i="1"/>
  <c r="H20" i="1"/>
  <c r="H15" i="1"/>
  <c r="H15" i="78"/>
  <c r="J15" i="78" s="1"/>
  <c r="H31" i="78"/>
  <c r="H8" i="78"/>
  <c r="J8" i="78" s="1"/>
  <c r="H16" i="78"/>
  <c r="J16" i="78" s="1"/>
  <c r="P32" i="77"/>
  <c r="O33" i="77"/>
  <c r="J31" i="1"/>
  <c r="J30" i="1"/>
  <c r="H5" i="79"/>
  <c r="K5" i="79" s="1"/>
  <c r="H4" i="79"/>
  <c r="K4" i="79" s="1"/>
  <c r="O33" i="78"/>
  <c r="P33" i="78" s="1"/>
  <c r="P32" i="78"/>
  <c r="H16" i="79"/>
  <c r="J16" i="79" s="1"/>
  <c r="C26" i="79"/>
  <c r="G4" i="79"/>
  <c r="C23" i="79"/>
  <c r="G23" i="79" s="1"/>
  <c r="G16" i="79"/>
  <c r="G6" i="79"/>
  <c r="K10" i="79"/>
  <c r="C27" i="79"/>
  <c r="G27" i="79" s="1"/>
  <c r="G10" i="79"/>
  <c r="H8" i="79"/>
  <c r="J8" i="79" s="1"/>
  <c r="H15" i="79"/>
  <c r="G17" i="79"/>
  <c r="K17" i="79"/>
  <c r="M17" i="79" s="1"/>
  <c r="K9" i="79"/>
  <c r="M9" i="79" s="1"/>
  <c r="G9" i="79"/>
  <c r="K14" i="79"/>
  <c r="M14" i="79" s="1"/>
  <c r="G14" i="79"/>
  <c r="G18" i="79"/>
  <c r="K18" i="79"/>
  <c r="M18" i="79" s="1"/>
  <c r="G15" i="79"/>
  <c r="C29" i="79"/>
  <c r="G29" i="79" s="1"/>
  <c r="G5" i="79"/>
  <c r="H20" i="79"/>
  <c r="J20" i="79" s="1"/>
  <c r="K7" i="79"/>
  <c r="M7" i="79" s="1"/>
  <c r="G7" i="79"/>
  <c r="K13" i="79"/>
  <c r="M13" i="79" s="1"/>
  <c r="G13" i="79"/>
  <c r="H6" i="79"/>
  <c r="G19" i="79"/>
  <c r="K19" i="79"/>
  <c r="M19" i="79" s="1"/>
  <c r="G20" i="79"/>
  <c r="K12" i="79"/>
  <c r="M12" i="79" s="1"/>
  <c r="G12" i="79"/>
  <c r="K11" i="79"/>
  <c r="C28" i="79"/>
  <c r="G28" i="79" s="1"/>
  <c r="G11" i="79"/>
  <c r="G8" i="79"/>
  <c r="M21" i="78"/>
  <c r="C4" i="1"/>
  <c r="K21" i="77"/>
  <c r="M21" i="77" s="1"/>
  <c r="G21" i="1"/>
  <c r="K21" i="1"/>
  <c r="M21" i="1" s="1"/>
  <c r="C8" i="1"/>
  <c r="G8" i="1" s="1"/>
  <c r="C8" i="78"/>
  <c r="G8" i="78" s="1"/>
  <c r="J17" i="77"/>
  <c r="C11" i="78"/>
  <c r="C7" i="78"/>
  <c r="G7" i="78" s="1"/>
  <c r="C6" i="78"/>
  <c r="G6" i="78" s="1"/>
  <c r="C13" i="78"/>
  <c r="G13" i="78" s="1"/>
  <c r="C5" i="78"/>
  <c r="G5" i="78" s="1"/>
  <c r="C16" i="78"/>
  <c r="C10" i="78"/>
  <c r="G10" i="78" s="1"/>
  <c r="C18" i="78"/>
  <c r="C12" i="78"/>
  <c r="G12" i="78" s="1"/>
  <c r="C9" i="78"/>
  <c r="G9" i="78" s="1"/>
  <c r="C4" i="77"/>
  <c r="C4" i="78"/>
  <c r="C15" i="1"/>
  <c r="G15" i="1" s="1"/>
  <c r="C15" i="77"/>
  <c r="C11" i="1"/>
  <c r="C11" i="77"/>
  <c r="C7" i="1"/>
  <c r="C7" i="77"/>
  <c r="G7" i="77" s="1"/>
  <c r="C6" i="1"/>
  <c r="G6" i="1" s="1"/>
  <c r="C6" i="77"/>
  <c r="G6" i="77" s="1"/>
  <c r="C13" i="1"/>
  <c r="K13" i="1" s="1"/>
  <c r="C13" i="77"/>
  <c r="G13" i="77" s="1"/>
  <c r="C5" i="1"/>
  <c r="C5" i="77"/>
  <c r="C16" i="1"/>
  <c r="G16" i="1" s="1"/>
  <c r="C12" i="1"/>
  <c r="G12" i="1" s="1"/>
  <c r="C12" i="77"/>
  <c r="G12" i="77" s="1"/>
  <c r="G17" i="1"/>
  <c r="G17" i="77"/>
  <c r="C9" i="1"/>
  <c r="C9" i="77"/>
  <c r="G9" i="77" s="1"/>
  <c r="G14" i="1"/>
  <c r="C10" i="1"/>
  <c r="C10" i="77"/>
  <c r="G10" i="77" s="1"/>
  <c r="C8" i="77"/>
  <c r="G8" i="77" s="1"/>
  <c r="C19" i="1"/>
  <c r="G19" i="1" s="1"/>
  <c r="C19" i="77"/>
  <c r="G19" i="77" s="1"/>
  <c r="G20" i="1"/>
  <c r="C20" i="77"/>
  <c r="G20" i="77" s="1"/>
  <c r="C18" i="1"/>
  <c r="G18" i="1" s="1"/>
  <c r="C18" i="77"/>
  <c r="G18" i="77" s="1"/>
  <c r="F26" i="1"/>
  <c r="C29" i="77" l="1"/>
  <c r="C26" i="77"/>
  <c r="G26" i="77" s="1"/>
  <c r="C29" i="78"/>
  <c r="G29" i="78" s="1"/>
  <c r="C31" i="78"/>
  <c r="G31" i="78" s="1"/>
  <c r="C32" i="1"/>
  <c r="G32" i="1" s="1"/>
  <c r="G5" i="77"/>
  <c r="C32" i="77"/>
  <c r="G32" i="77" s="1"/>
  <c r="G16" i="78"/>
  <c r="K16" i="78"/>
  <c r="M16" i="78" s="1"/>
  <c r="G17" i="78"/>
  <c r="K17" i="78"/>
  <c r="M17" i="78" s="1"/>
  <c r="G18" i="78"/>
  <c r="K18" i="78"/>
  <c r="M18" i="78" s="1"/>
  <c r="J20" i="78"/>
  <c r="K20" i="78"/>
  <c r="M20" i="78" s="1"/>
  <c r="C26" i="78"/>
  <c r="G26" i="78" s="1"/>
  <c r="C29" i="1"/>
  <c r="C26" i="1"/>
  <c r="G26" i="1" s="1"/>
  <c r="H26" i="78"/>
  <c r="J26" i="78" s="1"/>
  <c r="G11" i="78"/>
  <c r="G4" i="78"/>
  <c r="H32" i="1"/>
  <c r="C31" i="1"/>
  <c r="G31" i="1" s="1"/>
  <c r="G15" i="77"/>
  <c r="K15" i="77"/>
  <c r="M15" i="77" s="1"/>
  <c r="G11" i="77"/>
  <c r="C31" i="77"/>
  <c r="G31" i="77" s="1"/>
  <c r="H26" i="77"/>
  <c r="J26" i="77" s="1"/>
  <c r="G4" i="77"/>
  <c r="H29" i="78"/>
  <c r="H32" i="78"/>
  <c r="J32" i="78" s="1"/>
  <c r="J31" i="78"/>
  <c r="C32" i="78"/>
  <c r="G32" i="78" s="1"/>
  <c r="H29" i="77"/>
  <c r="J29" i="77" s="1"/>
  <c r="H29" i="1"/>
  <c r="J29" i="1" s="1"/>
  <c r="J5" i="79"/>
  <c r="J4" i="79"/>
  <c r="J4" i="1"/>
  <c r="K16" i="79"/>
  <c r="M16" i="79" s="1"/>
  <c r="K20" i="79"/>
  <c r="M20" i="79" s="1"/>
  <c r="J6" i="78"/>
  <c r="H29" i="79"/>
  <c r="J29" i="79" s="1"/>
  <c r="K8" i="79"/>
  <c r="M8" i="79" s="1"/>
  <c r="H23" i="79"/>
  <c r="J23" i="79" s="1"/>
  <c r="K6" i="79"/>
  <c r="M6" i="79" s="1"/>
  <c r="C30" i="79"/>
  <c r="G30" i="79" s="1"/>
  <c r="G26" i="79"/>
  <c r="M5" i="79"/>
  <c r="J30" i="78"/>
  <c r="M11" i="79"/>
  <c r="M10" i="79"/>
  <c r="H27" i="79"/>
  <c r="J27" i="79" s="1"/>
  <c r="J15" i="79"/>
  <c r="M4" i="79"/>
  <c r="H28" i="79"/>
  <c r="J28" i="79" s="1"/>
  <c r="J6" i="79"/>
  <c r="K15" i="79"/>
  <c r="M15" i="79" s="1"/>
  <c r="H26" i="79"/>
  <c r="J4" i="77"/>
  <c r="K10" i="78"/>
  <c r="K13" i="78"/>
  <c r="M13" i="78" s="1"/>
  <c r="K9" i="78"/>
  <c r="M9" i="78" s="1"/>
  <c r="M19" i="78"/>
  <c r="K5" i="78"/>
  <c r="K11" i="78"/>
  <c r="J5" i="78"/>
  <c r="K15" i="78"/>
  <c r="M15" i="78" s="1"/>
  <c r="K4" i="78"/>
  <c r="K14" i="78"/>
  <c r="M14" i="78" s="1"/>
  <c r="K6" i="78"/>
  <c r="M6" i="78" s="1"/>
  <c r="J4" i="78"/>
  <c r="K12" i="78"/>
  <c r="M12" i="78" s="1"/>
  <c r="K7" i="78"/>
  <c r="M7" i="78" s="1"/>
  <c r="K8" i="78"/>
  <c r="M8" i="78" s="1"/>
  <c r="J5" i="77"/>
  <c r="H32" i="77"/>
  <c r="J32" i="77" s="1"/>
  <c r="H26" i="1"/>
  <c r="J15" i="1"/>
  <c r="G30" i="78"/>
  <c r="G10" i="1"/>
  <c r="G30" i="1"/>
  <c r="G5" i="1"/>
  <c r="G11" i="1"/>
  <c r="J6" i="77"/>
  <c r="J31" i="77"/>
  <c r="G30" i="77"/>
  <c r="J8" i="77"/>
  <c r="J30" i="77"/>
  <c r="G9" i="1"/>
  <c r="G4" i="1"/>
  <c r="M13" i="1"/>
  <c r="G13" i="1"/>
  <c r="K7" i="1"/>
  <c r="M7" i="1" s="1"/>
  <c r="G7" i="1"/>
  <c r="J5" i="1"/>
  <c r="J20" i="1"/>
  <c r="K4" i="1"/>
  <c r="K5" i="1"/>
  <c r="K18" i="1"/>
  <c r="M18" i="1" s="1"/>
  <c r="K19" i="1"/>
  <c r="M19" i="1" s="1"/>
  <c r="K10" i="77"/>
  <c r="K9" i="77"/>
  <c r="K13" i="77"/>
  <c r="M13" i="77" s="1"/>
  <c r="K5" i="77"/>
  <c r="K4" i="77"/>
  <c r="K16" i="77"/>
  <c r="M16" i="77" s="1"/>
  <c r="K6" i="77"/>
  <c r="M6" i="77" s="1"/>
  <c r="K12" i="77"/>
  <c r="M12" i="77" s="1"/>
  <c r="K18" i="77"/>
  <c r="M18" i="77" s="1"/>
  <c r="K8" i="77"/>
  <c r="K19" i="77"/>
  <c r="M19" i="77" s="1"/>
  <c r="K17" i="77"/>
  <c r="M17" i="77" s="1"/>
  <c r="K20" i="77"/>
  <c r="M20" i="77" s="1"/>
  <c r="K7" i="77"/>
  <c r="M7" i="77" s="1"/>
  <c r="K11" i="77"/>
  <c r="K17" i="1"/>
  <c r="M17" i="1" s="1"/>
  <c r="K20" i="1"/>
  <c r="M20" i="1" s="1"/>
  <c r="K8" i="1"/>
  <c r="K11" i="1"/>
  <c r="K16" i="1"/>
  <c r="K15" i="1"/>
  <c r="M15" i="1" s="1"/>
  <c r="K6" i="1"/>
  <c r="M6" i="1" s="1"/>
  <c r="K9" i="1"/>
  <c r="K14" i="1"/>
  <c r="M14" i="1" s="1"/>
  <c r="K12" i="1"/>
  <c r="M12" i="1" s="1"/>
  <c r="K10" i="1"/>
  <c r="J6" i="1"/>
  <c r="J8" i="1"/>
  <c r="C33" i="77" l="1"/>
  <c r="G33" i="77" s="1"/>
  <c r="K29" i="78"/>
  <c r="K32" i="1"/>
  <c r="K29" i="77"/>
  <c r="K26" i="77"/>
  <c r="M26" i="77" s="1"/>
  <c r="K31" i="78"/>
  <c r="M31" i="78" s="1"/>
  <c r="K26" i="78"/>
  <c r="M26" i="78" s="1"/>
  <c r="K26" i="1"/>
  <c r="K29" i="1"/>
  <c r="C33" i="1"/>
  <c r="K31" i="77"/>
  <c r="M31" i="77" s="1"/>
  <c r="K31" i="1"/>
  <c r="M31" i="1" s="1"/>
  <c r="I33" i="1"/>
  <c r="J26" i="1"/>
  <c r="J16" i="1"/>
  <c r="H33" i="1"/>
  <c r="H33" i="77"/>
  <c r="J33" i="77" s="1"/>
  <c r="G29" i="77"/>
  <c r="H33" i="78"/>
  <c r="J33" i="78" s="1"/>
  <c r="C33" i="78"/>
  <c r="K26" i="79"/>
  <c r="M26" i="79" s="1"/>
  <c r="K29" i="79"/>
  <c r="M29" i="79" s="1"/>
  <c r="K28" i="79"/>
  <c r="M28" i="79" s="1"/>
  <c r="K27" i="79"/>
  <c r="M27" i="79" s="1"/>
  <c r="H30" i="79"/>
  <c r="J30" i="79" s="1"/>
  <c r="J26" i="79"/>
  <c r="K23" i="79"/>
  <c r="M23" i="79" s="1"/>
  <c r="F26" i="77"/>
  <c r="M4" i="77"/>
  <c r="M4" i="78"/>
  <c r="M11" i="78"/>
  <c r="J29" i="78"/>
  <c r="M5" i="78"/>
  <c r="K32" i="78"/>
  <c r="M32" i="78" s="1"/>
  <c r="M30" i="78"/>
  <c r="M10" i="78"/>
  <c r="K32" i="77"/>
  <c r="M32" i="77" s="1"/>
  <c r="M10" i="1"/>
  <c r="M30" i="1"/>
  <c r="G29" i="1"/>
  <c r="M11" i="1"/>
  <c r="M11" i="77"/>
  <c r="M10" i="77"/>
  <c r="M30" i="77"/>
  <c r="F31" i="77"/>
  <c r="F30" i="77"/>
  <c r="M8" i="77"/>
  <c r="F29" i="77"/>
  <c r="M9" i="77"/>
  <c r="M5" i="1"/>
  <c r="M4" i="1"/>
  <c r="M8" i="1"/>
  <c r="M5" i="77"/>
  <c r="M9" i="1"/>
  <c r="J33" i="1" l="1"/>
  <c r="M16" i="1"/>
  <c r="K33" i="77"/>
  <c r="M33" i="77" s="1"/>
  <c r="M26" i="1"/>
  <c r="J32" i="1"/>
  <c r="K33" i="1"/>
  <c r="AG28" i="1" s="1"/>
  <c r="M29" i="77"/>
  <c r="F32" i="77"/>
  <c r="D33" i="77"/>
  <c r="F33" i="77" s="1"/>
  <c r="G33" i="78"/>
  <c r="K33" i="78"/>
  <c r="M33" i="78" s="1"/>
  <c r="K30" i="79"/>
  <c r="M30" i="79" s="1"/>
  <c r="M29" i="78"/>
  <c r="M29" i="1"/>
  <c r="M33" i="1" l="1"/>
  <c r="M32" i="1"/>
  <c r="G33" i="1"/>
</calcChain>
</file>

<file path=xl/sharedStrings.xml><?xml version="1.0" encoding="utf-8"?>
<sst xmlns="http://schemas.openxmlformats.org/spreadsheetml/2006/main" count="645" uniqueCount="109">
  <si>
    <t>Store Code</t>
  </si>
  <si>
    <t>Store Name</t>
  </si>
  <si>
    <t>This Week</t>
  </si>
  <si>
    <t>WOW</t>
  </si>
  <si>
    <t>Ach %</t>
  </si>
  <si>
    <t>THE8</t>
  </si>
  <si>
    <t>AVK Delhi</t>
  </si>
  <si>
    <t>THH2</t>
  </si>
  <si>
    <t>Delhi Pacific</t>
  </si>
  <si>
    <t>TAHY</t>
  </si>
  <si>
    <t xml:space="preserve">Worldmark </t>
  </si>
  <si>
    <t>THH3</t>
  </si>
  <si>
    <t>Delhi Selectcity</t>
  </si>
  <si>
    <t>TLX5</t>
  </si>
  <si>
    <t>Vegas Dwarka</t>
  </si>
  <si>
    <t>THF9</t>
  </si>
  <si>
    <t>Amb Gurg Delhi</t>
  </si>
  <si>
    <t>THI7</t>
  </si>
  <si>
    <t>WTP Jaipur</t>
  </si>
  <si>
    <t>THM0</t>
  </si>
  <si>
    <t>Ardee Mall, Gurgaon</t>
  </si>
  <si>
    <t>TJY4</t>
  </si>
  <si>
    <t>Airia Mall Gurg</t>
  </si>
  <si>
    <t>TXUT</t>
  </si>
  <si>
    <t>Vaishali</t>
  </si>
  <si>
    <t>TXYT</t>
  </si>
  <si>
    <t>Good Earth</t>
  </si>
  <si>
    <t>TAUN</t>
  </si>
  <si>
    <t>Udaipur</t>
  </si>
  <si>
    <t>Target</t>
  </si>
  <si>
    <t xml:space="preserve">Last Week </t>
  </si>
  <si>
    <t>Ach%</t>
  </si>
  <si>
    <t>Ajay</t>
  </si>
  <si>
    <t>Shashank</t>
  </si>
  <si>
    <t>Harsh</t>
  </si>
  <si>
    <t>AGU Delhi</t>
  </si>
  <si>
    <t>TOTAL</t>
  </si>
  <si>
    <t>Date</t>
  </si>
  <si>
    <t>WMG</t>
  </si>
  <si>
    <t>VEGAS</t>
  </si>
  <si>
    <t>UDAIPUR</t>
  </si>
  <si>
    <t xml:space="preserve">This Week </t>
  </si>
  <si>
    <t>Retail</t>
  </si>
  <si>
    <t>Attraction</t>
  </si>
  <si>
    <t xml:space="preserve"> </t>
  </si>
  <si>
    <t>Elante Chandigarh</t>
  </si>
  <si>
    <t>THE1</t>
  </si>
  <si>
    <t>NH-1 Ambala store</t>
  </si>
  <si>
    <t>TXPH</t>
  </si>
  <si>
    <t>ELANTE</t>
  </si>
  <si>
    <t>Zirakpur</t>
  </si>
  <si>
    <t>TXR2</t>
  </si>
  <si>
    <t>CP-67</t>
  </si>
  <si>
    <t>PACIFIC</t>
  </si>
  <si>
    <t>T2DD</t>
  </si>
  <si>
    <t>CP67</t>
  </si>
  <si>
    <t>WOW Sale</t>
  </si>
  <si>
    <t>ARDEE</t>
  </si>
  <si>
    <t>AIRIA</t>
  </si>
  <si>
    <t>JAIPUR</t>
  </si>
  <si>
    <t>Pacifc</t>
  </si>
  <si>
    <t>SELECT</t>
  </si>
  <si>
    <t>AVK</t>
  </si>
  <si>
    <t>AMBALA</t>
  </si>
  <si>
    <t>Daily TGT</t>
  </si>
  <si>
    <t>Daily</t>
  </si>
  <si>
    <t>Retail + Attraction</t>
  </si>
  <si>
    <t>Sale Report 3PM</t>
  </si>
  <si>
    <t>Sale Report 9PM</t>
  </si>
  <si>
    <t>Pacific D21</t>
  </si>
  <si>
    <t>D21</t>
  </si>
  <si>
    <t>Iris</t>
  </si>
  <si>
    <t>This week</t>
  </si>
  <si>
    <t>TF5T</t>
  </si>
  <si>
    <t>TL60</t>
  </si>
  <si>
    <t>Param</t>
  </si>
  <si>
    <t>TL6O</t>
  </si>
  <si>
    <t>Sale Report 7PM</t>
  </si>
  <si>
    <t>TB6V</t>
  </si>
  <si>
    <t>Elegante</t>
  </si>
  <si>
    <t>NOB</t>
  </si>
  <si>
    <t>Trolley</t>
  </si>
  <si>
    <t>10K Bills</t>
  </si>
  <si>
    <t>Attach%</t>
  </si>
  <si>
    <t>Loyalty</t>
  </si>
  <si>
    <t>Total</t>
  </si>
  <si>
    <t>Day</t>
  </si>
  <si>
    <t>Sun</t>
  </si>
  <si>
    <t>Mon</t>
  </si>
  <si>
    <t>Tue</t>
  </si>
  <si>
    <t>Wed</t>
  </si>
  <si>
    <t>Thu</t>
  </si>
  <si>
    <t>Fri</t>
  </si>
  <si>
    <t>Sat</t>
  </si>
  <si>
    <t>LYSMD</t>
  </si>
  <si>
    <t>TYSMD</t>
  </si>
  <si>
    <t>5PM</t>
  </si>
  <si>
    <t>T1MH</t>
  </si>
  <si>
    <t>Faridabd</t>
  </si>
  <si>
    <t>Faridabad</t>
  </si>
  <si>
    <t>Red Card</t>
  </si>
  <si>
    <t>TM1H</t>
  </si>
  <si>
    <t>LOYALTY</t>
  </si>
  <si>
    <t>TBDE</t>
  </si>
  <si>
    <t>Dlf Summit Plaza</t>
  </si>
  <si>
    <t>TD9T</t>
  </si>
  <si>
    <t>Jodhpur</t>
  </si>
  <si>
    <t xml:space="preserve">                                                     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</si>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</sst>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0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5" applyNumberFormat="0" applyAlignment="0" applyProtection="0"/>
    <xf numFmtId="0" fontId="19" fillId="12" borderId="6" applyNumberFormat="0" applyAlignment="0" applyProtection="0"/>
    <xf numFmtId="0" fontId="20" fillId="12" borderId="5" applyNumberFormat="0" applyAlignment="0" applyProtection="0"/>
    <xf numFmtId="0" fontId="21" fillId="0" borderId="7" applyNumberFormat="0" applyFill="0" applyAlignment="0" applyProtection="0"/>
    <xf numFmtId="0" fontId="22" fillId="13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5" fillId="3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4" borderId="9" applyNumberFormat="0" applyFont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4" fontId="6" fillId="0" borderId="1" xfId="0" applyNumberFormat="1" applyFont="1" applyFill="1" applyBorder="1" applyAlignment="1" applyProtection="1">
      <alignment horizontal="center" vertical="center"/>
      <protection locked="0" hidden="1"/>
    </xf>
    <xf numFmtId="0" fontId="4" fillId="5" borderId="1" xfId="0" applyFont="1" applyFill="1" applyBorder="1" applyAlignment="1">
      <alignment horizontal="center"/>
    </xf>
    <xf numFmtId="9" fontId="2" fillId="0" borderId="1" xfId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28" fillId="0" borderId="13" xfId="0" applyFont="1" applyFill="1" applyBorder="1" applyAlignment="1" applyProtection="1">
      <alignment horizontal="center" vertical="center"/>
      <protection locked="0" hidden="1"/>
    </xf>
    <xf numFmtId="1" fontId="4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6" fillId="0" borderId="1" xfId="146" applyNumberFormat="1" applyFont="1" applyFill="1" applyBorder="1"/>
    <xf numFmtId="164" fontId="6" fillId="0" borderId="1" xfId="147" applyNumberFormat="1" applyFont="1" applyFill="1" applyBorder="1"/>
    <xf numFmtId="0" fontId="28" fillId="0" borderId="12" xfId="0" applyFont="1" applyFill="1" applyBorder="1" applyAlignment="1" applyProtection="1">
      <alignment horizontal="center" vertical="center"/>
      <protection locked="0" hidden="1"/>
    </xf>
    <xf numFmtId="1" fontId="7" fillId="0" borderId="12" xfId="0" applyNumberFormat="1" applyFont="1" applyBorder="1" applyAlignment="1"/>
    <xf numFmtId="0" fontId="2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9" fontId="0" fillId="0" borderId="0" xfId="0" applyNumberFormat="1" applyFont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6" fillId="0" borderId="12" xfId="146" applyNumberFormat="1" applyFont="1" applyFill="1" applyBorder="1"/>
    <xf numFmtId="166" fontId="0" fillId="0" borderId="0" xfId="1" applyNumberFormat="1" applyFont="1" applyAlignment="1">
      <alignment horizontal="center" vertical="center"/>
    </xf>
    <xf numFmtId="9" fontId="2" fillId="5" borderId="1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3" fillId="0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9" fontId="2" fillId="0" borderId="17" xfId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2" fillId="5" borderId="21" xfId="0" applyNumberFormat="1" applyFont="1" applyFill="1" applyBorder="1" applyAlignment="1">
      <alignment horizontal="center" vertical="center"/>
    </xf>
    <xf numFmtId="1" fontId="2" fillId="5" borderId="21" xfId="1" applyNumberFormat="1" applyFont="1" applyFill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/>
    </xf>
    <xf numFmtId="9" fontId="2" fillId="5" borderId="21" xfId="1" applyFont="1" applyFill="1" applyBorder="1" applyAlignment="1">
      <alignment horizontal="center" vertical="center"/>
    </xf>
    <xf numFmtId="9" fontId="2" fillId="5" borderId="22" xfId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3" fillId="0" borderId="17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4" fontId="9" fillId="5" borderId="21" xfId="2" applyNumberFormat="1" applyFont="1" applyFill="1" applyBorder="1" applyAlignment="1">
      <alignment horizontal="center" vertical="center"/>
    </xf>
    <xf numFmtId="9" fontId="7" fillId="5" borderId="21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9" fontId="3" fillId="5" borderId="21" xfId="0" applyNumberFormat="1" applyFont="1" applyFill="1" applyBorder="1" applyAlignment="1">
      <alignment horizontal="center" vertical="center"/>
    </xf>
    <xf numFmtId="164" fontId="0" fillId="0" borderId="0" xfId="0" applyNumberFormat="1"/>
    <xf numFmtId="1" fontId="3" fillId="5" borderId="21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0" fillId="0" borderId="0" xfId="227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1" fontId="3" fillId="0" borderId="15" xfId="0" applyNumberFormat="1" applyFont="1" applyFill="1" applyBorder="1" applyAlignment="1">
      <alignment horizontal="center" vertical="center"/>
    </xf>
    <xf numFmtId="1" fontId="3" fillId="0" borderId="30" xfId="0" applyNumberFormat="1" applyFont="1" applyFill="1" applyBorder="1" applyAlignment="1">
      <alignment horizontal="center" vertical="center"/>
    </xf>
    <xf numFmtId="164" fontId="9" fillId="5" borderId="31" xfId="2" applyNumberFormat="1" applyFont="1" applyFill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1" fontId="2" fillId="5" borderId="3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4" fontId="9" fillId="5" borderId="11" xfId="2" applyNumberFormat="1" applyFont="1" applyFill="1" applyBorder="1" applyAlignment="1">
      <alignment horizontal="center" vertical="center"/>
    </xf>
    <xf numFmtId="164" fontId="9" fillId="5" borderId="30" xfId="2" applyNumberFormat="1" applyFont="1" applyFill="1" applyBorder="1" applyAlignment="1">
      <alignment horizontal="center" vertical="center"/>
    </xf>
    <xf numFmtId="9" fontId="7" fillId="5" borderId="11" xfId="0" applyNumberFormat="1" applyFont="1" applyFill="1" applyBorder="1" applyAlignment="1">
      <alignment horizontal="center" vertical="center"/>
    </xf>
    <xf numFmtId="164" fontId="9" fillId="4" borderId="1" xfId="2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167" fontId="1" fillId="0" borderId="33" xfId="0" applyNumberFormat="1" applyFont="1" applyBorder="1" applyAlignment="1">
      <alignment horizontal="center" vertical="center"/>
    </xf>
    <xf numFmtId="167" fontId="1" fillId="0" borderId="34" xfId="0" applyNumberFormat="1" applyFon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43" fontId="0" fillId="0" borderId="0" xfId="0" applyNumberFormat="1"/>
    <xf numFmtId="167" fontId="0" fillId="0" borderId="35" xfId="0" applyNumberFormat="1" applyFont="1" applyFill="1" applyBorder="1" applyAlignment="1">
      <alignment horizontal="center" vertical="center"/>
    </xf>
    <xf numFmtId="43" fontId="0" fillId="0" borderId="11" xfId="0" applyNumberFormat="1" applyBorder="1"/>
    <xf numFmtId="1" fontId="4" fillId="0" borderId="13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0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43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67" fontId="29" fillId="0" borderId="12" xfId="0" applyNumberFormat="1" applyFont="1" applyFill="1" applyBorder="1" applyAlignment="1">
      <alignment horizontal="center" vertical="center"/>
    </xf>
    <xf numFmtId="167" fontId="29" fillId="40" borderId="12" xfId="0" applyNumberFormat="1" applyFont="1" applyFill="1" applyBorder="1" applyAlignment="1">
      <alignment horizontal="center" vertical="center"/>
    </xf>
    <xf numFmtId="167" fontId="29" fillId="0" borderId="32" xfId="0" applyNumberFormat="1" applyFont="1" applyFill="1" applyBorder="1" applyAlignment="1">
      <alignment horizontal="center" vertical="center"/>
    </xf>
    <xf numFmtId="167" fontId="29" fillId="40" borderId="3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166" fontId="0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</cellXfs>
  <cellStyles count="22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46" builtinId="3"/>
    <cellStyle name="Comma 10" xfId="225" xr:uid="{00000000-0005-0000-0000-00001C000000}"/>
    <cellStyle name="Comma 2" xfId="45" xr:uid="{00000000-0005-0000-0000-00001D000000}"/>
    <cellStyle name="Comma 2 10" xfId="109" xr:uid="{00000000-0005-0000-0000-00001E000000}"/>
    <cellStyle name="Comma 2 10 2" xfId="189" xr:uid="{00000000-0005-0000-0000-00001F000000}"/>
    <cellStyle name="Comma 2 11" xfId="147" xr:uid="{00000000-0005-0000-0000-000020000000}"/>
    <cellStyle name="Comma 2 11 2" xfId="226" xr:uid="{00000000-0005-0000-0000-000021000000}"/>
    <cellStyle name="Comma 2 12" xfId="151" xr:uid="{00000000-0005-0000-0000-000022000000}"/>
    <cellStyle name="Comma 2 2" xfId="2" xr:uid="{00000000-0005-0000-0000-000023000000}"/>
    <cellStyle name="Comma 2 2 10" xfId="148" xr:uid="{00000000-0005-0000-0000-000024000000}"/>
    <cellStyle name="Comma 2 2 2" xfId="59" xr:uid="{00000000-0005-0000-0000-000025000000}"/>
    <cellStyle name="Comma 2 2 2 2" xfId="94" xr:uid="{00000000-0005-0000-0000-000026000000}"/>
    <cellStyle name="Comma 2 2 2 2 2" xfId="134" xr:uid="{00000000-0005-0000-0000-000027000000}"/>
    <cellStyle name="Comma 2 2 2 2 2 2" xfId="214" xr:uid="{00000000-0005-0000-0000-000028000000}"/>
    <cellStyle name="Comma 2 2 2 2 3" xfId="176" xr:uid="{00000000-0005-0000-0000-000029000000}"/>
    <cellStyle name="Comma 2 2 2 3" xfId="116" xr:uid="{00000000-0005-0000-0000-00002A000000}"/>
    <cellStyle name="Comma 2 2 2 3 2" xfId="196" xr:uid="{00000000-0005-0000-0000-00002B000000}"/>
    <cellStyle name="Comma 2 2 2 4" xfId="158" xr:uid="{00000000-0005-0000-0000-00002C000000}"/>
    <cellStyle name="Comma 2 2 3" xfId="53" xr:uid="{00000000-0005-0000-0000-00002D000000}"/>
    <cellStyle name="Comma 2 2 3 2" xfId="90" xr:uid="{00000000-0005-0000-0000-00002E000000}"/>
    <cellStyle name="Comma 2 2 3 2 2" xfId="130" xr:uid="{00000000-0005-0000-0000-00002F000000}"/>
    <cellStyle name="Comma 2 2 3 2 2 2" xfId="210" xr:uid="{00000000-0005-0000-0000-000030000000}"/>
    <cellStyle name="Comma 2 2 3 2 3" xfId="172" xr:uid="{00000000-0005-0000-0000-000031000000}"/>
    <cellStyle name="Comma 2 2 3 3" xfId="112" xr:uid="{00000000-0005-0000-0000-000032000000}"/>
    <cellStyle name="Comma 2 2 3 3 2" xfId="192" xr:uid="{00000000-0005-0000-0000-000033000000}"/>
    <cellStyle name="Comma 2 2 3 4" xfId="154" xr:uid="{00000000-0005-0000-0000-000034000000}"/>
    <cellStyle name="Comma 2 2 4" xfId="65" xr:uid="{00000000-0005-0000-0000-000035000000}"/>
    <cellStyle name="Comma 2 2 4 2" xfId="98" xr:uid="{00000000-0005-0000-0000-000036000000}"/>
    <cellStyle name="Comma 2 2 4 2 2" xfId="138" xr:uid="{00000000-0005-0000-0000-000037000000}"/>
    <cellStyle name="Comma 2 2 4 2 2 2" xfId="218" xr:uid="{00000000-0005-0000-0000-000038000000}"/>
    <cellStyle name="Comma 2 2 4 2 3" xfId="180" xr:uid="{00000000-0005-0000-0000-000039000000}"/>
    <cellStyle name="Comma 2 2 4 3" xfId="120" xr:uid="{00000000-0005-0000-0000-00003A000000}"/>
    <cellStyle name="Comma 2 2 4 3 2" xfId="200" xr:uid="{00000000-0005-0000-0000-00003B000000}"/>
    <cellStyle name="Comma 2 2 4 4" xfId="162" xr:uid="{00000000-0005-0000-0000-00003C000000}"/>
    <cellStyle name="Comma 2 2 5" xfId="68" xr:uid="{00000000-0005-0000-0000-00003D000000}"/>
    <cellStyle name="Comma 2 2 5 2" xfId="101" xr:uid="{00000000-0005-0000-0000-00003E000000}"/>
    <cellStyle name="Comma 2 2 5 2 2" xfId="140" xr:uid="{00000000-0005-0000-0000-00003F000000}"/>
    <cellStyle name="Comma 2 2 5 2 2 2" xfId="220" xr:uid="{00000000-0005-0000-0000-000040000000}"/>
    <cellStyle name="Comma 2 2 5 2 3" xfId="182" xr:uid="{00000000-0005-0000-0000-000041000000}"/>
    <cellStyle name="Comma 2 2 5 3" xfId="122" xr:uid="{00000000-0005-0000-0000-000042000000}"/>
    <cellStyle name="Comma 2 2 5 3 2" xfId="202" xr:uid="{00000000-0005-0000-0000-000043000000}"/>
    <cellStyle name="Comma 2 2 5 4" xfId="164" xr:uid="{00000000-0005-0000-0000-000044000000}"/>
    <cellStyle name="Comma 2 2 6" xfId="86" xr:uid="{00000000-0005-0000-0000-000045000000}"/>
    <cellStyle name="Comma 2 2 6 2" xfId="126" xr:uid="{00000000-0005-0000-0000-000046000000}"/>
    <cellStyle name="Comma 2 2 6 2 2" xfId="206" xr:uid="{00000000-0005-0000-0000-000047000000}"/>
    <cellStyle name="Comma 2 2 6 3" xfId="168" xr:uid="{00000000-0005-0000-0000-000048000000}"/>
    <cellStyle name="Comma 2 2 7" xfId="106" xr:uid="{00000000-0005-0000-0000-000049000000}"/>
    <cellStyle name="Comma 2 2 7 2" xfId="145" xr:uid="{00000000-0005-0000-0000-00004A000000}"/>
    <cellStyle name="Comma 2 2 7 2 2" xfId="224" xr:uid="{00000000-0005-0000-0000-00004B000000}"/>
    <cellStyle name="Comma 2 2 7 3" xfId="186" xr:uid="{00000000-0005-0000-0000-00004C000000}"/>
    <cellStyle name="Comma 2 2 8" xfId="108" xr:uid="{00000000-0005-0000-0000-00004D000000}"/>
    <cellStyle name="Comma 2 2 8 2" xfId="188" xr:uid="{00000000-0005-0000-0000-00004E000000}"/>
    <cellStyle name="Comma 2 2 9" xfId="43" xr:uid="{00000000-0005-0000-0000-00004F000000}"/>
    <cellStyle name="Comma 2 2 9 2" xfId="150" xr:uid="{00000000-0005-0000-0000-000050000000}"/>
    <cellStyle name="Comma 2 3" xfId="60" xr:uid="{00000000-0005-0000-0000-000051000000}"/>
    <cellStyle name="Comma 2 3 2" xfId="95" xr:uid="{00000000-0005-0000-0000-000052000000}"/>
    <cellStyle name="Comma 2 3 2 2" xfId="135" xr:uid="{00000000-0005-0000-0000-000053000000}"/>
    <cellStyle name="Comma 2 3 2 2 2" xfId="215" xr:uid="{00000000-0005-0000-0000-000054000000}"/>
    <cellStyle name="Comma 2 3 2 3" xfId="177" xr:uid="{00000000-0005-0000-0000-000055000000}"/>
    <cellStyle name="Comma 2 3 3" xfId="117" xr:uid="{00000000-0005-0000-0000-000056000000}"/>
    <cellStyle name="Comma 2 3 3 2" xfId="197" xr:uid="{00000000-0005-0000-0000-000057000000}"/>
    <cellStyle name="Comma 2 3 4" xfId="159" xr:uid="{00000000-0005-0000-0000-000058000000}"/>
    <cellStyle name="Comma 2 4" xfId="54" xr:uid="{00000000-0005-0000-0000-000059000000}"/>
    <cellStyle name="Comma 2 4 2" xfId="91" xr:uid="{00000000-0005-0000-0000-00005A000000}"/>
    <cellStyle name="Comma 2 4 2 2" xfId="131" xr:uid="{00000000-0005-0000-0000-00005B000000}"/>
    <cellStyle name="Comma 2 4 2 2 2" xfId="211" xr:uid="{00000000-0005-0000-0000-00005C000000}"/>
    <cellStyle name="Comma 2 4 2 3" xfId="173" xr:uid="{00000000-0005-0000-0000-00005D000000}"/>
    <cellStyle name="Comma 2 4 3" xfId="113" xr:uid="{00000000-0005-0000-0000-00005E000000}"/>
    <cellStyle name="Comma 2 4 3 2" xfId="193" xr:uid="{00000000-0005-0000-0000-00005F000000}"/>
    <cellStyle name="Comma 2 4 4" xfId="155" xr:uid="{00000000-0005-0000-0000-000060000000}"/>
    <cellStyle name="Comma 2 5" xfId="64" xr:uid="{00000000-0005-0000-0000-000061000000}"/>
    <cellStyle name="Comma 2 5 2" xfId="97" xr:uid="{00000000-0005-0000-0000-000062000000}"/>
    <cellStyle name="Comma 2 5 2 2" xfId="137" xr:uid="{00000000-0005-0000-0000-000063000000}"/>
    <cellStyle name="Comma 2 5 2 2 2" xfId="217" xr:uid="{00000000-0005-0000-0000-000064000000}"/>
    <cellStyle name="Comma 2 5 2 3" xfId="179" xr:uid="{00000000-0005-0000-0000-000065000000}"/>
    <cellStyle name="Comma 2 5 3" xfId="119" xr:uid="{00000000-0005-0000-0000-000066000000}"/>
    <cellStyle name="Comma 2 5 3 2" xfId="199" xr:uid="{00000000-0005-0000-0000-000067000000}"/>
    <cellStyle name="Comma 2 5 4" xfId="161" xr:uid="{00000000-0005-0000-0000-000068000000}"/>
    <cellStyle name="Comma 2 6" xfId="67" xr:uid="{00000000-0005-0000-0000-000069000000}"/>
    <cellStyle name="Comma 2 6 2" xfId="100" xr:uid="{00000000-0005-0000-0000-00006A000000}"/>
    <cellStyle name="Comma 2 6 2 2" xfId="139" xr:uid="{00000000-0005-0000-0000-00006B000000}"/>
    <cellStyle name="Comma 2 6 2 2 2" xfId="219" xr:uid="{00000000-0005-0000-0000-00006C000000}"/>
    <cellStyle name="Comma 2 6 2 3" xfId="181" xr:uid="{00000000-0005-0000-0000-00006D000000}"/>
    <cellStyle name="Comma 2 6 3" xfId="121" xr:uid="{00000000-0005-0000-0000-00006E000000}"/>
    <cellStyle name="Comma 2 6 3 2" xfId="201" xr:uid="{00000000-0005-0000-0000-00006F000000}"/>
    <cellStyle name="Comma 2 6 4" xfId="163" xr:uid="{00000000-0005-0000-0000-000070000000}"/>
    <cellStyle name="Comma 2 7" xfId="84" xr:uid="{00000000-0005-0000-0000-000071000000}"/>
    <cellStyle name="Comma 2 7 2" xfId="103" xr:uid="{00000000-0005-0000-0000-000072000000}"/>
    <cellStyle name="Comma 2 7 2 2" xfId="142" xr:uid="{00000000-0005-0000-0000-000073000000}"/>
    <cellStyle name="Comma 2 7 2 2 2" xfId="222" xr:uid="{00000000-0005-0000-0000-000074000000}"/>
    <cellStyle name="Comma 2 7 2 3" xfId="184" xr:uid="{00000000-0005-0000-0000-000075000000}"/>
    <cellStyle name="Comma 2 7 3" xfId="124" xr:uid="{00000000-0005-0000-0000-000076000000}"/>
    <cellStyle name="Comma 2 7 3 2" xfId="204" xr:uid="{00000000-0005-0000-0000-000077000000}"/>
    <cellStyle name="Comma 2 7 4" xfId="166" xr:uid="{00000000-0005-0000-0000-000078000000}"/>
    <cellStyle name="Comma 2 8" xfId="87" xr:uid="{00000000-0005-0000-0000-000079000000}"/>
    <cellStyle name="Comma 2 8 2" xfId="127" xr:uid="{00000000-0005-0000-0000-00007A000000}"/>
    <cellStyle name="Comma 2 8 2 2" xfId="207" xr:uid="{00000000-0005-0000-0000-00007B000000}"/>
    <cellStyle name="Comma 2 8 3" xfId="169" xr:uid="{00000000-0005-0000-0000-00007C000000}"/>
    <cellStyle name="Comma 2 9" xfId="105" xr:uid="{00000000-0005-0000-0000-00007D000000}"/>
    <cellStyle name="Comma 2 9 2" xfId="144" xr:uid="{00000000-0005-0000-0000-00007E000000}"/>
    <cellStyle name="Comma 2 9 2 2" xfId="223" xr:uid="{00000000-0005-0000-0000-00007F000000}"/>
    <cellStyle name="Comma 2 9 3" xfId="185" xr:uid="{00000000-0005-0000-0000-000080000000}"/>
    <cellStyle name="Comma 3" xfId="48" xr:uid="{00000000-0005-0000-0000-000081000000}"/>
    <cellStyle name="Comma 3 2" xfId="62" xr:uid="{00000000-0005-0000-0000-000082000000}"/>
    <cellStyle name="Comma 3 2 2" xfId="96" xr:uid="{00000000-0005-0000-0000-000083000000}"/>
    <cellStyle name="Comma 3 2 2 2" xfId="136" xr:uid="{00000000-0005-0000-0000-000084000000}"/>
    <cellStyle name="Comma 3 2 2 2 2" xfId="216" xr:uid="{00000000-0005-0000-0000-000085000000}"/>
    <cellStyle name="Comma 3 2 2 3" xfId="178" xr:uid="{00000000-0005-0000-0000-000086000000}"/>
    <cellStyle name="Comma 3 2 3" xfId="118" xr:uid="{00000000-0005-0000-0000-000087000000}"/>
    <cellStyle name="Comma 3 2 3 2" xfId="198" xr:uid="{00000000-0005-0000-0000-000088000000}"/>
    <cellStyle name="Comma 3 2 4" xfId="160" xr:uid="{00000000-0005-0000-0000-000089000000}"/>
    <cellStyle name="Comma 3 3" xfId="56" xr:uid="{00000000-0005-0000-0000-00008A000000}"/>
    <cellStyle name="Comma 3 3 2" xfId="92" xr:uid="{00000000-0005-0000-0000-00008B000000}"/>
    <cellStyle name="Comma 3 3 2 2" xfId="132" xr:uid="{00000000-0005-0000-0000-00008C000000}"/>
    <cellStyle name="Comma 3 3 2 2 2" xfId="212" xr:uid="{00000000-0005-0000-0000-00008D000000}"/>
    <cellStyle name="Comma 3 3 2 3" xfId="174" xr:uid="{00000000-0005-0000-0000-00008E000000}"/>
    <cellStyle name="Comma 3 3 3" xfId="114" xr:uid="{00000000-0005-0000-0000-00008F000000}"/>
    <cellStyle name="Comma 3 3 3 2" xfId="194" xr:uid="{00000000-0005-0000-0000-000090000000}"/>
    <cellStyle name="Comma 3 3 4" xfId="156" xr:uid="{00000000-0005-0000-0000-000091000000}"/>
    <cellStyle name="Comma 3 4" xfId="88" xr:uid="{00000000-0005-0000-0000-000092000000}"/>
    <cellStyle name="Comma 3 4 2" xfId="128" xr:uid="{00000000-0005-0000-0000-000093000000}"/>
    <cellStyle name="Comma 3 4 2 2" xfId="208" xr:uid="{00000000-0005-0000-0000-000094000000}"/>
    <cellStyle name="Comma 3 4 3" xfId="170" xr:uid="{00000000-0005-0000-0000-000095000000}"/>
    <cellStyle name="Comma 3 5" xfId="110" xr:uid="{00000000-0005-0000-0000-000096000000}"/>
    <cellStyle name="Comma 3 5 2" xfId="190" xr:uid="{00000000-0005-0000-0000-000097000000}"/>
    <cellStyle name="Comma 3 6" xfId="152" xr:uid="{00000000-0005-0000-0000-000098000000}"/>
    <cellStyle name="Comma 4" xfId="58" xr:uid="{00000000-0005-0000-0000-000099000000}"/>
    <cellStyle name="Comma 4 2" xfId="93" xr:uid="{00000000-0005-0000-0000-00009A000000}"/>
    <cellStyle name="Comma 4 2 2" xfId="133" xr:uid="{00000000-0005-0000-0000-00009B000000}"/>
    <cellStyle name="Comma 4 2 2 2" xfId="213" xr:uid="{00000000-0005-0000-0000-00009C000000}"/>
    <cellStyle name="Comma 4 2 3" xfId="175" xr:uid="{00000000-0005-0000-0000-00009D000000}"/>
    <cellStyle name="Comma 4 3" xfId="115" xr:uid="{00000000-0005-0000-0000-00009E000000}"/>
    <cellStyle name="Comma 4 3 2" xfId="195" xr:uid="{00000000-0005-0000-0000-00009F000000}"/>
    <cellStyle name="Comma 4 4" xfId="157" xr:uid="{00000000-0005-0000-0000-0000A0000000}"/>
    <cellStyle name="Comma 5" xfId="52" xr:uid="{00000000-0005-0000-0000-0000A1000000}"/>
    <cellStyle name="Comma 5 2" xfId="89" xr:uid="{00000000-0005-0000-0000-0000A2000000}"/>
    <cellStyle name="Comma 5 2 2" xfId="129" xr:uid="{00000000-0005-0000-0000-0000A3000000}"/>
    <cellStyle name="Comma 5 2 2 2" xfId="209" xr:uid="{00000000-0005-0000-0000-0000A4000000}"/>
    <cellStyle name="Comma 5 2 3" xfId="171" xr:uid="{00000000-0005-0000-0000-0000A5000000}"/>
    <cellStyle name="Comma 5 3" xfId="111" xr:uid="{00000000-0005-0000-0000-0000A6000000}"/>
    <cellStyle name="Comma 5 3 2" xfId="191" xr:uid="{00000000-0005-0000-0000-0000A7000000}"/>
    <cellStyle name="Comma 5 4" xfId="153" xr:uid="{00000000-0005-0000-0000-0000A8000000}"/>
    <cellStyle name="Comma 6" xfId="83" xr:uid="{00000000-0005-0000-0000-0000A9000000}"/>
    <cellStyle name="Comma 6 2" xfId="102" xr:uid="{00000000-0005-0000-0000-0000AA000000}"/>
    <cellStyle name="Comma 6 2 2" xfId="141" xr:uid="{00000000-0005-0000-0000-0000AB000000}"/>
    <cellStyle name="Comma 6 2 2 2" xfId="221" xr:uid="{00000000-0005-0000-0000-0000AC000000}"/>
    <cellStyle name="Comma 6 2 3" xfId="183" xr:uid="{00000000-0005-0000-0000-0000AD000000}"/>
    <cellStyle name="Comma 6 3" xfId="123" xr:uid="{00000000-0005-0000-0000-0000AE000000}"/>
    <cellStyle name="Comma 6 3 2" xfId="203" xr:uid="{00000000-0005-0000-0000-0000AF000000}"/>
    <cellStyle name="Comma 6 4" xfId="165" xr:uid="{00000000-0005-0000-0000-0000B0000000}"/>
    <cellStyle name="Comma 7" xfId="85" xr:uid="{00000000-0005-0000-0000-0000B1000000}"/>
    <cellStyle name="Comma 7 2" xfId="125" xr:uid="{00000000-0005-0000-0000-0000B2000000}"/>
    <cellStyle name="Comma 7 2 2" xfId="205" xr:uid="{00000000-0005-0000-0000-0000B3000000}"/>
    <cellStyle name="Comma 7 3" xfId="167" xr:uid="{00000000-0005-0000-0000-0000B4000000}"/>
    <cellStyle name="Comma 8" xfId="107" xr:uid="{00000000-0005-0000-0000-0000B5000000}"/>
    <cellStyle name="Comma 8 2" xfId="187" xr:uid="{00000000-0005-0000-0000-0000B6000000}"/>
    <cellStyle name="Comma 9" xfId="42" xr:uid="{00000000-0005-0000-0000-0000B7000000}"/>
    <cellStyle name="Comma 9 2" xfId="149" xr:uid="{00000000-0005-0000-0000-0000B800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227" builtinId="8"/>
    <cellStyle name="Hyperlink 2" xfId="69" xr:uid="{00000000-0005-0000-0000-0000C0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70" xr:uid="{00000000-0005-0000-0000-0000C5000000}"/>
    <cellStyle name="Normal 11" xfId="71" xr:uid="{00000000-0005-0000-0000-0000C6000000}"/>
    <cellStyle name="Normal 12" xfId="72" xr:uid="{00000000-0005-0000-0000-0000C7000000}"/>
    <cellStyle name="Normal 13" xfId="66" xr:uid="{00000000-0005-0000-0000-0000C8000000}"/>
    <cellStyle name="Normal 13 2" xfId="99" xr:uid="{00000000-0005-0000-0000-0000C9000000}"/>
    <cellStyle name="Normal 14" xfId="73" xr:uid="{00000000-0005-0000-0000-0000CA000000}"/>
    <cellStyle name="Normal 15" xfId="104" xr:uid="{00000000-0005-0000-0000-0000CB000000}"/>
    <cellStyle name="Normal 15 2" xfId="143" xr:uid="{00000000-0005-0000-0000-0000CC000000}"/>
    <cellStyle name="Normal 2" xfId="46" xr:uid="{00000000-0005-0000-0000-0000CD000000}"/>
    <cellStyle name="Normal 2 2" xfId="49" xr:uid="{00000000-0005-0000-0000-0000CE000000}"/>
    <cellStyle name="Normal 3" xfId="44" xr:uid="{00000000-0005-0000-0000-0000CF000000}"/>
    <cellStyle name="Normal 4" xfId="51" xr:uid="{00000000-0005-0000-0000-0000D0000000}"/>
    <cellStyle name="Normal 4 2" xfId="63" xr:uid="{00000000-0005-0000-0000-0000D1000000}"/>
    <cellStyle name="Normal 4 3" xfId="57" xr:uid="{00000000-0005-0000-0000-0000D2000000}"/>
    <cellStyle name="Normal 5" xfId="74" xr:uid="{00000000-0005-0000-0000-0000D3000000}"/>
    <cellStyle name="Normal 6" xfId="75" xr:uid="{00000000-0005-0000-0000-0000D4000000}"/>
    <cellStyle name="Normal 7" xfId="76" xr:uid="{00000000-0005-0000-0000-0000D5000000}"/>
    <cellStyle name="Normal 8" xfId="77" xr:uid="{00000000-0005-0000-0000-0000D6000000}"/>
    <cellStyle name="Normal 9" xfId="78" xr:uid="{00000000-0005-0000-0000-0000D7000000}"/>
    <cellStyle name="Note 2" xfId="79" xr:uid="{00000000-0005-0000-0000-0000D8000000}"/>
    <cellStyle name="Output" xfId="11" builtinId="21" customBuiltin="1"/>
    <cellStyle name="Percent" xfId="1" builtinId="5"/>
    <cellStyle name="Percent 2" xfId="47" xr:uid="{00000000-0005-0000-0000-0000DB000000}"/>
    <cellStyle name="Percent 2 2" xfId="61" xr:uid="{00000000-0005-0000-0000-0000DC000000}"/>
    <cellStyle name="Percent 2 3" xfId="55" xr:uid="{00000000-0005-0000-0000-0000DD000000}"/>
    <cellStyle name="Percent 2 4" xfId="80" xr:uid="{00000000-0005-0000-0000-0000DE000000}"/>
    <cellStyle name="Percent 3" xfId="50" xr:uid="{00000000-0005-0000-0000-0000DF000000}"/>
    <cellStyle name="Title 2" xfId="81" xr:uid="{00000000-0005-0000-0000-0000E0000000}"/>
    <cellStyle name="Title 3" xfId="82" xr:uid="{00000000-0005-0000-0000-0000E1000000}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"/>
  <sheetViews>
    <sheetView topLeftCell="A16" zoomScaleNormal="100" workbookViewId="0">
      <selection activeCell="AI37" sqref="AI37:AI58"/>
    </sheetView>
  </sheetViews>
  <sheetFormatPr defaultColWidth="12" defaultRowHeight="15" x14ac:dyDescent="0.25"/>
  <cols>
    <col min="1" max="1" width="11.7109375" style="42" bestFit="1" customWidth="1"/>
    <col min="2" max="2" width="20.42578125" style="42" bestFit="1" customWidth="1"/>
    <col min="3" max="4" width="11.5703125" style="42" bestFit="1" customWidth="1"/>
    <col min="5" max="5" width="12.5703125" style="42" customWidth="1"/>
    <col min="6" max="6" width="12.28515625" style="52" customWidth="1"/>
    <col min="7" max="7" width="14.28515625" style="42" customWidth="1"/>
    <col min="8" max="8" width="11.5703125" style="42" bestFit="1" customWidth="1"/>
    <col min="9" max="9" width="11" style="42" bestFit="1" customWidth="1"/>
    <col min="10" max="10" width="10.42578125" style="42" bestFit="1" customWidth="1"/>
    <col min="11" max="12" width="11.5703125" style="42" bestFit="1" customWidth="1"/>
    <col min="13" max="13" width="10.42578125" style="42" customWidth="1"/>
    <col min="14" max="19" width="10.42578125" style="42" hidden="1" customWidth="1"/>
    <col min="20" max="20" width="12.85546875" style="42" hidden="1" customWidth="1"/>
    <col min="21" max="21" width="16" style="42" hidden="1" customWidth="1"/>
    <col min="22" max="27" width="10.42578125" style="42" hidden="1" customWidth="1"/>
    <col min="28" max="31" width="10.42578125" style="42" customWidth="1"/>
    <col min="32" max="32" width="10.42578125" style="42" bestFit="1" customWidth="1"/>
    <col min="33" max="33" width="12.140625" style="42" bestFit="1" customWidth="1"/>
    <col min="34" max="42" width="10.42578125" style="42" bestFit="1" customWidth="1"/>
    <col min="43" max="43" width="9.5703125" style="42" bestFit="1" customWidth="1"/>
    <col min="44" max="44" width="7" style="42" bestFit="1" customWidth="1"/>
    <col min="45" max="45" width="8" style="42" bestFit="1" customWidth="1"/>
    <col min="46" max="46" width="6.140625" style="42" bestFit="1" customWidth="1"/>
    <col min="47" max="47" width="6" style="42" bestFit="1" customWidth="1"/>
    <col min="48" max="16384" width="12" style="42"/>
  </cols>
  <sheetData>
    <row r="1" spans="1:47" x14ac:dyDescent="0.25">
      <c r="A1" s="157" t="s">
        <v>67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12"/>
      <c r="T1" s="54"/>
    </row>
    <row r="2" spans="1:47" x14ac:dyDescent="0.25">
      <c r="A2" s="154"/>
      <c r="B2" s="155"/>
      <c r="C2" s="160" t="s">
        <v>42</v>
      </c>
      <c r="D2" s="160"/>
      <c r="E2" s="160"/>
      <c r="F2" s="160"/>
      <c r="G2" s="160"/>
      <c r="H2" s="161" t="s">
        <v>43</v>
      </c>
      <c r="I2" s="161"/>
      <c r="J2" s="161"/>
      <c r="K2" s="156" t="s">
        <v>66</v>
      </c>
      <c r="L2" s="156"/>
      <c r="M2" s="156"/>
      <c r="N2" s="120" t="s">
        <v>66</v>
      </c>
      <c r="O2" s="120"/>
      <c r="P2" s="120"/>
      <c r="Q2" s="156" t="s">
        <v>102</v>
      </c>
      <c r="R2" s="156"/>
      <c r="S2" s="156"/>
    </row>
    <row r="3" spans="1:47" ht="15.75" x14ac:dyDescent="0.25">
      <c r="A3" s="66" t="s">
        <v>0</v>
      </c>
      <c r="B3" s="34" t="s">
        <v>1</v>
      </c>
      <c r="C3" s="34" t="s">
        <v>29</v>
      </c>
      <c r="D3" s="37" t="s">
        <v>30</v>
      </c>
      <c r="E3" s="2" t="s">
        <v>41</v>
      </c>
      <c r="F3" s="39" t="s">
        <v>3</v>
      </c>
      <c r="G3" s="34" t="s">
        <v>4</v>
      </c>
      <c r="H3" s="34" t="s">
        <v>29</v>
      </c>
      <c r="I3" s="2" t="s">
        <v>41</v>
      </c>
      <c r="J3" s="34" t="s">
        <v>4</v>
      </c>
      <c r="K3" s="34" t="s">
        <v>29</v>
      </c>
      <c r="L3" s="2" t="s">
        <v>41</v>
      </c>
      <c r="M3" s="34" t="s">
        <v>4</v>
      </c>
      <c r="N3" s="34" t="s">
        <v>94</v>
      </c>
      <c r="O3" s="34" t="s">
        <v>95</v>
      </c>
      <c r="P3" s="34" t="s">
        <v>83</v>
      </c>
      <c r="Q3" s="67" t="s">
        <v>102</v>
      </c>
      <c r="R3" s="113" t="s">
        <v>80</v>
      </c>
      <c r="S3" s="34" t="s">
        <v>4</v>
      </c>
    </row>
    <row r="4" spans="1:47" ht="15.75" x14ac:dyDescent="0.25">
      <c r="A4" s="68" t="s">
        <v>5</v>
      </c>
      <c r="B4" s="4" t="s">
        <v>6</v>
      </c>
      <c r="C4" s="25">
        <f ca="1">Retail!M35</f>
        <v>520994.28290464886</v>
      </c>
      <c r="D4" s="65">
        <f t="shared" ref="D4:D25" ca="1" si="0">SUMIFS(C37:AM37,$C$36:$AM$36,"="&amp;$A$59)</f>
        <v>114904</v>
      </c>
      <c r="E4" s="4">
        <v>162902</v>
      </c>
      <c r="F4" s="24">
        <f t="shared" ref="F4:F25" ca="1" si="1">E4/D4-1</f>
        <v>0.41772262062243271</v>
      </c>
      <c r="G4" s="23">
        <f t="shared" ref="G4:G25" ca="1" si="2">E4/C4</f>
        <v>0.31267521611137128</v>
      </c>
      <c r="H4" s="47">
        <f ca="1">Attraction!G35</f>
        <v>13653.530694646046</v>
      </c>
      <c r="I4" s="4">
        <v>3600</v>
      </c>
      <c r="J4" s="16">
        <f t="shared" ref="J4:J15" ca="1" si="3">I4/H4</f>
        <v>0.26366806363219053</v>
      </c>
      <c r="K4" s="45">
        <f t="shared" ref="K4:K20" ca="1" si="4">C4+H4</f>
        <v>534647.81359929487</v>
      </c>
      <c r="L4" s="46">
        <f>+E4+I4</f>
        <v>166502</v>
      </c>
      <c r="M4" s="16">
        <f t="shared" ref="M4" ca="1" si="5">L4/K4</f>
        <v>0.31142369942391473</v>
      </c>
      <c r="N4" s="25" t="e">
        <f>VLOOKUP(T1,'LFL 2024'!A2:C33,3,0)</f>
        <v>#N/A</v>
      </c>
      <c r="O4" s="25">
        <f t="shared" ref="O4:O25" si="6">E4</f>
        <v>162902</v>
      </c>
      <c r="P4" s="24" t="e">
        <f>O4/N4</f>
        <v>#N/A</v>
      </c>
      <c r="Q4" s="25"/>
      <c r="R4" s="114"/>
      <c r="S4" s="117" t="e">
        <f>Q4/R4*1</f>
        <v>#DIV/0!</v>
      </c>
    </row>
    <row r="5" spans="1:47" ht="15.75" x14ac:dyDescent="0.25">
      <c r="A5" s="68" t="s">
        <v>7</v>
      </c>
      <c r="B5" s="4" t="s">
        <v>8</v>
      </c>
      <c r="C5" s="25">
        <f ca="1">Retail!J35</f>
        <v>286734.47590486158</v>
      </c>
      <c r="D5" s="65">
        <f t="shared" ca="1" si="0"/>
        <v>41009</v>
      </c>
      <c r="E5" s="4">
        <v>52379</v>
      </c>
      <c r="F5" s="24">
        <f t="shared" ca="1" si="1"/>
        <v>0.27725621205101314</v>
      </c>
      <c r="G5" s="23">
        <f t="shared" ca="1" si="2"/>
        <v>0.18267423139371403</v>
      </c>
      <c r="H5" s="47">
        <f ca="1">Attraction!E35</f>
        <v>18519.062410271603</v>
      </c>
      <c r="I5" s="102">
        <v>5600</v>
      </c>
      <c r="J5" s="16">
        <f t="shared" ca="1" si="3"/>
        <v>0.30239111872607322</v>
      </c>
      <c r="K5" s="45">
        <f t="shared" ca="1" si="4"/>
        <v>305253.53831513319</v>
      </c>
      <c r="L5" s="46">
        <f t="shared" ref="L5:L25" si="7">+E5+I5</f>
        <v>57979</v>
      </c>
      <c r="M5" s="16">
        <f t="shared" ref="M5:M20" ca="1" si="8">L5/K5</f>
        <v>0.18993719227635777</v>
      </c>
      <c r="N5" s="25" t="e">
        <f>VLOOKUP(T1,'LFL 2024'!A2:D33,4,0)</f>
        <v>#N/A</v>
      </c>
      <c r="O5" s="25">
        <f t="shared" si="6"/>
        <v>52379</v>
      </c>
      <c r="P5" s="24" t="e">
        <f t="shared" ref="P5:P12" si="9">O5/N5</f>
        <v>#N/A</v>
      </c>
      <c r="Q5" s="25"/>
      <c r="R5" s="114"/>
      <c r="S5" s="117" t="e">
        <f t="shared" ref="S5:S23" si="10">Q5/R5*1</f>
        <v>#DIV/0!</v>
      </c>
    </row>
    <row r="6" spans="1:47" ht="15.75" x14ac:dyDescent="0.25">
      <c r="A6" s="68" t="s">
        <v>9</v>
      </c>
      <c r="B6" s="4" t="s">
        <v>10</v>
      </c>
      <c r="C6" s="25">
        <f ca="1">Retail!H35</f>
        <v>63851.171607521675</v>
      </c>
      <c r="D6" s="65">
        <f t="shared" ca="1" si="0"/>
        <v>18465</v>
      </c>
      <c r="E6" s="4">
        <v>19710</v>
      </c>
      <c r="F6" s="24">
        <f t="shared" ca="1" si="1"/>
        <v>6.7424857839155194E-2</v>
      </c>
      <c r="G6" s="23">
        <f t="shared" ca="1" si="2"/>
        <v>0.30868658324944753</v>
      </c>
      <c r="H6" s="47">
        <f ca="1">Attraction!B35</f>
        <v>100564.04266308263</v>
      </c>
      <c r="I6" s="106">
        <v>18500</v>
      </c>
      <c r="J6" s="16">
        <f t="shared" ca="1" si="3"/>
        <v>0.18396237372815372</v>
      </c>
      <c r="K6" s="45">
        <f t="shared" ca="1" si="4"/>
        <v>164415.21427060431</v>
      </c>
      <c r="L6" s="46">
        <f t="shared" si="7"/>
        <v>38210</v>
      </c>
      <c r="M6" s="16">
        <f t="shared" ca="1" si="8"/>
        <v>0.23239941735021988</v>
      </c>
      <c r="N6" s="25" t="e">
        <f>VLOOKUP(T1,'LFL 2024'!A2:F33,5,0)</f>
        <v>#N/A</v>
      </c>
      <c r="O6" s="25">
        <f t="shared" si="6"/>
        <v>19710</v>
      </c>
      <c r="P6" s="24" t="e">
        <f t="shared" si="9"/>
        <v>#N/A</v>
      </c>
      <c r="Q6" s="25"/>
      <c r="R6" s="114"/>
      <c r="S6" s="117" t="e">
        <f t="shared" si="10"/>
        <v>#DIV/0!</v>
      </c>
    </row>
    <row r="7" spans="1:47" ht="15.75" x14ac:dyDescent="0.25">
      <c r="A7" s="68" t="s">
        <v>11</v>
      </c>
      <c r="B7" s="4" t="s">
        <v>12</v>
      </c>
      <c r="C7" s="25">
        <f ca="1">Retail!K35</f>
        <v>392222.69980956911</v>
      </c>
      <c r="D7" s="65">
        <f t="shared" ca="1" si="0"/>
        <v>163003</v>
      </c>
      <c r="E7" s="4">
        <v>154462</v>
      </c>
      <c r="F7" s="24">
        <f t="shared" ca="1" si="1"/>
        <v>-5.2397808629289E-2</v>
      </c>
      <c r="G7" s="23">
        <f t="shared" ca="1" si="2"/>
        <v>0.39381198506612181</v>
      </c>
      <c r="H7" s="36"/>
      <c r="I7" s="102"/>
      <c r="J7" s="16"/>
      <c r="K7" s="45">
        <f t="shared" ca="1" si="4"/>
        <v>392222.69980956911</v>
      </c>
      <c r="L7" s="46">
        <f t="shared" si="7"/>
        <v>154462</v>
      </c>
      <c r="M7" s="16">
        <f t="shared" ca="1" si="8"/>
        <v>0.39381198506612181</v>
      </c>
      <c r="N7" s="25" t="e">
        <f>VLOOKUP(T1,'LFL 2024'!A2:G33,6,0)</f>
        <v>#N/A</v>
      </c>
      <c r="O7" s="25">
        <f t="shared" si="6"/>
        <v>154462</v>
      </c>
      <c r="P7" s="24" t="e">
        <f t="shared" si="9"/>
        <v>#N/A</v>
      </c>
      <c r="Q7" s="25"/>
      <c r="R7" s="114"/>
      <c r="S7" s="117" t="e">
        <f t="shared" si="10"/>
        <v>#DIV/0!</v>
      </c>
    </row>
    <row r="8" spans="1:47" ht="15.75" x14ac:dyDescent="0.25">
      <c r="A8" s="68" t="s">
        <v>13</v>
      </c>
      <c r="B8" s="4" t="s">
        <v>14</v>
      </c>
      <c r="C8" s="25">
        <f ca="1">Retail!L35</f>
        <v>176136.03164737127</v>
      </c>
      <c r="D8" s="65">
        <f t="shared" ca="1" si="0"/>
        <v>44345</v>
      </c>
      <c r="E8" s="4">
        <v>32486</v>
      </c>
      <c r="F8" s="24">
        <f t="shared" ca="1" si="1"/>
        <v>-0.26742586537377377</v>
      </c>
      <c r="G8" s="23">
        <f t="shared" ca="1" si="2"/>
        <v>0.18443699279564663</v>
      </c>
      <c r="H8" s="47">
        <f ca="1">Attraction!D35</f>
        <v>11996.078057746645</v>
      </c>
      <c r="I8" s="4">
        <v>0</v>
      </c>
      <c r="J8" s="16">
        <f t="shared" ca="1" si="3"/>
        <v>0</v>
      </c>
      <c r="K8" s="45">
        <f t="shared" ca="1" si="4"/>
        <v>188132.10970511791</v>
      </c>
      <c r="L8" s="46">
        <f t="shared" si="7"/>
        <v>32486</v>
      </c>
      <c r="M8" s="16">
        <f t="shared" ca="1" si="8"/>
        <v>0.17267653060883237</v>
      </c>
      <c r="N8" s="25" t="e">
        <f>VLOOKUP(T1,'LFL 2024'!A2:H33,7,0)</f>
        <v>#N/A</v>
      </c>
      <c r="O8" s="25">
        <f t="shared" si="6"/>
        <v>32486</v>
      </c>
      <c r="P8" s="24" t="e">
        <f t="shared" si="9"/>
        <v>#N/A</v>
      </c>
      <c r="Q8" s="25"/>
      <c r="R8" s="114"/>
      <c r="S8" s="117" t="e">
        <f t="shared" si="10"/>
        <v>#DIV/0!</v>
      </c>
      <c r="AP8" s="58"/>
    </row>
    <row r="9" spans="1:47" ht="15.75" x14ac:dyDescent="0.25">
      <c r="A9" s="68" t="s">
        <v>15</v>
      </c>
      <c r="B9" s="4" t="s">
        <v>16</v>
      </c>
      <c r="C9" s="25">
        <f ca="1">Retail!B35</f>
        <v>480133.83289539319</v>
      </c>
      <c r="D9" s="65">
        <f t="shared" ca="1" si="0"/>
        <v>146181</v>
      </c>
      <c r="E9" s="4">
        <v>97966</v>
      </c>
      <c r="F9" s="24">
        <f t="shared" ca="1" si="1"/>
        <v>-0.32983082616755943</v>
      </c>
      <c r="G9" s="23">
        <f t="shared" ca="1" si="2"/>
        <v>0.20403894349462323</v>
      </c>
      <c r="H9" s="36"/>
      <c r="I9" s="102"/>
      <c r="J9" s="16"/>
      <c r="K9" s="45">
        <f t="shared" ca="1" si="4"/>
        <v>480133.83289539319</v>
      </c>
      <c r="L9" s="46">
        <f t="shared" si="7"/>
        <v>97966</v>
      </c>
      <c r="M9" s="16">
        <f t="shared" ca="1" si="8"/>
        <v>0.20403894349462323</v>
      </c>
      <c r="N9" s="25" t="e">
        <f>VLOOKUP(T1,'LFL 2024'!A2:I33,8,0)</f>
        <v>#N/A</v>
      </c>
      <c r="O9" s="25">
        <f t="shared" si="6"/>
        <v>97966</v>
      </c>
      <c r="P9" s="24" t="e">
        <f t="shared" si="9"/>
        <v>#N/A</v>
      </c>
      <c r="Q9" s="25"/>
      <c r="R9" s="114"/>
      <c r="S9" s="117" t="e">
        <f t="shared" si="10"/>
        <v>#DIV/0!</v>
      </c>
      <c r="AP9" s="57"/>
      <c r="AR9" s="57"/>
    </row>
    <row r="10" spans="1:47" ht="15.75" x14ac:dyDescent="0.25">
      <c r="A10" s="68" t="s">
        <v>17</v>
      </c>
      <c r="B10" s="4" t="s">
        <v>18</v>
      </c>
      <c r="C10" s="25">
        <f ca="1">Retail!F35</f>
        <v>190041.2744308961</v>
      </c>
      <c r="D10" s="65">
        <f t="shared" ca="1" si="0"/>
        <v>47459</v>
      </c>
      <c r="E10" s="4">
        <v>42343</v>
      </c>
      <c r="F10" s="24">
        <f t="shared" ca="1" si="1"/>
        <v>-0.10779831012031438</v>
      </c>
      <c r="G10" s="23">
        <f t="shared" ca="1" si="2"/>
        <v>0.22280949297357508</v>
      </c>
      <c r="H10" s="36"/>
      <c r="I10" s="102"/>
      <c r="J10" s="16"/>
      <c r="K10" s="45">
        <f t="shared" ca="1" si="4"/>
        <v>190041.2744308961</v>
      </c>
      <c r="L10" s="46">
        <f t="shared" si="7"/>
        <v>42343</v>
      </c>
      <c r="M10" s="16">
        <f t="shared" ca="1" si="8"/>
        <v>0.22280949297357508</v>
      </c>
      <c r="N10" s="25" t="e">
        <f>VLOOKUP(T1,'LFL 2024'!A2:J33,9,0)</f>
        <v>#N/A</v>
      </c>
      <c r="O10" s="25">
        <f t="shared" si="6"/>
        <v>42343</v>
      </c>
      <c r="P10" s="24" t="e">
        <f t="shared" si="9"/>
        <v>#N/A</v>
      </c>
      <c r="Q10" s="25"/>
      <c r="R10" s="114"/>
      <c r="S10" s="117" t="e">
        <f t="shared" si="10"/>
        <v>#DIV/0!</v>
      </c>
      <c r="AO10" s="57"/>
      <c r="AP10" s="57"/>
      <c r="AR10" s="57"/>
    </row>
    <row r="11" spans="1:47" ht="15.75" x14ac:dyDescent="0.25">
      <c r="A11" s="68" t="s">
        <v>19</v>
      </c>
      <c r="B11" s="4" t="s">
        <v>20</v>
      </c>
      <c r="C11" s="25">
        <f ca="1">Retail!C35</f>
        <v>174186.12607702776</v>
      </c>
      <c r="D11" s="65">
        <f t="shared" ca="1" si="0"/>
        <v>30133</v>
      </c>
      <c r="E11" s="4">
        <v>23240</v>
      </c>
      <c r="F11" s="24">
        <f t="shared" ca="1" si="1"/>
        <v>-0.22875253044834565</v>
      </c>
      <c r="G11" s="23">
        <f t="shared" ca="1" si="2"/>
        <v>0.13342049980331336</v>
      </c>
      <c r="H11" s="36"/>
      <c r="I11" s="102"/>
      <c r="J11" s="16"/>
      <c r="K11" s="45">
        <f t="shared" ca="1" si="4"/>
        <v>174186.12607702776</v>
      </c>
      <c r="L11" s="46">
        <f t="shared" si="7"/>
        <v>23240</v>
      </c>
      <c r="M11" s="16">
        <f t="shared" ca="1" si="8"/>
        <v>0.13342049980331336</v>
      </c>
      <c r="N11" s="25" t="e">
        <f>VLOOKUP(T1,'LFL 2024'!A2:K33,10,0)</f>
        <v>#N/A</v>
      </c>
      <c r="O11" s="25">
        <f t="shared" si="6"/>
        <v>23240</v>
      </c>
      <c r="P11" s="24" t="e">
        <f t="shared" si="9"/>
        <v>#N/A</v>
      </c>
      <c r="Q11" s="25"/>
      <c r="R11" s="114"/>
      <c r="S11" s="117" t="e">
        <f t="shared" si="10"/>
        <v>#DIV/0!</v>
      </c>
      <c r="AO11" s="57"/>
      <c r="AP11" s="57"/>
      <c r="AR11" s="59"/>
      <c r="AS11" s="57"/>
      <c r="AT11" s="62"/>
      <c r="AU11" s="57"/>
    </row>
    <row r="12" spans="1:47" ht="15.75" x14ac:dyDescent="0.25">
      <c r="A12" s="68" t="s">
        <v>21</v>
      </c>
      <c r="B12" s="4" t="s">
        <v>22</v>
      </c>
      <c r="C12" s="25">
        <f ca="1">Retail!D35</f>
        <v>108239.75567045667</v>
      </c>
      <c r="D12" s="65">
        <f t="shared" ca="1" si="0"/>
        <v>24148</v>
      </c>
      <c r="E12" s="4">
        <v>34048</v>
      </c>
      <c r="F12" s="24">
        <f t="shared" ca="1" si="1"/>
        <v>0.40997184031803879</v>
      </c>
      <c r="G12" s="23">
        <f t="shared" ca="1" si="2"/>
        <v>0.31456094656811184</v>
      </c>
      <c r="H12" s="36"/>
      <c r="I12" s="102"/>
      <c r="J12" s="16"/>
      <c r="K12" s="45">
        <f t="shared" ca="1" si="4"/>
        <v>108239.75567045667</v>
      </c>
      <c r="L12" s="46">
        <f t="shared" si="7"/>
        <v>34048</v>
      </c>
      <c r="M12" s="16">
        <f t="shared" ca="1" si="8"/>
        <v>0.31456094656811184</v>
      </c>
      <c r="N12" s="25" t="e">
        <f>VLOOKUP(T1,'LFL 2024'!A2:L33,11,0)</f>
        <v>#N/A</v>
      </c>
      <c r="O12" s="25">
        <f t="shared" si="6"/>
        <v>34048</v>
      </c>
      <c r="P12" s="24" t="e">
        <f t="shared" si="9"/>
        <v>#N/A</v>
      </c>
      <c r="Q12" s="25"/>
      <c r="R12" s="114"/>
      <c r="S12" s="117" t="e">
        <f t="shared" si="10"/>
        <v>#DIV/0!</v>
      </c>
      <c r="AQ12" s="60"/>
    </row>
    <row r="13" spans="1:47" ht="15.75" x14ac:dyDescent="0.25">
      <c r="A13" s="68" t="s">
        <v>23</v>
      </c>
      <c r="B13" s="4" t="s">
        <v>24</v>
      </c>
      <c r="C13" s="25">
        <f ca="1">Retail!G35</f>
        <v>93298.933472166173</v>
      </c>
      <c r="D13" s="65">
        <f t="shared" ca="1" si="0"/>
        <v>13467</v>
      </c>
      <c r="E13" s="4">
        <v>10968</v>
      </c>
      <c r="F13" s="24">
        <f t="shared" ca="1" si="1"/>
        <v>-0.18556471374470929</v>
      </c>
      <c r="G13" s="23">
        <f t="shared" ca="1" si="2"/>
        <v>0.11755761391712027</v>
      </c>
      <c r="H13" s="36"/>
      <c r="I13" s="102"/>
      <c r="J13" s="16"/>
      <c r="K13" s="45">
        <f ca="1">C13+H13</f>
        <v>93298.933472166173</v>
      </c>
      <c r="L13" s="46">
        <f t="shared" si="7"/>
        <v>10968</v>
      </c>
      <c r="M13" s="16">
        <f t="shared" ca="1" si="8"/>
        <v>0.11755761391712027</v>
      </c>
      <c r="N13" s="25" t="e">
        <f>VLOOKUP(T2,'LFL 2024'!A3:L34,11,0)</f>
        <v>#N/A</v>
      </c>
      <c r="O13" s="25">
        <f t="shared" si="6"/>
        <v>10968</v>
      </c>
      <c r="P13" s="24" t="e">
        <f t="shared" ref="P13:P23" si="11">O13/N13</f>
        <v>#N/A</v>
      </c>
      <c r="Q13" s="25"/>
      <c r="R13" s="114"/>
      <c r="S13" s="117" t="e">
        <f t="shared" si="10"/>
        <v>#DIV/0!</v>
      </c>
      <c r="T13" s="54"/>
    </row>
    <row r="14" spans="1:47" ht="15.75" hidden="1" x14ac:dyDescent="0.25">
      <c r="A14" s="68" t="s">
        <v>25</v>
      </c>
      <c r="B14" s="4" t="s">
        <v>26</v>
      </c>
      <c r="C14" s="25"/>
      <c r="D14" s="65">
        <f t="shared" ca="1" si="0"/>
        <v>0</v>
      </c>
      <c r="E14" s="4"/>
      <c r="F14" s="24" t="e">
        <f t="shared" ca="1" si="1"/>
        <v>#DIV/0!</v>
      </c>
      <c r="G14" s="23" t="e">
        <f t="shared" si="2"/>
        <v>#DIV/0!</v>
      </c>
      <c r="H14" s="36"/>
      <c r="I14" s="104"/>
      <c r="J14" s="16"/>
      <c r="K14" s="45">
        <f t="shared" si="4"/>
        <v>0</v>
      </c>
      <c r="L14" s="46">
        <f t="shared" si="7"/>
        <v>0</v>
      </c>
      <c r="M14" s="16" t="e">
        <f t="shared" si="8"/>
        <v>#DIV/0!</v>
      </c>
      <c r="N14" s="25" t="e">
        <f>VLOOKUP(T3,'LFL 2024'!A4:L35,11,0)</f>
        <v>#N/A</v>
      </c>
      <c r="O14" s="25">
        <f t="shared" si="6"/>
        <v>0</v>
      </c>
      <c r="P14" s="24" t="e">
        <f t="shared" si="11"/>
        <v>#N/A</v>
      </c>
      <c r="Q14" s="25"/>
      <c r="R14" s="114"/>
      <c r="S14" s="117" t="e">
        <f t="shared" si="10"/>
        <v>#DIV/0!</v>
      </c>
    </row>
    <row r="15" spans="1:47" ht="14.25" customHeight="1" x14ac:dyDescent="0.25">
      <c r="A15" s="68" t="s">
        <v>27</v>
      </c>
      <c r="B15" s="4" t="s">
        <v>28</v>
      </c>
      <c r="C15" s="25">
        <f ca="1">Retail!I35</f>
        <v>75609.562014035298</v>
      </c>
      <c r="D15" s="65">
        <f t="shared" ca="1" si="0"/>
        <v>8822</v>
      </c>
      <c r="E15" s="4">
        <v>5122</v>
      </c>
      <c r="F15" s="24">
        <f t="shared" ca="1" si="1"/>
        <v>-0.41940603037859892</v>
      </c>
      <c r="G15" s="23">
        <f t="shared" ca="1" si="2"/>
        <v>6.7742754534792976E-2</v>
      </c>
      <c r="H15" s="47">
        <f ca="1">Attraction!C35</f>
        <v>4391.13412542484</v>
      </c>
      <c r="I15" s="103">
        <v>2850</v>
      </c>
      <c r="J15" s="16">
        <f t="shared" ca="1" si="3"/>
        <v>0.64903505987175103</v>
      </c>
      <c r="K15" s="45">
        <f t="shared" ca="1" si="4"/>
        <v>80000.696139460139</v>
      </c>
      <c r="L15" s="46">
        <f t="shared" si="7"/>
        <v>7972</v>
      </c>
      <c r="M15" s="16">
        <f t="shared" ca="1" si="8"/>
        <v>9.9649132878830426E-2</v>
      </c>
      <c r="N15" s="25" t="e">
        <f>VLOOKUP(T4,'LFL 2024'!A5:L36,11,0)</f>
        <v>#N/A</v>
      </c>
      <c r="O15" s="25">
        <f t="shared" si="6"/>
        <v>5122</v>
      </c>
      <c r="P15" s="24" t="e">
        <f t="shared" si="11"/>
        <v>#N/A</v>
      </c>
      <c r="Q15" s="25"/>
      <c r="R15" s="114"/>
      <c r="S15" s="117" t="e">
        <f t="shared" si="10"/>
        <v>#DIV/0!</v>
      </c>
    </row>
    <row r="16" spans="1:47" ht="15.75" x14ac:dyDescent="0.25">
      <c r="A16" s="68" t="s">
        <v>46</v>
      </c>
      <c r="B16" s="4" t="s">
        <v>45</v>
      </c>
      <c r="C16" s="25">
        <f ca="1">Retail!N35</f>
        <v>478539.39985072921</v>
      </c>
      <c r="D16" s="65">
        <f t="shared" ca="1" si="0"/>
        <v>52891</v>
      </c>
      <c r="E16" s="4">
        <v>136590</v>
      </c>
      <c r="F16" s="24">
        <f t="shared" ca="1" si="1"/>
        <v>1.582480951390596</v>
      </c>
      <c r="G16" s="23">
        <f t="shared" ca="1" si="2"/>
        <v>0.28543104296659066</v>
      </c>
      <c r="H16" s="47">
        <f ca="1">Attraction!F35</f>
        <v>86995.039884684636</v>
      </c>
      <c r="I16" s="105">
        <f>27291+3150+6400</f>
        <v>36841</v>
      </c>
      <c r="J16" s="16">
        <f ca="1">I16/H16</f>
        <v>0.4234839141269916</v>
      </c>
      <c r="K16" s="45">
        <f t="shared" ca="1" si="4"/>
        <v>565534.43973541388</v>
      </c>
      <c r="L16" s="46">
        <f t="shared" si="7"/>
        <v>173431</v>
      </c>
      <c r="M16" s="16">
        <f t="shared" ca="1" si="8"/>
        <v>0.30666744200607826</v>
      </c>
      <c r="N16" s="25" t="e">
        <f>VLOOKUP(T5,'LFL 2024'!A6:L37,11,0)</f>
        <v>#N/A</v>
      </c>
      <c r="O16" s="25">
        <f t="shared" si="6"/>
        <v>136590</v>
      </c>
      <c r="P16" s="24" t="e">
        <f t="shared" si="11"/>
        <v>#N/A</v>
      </c>
      <c r="Q16" s="25"/>
      <c r="R16" s="114"/>
      <c r="S16" s="117" t="e">
        <f t="shared" si="10"/>
        <v>#DIV/0!</v>
      </c>
      <c r="AJ16" s="42" t="s">
        <v>107</v>
      </c>
    </row>
    <row r="17" spans="1:45" ht="15.75" hidden="1" x14ac:dyDescent="0.25">
      <c r="A17" s="68" t="s">
        <v>73</v>
      </c>
      <c r="B17" s="4" t="s">
        <v>69</v>
      </c>
      <c r="C17" s="25">
        <v>0</v>
      </c>
      <c r="D17" s="65">
        <f t="shared" ca="1" si="0"/>
        <v>0</v>
      </c>
      <c r="E17" s="4"/>
      <c r="F17" s="24" t="e">
        <f t="shared" ca="1" si="1"/>
        <v>#DIV/0!</v>
      </c>
      <c r="G17" s="23" t="e">
        <f t="shared" si="2"/>
        <v>#DIV/0!</v>
      </c>
      <c r="H17" s="47"/>
      <c r="I17" s="103"/>
      <c r="J17" s="16"/>
      <c r="K17" s="45">
        <f t="shared" si="4"/>
        <v>0</v>
      </c>
      <c r="L17" s="46">
        <f t="shared" si="7"/>
        <v>0</v>
      </c>
      <c r="M17" s="16" t="e">
        <f t="shared" si="8"/>
        <v>#DIV/0!</v>
      </c>
      <c r="N17" s="25" t="e">
        <f>VLOOKUP(T6,'LFL 2024'!A7:L38,11,0)</f>
        <v>#N/A</v>
      </c>
      <c r="O17" s="25">
        <f t="shared" si="6"/>
        <v>0</v>
      </c>
      <c r="P17" s="24" t="e">
        <f t="shared" si="11"/>
        <v>#N/A</v>
      </c>
      <c r="Q17" s="25"/>
      <c r="R17" s="114"/>
      <c r="S17" s="117" t="e">
        <f t="shared" si="10"/>
        <v>#DIV/0!</v>
      </c>
      <c r="V17" s="109"/>
    </row>
    <row r="18" spans="1:45" ht="15.75" x14ac:dyDescent="0.25">
      <c r="A18" s="68" t="s">
        <v>48</v>
      </c>
      <c r="B18" s="4" t="s">
        <v>47</v>
      </c>
      <c r="C18" s="25">
        <f ca="1">Retail!P35</f>
        <v>52418.275801081792</v>
      </c>
      <c r="D18" s="65">
        <f t="shared" ca="1" si="0"/>
        <v>2999</v>
      </c>
      <c r="E18" s="4">
        <v>5389</v>
      </c>
      <c r="F18" s="24">
        <f t="shared" ca="1" si="1"/>
        <v>0.79693231077025684</v>
      </c>
      <c r="G18" s="23">
        <f t="shared" ca="1" si="2"/>
        <v>0.10280765472810122</v>
      </c>
      <c r="H18" s="36"/>
      <c r="I18" s="103"/>
      <c r="J18" s="16"/>
      <c r="K18" s="45">
        <f t="shared" ca="1" si="4"/>
        <v>52418.275801081792</v>
      </c>
      <c r="L18" s="46">
        <f t="shared" si="7"/>
        <v>5389</v>
      </c>
      <c r="M18" s="16">
        <f t="shared" ca="1" si="8"/>
        <v>0.10280765472810122</v>
      </c>
      <c r="N18" s="25" t="e">
        <f>VLOOKUP(T7,'LFL 2024'!A8:L39,11,0)</f>
        <v>#N/A</v>
      </c>
      <c r="O18" s="25">
        <f t="shared" si="6"/>
        <v>5389</v>
      </c>
      <c r="P18" s="24" t="e">
        <f t="shared" si="11"/>
        <v>#N/A</v>
      </c>
      <c r="Q18" s="25"/>
      <c r="R18" s="114"/>
      <c r="S18" s="117" t="e">
        <f t="shared" si="10"/>
        <v>#DIV/0!</v>
      </c>
    </row>
    <row r="19" spans="1:45" ht="15.75" x14ac:dyDescent="0.25">
      <c r="A19" s="68" t="s">
        <v>51</v>
      </c>
      <c r="B19" s="4" t="s">
        <v>50</v>
      </c>
      <c r="C19" s="25">
        <f ca="1">Retail!Q35</f>
        <v>50054.432108478766</v>
      </c>
      <c r="D19" s="65">
        <f t="shared" ca="1" si="0"/>
        <v>15303</v>
      </c>
      <c r="E19" s="4">
        <v>9925</v>
      </c>
      <c r="F19" s="24">
        <f t="shared" ca="1" si="1"/>
        <v>-0.35143435927595901</v>
      </c>
      <c r="G19" s="23">
        <f t="shared" ca="1" si="2"/>
        <v>0.19828413952415605</v>
      </c>
      <c r="H19" s="36"/>
      <c r="I19" s="103"/>
      <c r="J19" s="16"/>
      <c r="K19" s="45">
        <f t="shared" ca="1" si="4"/>
        <v>50054.432108478766</v>
      </c>
      <c r="L19" s="46">
        <f t="shared" si="7"/>
        <v>9925</v>
      </c>
      <c r="M19" s="16">
        <f t="shared" ca="1" si="8"/>
        <v>0.19828413952415605</v>
      </c>
      <c r="N19" s="25" t="e">
        <f>VLOOKUP(T8,'LFL 2024'!A9:L40,11,0)</f>
        <v>#N/A</v>
      </c>
      <c r="O19" s="25">
        <f t="shared" si="6"/>
        <v>9925</v>
      </c>
      <c r="P19" s="24" t="e">
        <f t="shared" si="11"/>
        <v>#N/A</v>
      </c>
      <c r="Q19" s="25"/>
      <c r="R19" s="114"/>
      <c r="S19" s="117" t="e">
        <f t="shared" si="10"/>
        <v>#DIV/0!</v>
      </c>
      <c r="AS19" s="59"/>
    </row>
    <row r="20" spans="1:45" ht="15.75" x14ac:dyDescent="0.25">
      <c r="A20" s="68" t="s">
        <v>54</v>
      </c>
      <c r="B20" s="4" t="s">
        <v>52</v>
      </c>
      <c r="C20" s="25">
        <f ca="1">Retail!R35</f>
        <v>173176.0929886683</v>
      </c>
      <c r="D20" s="65">
        <f t="shared" ca="1" si="0"/>
        <v>37688</v>
      </c>
      <c r="E20" s="4">
        <v>32826</v>
      </c>
      <c r="F20" s="24">
        <f t="shared" ca="1" si="1"/>
        <v>-0.12900658034387602</v>
      </c>
      <c r="G20" s="23">
        <f t="shared" ca="1" si="2"/>
        <v>0.18955272308948531</v>
      </c>
      <c r="H20" s="47">
        <f ca="1">Attraction!H35</f>
        <v>37671.354752526553</v>
      </c>
      <c r="I20" s="103">
        <v>16443</v>
      </c>
      <c r="J20" s="16">
        <f ca="1">I20/H20</f>
        <v>0.43648549695169103</v>
      </c>
      <c r="K20" s="45">
        <f t="shared" ca="1" si="4"/>
        <v>210847.44774119486</v>
      </c>
      <c r="L20" s="46">
        <f t="shared" si="7"/>
        <v>49269</v>
      </c>
      <c r="M20" s="16">
        <f t="shared" ca="1" si="8"/>
        <v>0.23367131320686099</v>
      </c>
      <c r="N20" s="25" t="e">
        <f>VLOOKUP(T9,'LFL 2024'!A10:L41,11,0)</f>
        <v>#N/A</v>
      </c>
      <c r="O20" s="25">
        <f t="shared" si="6"/>
        <v>32826</v>
      </c>
      <c r="P20" s="24" t="e">
        <f t="shared" si="11"/>
        <v>#N/A</v>
      </c>
      <c r="Q20" s="25"/>
      <c r="R20" s="114"/>
      <c r="S20" s="117" t="e">
        <f t="shared" si="10"/>
        <v>#DIV/0!</v>
      </c>
    </row>
    <row r="21" spans="1:45" ht="15.75" x14ac:dyDescent="0.25">
      <c r="A21" s="68" t="s">
        <v>74</v>
      </c>
      <c r="B21" s="4" t="s">
        <v>71</v>
      </c>
      <c r="C21" s="25">
        <f ca="1">Retail!S35</f>
        <v>69239.831976393194</v>
      </c>
      <c r="D21" s="65">
        <f t="shared" ca="1" si="0"/>
        <v>28679</v>
      </c>
      <c r="E21" s="4">
        <v>10499</v>
      </c>
      <c r="F21" s="24">
        <f t="shared" ca="1" si="1"/>
        <v>-0.63391331636388992</v>
      </c>
      <c r="G21" s="23">
        <f t="shared" ca="1" si="2"/>
        <v>0.15163237258547299</v>
      </c>
      <c r="H21" s="47"/>
      <c r="I21" s="14"/>
      <c r="J21" s="16"/>
      <c r="K21" s="45">
        <f t="shared" ref="K21:K22" ca="1" si="12">C21+H21</f>
        <v>69239.831976393194</v>
      </c>
      <c r="L21" s="46">
        <f t="shared" si="7"/>
        <v>10499</v>
      </c>
      <c r="M21" s="16">
        <f t="shared" ref="M21:M22" ca="1" si="13">L21/K21</f>
        <v>0.15163237258547299</v>
      </c>
      <c r="N21" s="25" t="e">
        <f>VLOOKUP(T10,'LFL 2024'!A11:L42,11,0)</f>
        <v>#N/A</v>
      </c>
      <c r="O21" s="25">
        <f t="shared" si="6"/>
        <v>10499</v>
      </c>
      <c r="P21" s="24" t="e">
        <f t="shared" si="11"/>
        <v>#N/A</v>
      </c>
      <c r="Q21" s="25"/>
      <c r="R21" s="114"/>
      <c r="S21" s="117" t="e">
        <f t="shared" si="10"/>
        <v>#DIV/0!</v>
      </c>
    </row>
    <row r="22" spans="1:45" ht="15.75" x14ac:dyDescent="0.25">
      <c r="A22" s="68" t="s">
        <v>97</v>
      </c>
      <c r="B22" s="4" t="s">
        <v>99</v>
      </c>
      <c r="C22" s="25">
        <f ca="1">Retail!T35</f>
        <v>118798.38844497562</v>
      </c>
      <c r="D22" s="65">
        <f t="shared" ca="1" si="0"/>
        <v>23145</v>
      </c>
      <c r="E22" s="4">
        <v>24439</v>
      </c>
      <c r="F22" s="24">
        <f t="shared" ca="1" si="1"/>
        <v>5.5908403542881846E-2</v>
      </c>
      <c r="G22" s="23">
        <f t="shared" ca="1" si="2"/>
        <v>0.20571827884112689</v>
      </c>
      <c r="H22" s="47"/>
      <c r="I22" s="14"/>
      <c r="J22" s="16"/>
      <c r="K22" s="45">
        <f t="shared" ca="1" si="12"/>
        <v>118798.38844497562</v>
      </c>
      <c r="L22" s="46">
        <f t="shared" si="7"/>
        <v>24439</v>
      </c>
      <c r="M22" s="16">
        <f t="shared" ca="1" si="13"/>
        <v>0.20571827884112689</v>
      </c>
      <c r="N22" s="25" t="e">
        <f>VLOOKUP(T11,'LFL 2024'!A12:L43,11,0)</f>
        <v>#N/A</v>
      </c>
      <c r="O22" s="25">
        <f t="shared" si="6"/>
        <v>24439</v>
      </c>
      <c r="P22" s="24" t="e">
        <f t="shared" ref="P22" si="14">O22/N22</f>
        <v>#N/A</v>
      </c>
      <c r="Q22" s="25"/>
      <c r="R22" s="114"/>
      <c r="S22" s="117" t="e">
        <f t="shared" si="10"/>
        <v>#DIV/0!</v>
      </c>
    </row>
    <row r="23" spans="1:45" ht="15.75" x14ac:dyDescent="0.25">
      <c r="A23" s="68" t="s">
        <v>78</v>
      </c>
      <c r="B23" s="4" t="s">
        <v>79</v>
      </c>
      <c r="C23" s="25">
        <f ca="1">Retail!U35</f>
        <v>187326.31302623276</v>
      </c>
      <c r="D23" s="65">
        <f t="shared" ca="1" si="0"/>
        <v>32076</v>
      </c>
      <c r="E23" s="4">
        <v>19727</v>
      </c>
      <c r="F23" s="24">
        <f t="shared" ca="1" si="1"/>
        <v>-0.38499189425115354</v>
      </c>
      <c r="G23" s="23">
        <f t="shared" ca="1" si="2"/>
        <v>0.10530821688268362</v>
      </c>
      <c r="H23" s="47"/>
      <c r="I23" s="14"/>
      <c r="J23" s="16"/>
      <c r="K23" s="45">
        <f t="shared" ref="K23:K25" ca="1" si="15">C23+H23</f>
        <v>187326.31302623276</v>
      </c>
      <c r="L23" s="46">
        <f t="shared" si="7"/>
        <v>19727</v>
      </c>
      <c r="M23" s="16">
        <f t="shared" ref="M23:M25" ca="1" si="16">L23/K23</f>
        <v>0.10530821688268362</v>
      </c>
      <c r="N23" s="25" t="e">
        <f>VLOOKUP(T11,'LFL 2024'!A12:L43,11,0)</f>
        <v>#N/A</v>
      </c>
      <c r="O23" s="25">
        <f t="shared" si="6"/>
        <v>19727</v>
      </c>
      <c r="P23" s="24" t="e">
        <f t="shared" si="11"/>
        <v>#N/A</v>
      </c>
      <c r="Q23" s="25"/>
      <c r="R23" s="114"/>
      <c r="S23" s="117" t="e">
        <f t="shared" si="10"/>
        <v>#DIV/0!</v>
      </c>
      <c r="AG23" s="152"/>
    </row>
    <row r="24" spans="1:45" ht="15.75" x14ac:dyDescent="0.25">
      <c r="A24" s="93" t="s">
        <v>103</v>
      </c>
      <c r="B24" s="94" t="s">
        <v>104</v>
      </c>
      <c r="C24" s="25">
        <f ca="1">Retail!V35</f>
        <v>157216.40649720485</v>
      </c>
      <c r="D24" s="65">
        <f t="shared" ca="1" si="0"/>
        <v>25590</v>
      </c>
      <c r="E24" s="94">
        <v>21668</v>
      </c>
      <c r="F24" s="24">
        <f t="shared" ca="1" si="1"/>
        <v>-0.15326299335677995</v>
      </c>
      <c r="G24" s="23">
        <f t="shared" ca="1" si="2"/>
        <v>0.13782276597439744</v>
      </c>
      <c r="H24" s="98"/>
      <c r="I24" s="99"/>
      <c r="J24" s="100"/>
      <c r="K24" s="45">
        <f t="shared" ca="1" si="15"/>
        <v>157216.40649720485</v>
      </c>
      <c r="L24" s="46">
        <f t="shared" si="7"/>
        <v>21668</v>
      </c>
      <c r="M24" s="16">
        <f t="shared" ca="1" si="16"/>
        <v>0.13782276597439744</v>
      </c>
      <c r="N24" s="25" t="e">
        <f>VLOOKUP(T12,'LFL 2024'!A13:L44,11,0)</f>
        <v>#N/A</v>
      </c>
      <c r="O24" s="25">
        <f t="shared" si="6"/>
        <v>21668</v>
      </c>
      <c r="P24" s="24" t="e">
        <f t="shared" ref="P24" si="17">O24/N24</f>
        <v>#N/A</v>
      </c>
      <c r="Q24" s="25"/>
      <c r="R24" s="114"/>
      <c r="S24" s="117" t="e">
        <f t="shared" ref="S24" si="18">Q24/R24*1</f>
        <v>#DIV/0!</v>
      </c>
    </row>
    <row r="25" spans="1:45" s="105" customFormat="1" ht="15.75" x14ac:dyDescent="0.25">
      <c r="A25" s="93" t="s">
        <v>105</v>
      </c>
      <c r="B25" s="94" t="s">
        <v>106</v>
      </c>
      <c r="C25" s="25">
        <f ca="1">Retail!W35</f>
        <v>138746.39014871843</v>
      </c>
      <c r="D25" s="65">
        <f t="shared" ca="1" si="0"/>
        <v>14381</v>
      </c>
      <c r="E25" s="94">
        <v>30780</v>
      </c>
      <c r="F25" s="24">
        <f t="shared" ca="1" si="1"/>
        <v>1.1403240386621238</v>
      </c>
      <c r="G25" s="23">
        <f t="shared" ca="1" si="2"/>
        <v>0.22184360953108592</v>
      </c>
      <c r="H25" s="98"/>
      <c r="I25" s="99"/>
      <c r="J25" s="100"/>
      <c r="K25" s="45">
        <f t="shared" ca="1" si="15"/>
        <v>138746.39014871843</v>
      </c>
      <c r="L25" s="46">
        <f t="shared" si="7"/>
        <v>30780</v>
      </c>
      <c r="M25" s="16">
        <f t="shared" ca="1" si="16"/>
        <v>0.22184360953108592</v>
      </c>
      <c r="N25" s="95"/>
      <c r="O25" s="95">
        <f t="shared" si="6"/>
        <v>30780</v>
      </c>
      <c r="P25" s="97"/>
      <c r="Q25" s="95"/>
      <c r="R25" s="115"/>
      <c r="S25" s="117"/>
    </row>
    <row r="26" spans="1:45" ht="16.5" thickBot="1" x14ac:dyDescent="0.3">
      <c r="A26" s="85"/>
      <c r="B26" s="74"/>
      <c r="C26" s="86">
        <f ca="1">SUM(C4:C25)</f>
        <v>3986963.6772764307</v>
      </c>
      <c r="D26" s="86">
        <f ca="1">SUM(D4:D25)</f>
        <v>884688</v>
      </c>
      <c r="E26" s="86">
        <f>SUM(E4:E25)</f>
        <v>927469</v>
      </c>
      <c r="F26" s="77">
        <f t="shared" ref="F26" ca="1" si="19">E26/D26-1</f>
        <v>4.8357160942614774E-2</v>
      </c>
      <c r="G26" s="78">
        <f t="shared" ref="G26" ca="1" si="20">E26/C26</f>
        <v>0.23262539493050297</v>
      </c>
      <c r="H26" s="86">
        <f ca="1">SUM(H4:H23)</f>
        <v>273790.24258838291</v>
      </c>
      <c r="I26" s="86">
        <f>SUM(I4:I24)</f>
        <v>83834</v>
      </c>
      <c r="J26" s="87">
        <f ca="1">I26/H26</f>
        <v>0.30619790978466788</v>
      </c>
      <c r="K26" s="86">
        <f ca="1">SUM(K4:K25)</f>
        <v>4260753.9198648129</v>
      </c>
      <c r="L26" s="86">
        <f>SUM(L4:L25)</f>
        <v>1011303</v>
      </c>
      <c r="M26" s="87">
        <f ca="1">L26/K26</f>
        <v>0.23735306450931742</v>
      </c>
      <c r="N26" s="92" t="e">
        <f>VLOOKUP(T13,'LFL 2024'!A14:K45,10,0)</f>
        <v>#N/A</v>
      </c>
      <c r="O26" s="92">
        <f t="shared" ref="O26" si="21">E26</f>
        <v>927469</v>
      </c>
      <c r="P26" s="90" t="e">
        <f t="shared" ref="P26" si="22">O26/N26</f>
        <v>#N/A</v>
      </c>
      <c r="Q26" s="86">
        <f>SUM(Q4:Q23)</f>
        <v>0</v>
      </c>
      <c r="R26" s="116">
        <f>SUM(R4:R23)</f>
        <v>0</v>
      </c>
      <c r="S26" s="118" t="e">
        <f>+Q26/R26</f>
        <v>#DIV/0!</v>
      </c>
    </row>
    <row r="27" spans="1:45" ht="15.75" x14ac:dyDescent="0.25">
      <c r="A27" s="69"/>
      <c r="B27" s="6"/>
      <c r="C27" s="48"/>
      <c r="D27" s="49"/>
      <c r="E27" s="48"/>
      <c r="F27" s="9"/>
      <c r="G27" s="50"/>
      <c r="H27" s="51"/>
      <c r="I27" s="70"/>
      <c r="J27" s="70"/>
      <c r="K27" s="70"/>
    </row>
    <row r="28" spans="1:45" ht="15.75" x14ac:dyDescent="0.25">
      <c r="A28" s="71"/>
      <c r="B28" s="5"/>
      <c r="C28" s="37" t="s">
        <v>29</v>
      </c>
      <c r="D28" s="37" t="s">
        <v>30</v>
      </c>
      <c r="E28" s="38" t="s">
        <v>2</v>
      </c>
      <c r="F28" s="39" t="s">
        <v>3</v>
      </c>
      <c r="G28" s="37" t="s">
        <v>31</v>
      </c>
      <c r="H28" s="34" t="s">
        <v>29</v>
      </c>
      <c r="I28" s="2" t="s">
        <v>41</v>
      </c>
      <c r="J28" s="34" t="s">
        <v>4</v>
      </c>
      <c r="K28" s="34" t="s">
        <v>29</v>
      </c>
      <c r="L28" s="2" t="s">
        <v>41</v>
      </c>
      <c r="M28" s="67" t="s">
        <v>4</v>
      </c>
      <c r="N28" s="37" t="s">
        <v>80</v>
      </c>
      <c r="O28" s="37" t="s">
        <v>84</v>
      </c>
      <c r="P28" s="34" t="s">
        <v>83</v>
      </c>
      <c r="Q28" s="34" t="s">
        <v>84</v>
      </c>
      <c r="R28" s="113" t="s">
        <v>80</v>
      </c>
      <c r="S28" s="34" t="s">
        <v>4</v>
      </c>
      <c r="AG28" s="144">
        <f ca="1">+K33-K26</f>
        <v>0</v>
      </c>
    </row>
    <row r="29" spans="1:45" ht="15.75" x14ac:dyDescent="0.25">
      <c r="A29" s="69"/>
      <c r="B29" s="4" t="s">
        <v>32</v>
      </c>
      <c r="C29" s="25">
        <f ca="1">+C4+C20+C10+C13+C15+C25</f>
        <v>1191866.5359591332</v>
      </c>
      <c r="D29" s="25">
        <f ca="1">+D4+D20+D10+D13+D15+D25</f>
        <v>236721</v>
      </c>
      <c r="E29" s="25">
        <f>+E4+E20+E10+E13+E15+E25</f>
        <v>284941</v>
      </c>
      <c r="F29" s="24">
        <f ca="1">E29/D29-1</f>
        <v>0.20369971400931908</v>
      </c>
      <c r="G29" s="23">
        <f ca="1">+E29/C29</f>
        <v>0.23907123105079786</v>
      </c>
      <c r="H29" s="25">
        <f ca="1">+H4+H20+H10+H13+H15</f>
        <v>55716.019572597441</v>
      </c>
      <c r="I29" s="25">
        <f>+I4+I20+I10+I13+I15</f>
        <v>22893</v>
      </c>
      <c r="J29" s="23">
        <f t="shared" ref="J29" ca="1" si="23">I29/H29</f>
        <v>0.41088721297060066</v>
      </c>
      <c r="K29" s="25">
        <f ca="1">+K4+K20+K10+K13+K15+K25</f>
        <v>1247582.5555317304</v>
      </c>
      <c r="L29" s="25">
        <f>+L4+L20+L10+L13+L15+L25</f>
        <v>307834</v>
      </c>
      <c r="M29" s="72">
        <f ca="1">L29/K29</f>
        <v>0.24674439269375525</v>
      </c>
      <c r="N29" s="25" t="e">
        <f>+N4+N20</f>
        <v>#N/A</v>
      </c>
      <c r="O29" s="25">
        <f>+O4+O20+O10+O13+O15</f>
        <v>254161</v>
      </c>
      <c r="P29" s="24" t="e">
        <f t="shared" ref="P29:P33" si="24">O29/N29</f>
        <v>#N/A</v>
      </c>
      <c r="Q29" s="25">
        <f>+Q4+Q20</f>
        <v>0</v>
      </c>
      <c r="R29" s="114">
        <f>+R4+R20</f>
        <v>0</v>
      </c>
      <c r="S29" s="117" t="e">
        <f t="shared" ref="S29:S32" si="25">Q29/R29*1</f>
        <v>#DIV/0!</v>
      </c>
    </row>
    <row r="30" spans="1:45" ht="15.75" hidden="1" x14ac:dyDescent="0.25">
      <c r="A30" s="69"/>
      <c r="B30" s="4" t="s">
        <v>33</v>
      </c>
      <c r="C30" s="25">
        <v>0</v>
      </c>
      <c r="D30" s="25">
        <v>0</v>
      </c>
      <c r="E30" s="25">
        <v>0</v>
      </c>
      <c r="F30" s="24" t="e">
        <f t="shared" ref="F30:F32" si="26">E30/D30-1</f>
        <v>#DIV/0!</v>
      </c>
      <c r="G30" s="23" t="e">
        <f>+E30/C30</f>
        <v>#DIV/0!</v>
      </c>
      <c r="H30" s="25">
        <v>0</v>
      </c>
      <c r="I30" s="25">
        <v>0</v>
      </c>
      <c r="J30" s="23" t="e">
        <f>I30/H30</f>
        <v>#DIV/0!</v>
      </c>
      <c r="K30" s="25">
        <v>0</v>
      </c>
      <c r="L30" s="25"/>
      <c r="M30" s="72" t="e">
        <f t="shared" ref="M30:M32" si="27">L30/K30</f>
        <v>#DIV/0!</v>
      </c>
      <c r="N30" s="25" t="e">
        <f>+N10+N13+N15</f>
        <v>#N/A</v>
      </c>
      <c r="O30" s="25">
        <v>0</v>
      </c>
      <c r="P30" s="24" t="e">
        <f t="shared" si="24"/>
        <v>#N/A</v>
      </c>
      <c r="Q30" s="25">
        <f>+Q10+Q13+Q15</f>
        <v>0</v>
      </c>
      <c r="R30" s="114">
        <f>+R10+R13+R15</f>
        <v>0</v>
      </c>
      <c r="S30" s="117" t="e">
        <f t="shared" si="25"/>
        <v>#DIV/0!</v>
      </c>
    </row>
    <row r="31" spans="1:45" ht="15.75" x14ac:dyDescent="0.25">
      <c r="A31" s="69"/>
      <c r="B31" s="4" t="s">
        <v>75</v>
      </c>
      <c r="C31" s="25">
        <f ca="1">+C11+C9+C12+C6+C14+C21+C22+C24</f>
        <v>1171665.5131689731</v>
      </c>
      <c r="D31" s="25">
        <f ca="1">+D11+D9+D12+D6+D14+D21+D22+D24</f>
        <v>296341</v>
      </c>
      <c r="E31" s="25">
        <f>+E11+E9+E12+E6+E14+E21+E22+E24</f>
        <v>231570</v>
      </c>
      <c r="F31" s="24">
        <f t="shared" ca="1" si="26"/>
        <v>-0.21856914837973818</v>
      </c>
      <c r="G31" s="23">
        <f ca="1">+E31/C31</f>
        <v>0.19764173085002618</v>
      </c>
      <c r="H31" s="25">
        <f ca="1">H11+H9+H12+H6+H14+H21+H24+H22</f>
        <v>100564.04266308263</v>
      </c>
      <c r="I31" s="25">
        <f>I11+I9+I12+I6+I14+I21+I22+I24</f>
        <v>18500</v>
      </c>
      <c r="J31" s="23">
        <f ca="1">I31/H31</f>
        <v>0.18396237372815372</v>
      </c>
      <c r="K31" s="25">
        <f ca="1">K11+K9+K12+K6+K14+K21+K22+K24</f>
        <v>1272229.5558320559</v>
      </c>
      <c r="L31" s="25">
        <f>+L11+L9+L12+L6+L14+L22+L24+L21</f>
        <v>250070</v>
      </c>
      <c r="M31" s="72">
        <f t="shared" ca="1" si="27"/>
        <v>0.19656043899754455</v>
      </c>
      <c r="N31" s="25" t="e">
        <f>+N11+N9+N12+N6+N14+N21</f>
        <v>#N/A</v>
      </c>
      <c r="O31" s="25">
        <f>+O11+O9+O12+O6+O14+O21+O22+O24</f>
        <v>231570</v>
      </c>
      <c r="P31" s="24" t="e">
        <f t="shared" si="24"/>
        <v>#N/A</v>
      </c>
      <c r="Q31" s="25">
        <f>+Q11+Q9+Q12+Q6+Q14+Q21+Q22+Q24</f>
        <v>0</v>
      </c>
      <c r="R31" s="114">
        <f>+R11+R9+R12+R6+R14+R21+R22+R24</f>
        <v>0</v>
      </c>
      <c r="S31" s="117" t="e">
        <f t="shared" si="25"/>
        <v>#DIV/0!</v>
      </c>
    </row>
    <row r="32" spans="1:45" ht="15.75" x14ac:dyDescent="0.25">
      <c r="A32" s="69"/>
      <c r="B32" s="4" t="s">
        <v>34</v>
      </c>
      <c r="C32" s="25">
        <f ca="1">+C5+C7+C8+C19+C18+C16+C23</f>
        <v>1623431.6281483243</v>
      </c>
      <c r="D32" s="25">
        <f ca="1">+D5+D7+D8+D19+D18+D17+D16+D23</f>
        <v>351626</v>
      </c>
      <c r="E32" s="25">
        <f>+E5+E7+E8+E19+E18+E17+E16+E23</f>
        <v>410958</v>
      </c>
      <c r="F32" s="24">
        <f t="shared" ca="1" si="26"/>
        <v>0.16873610028837449</v>
      </c>
      <c r="G32" s="23">
        <f ca="1">+E32/C32</f>
        <v>0.25314155082018208</v>
      </c>
      <c r="H32" s="25">
        <f ca="1">+H5+H7+H8+H19+H18+H17+H16+H23</f>
        <v>117510.18035270288</v>
      </c>
      <c r="I32" s="25">
        <f>+I5+I7+I8+I19+I18+I17+I16+I23</f>
        <v>42441</v>
      </c>
      <c r="J32" s="23">
        <f t="shared" ref="J32" ca="1" si="28">I32/H32</f>
        <v>0.36116870787377531</v>
      </c>
      <c r="K32" s="25">
        <f ca="1">+K5+K7+K8+K19+K18+K16+K23</f>
        <v>1740941.8085010275</v>
      </c>
      <c r="L32" s="25">
        <f>+L5+L7+L8+L16+L18+L19+L23</f>
        <v>453399</v>
      </c>
      <c r="M32" s="72">
        <f t="shared" ca="1" si="27"/>
        <v>0.26043317346165762</v>
      </c>
      <c r="N32" s="25" t="e">
        <f>+N5+N7+N8+N19+N18+N17+N16+N23</f>
        <v>#N/A</v>
      </c>
      <c r="O32" s="25">
        <f>+O5+O7+O8+O19+O18+O17+O16+O23</f>
        <v>410958</v>
      </c>
      <c r="P32" s="24" t="e">
        <f t="shared" si="24"/>
        <v>#N/A</v>
      </c>
      <c r="Q32" s="25">
        <f>+Q5+Q7+Q8+Q19+Q18+Q17+Q16+Q23</f>
        <v>0</v>
      </c>
      <c r="R32" s="25">
        <f>+R5+R7+R8+R19+R18+R17+R16+R23</f>
        <v>0</v>
      </c>
      <c r="S32" s="117" t="e">
        <f t="shared" si="25"/>
        <v>#DIV/0!</v>
      </c>
    </row>
    <row r="33" spans="1:42" ht="16.5" thickBot="1" x14ac:dyDescent="0.3">
      <c r="A33" s="73"/>
      <c r="B33" s="74"/>
      <c r="C33" s="75">
        <f ca="1">SUM(C29:C32)</f>
        <v>3986963.6772764307</v>
      </c>
      <c r="D33" s="75">
        <f ca="1">SUM(D29:D32)</f>
        <v>884688</v>
      </c>
      <c r="E33" s="75">
        <f t="shared" ref="E33" si="29">SUM(E29:E32)</f>
        <v>927469</v>
      </c>
      <c r="F33" s="77">
        <f ca="1">E33/D33-1</f>
        <v>4.8357160942614774E-2</v>
      </c>
      <c r="G33" s="78">
        <f ca="1">+E33/C33</f>
        <v>0.23262539493050297</v>
      </c>
      <c r="H33" s="75">
        <f t="shared" ref="H33:I33" ca="1" si="30">SUM(H29:H32)</f>
        <v>273790.24258838291</v>
      </c>
      <c r="I33" s="75">
        <f t="shared" si="30"/>
        <v>83834</v>
      </c>
      <c r="J33" s="78">
        <f ca="1">I33/H33</f>
        <v>0.30619790978466788</v>
      </c>
      <c r="K33" s="75">
        <f t="shared" ref="K33" ca="1" si="31">SUM(K29:K32)</f>
        <v>4260753.9198648138</v>
      </c>
      <c r="L33" s="75">
        <f>SUM(L29:L32)</f>
        <v>1011303</v>
      </c>
      <c r="M33" s="79">
        <f ca="1">L33/K33</f>
        <v>0.23735306450931737</v>
      </c>
      <c r="N33" s="76" t="e">
        <f>SUM(N29:N32)</f>
        <v>#N/A</v>
      </c>
      <c r="O33" s="75">
        <f>SUM(O29:O32)</f>
        <v>896689</v>
      </c>
      <c r="P33" s="63" t="e">
        <f t="shared" si="24"/>
        <v>#N/A</v>
      </c>
      <c r="Q33" s="76">
        <f>SUM(Q29:Q32)</f>
        <v>0</v>
      </c>
      <c r="R33" s="119">
        <f>SUM(R29:R32)</f>
        <v>0</v>
      </c>
      <c r="S33" s="118" t="e">
        <f>+Q33/R33</f>
        <v>#DIV/0!</v>
      </c>
    </row>
    <row r="36" spans="1:42" ht="15.75" x14ac:dyDescent="0.25">
      <c r="A36" s="43" t="s">
        <v>0</v>
      </c>
      <c r="B36" s="43" t="s">
        <v>1</v>
      </c>
      <c r="C36" s="53">
        <v>46259</v>
      </c>
      <c r="D36" s="53">
        <f t="shared" ref="D36" si="32">C36+1</f>
        <v>46260</v>
      </c>
      <c r="E36" s="53">
        <f t="shared" ref="E36" si="33">D36+1</f>
        <v>46261</v>
      </c>
      <c r="F36" s="53">
        <f t="shared" ref="F36" si="34">E36+1</f>
        <v>46262</v>
      </c>
      <c r="G36" s="53">
        <f>F36+1</f>
        <v>46263</v>
      </c>
      <c r="H36" s="53">
        <f>G36+1</f>
        <v>46264</v>
      </c>
      <c r="I36" s="53">
        <f t="shared" ref="I36" si="35">H36+1</f>
        <v>46265</v>
      </c>
      <c r="J36" s="53">
        <f t="shared" ref="J36" si="36">I36+1</f>
        <v>46266</v>
      </c>
      <c r="K36" s="53">
        <f t="shared" ref="K36" si="37">J36+1</f>
        <v>46267</v>
      </c>
      <c r="L36" s="53">
        <f t="shared" ref="L36" si="38">K36+1</f>
        <v>46268</v>
      </c>
      <c r="M36" s="53">
        <f t="shared" ref="M36" si="39">L36+1</f>
        <v>46269</v>
      </c>
      <c r="N36" s="53">
        <f t="shared" ref="N36" si="40">M36+1</f>
        <v>46270</v>
      </c>
      <c r="O36" s="53">
        <f t="shared" ref="O36:AJ36" si="41">N36+1</f>
        <v>46271</v>
      </c>
      <c r="P36" s="53">
        <f t="shared" si="41"/>
        <v>46272</v>
      </c>
      <c r="Q36" s="53">
        <f t="shared" si="41"/>
        <v>46273</v>
      </c>
      <c r="R36" s="53">
        <f t="shared" si="41"/>
        <v>46274</v>
      </c>
      <c r="S36" s="53">
        <f t="shared" si="41"/>
        <v>46275</v>
      </c>
      <c r="T36" s="53">
        <f t="shared" si="41"/>
        <v>46276</v>
      </c>
      <c r="U36" s="53">
        <f t="shared" si="41"/>
        <v>46277</v>
      </c>
      <c r="V36" s="53">
        <f t="shared" si="41"/>
        <v>46278</v>
      </c>
      <c r="W36" s="53">
        <f t="shared" si="41"/>
        <v>46279</v>
      </c>
      <c r="X36" s="53">
        <f t="shared" si="41"/>
        <v>46280</v>
      </c>
      <c r="Y36" s="53">
        <f t="shared" si="41"/>
        <v>46281</v>
      </c>
      <c r="Z36" s="53">
        <f t="shared" si="41"/>
        <v>46282</v>
      </c>
      <c r="AA36" s="53">
        <f t="shared" si="41"/>
        <v>46283</v>
      </c>
      <c r="AB36" s="53">
        <f t="shared" si="41"/>
        <v>46284</v>
      </c>
      <c r="AC36" s="53">
        <f t="shared" si="41"/>
        <v>46285</v>
      </c>
      <c r="AD36" s="53">
        <f t="shared" si="41"/>
        <v>46286</v>
      </c>
      <c r="AE36" s="53">
        <f t="shared" si="41"/>
        <v>46287</v>
      </c>
      <c r="AF36" s="53">
        <f t="shared" si="41"/>
        <v>46288</v>
      </c>
      <c r="AG36" s="53">
        <f t="shared" si="41"/>
        <v>46289</v>
      </c>
      <c r="AH36" s="53">
        <f t="shared" si="41"/>
        <v>46290</v>
      </c>
      <c r="AI36" s="53">
        <f>AH36+1</f>
        <v>46291</v>
      </c>
      <c r="AJ36" s="53">
        <f t="shared" si="41"/>
        <v>46292</v>
      </c>
      <c r="AK36" s="53">
        <f t="shared" ref="AK36" si="42">AJ36+1</f>
        <v>46293</v>
      </c>
      <c r="AL36" s="53">
        <f t="shared" ref="AL36" si="43">AK36+1</f>
        <v>46294</v>
      </c>
      <c r="AM36" s="53">
        <f t="shared" ref="AM36" si="44">AL36+1</f>
        <v>46295</v>
      </c>
      <c r="AN36" s="53">
        <f t="shared" ref="AN36" si="45">AM36+1</f>
        <v>46296</v>
      </c>
      <c r="AO36" s="53">
        <f t="shared" ref="AO36" si="46">AN36+1</f>
        <v>46297</v>
      </c>
      <c r="AP36" s="53">
        <f t="shared" ref="AP36" si="47">AO36+1</f>
        <v>46298</v>
      </c>
    </row>
    <row r="37" spans="1:42" ht="15.75" x14ac:dyDescent="0.25">
      <c r="A37" s="4" t="s">
        <v>5</v>
      </c>
      <c r="B37" s="4" t="s">
        <v>6</v>
      </c>
      <c r="C37" s="4">
        <v>31588</v>
      </c>
      <c r="D37" s="4">
        <v>118825</v>
      </c>
      <c r="E37" s="4">
        <v>116238</v>
      </c>
      <c r="F37" s="4">
        <v>100930</v>
      </c>
      <c r="G37" s="4">
        <v>98700</v>
      </c>
      <c r="H37" s="4">
        <v>220702</v>
      </c>
      <c r="I37" s="4">
        <v>67392</v>
      </c>
      <c r="J37" s="4">
        <v>51407</v>
      </c>
      <c r="K37" s="4">
        <v>32321</v>
      </c>
      <c r="L37" s="4">
        <v>74333</v>
      </c>
      <c r="M37" s="65"/>
      <c r="N37" s="4">
        <v>88263</v>
      </c>
      <c r="O37" s="65"/>
      <c r="P37" s="4">
        <v>30749</v>
      </c>
      <c r="Q37" s="4">
        <v>32633</v>
      </c>
      <c r="R37" s="4">
        <v>37364</v>
      </c>
      <c r="S37" s="4">
        <v>50265</v>
      </c>
      <c r="T37" s="4">
        <v>125191</v>
      </c>
      <c r="U37" s="4">
        <v>79924</v>
      </c>
      <c r="V37" s="4">
        <v>164684</v>
      </c>
      <c r="W37" s="4">
        <v>60602</v>
      </c>
      <c r="X37" s="4">
        <v>86306</v>
      </c>
      <c r="Y37" s="4">
        <v>50141</v>
      </c>
      <c r="Z37" s="4">
        <v>31872</v>
      </c>
      <c r="AA37" s="4">
        <v>139474</v>
      </c>
      <c r="AB37" s="4">
        <v>114904</v>
      </c>
      <c r="AC37" s="4">
        <v>202002</v>
      </c>
      <c r="AD37" s="4">
        <v>49606</v>
      </c>
      <c r="AE37" s="4">
        <v>42467</v>
      </c>
      <c r="AF37" s="4">
        <v>61565</v>
      </c>
      <c r="AG37" s="4">
        <v>81471</v>
      </c>
      <c r="AH37" s="4">
        <v>85522</v>
      </c>
      <c r="AI37" s="4">
        <v>162902</v>
      </c>
      <c r="AJ37" s="4"/>
      <c r="AK37" s="4"/>
      <c r="AL37" s="4"/>
      <c r="AM37" s="4"/>
      <c r="AN37" s="4"/>
      <c r="AO37" s="65"/>
      <c r="AP37" s="65"/>
    </row>
    <row r="38" spans="1:42" ht="15.75" x14ac:dyDescent="0.25">
      <c r="A38" s="4" t="s">
        <v>7</v>
      </c>
      <c r="B38" s="4" t="s">
        <v>8</v>
      </c>
      <c r="C38" s="4">
        <v>21800</v>
      </c>
      <c r="D38" s="4">
        <v>49510</v>
      </c>
      <c r="E38" s="4">
        <v>53259</v>
      </c>
      <c r="F38" s="4">
        <v>66251</v>
      </c>
      <c r="G38" s="4">
        <v>28974</v>
      </c>
      <c r="H38" s="4">
        <v>0</v>
      </c>
      <c r="I38" s="4">
        <v>0</v>
      </c>
      <c r="J38" s="4">
        <v>29938</v>
      </c>
      <c r="K38" s="4">
        <v>22611</v>
      </c>
      <c r="L38" s="4">
        <v>22947</v>
      </c>
      <c r="M38" s="65"/>
      <c r="N38" s="4">
        <v>22676</v>
      </c>
      <c r="O38" s="65"/>
      <c r="P38" s="4">
        <v>6500</v>
      </c>
      <c r="Q38" s="4">
        <v>11108</v>
      </c>
      <c r="R38" s="4">
        <v>19670</v>
      </c>
      <c r="S38" s="4">
        <v>0</v>
      </c>
      <c r="T38" s="4">
        <v>7767</v>
      </c>
      <c r="U38" s="4">
        <v>32195</v>
      </c>
      <c r="V38" s="4">
        <v>61409</v>
      </c>
      <c r="W38" s="4">
        <v>9978</v>
      </c>
      <c r="X38" s="4">
        <v>8495</v>
      </c>
      <c r="Y38" s="4">
        <v>21988</v>
      </c>
      <c r="Z38" s="4">
        <v>13027</v>
      </c>
      <c r="AA38" s="4">
        <v>23547</v>
      </c>
      <c r="AB38" s="4">
        <v>41009</v>
      </c>
      <c r="AC38" s="4">
        <v>55131</v>
      </c>
      <c r="AD38" s="4">
        <v>5680</v>
      </c>
      <c r="AE38" s="4">
        <v>12089</v>
      </c>
      <c r="AF38" s="4">
        <v>7754</v>
      </c>
      <c r="AG38" s="4">
        <v>12588</v>
      </c>
      <c r="AH38" s="4">
        <v>27984</v>
      </c>
      <c r="AI38" s="4">
        <v>52379</v>
      </c>
      <c r="AJ38" s="4"/>
      <c r="AK38" s="4"/>
      <c r="AL38" s="4"/>
      <c r="AM38" s="4"/>
      <c r="AN38" s="4"/>
      <c r="AO38" s="65"/>
      <c r="AP38" s="65"/>
    </row>
    <row r="39" spans="1:42" ht="15.75" x14ac:dyDescent="0.25">
      <c r="A39" s="4" t="s">
        <v>9</v>
      </c>
      <c r="B39" s="4" t="s">
        <v>10</v>
      </c>
      <c r="C39" s="4">
        <v>17637</v>
      </c>
      <c r="D39" s="4">
        <v>1298</v>
      </c>
      <c r="E39" s="4">
        <v>799</v>
      </c>
      <c r="F39" s="4">
        <v>14470</v>
      </c>
      <c r="G39" s="4">
        <v>6819</v>
      </c>
      <c r="H39" s="4">
        <v>24094</v>
      </c>
      <c r="I39" s="4">
        <v>7187</v>
      </c>
      <c r="J39" s="4">
        <v>3347</v>
      </c>
      <c r="K39" s="4">
        <v>1670</v>
      </c>
      <c r="L39" s="4">
        <v>0</v>
      </c>
      <c r="M39" s="65"/>
      <c r="N39" s="4">
        <v>6163</v>
      </c>
      <c r="O39" s="65"/>
      <c r="P39" s="4">
        <v>3897</v>
      </c>
      <c r="Q39" s="4">
        <v>999</v>
      </c>
      <c r="R39" s="4">
        <v>1997</v>
      </c>
      <c r="S39" s="4">
        <v>4543</v>
      </c>
      <c r="T39" s="4">
        <v>549</v>
      </c>
      <c r="U39" s="4">
        <v>4396</v>
      </c>
      <c r="V39" s="4">
        <v>6233</v>
      </c>
      <c r="W39" s="4">
        <v>198</v>
      </c>
      <c r="X39" s="4">
        <v>0</v>
      </c>
      <c r="Y39" s="4">
        <v>2698</v>
      </c>
      <c r="Z39" s="4">
        <v>7497</v>
      </c>
      <c r="AA39" s="4">
        <v>6399</v>
      </c>
      <c r="AB39" s="4">
        <v>18465</v>
      </c>
      <c r="AC39" s="4">
        <v>30027</v>
      </c>
      <c r="AD39" s="4">
        <v>0</v>
      </c>
      <c r="AE39" s="4">
        <v>0</v>
      </c>
      <c r="AF39" s="4">
        <v>5904</v>
      </c>
      <c r="AG39" s="4">
        <v>5456</v>
      </c>
      <c r="AH39" s="4">
        <v>5260</v>
      </c>
      <c r="AI39" s="4">
        <v>19710</v>
      </c>
      <c r="AJ39" s="4"/>
      <c r="AK39" s="4"/>
      <c r="AL39" s="4"/>
      <c r="AM39" s="4"/>
      <c r="AN39" s="4"/>
      <c r="AO39" s="65"/>
      <c r="AP39" s="65"/>
    </row>
    <row r="40" spans="1:42" ht="15.75" x14ac:dyDescent="0.25">
      <c r="A40" s="4" t="s">
        <v>11</v>
      </c>
      <c r="B40" s="4" t="s">
        <v>12</v>
      </c>
      <c r="C40" s="4">
        <v>65104</v>
      </c>
      <c r="D40" s="4">
        <v>96091</v>
      </c>
      <c r="E40" s="4">
        <v>71392</v>
      </c>
      <c r="F40" s="4">
        <v>184843</v>
      </c>
      <c r="G40" s="4">
        <v>92967</v>
      </c>
      <c r="H40" s="4">
        <v>133975</v>
      </c>
      <c r="I40" s="4">
        <v>59008</v>
      </c>
      <c r="J40" s="4">
        <v>36983</v>
      </c>
      <c r="K40" s="4">
        <v>23603</v>
      </c>
      <c r="L40" s="4">
        <v>39262</v>
      </c>
      <c r="M40" s="65"/>
      <c r="N40" s="4">
        <v>60440</v>
      </c>
      <c r="O40" s="65"/>
      <c r="P40" s="4">
        <v>9937</v>
      </c>
      <c r="Q40" s="4">
        <v>40149</v>
      </c>
      <c r="R40" s="4">
        <v>40588</v>
      </c>
      <c r="S40" s="4">
        <v>77405</v>
      </c>
      <c r="T40" s="4">
        <v>44777</v>
      </c>
      <c r="U40" s="4">
        <v>36107</v>
      </c>
      <c r="V40" s="4">
        <v>75711</v>
      </c>
      <c r="W40" s="4">
        <v>59531</v>
      </c>
      <c r="X40" s="4">
        <v>26849</v>
      </c>
      <c r="Y40" s="4">
        <v>57103</v>
      </c>
      <c r="Z40" s="4">
        <v>44550</v>
      </c>
      <c r="AA40" s="4">
        <v>14261</v>
      </c>
      <c r="AB40" s="4">
        <v>163003</v>
      </c>
      <c r="AC40" s="4">
        <v>135109</v>
      </c>
      <c r="AD40" s="4">
        <v>32881</v>
      </c>
      <c r="AE40" s="4">
        <v>44653</v>
      </c>
      <c r="AF40" s="4">
        <v>49663</v>
      </c>
      <c r="AG40" s="4">
        <v>53073</v>
      </c>
      <c r="AH40" s="4">
        <v>88935</v>
      </c>
      <c r="AI40" s="4">
        <v>154462</v>
      </c>
      <c r="AJ40" s="4"/>
      <c r="AK40" s="4"/>
      <c r="AL40" s="4"/>
      <c r="AM40" s="4"/>
      <c r="AN40" s="4"/>
      <c r="AO40" s="65"/>
      <c r="AP40" s="65"/>
    </row>
    <row r="41" spans="1:42" ht="15.75" x14ac:dyDescent="0.25">
      <c r="A41" s="4" t="s">
        <v>13</v>
      </c>
      <c r="B41" s="4" t="s">
        <v>14</v>
      </c>
      <c r="C41" s="4">
        <v>28668</v>
      </c>
      <c r="D41" s="4">
        <v>65095</v>
      </c>
      <c r="E41" s="4">
        <v>51522</v>
      </c>
      <c r="F41" s="4">
        <v>57740</v>
      </c>
      <c r="G41" s="4">
        <v>28721</v>
      </c>
      <c r="H41" s="4">
        <v>28865</v>
      </c>
      <c r="I41" s="4">
        <v>4387</v>
      </c>
      <c r="J41" s="4">
        <v>18423</v>
      </c>
      <c r="K41" s="4">
        <v>40288</v>
      </c>
      <c r="L41" s="4">
        <v>18327</v>
      </c>
      <c r="M41" s="107"/>
      <c r="N41" s="4">
        <v>4597</v>
      </c>
      <c r="O41" s="107"/>
      <c r="P41" s="4">
        <v>1699</v>
      </c>
      <c r="Q41" s="4">
        <v>7603</v>
      </c>
      <c r="R41" s="4">
        <v>52097</v>
      </c>
      <c r="S41" s="4">
        <v>5696</v>
      </c>
      <c r="T41" s="4">
        <v>27711</v>
      </c>
      <c r="U41" s="4">
        <v>55737</v>
      </c>
      <c r="V41" s="4">
        <v>39401</v>
      </c>
      <c r="W41" s="4">
        <v>19470</v>
      </c>
      <c r="X41" s="4">
        <v>16024</v>
      </c>
      <c r="Y41" s="4">
        <v>9816</v>
      </c>
      <c r="Z41" s="4">
        <v>18870</v>
      </c>
      <c r="AA41" s="4">
        <v>15314</v>
      </c>
      <c r="AB41" s="4">
        <v>44345</v>
      </c>
      <c r="AC41" s="4">
        <v>55006</v>
      </c>
      <c r="AD41" s="4">
        <v>23857</v>
      </c>
      <c r="AE41" s="4">
        <v>39715</v>
      </c>
      <c r="AF41" s="4">
        <v>12748</v>
      </c>
      <c r="AG41" s="4">
        <v>28327</v>
      </c>
      <c r="AH41" s="4">
        <v>23057</v>
      </c>
      <c r="AI41" s="4">
        <v>32486</v>
      </c>
      <c r="AJ41" s="4"/>
      <c r="AK41" s="4"/>
      <c r="AL41" s="4"/>
      <c r="AM41" s="4"/>
      <c r="AN41" s="4"/>
      <c r="AO41" s="65"/>
      <c r="AP41" s="65"/>
    </row>
    <row r="42" spans="1:42" ht="15.75" x14ac:dyDescent="0.25">
      <c r="A42" s="4" t="s">
        <v>15</v>
      </c>
      <c r="B42" s="4" t="s">
        <v>16</v>
      </c>
      <c r="C42" s="4">
        <v>101463</v>
      </c>
      <c r="D42" s="4">
        <v>139935</v>
      </c>
      <c r="E42" s="4">
        <v>167343</v>
      </c>
      <c r="F42" s="4">
        <v>159730</v>
      </c>
      <c r="G42" s="4">
        <v>146272</v>
      </c>
      <c r="H42" s="4">
        <v>384000</v>
      </c>
      <c r="I42" s="4">
        <v>29546</v>
      </c>
      <c r="J42" s="4">
        <v>41971</v>
      </c>
      <c r="K42" s="4">
        <v>48343</v>
      </c>
      <c r="L42" s="4">
        <v>81857</v>
      </c>
      <c r="M42" s="65"/>
      <c r="N42" s="4"/>
      <c r="O42" s="65"/>
      <c r="P42" s="4">
        <v>45953</v>
      </c>
      <c r="Q42" s="4">
        <v>31756</v>
      </c>
      <c r="R42" s="4">
        <v>37138</v>
      </c>
      <c r="S42" s="4">
        <v>24930</v>
      </c>
      <c r="T42" s="4">
        <v>57932</v>
      </c>
      <c r="U42" s="4">
        <v>130130</v>
      </c>
      <c r="V42" s="4">
        <v>111551</v>
      </c>
      <c r="W42" s="4">
        <v>60003</v>
      </c>
      <c r="X42" s="4">
        <v>18284</v>
      </c>
      <c r="Y42" s="4">
        <v>89447</v>
      </c>
      <c r="Z42" s="4">
        <v>34965</v>
      </c>
      <c r="AA42" s="4">
        <v>109040</v>
      </c>
      <c r="AB42" s="4">
        <v>146181</v>
      </c>
      <c r="AC42" s="4">
        <v>112161</v>
      </c>
      <c r="AD42" s="4">
        <v>49948</v>
      </c>
      <c r="AE42" s="4">
        <v>51540</v>
      </c>
      <c r="AF42" s="4">
        <v>71542</v>
      </c>
      <c r="AG42" s="4">
        <v>56021</v>
      </c>
      <c r="AH42" s="4">
        <v>61771</v>
      </c>
      <c r="AI42" s="4">
        <v>97966</v>
      </c>
      <c r="AJ42" s="4"/>
      <c r="AK42" s="4"/>
      <c r="AL42" s="4"/>
      <c r="AM42" s="4"/>
      <c r="AN42" s="4"/>
      <c r="AO42" s="65"/>
      <c r="AP42" s="65"/>
    </row>
    <row r="43" spans="1:42" ht="15.75" x14ac:dyDescent="0.25">
      <c r="A43" s="4" t="s">
        <v>17</v>
      </c>
      <c r="B43" s="4" t="s">
        <v>18</v>
      </c>
      <c r="C43" s="4">
        <v>22031</v>
      </c>
      <c r="D43" s="4">
        <v>33990</v>
      </c>
      <c r="E43" s="4">
        <v>63064</v>
      </c>
      <c r="F43" s="4">
        <v>36570</v>
      </c>
      <c r="G43" s="4">
        <v>46256</v>
      </c>
      <c r="H43" s="4">
        <v>30256</v>
      </c>
      <c r="I43" s="4">
        <v>10324</v>
      </c>
      <c r="J43" s="4">
        <v>12719</v>
      </c>
      <c r="K43" s="4">
        <v>16032</v>
      </c>
      <c r="L43" s="4">
        <v>8234</v>
      </c>
      <c r="M43" s="65"/>
      <c r="N43" s="4">
        <v>15059</v>
      </c>
      <c r="O43" s="65"/>
      <c r="P43" s="4">
        <v>31867</v>
      </c>
      <c r="Q43" s="4">
        <v>12600</v>
      </c>
      <c r="R43" s="4">
        <v>20490</v>
      </c>
      <c r="S43" s="4">
        <v>29680</v>
      </c>
      <c r="T43" s="4">
        <v>16220</v>
      </c>
      <c r="U43" s="4">
        <v>14028</v>
      </c>
      <c r="V43" s="4">
        <v>15365</v>
      </c>
      <c r="W43" s="4">
        <v>7605</v>
      </c>
      <c r="X43" s="4">
        <v>13587</v>
      </c>
      <c r="Y43" s="4">
        <v>9154</v>
      </c>
      <c r="Z43" s="4">
        <v>17364</v>
      </c>
      <c r="AA43" s="4">
        <v>5198</v>
      </c>
      <c r="AB43" s="4">
        <v>47459</v>
      </c>
      <c r="AC43" s="4">
        <v>48641</v>
      </c>
      <c r="AD43" s="4">
        <v>20154</v>
      </c>
      <c r="AE43" s="4">
        <v>6966</v>
      </c>
      <c r="AF43" s="4">
        <v>33294</v>
      </c>
      <c r="AG43" s="4">
        <v>12214</v>
      </c>
      <c r="AH43" s="4">
        <v>14128</v>
      </c>
      <c r="AI43" s="4">
        <v>42343</v>
      </c>
      <c r="AJ43" s="4"/>
      <c r="AK43" s="4"/>
      <c r="AL43" s="4"/>
      <c r="AM43" s="4"/>
      <c r="AN43" s="4"/>
      <c r="AO43" s="65"/>
      <c r="AP43" s="65"/>
    </row>
    <row r="44" spans="1:42" ht="15.75" x14ac:dyDescent="0.25">
      <c r="A44" s="4" t="s">
        <v>19</v>
      </c>
      <c r="B44" s="4" t="s">
        <v>20</v>
      </c>
      <c r="C44" s="4">
        <v>14080</v>
      </c>
      <c r="D44" s="4">
        <v>39166</v>
      </c>
      <c r="E44" s="4">
        <v>50443</v>
      </c>
      <c r="F44" s="4">
        <v>30180</v>
      </c>
      <c r="G44" s="4">
        <v>50880</v>
      </c>
      <c r="H44" s="4">
        <v>51021</v>
      </c>
      <c r="I44" s="4">
        <v>4092</v>
      </c>
      <c r="J44" s="4">
        <v>27234</v>
      </c>
      <c r="K44" s="4">
        <v>7303</v>
      </c>
      <c r="L44" s="4">
        <v>22280</v>
      </c>
      <c r="M44" s="65"/>
      <c r="N44" s="4">
        <v>30080</v>
      </c>
      <c r="O44" s="65"/>
      <c r="P44" s="4">
        <v>799</v>
      </c>
      <c r="Q44" s="4">
        <v>6825</v>
      </c>
      <c r="R44" s="4">
        <v>48080</v>
      </c>
      <c r="S44" s="4">
        <v>8267</v>
      </c>
      <c r="T44" s="4">
        <v>11080</v>
      </c>
      <c r="U44" s="4">
        <v>25680</v>
      </c>
      <c r="V44" s="4">
        <v>35280</v>
      </c>
      <c r="W44" s="4">
        <v>619</v>
      </c>
      <c r="X44" s="4">
        <v>1518</v>
      </c>
      <c r="Y44" s="4">
        <v>15080</v>
      </c>
      <c r="Z44" s="4">
        <v>3135</v>
      </c>
      <c r="AA44" s="4">
        <v>899</v>
      </c>
      <c r="AB44" s="4">
        <v>30133</v>
      </c>
      <c r="AC44" s="4">
        <v>32070</v>
      </c>
      <c r="AD44" s="4">
        <v>19259</v>
      </c>
      <c r="AE44" s="4">
        <v>19910</v>
      </c>
      <c r="AF44" s="4">
        <v>14676</v>
      </c>
      <c r="AG44" s="4">
        <v>17276</v>
      </c>
      <c r="AH44" s="4">
        <v>15519</v>
      </c>
      <c r="AI44" s="4">
        <v>23240</v>
      </c>
      <c r="AJ44" s="4"/>
      <c r="AK44" s="4"/>
      <c r="AL44" s="4"/>
      <c r="AM44" s="4"/>
      <c r="AN44" s="4"/>
      <c r="AO44" s="65"/>
      <c r="AP44" s="65"/>
    </row>
    <row r="45" spans="1:42" ht="15.75" x14ac:dyDescent="0.25">
      <c r="A45" s="4" t="s">
        <v>21</v>
      </c>
      <c r="B45" s="4" t="s">
        <v>22</v>
      </c>
      <c r="C45" s="4">
        <v>0</v>
      </c>
      <c r="D45" s="4">
        <v>22747</v>
      </c>
      <c r="E45" s="4">
        <v>16048</v>
      </c>
      <c r="F45" s="4">
        <v>21754</v>
      </c>
      <c r="G45" s="4">
        <v>23135</v>
      </c>
      <c r="H45" s="4">
        <v>28186</v>
      </c>
      <c r="I45" s="4">
        <v>499</v>
      </c>
      <c r="J45" s="4">
        <v>2977</v>
      </c>
      <c r="K45" s="4">
        <v>4678</v>
      </c>
      <c r="L45" s="4">
        <v>3058</v>
      </c>
      <c r="M45" s="65"/>
      <c r="N45" s="4">
        <v>17661</v>
      </c>
      <c r="O45" s="65"/>
      <c r="P45" s="4">
        <v>0</v>
      </c>
      <c r="Q45" s="4">
        <v>0</v>
      </c>
      <c r="R45" s="4">
        <v>3407</v>
      </c>
      <c r="S45" s="4">
        <v>15567</v>
      </c>
      <c r="T45" s="4">
        <v>14409</v>
      </c>
      <c r="U45" s="4">
        <v>17032</v>
      </c>
      <c r="V45" s="4">
        <v>5093</v>
      </c>
      <c r="W45" s="4">
        <v>2175</v>
      </c>
      <c r="X45" s="4">
        <v>15995</v>
      </c>
      <c r="Y45" s="4">
        <v>4334</v>
      </c>
      <c r="Z45" s="4">
        <v>1718</v>
      </c>
      <c r="AA45" s="4">
        <v>7368</v>
      </c>
      <c r="AB45" s="4">
        <v>24148</v>
      </c>
      <c r="AC45" s="4">
        <v>26204</v>
      </c>
      <c r="AD45" s="4">
        <v>14494</v>
      </c>
      <c r="AE45" s="4">
        <v>11342</v>
      </c>
      <c r="AF45" s="4">
        <v>6995</v>
      </c>
      <c r="AG45" s="4">
        <v>17300</v>
      </c>
      <c r="AH45" s="4">
        <v>19795</v>
      </c>
      <c r="AI45" s="4">
        <v>34048</v>
      </c>
      <c r="AJ45" s="4"/>
      <c r="AK45" s="4"/>
      <c r="AL45" s="4"/>
      <c r="AM45" s="4"/>
      <c r="AN45" s="4"/>
      <c r="AO45" s="65"/>
      <c r="AP45" s="65"/>
    </row>
    <row r="46" spans="1:42" ht="15.75" x14ac:dyDescent="0.25">
      <c r="A46" s="4" t="s">
        <v>23</v>
      </c>
      <c r="B46" s="4" t="s">
        <v>24</v>
      </c>
      <c r="C46" s="4">
        <v>13369</v>
      </c>
      <c r="D46" s="4">
        <v>21327</v>
      </c>
      <c r="E46" s="4">
        <v>29882</v>
      </c>
      <c r="F46" s="4">
        <v>31108</v>
      </c>
      <c r="G46" s="4">
        <v>95565</v>
      </c>
      <c r="H46" s="4">
        <v>17427</v>
      </c>
      <c r="I46" s="4">
        <v>7396</v>
      </c>
      <c r="J46" s="4">
        <v>19999</v>
      </c>
      <c r="K46" s="4">
        <v>899</v>
      </c>
      <c r="L46" s="4">
        <v>6554</v>
      </c>
      <c r="M46" s="65"/>
      <c r="N46" s="4">
        <v>6298</v>
      </c>
      <c r="O46" s="65"/>
      <c r="P46" s="4">
        <v>3988</v>
      </c>
      <c r="Q46" s="4">
        <v>7598</v>
      </c>
      <c r="R46" s="4">
        <v>38693</v>
      </c>
      <c r="S46" s="4">
        <v>3892</v>
      </c>
      <c r="T46" s="4">
        <v>4798</v>
      </c>
      <c r="U46" s="4">
        <v>2628</v>
      </c>
      <c r="V46" s="4">
        <v>17738</v>
      </c>
      <c r="W46" s="4">
        <v>6120</v>
      </c>
      <c r="X46" s="4">
        <v>9457</v>
      </c>
      <c r="Y46" s="4">
        <v>6396</v>
      </c>
      <c r="Z46" s="4">
        <v>3398</v>
      </c>
      <c r="AA46" s="4">
        <v>16972</v>
      </c>
      <c r="AB46" s="4">
        <v>13467</v>
      </c>
      <c r="AC46" s="4">
        <v>38316</v>
      </c>
      <c r="AD46" s="4">
        <v>2038</v>
      </c>
      <c r="AE46" s="4">
        <v>9743</v>
      </c>
      <c r="AF46" s="4">
        <v>12540</v>
      </c>
      <c r="AG46" s="4">
        <v>9864</v>
      </c>
      <c r="AH46" s="4">
        <v>17895</v>
      </c>
      <c r="AI46" s="4">
        <v>10968</v>
      </c>
      <c r="AJ46" s="4"/>
      <c r="AK46" s="4"/>
      <c r="AL46" s="4"/>
      <c r="AM46" s="4"/>
      <c r="AN46" s="4"/>
      <c r="AO46" s="65"/>
      <c r="AP46" s="65"/>
    </row>
    <row r="47" spans="1:42" ht="15.75" hidden="1" x14ac:dyDescent="0.25">
      <c r="A47" s="4" t="s">
        <v>25</v>
      </c>
      <c r="B47" s="4" t="s">
        <v>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25"/>
      <c r="N47" s="4"/>
      <c r="O47" s="2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65"/>
      <c r="AP47" s="25"/>
    </row>
    <row r="48" spans="1:42" ht="15.75" x14ac:dyDescent="0.25">
      <c r="A48" s="4" t="s">
        <v>27</v>
      </c>
      <c r="B48" s="4" t="s">
        <v>28</v>
      </c>
      <c r="C48" s="4">
        <v>6531</v>
      </c>
      <c r="D48" s="4">
        <v>10856</v>
      </c>
      <c r="E48" s="4">
        <v>6000</v>
      </c>
      <c r="F48" s="4">
        <v>10000</v>
      </c>
      <c r="G48" s="4">
        <v>3338</v>
      </c>
      <c r="H48" s="4">
        <v>5322</v>
      </c>
      <c r="I48" s="4">
        <v>0</v>
      </c>
      <c r="J48" s="4">
        <v>0</v>
      </c>
      <c r="K48" s="4">
        <v>5714</v>
      </c>
      <c r="L48" s="4">
        <v>2739</v>
      </c>
      <c r="M48" s="65"/>
      <c r="N48" s="4">
        <v>7394</v>
      </c>
      <c r="O48" s="65"/>
      <c r="P48" s="4">
        <v>3100</v>
      </c>
      <c r="Q48" s="4">
        <v>899</v>
      </c>
      <c r="R48" s="4">
        <v>2384</v>
      </c>
      <c r="S48" s="4">
        <v>1219</v>
      </c>
      <c r="T48" s="4">
        <v>0</v>
      </c>
      <c r="U48" s="4">
        <v>11422</v>
      </c>
      <c r="V48" s="4">
        <v>15396</v>
      </c>
      <c r="W48" s="4">
        <v>2197</v>
      </c>
      <c r="X48" s="4">
        <v>2999</v>
      </c>
      <c r="Y48" s="4">
        <v>3038</v>
      </c>
      <c r="Z48" s="4">
        <v>3297</v>
      </c>
      <c r="AA48" s="4">
        <v>5703</v>
      </c>
      <c r="AB48" s="4">
        <v>8822</v>
      </c>
      <c r="AC48" s="4">
        <v>7643</v>
      </c>
      <c r="AD48" s="4"/>
      <c r="AE48" s="4">
        <v>5174</v>
      </c>
      <c r="AF48" s="4">
        <v>8946</v>
      </c>
      <c r="AG48" s="4">
        <v>0</v>
      </c>
      <c r="AH48" s="4">
        <v>1699</v>
      </c>
      <c r="AI48" s="4">
        <v>5122</v>
      </c>
      <c r="AJ48" s="4"/>
      <c r="AK48" s="4"/>
      <c r="AL48" s="4"/>
      <c r="AM48" s="4"/>
      <c r="AN48" s="4"/>
      <c r="AO48" s="65"/>
      <c r="AP48" s="65"/>
    </row>
    <row r="49" spans="1:42" ht="15.75" x14ac:dyDescent="0.25">
      <c r="A49" s="4" t="s">
        <v>46</v>
      </c>
      <c r="B49" s="4" t="s">
        <v>45</v>
      </c>
      <c r="C49" s="4">
        <v>65580</v>
      </c>
      <c r="D49" s="4">
        <v>94927</v>
      </c>
      <c r="E49" s="4">
        <v>107805</v>
      </c>
      <c r="F49" s="4">
        <v>82426</v>
      </c>
      <c r="G49" s="4">
        <v>85446</v>
      </c>
      <c r="H49" s="4">
        <v>392473</v>
      </c>
      <c r="I49" s="4">
        <v>53191</v>
      </c>
      <c r="J49" s="4">
        <v>73523</v>
      </c>
      <c r="K49" s="4">
        <v>63792</v>
      </c>
      <c r="L49" s="4">
        <v>76274</v>
      </c>
      <c r="M49" s="65"/>
      <c r="N49" s="4">
        <v>115388</v>
      </c>
      <c r="O49" s="65"/>
      <c r="P49" s="4">
        <v>33630</v>
      </c>
      <c r="Q49" s="4">
        <v>44374</v>
      </c>
      <c r="R49" s="4">
        <v>55178</v>
      </c>
      <c r="S49" s="4">
        <v>64155</v>
      </c>
      <c r="T49" s="4">
        <v>98470</v>
      </c>
      <c r="U49" s="4">
        <v>173555</v>
      </c>
      <c r="V49" s="4">
        <v>118007</v>
      </c>
      <c r="W49" s="4">
        <v>20522</v>
      </c>
      <c r="X49" s="4">
        <v>48587</v>
      </c>
      <c r="Y49" s="4">
        <v>38193</v>
      </c>
      <c r="Z49" s="4">
        <v>80276</v>
      </c>
      <c r="AA49" s="4">
        <v>74479</v>
      </c>
      <c r="AB49" s="4">
        <v>52891</v>
      </c>
      <c r="AC49" s="4">
        <v>116000</v>
      </c>
      <c r="AD49" s="4">
        <v>36518</v>
      </c>
      <c r="AE49" s="4">
        <v>90136</v>
      </c>
      <c r="AF49" s="4">
        <v>41793</v>
      </c>
      <c r="AG49" s="4">
        <v>66118</v>
      </c>
      <c r="AH49" s="4">
        <v>29065</v>
      </c>
      <c r="AI49" s="4">
        <v>136590</v>
      </c>
      <c r="AJ49" s="4"/>
      <c r="AK49" s="4"/>
      <c r="AL49" s="4"/>
      <c r="AM49" s="4"/>
      <c r="AN49" s="4"/>
      <c r="AO49" s="65"/>
      <c r="AP49" s="65"/>
    </row>
    <row r="50" spans="1:42" ht="15.75" hidden="1" x14ac:dyDescent="0.25">
      <c r="A50" s="4" t="s">
        <v>73</v>
      </c>
      <c r="B50" s="4" t="s">
        <v>69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65"/>
      <c r="N50" s="4"/>
      <c r="O50" s="6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65"/>
      <c r="AP50" s="65"/>
    </row>
    <row r="51" spans="1:42" ht="15.75" x14ac:dyDescent="0.25">
      <c r="A51" s="4" t="s">
        <v>48</v>
      </c>
      <c r="B51" s="4" t="s">
        <v>47</v>
      </c>
      <c r="C51" s="4">
        <v>2400</v>
      </c>
      <c r="D51" s="4">
        <v>7749</v>
      </c>
      <c r="E51" s="4">
        <v>19157</v>
      </c>
      <c r="F51" s="4">
        <v>23246</v>
      </c>
      <c r="G51" s="4">
        <v>17588</v>
      </c>
      <c r="H51" s="4">
        <v>33699</v>
      </c>
      <c r="I51" s="4">
        <v>949</v>
      </c>
      <c r="J51" s="4">
        <v>9456</v>
      </c>
      <c r="K51" s="4">
        <v>8570</v>
      </c>
      <c r="L51" s="4">
        <v>5499</v>
      </c>
      <c r="M51" s="65"/>
      <c r="N51" s="4">
        <v>16526</v>
      </c>
      <c r="O51" s="65"/>
      <c r="P51" s="4">
        <v>3800</v>
      </c>
      <c r="Q51" s="4">
        <v>8865</v>
      </c>
      <c r="R51" s="4">
        <v>0</v>
      </c>
      <c r="S51" s="4">
        <v>1799</v>
      </c>
      <c r="T51" s="4">
        <v>4018</v>
      </c>
      <c r="U51" s="4">
        <v>2700</v>
      </c>
      <c r="V51" s="4">
        <v>14007</v>
      </c>
      <c r="W51" s="4">
        <v>3100</v>
      </c>
      <c r="X51" s="4">
        <v>7006</v>
      </c>
      <c r="Y51" s="4">
        <v>4796</v>
      </c>
      <c r="Z51" s="4">
        <v>8554</v>
      </c>
      <c r="AA51" s="4">
        <v>299</v>
      </c>
      <c r="AB51" s="4">
        <v>2999</v>
      </c>
      <c r="AC51" s="4">
        <v>17828</v>
      </c>
      <c r="AD51" s="4">
        <v>1516</v>
      </c>
      <c r="AE51" s="4">
        <v>1798</v>
      </c>
      <c r="AF51" s="4">
        <v>4837</v>
      </c>
      <c r="AG51" s="4">
        <v>699</v>
      </c>
      <c r="AH51" s="4">
        <v>1698</v>
      </c>
      <c r="AI51" s="4">
        <v>5389</v>
      </c>
      <c r="AJ51" s="4"/>
      <c r="AK51" s="4"/>
      <c r="AL51" s="4"/>
      <c r="AM51" s="4"/>
      <c r="AN51" s="4"/>
      <c r="AO51" s="65"/>
      <c r="AP51" s="65"/>
    </row>
    <row r="52" spans="1:42" ht="15.75" x14ac:dyDescent="0.25">
      <c r="A52" s="4" t="s">
        <v>51</v>
      </c>
      <c r="B52" s="4" t="s">
        <v>50</v>
      </c>
      <c r="C52" s="4">
        <v>2945</v>
      </c>
      <c r="D52" s="4">
        <v>7044</v>
      </c>
      <c r="E52" s="4">
        <v>27150</v>
      </c>
      <c r="F52" s="4">
        <v>31549</v>
      </c>
      <c r="G52" s="4">
        <v>2089</v>
      </c>
      <c r="H52" s="4">
        <v>16601</v>
      </c>
      <c r="I52" s="4">
        <v>0</v>
      </c>
      <c r="J52" s="4">
        <v>3977</v>
      </c>
      <c r="K52" s="4">
        <v>5995</v>
      </c>
      <c r="L52" s="4">
        <v>5075</v>
      </c>
      <c r="M52" s="65"/>
      <c r="N52" s="4">
        <v>3699</v>
      </c>
      <c r="O52" s="65"/>
      <c r="P52" s="4">
        <v>5646</v>
      </c>
      <c r="Q52" s="4">
        <v>5889</v>
      </c>
      <c r="R52" s="4">
        <v>8490</v>
      </c>
      <c r="S52" s="4">
        <v>2697</v>
      </c>
      <c r="T52" s="4">
        <v>6242</v>
      </c>
      <c r="U52" s="4">
        <v>19820</v>
      </c>
      <c r="V52" s="4">
        <v>5808</v>
      </c>
      <c r="W52" s="4">
        <v>5597</v>
      </c>
      <c r="X52" s="4">
        <v>2297</v>
      </c>
      <c r="Y52" s="4">
        <v>10941</v>
      </c>
      <c r="Z52" s="4">
        <v>7062</v>
      </c>
      <c r="AA52" s="4">
        <v>2217</v>
      </c>
      <c r="AB52" s="4">
        <v>15303</v>
      </c>
      <c r="AC52" s="4">
        <v>28256</v>
      </c>
      <c r="AD52" s="4">
        <v>2874</v>
      </c>
      <c r="AE52" s="4">
        <v>14285</v>
      </c>
      <c r="AF52" s="4">
        <v>6856</v>
      </c>
      <c r="AG52" s="4">
        <v>11495</v>
      </c>
      <c r="AH52" s="4">
        <v>0</v>
      </c>
      <c r="AI52" s="4">
        <v>9925</v>
      </c>
      <c r="AJ52" s="4"/>
      <c r="AK52" s="4"/>
      <c r="AL52" s="4"/>
      <c r="AM52" s="4"/>
      <c r="AN52" s="4"/>
      <c r="AO52" s="65"/>
      <c r="AP52" s="65"/>
    </row>
    <row r="53" spans="1:42" ht="15.75" x14ac:dyDescent="0.25">
      <c r="A53" s="4" t="s">
        <v>54</v>
      </c>
      <c r="B53" s="4" t="s">
        <v>52</v>
      </c>
      <c r="C53" s="4">
        <v>22614</v>
      </c>
      <c r="D53" s="4">
        <v>48174</v>
      </c>
      <c r="E53" s="4">
        <v>68607</v>
      </c>
      <c r="F53" s="4">
        <v>97140</v>
      </c>
      <c r="G53" s="4">
        <v>24398</v>
      </c>
      <c r="H53" s="4">
        <v>42690</v>
      </c>
      <c r="I53" s="4">
        <v>13884</v>
      </c>
      <c r="J53" s="4">
        <v>4516</v>
      </c>
      <c r="K53" s="4">
        <v>34813</v>
      </c>
      <c r="L53" s="4">
        <v>42648</v>
      </c>
      <c r="M53" s="65"/>
      <c r="N53" s="4">
        <v>16288</v>
      </c>
      <c r="O53" s="65"/>
      <c r="P53" s="4">
        <v>10222</v>
      </c>
      <c r="Q53" s="4">
        <v>15401</v>
      </c>
      <c r="R53" s="4">
        <v>17084</v>
      </c>
      <c r="S53" s="4">
        <v>22610</v>
      </c>
      <c r="T53" s="4">
        <v>8745</v>
      </c>
      <c r="U53" s="4">
        <v>61816</v>
      </c>
      <c r="V53" s="4">
        <v>46348</v>
      </c>
      <c r="W53" s="4">
        <v>35496</v>
      </c>
      <c r="X53" s="4">
        <v>30077</v>
      </c>
      <c r="Y53" s="4">
        <v>5864</v>
      </c>
      <c r="Z53" s="4">
        <v>13759</v>
      </c>
      <c r="AA53" s="4">
        <v>10321</v>
      </c>
      <c r="AB53" s="4">
        <v>37688</v>
      </c>
      <c r="AC53" s="4">
        <v>55765</v>
      </c>
      <c r="AD53" s="4">
        <v>34361</v>
      </c>
      <c r="AE53" s="4">
        <v>9611</v>
      </c>
      <c r="AF53" s="4">
        <v>38315</v>
      </c>
      <c r="AG53" s="4">
        <v>31475</v>
      </c>
      <c r="AH53" s="4">
        <v>35494</v>
      </c>
      <c r="AI53" s="4">
        <v>32826</v>
      </c>
      <c r="AJ53" s="4"/>
      <c r="AK53" s="4"/>
      <c r="AL53" s="4"/>
      <c r="AM53" s="4"/>
      <c r="AN53" s="4"/>
      <c r="AO53" s="65"/>
      <c r="AP53" s="65"/>
    </row>
    <row r="54" spans="1:42" ht="15.75" x14ac:dyDescent="0.25">
      <c r="A54" s="4" t="s">
        <v>74</v>
      </c>
      <c r="B54" s="4" t="s">
        <v>71</v>
      </c>
      <c r="C54" s="4">
        <v>8589</v>
      </c>
      <c r="D54" s="4">
        <v>11087</v>
      </c>
      <c r="E54" s="4">
        <v>27131</v>
      </c>
      <c r="F54" s="4">
        <v>15320</v>
      </c>
      <c r="G54" s="4">
        <v>8384</v>
      </c>
      <c r="H54" s="4">
        <v>7873</v>
      </c>
      <c r="I54" s="4">
        <v>780</v>
      </c>
      <c r="J54" s="4">
        <v>6294</v>
      </c>
      <c r="K54" s="4">
        <v>6196</v>
      </c>
      <c r="L54" s="4">
        <v>899</v>
      </c>
      <c r="M54" s="65"/>
      <c r="N54" s="4">
        <v>3492</v>
      </c>
      <c r="O54" s="65"/>
      <c r="P54" s="4">
        <v>1597</v>
      </c>
      <c r="Q54" s="4">
        <v>1196</v>
      </c>
      <c r="R54" s="4">
        <v>0</v>
      </c>
      <c r="S54" s="4">
        <v>9525</v>
      </c>
      <c r="T54" s="4">
        <v>6789</v>
      </c>
      <c r="U54" s="4">
        <v>20081</v>
      </c>
      <c r="V54" s="4">
        <v>12699</v>
      </c>
      <c r="W54" s="4">
        <v>7390</v>
      </c>
      <c r="X54" s="4">
        <v>9267</v>
      </c>
      <c r="Y54" s="4">
        <v>5695</v>
      </c>
      <c r="Z54" s="4">
        <v>6392</v>
      </c>
      <c r="AA54" s="4">
        <v>10161</v>
      </c>
      <c r="AB54" s="4">
        <v>28679</v>
      </c>
      <c r="AC54" s="4">
        <v>18061</v>
      </c>
      <c r="AD54" s="4">
        <v>2957</v>
      </c>
      <c r="AE54" s="4">
        <v>4756</v>
      </c>
      <c r="AF54" s="4">
        <v>4897</v>
      </c>
      <c r="AG54" s="4">
        <v>16229</v>
      </c>
      <c r="AH54" s="4">
        <v>999</v>
      </c>
      <c r="AI54" s="4">
        <v>10499</v>
      </c>
      <c r="AJ54" s="4"/>
      <c r="AK54" s="4"/>
      <c r="AL54" s="4"/>
      <c r="AM54" s="4"/>
      <c r="AN54" s="4"/>
      <c r="AO54" s="44"/>
      <c r="AP54" s="44"/>
    </row>
    <row r="55" spans="1:42" ht="15.75" x14ac:dyDescent="0.25">
      <c r="A55" s="94" t="s">
        <v>97</v>
      </c>
      <c r="B55" s="94" t="s">
        <v>99</v>
      </c>
      <c r="C55" s="4">
        <v>32075</v>
      </c>
      <c r="D55" s="4">
        <v>79024</v>
      </c>
      <c r="E55" s="4">
        <v>22289</v>
      </c>
      <c r="F55" s="4">
        <v>29420</v>
      </c>
      <c r="G55" s="4">
        <v>22376</v>
      </c>
      <c r="H55" s="4">
        <v>30678</v>
      </c>
      <c r="I55" s="4">
        <v>4837</v>
      </c>
      <c r="J55" s="4">
        <v>3893</v>
      </c>
      <c r="K55" s="4">
        <v>10729</v>
      </c>
      <c r="L55" s="4">
        <v>27658</v>
      </c>
      <c r="M55" s="96"/>
      <c r="N55" s="4">
        <v>24774</v>
      </c>
      <c r="O55" s="65"/>
      <c r="P55" s="4">
        <v>4198</v>
      </c>
      <c r="Q55" s="4">
        <v>16568</v>
      </c>
      <c r="R55" s="4">
        <v>648</v>
      </c>
      <c r="S55" s="4">
        <v>26539</v>
      </c>
      <c r="T55" s="4">
        <v>3677</v>
      </c>
      <c r="U55" s="4">
        <v>30156</v>
      </c>
      <c r="V55" s="4">
        <v>26487</v>
      </c>
      <c r="W55" s="4">
        <v>5793</v>
      </c>
      <c r="X55" s="4">
        <v>1799</v>
      </c>
      <c r="Y55" s="4">
        <v>599</v>
      </c>
      <c r="Z55" s="4">
        <v>5063</v>
      </c>
      <c r="AA55" s="4">
        <v>4398</v>
      </c>
      <c r="AB55" s="4">
        <v>23145</v>
      </c>
      <c r="AC55" s="4">
        <v>15821</v>
      </c>
      <c r="AD55" s="4">
        <v>0</v>
      </c>
      <c r="AE55" s="4">
        <v>12541</v>
      </c>
      <c r="AF55" s="4">
        <v>12238</v>
      </c>
      <c r="AG55" s="4">
        <v>16684</v>
      </c>
      <c r="AH55" s="4">
        <v>940</v>
      </c>
      <c r="AI55" s="4">
        <v>24439</v>
      </c>
      <c r="AJ55" s="4"/>
      <c r="AK55" s="4"/>
      <c r="AL55" s="4"/>
      <c r="AM55" s="4"/>
      <c r="AN55" s="4"/>
      <c r="AO55" s="143"/>
      <c r="AP55" s="143"/>
    </row>
    <row r="56" spans="1:42" s="106" customFormat="1" ht="15.75" x14ac:dyDescent="0.25">
      <c r="A56" s="4" t="s">
        <v>78</v>
      </c>
      <c r="B56" s="4" t="s">
        <v>79</v>
      </c>
      <c r="C56" s="4">
        <v>17350</v>
      </c>
      <c r="D56" s="4">
        <v>53833</v>
      </c>
      <c r="E56" s="4">
        <v>34677</v>
      </c>
      <c r="F56" s="4">
        <v>38750</v>
      </c>
      <c r="G56" s="4">
        <v>49527</v>
      </c>
      <c r="H56" s="4">
        <v>20386</v>
      </c>
      <c r="I56" s="4">
        <v>13328</v>
      </c>
      <c r="J56" s="4">
        <v>28062</v>
      </c>
      <c r="K56" s="4">
        <v>26755</v>
      </c>
      <c r="L56" s="4">
        <v>15756</v>
      </c>
      <c r="M56" s="65"/>
      <c r="N56" s="4">
        <v>25911</v>
      </c>
      <c r="O56" s="65"/>
      <c r="P56" s="4">
        <v>3545</v>
      </c>
      <c r="Q56" s="4">
        <v>39609</v>
      </c>
      <c r="R56" s="4">
        <v>6612</v>
      </c>
      <c r="S56" s="4">
        <v>8051</v>
      </c>
      <c r="T56" s="4">
        <v>26758</v>
      </c>
      <c r="U56" s="4">
        <v>52566</v>
      </c>
      <c r="V56" s="4">
        <v>34840</v>
      </c>
      <c r="W56" s="4">
        <v>75497</v>
      </c>
      <c r="X56" s="4">
        <v>9093</v>
      </c>
      <c r="Y56" s="4">
        <v>19379</v>
      </c>
      <c r="Z56" s="4">
        <v>24765</v>
      </c>
      <c r="AA56" s="4">
        <v>18974</v>
      </c>
      <c r="AB56" s="4">
        <v>32076</v>
      </c>
      <c r="AC56" s="4">
        <v>27956</v>
      </c>
      <c r="AD56" s="4">
        <v>27824</v>
      </c>
      <c r="AE56" s="4">
        <v>10602</v>
      </c>
      <c r="AF56" s="4">
        <v>35797</v>
      </c>
      <c r="AG56" s="4">
        <v>30797</v>
      </c>
      <c r="AH56" s="4">
        <v>16976</v>
      </c>
      <c r="AI56" s="4">
        <v>19727</v>
      </c>
      <c r="AJ56" s="4"/>
      <c r="AK56" s="4"/>
      <c r="AL56" s="4"/>
      <c r="AM56" s="4"/>
      <c r="AN56" s="4"/>
    </row>
    <row r="57" spans="1:42" s="106" customFormat="1" ht="15.75" x14ac:dyDescent="0.25">
      <c r="A57" s="94" t="s">
        <v>103</v>
      </c>
      <c r="B57" s="94" t="s">
        <v>104</v>
      </c>
      <c r="C57" s="94">
        <v>14678</v>
      </c>
      <c r="D57" s="94">
        <v>20017</v>
      </c>
      <c r="E57" s="94">
        <v>4158</v>
      </c>
      <c r="F57" s="94">
        <v>14315</v>
      </c>
      <c r="G57" s="94">
        <v>4979</v>
      </c>
      <c r="H57" s="94">
        <v>5609</v>
      </c>
      <c r="I57" s="94">
        <v>9235</v>
      </c>
      <c r="J57" s="94">
        <v>3119</v>
      </c>
      <c r="K57" s="94">
        <v>0</v>
      </c>
      <c r="L57" s="94">
        <v>6698</v>
      </c>
      <c r="M57" s="96"/>
      <c r="N57" s="94">
        <v>30184</v>
      </c>
      <c r="O57" s="96"/>
      <c r="P57" s="94">
        <v>899</v>
      </c>
      <c r="Q57" s="94">
        <v>6036</v>
      </c>
      <c r="R57" s="94">
        <v>3519</v>
      </c>
      <c r="S57" s="94">
        <v>18873</v>
      </c>
      <c r="T57" s="4">
        <v>11007</v>
      </c>
      <c r="U57" s="94">
        <v>30379</v>
      </c>
      <c r="V57" s="94">
        <v>10750</v>
      </c>
      <c r="W57" s="94">
        <v>3312</v>
      </c>
      <c r="X57" s="94">
        <v>6147</v>
      </c>
      <c r="Y57" s="94">
        <v>0</v>
      </c>
      <c r="Z57" s="94">
        <v>9828</v>
      </c>
      <c r="AA57" s="94">
        <v>5545</v>
      </c>
      <c r="AB57" s="94">
        <v>25590</v>
      </c>
      <c r="AC57" s="94">
        <v>16782</v>
      </c>
      <c r="AD57" s="94">
        <v>3498</v>
      </c>
      <c r="AE57" s="94">
        <v>12749</v>
      </c>
      <c r="AF57" s="94">
        <v>0</v>
      </c>
      <c r="AG57" s="94"/>
      <c r="AH57" s="94">
        <v>0</v>
      </c>
      <c r="AI57" s="94">
        <v>21668</v>
      </c>
      <c r="AJ57" s="94"/>
      <c r="AK57" s="94"/>
      <c r="AL57" s="94"/>
      <c r="AM57" s="94"/>
      <c r="AN57" s="94"/>
      <c r="AO57" s="143"/>
      <c r="AP57" s="143"/>
    </row>
    <row r="58" spans="1:42" ht="15.75" x14ac:dyDescent="0.25">
      <c r="A58" s="4" t="s">
        <v>105</v>
      </c>
      <c r="B58" s="4" t="s">
        <v>106</v>
      </c>
      <c r="C58" s="94">
        <v>13691</v>
      </c>
      <c r="D58" s="94">
        <v>62834</v>
      </c>
      <c r="E58" s="94">
        <v>67233</v>
      </c>
      <c r="F58" s="94">
        <v>51444</v>
      </c>
      <c r="G58" s="94">
        <v>9665</v>
      </c>
      <c r="H58" s="94">
        <v>16242</v>
      </c>
      <c r="I58" s="94">
        <v>17652</v>
      </c>
      <c r="J58" s="94">
        <v>10534</v>
      </c>
      <c r="K58" s="94">
        <v>21179</v>
      </c>
      <c r="L58" s="94">
        <v>25465</v>
      </c>
      <c r="M58" s="106"/>
      <c r="N58" s="94">
        <v>10520</v>
      </c>
      <c r="O58" s="106"/>
      <c r="P58" s="94">
        <v>2246</v>
      </c>
      <c r="Q58" s="94">
        <v>14660</v>
      </c>
      <c r="R58" s="94">
        <v>10013</v>
      </c>
      <c r="S58" s="94">
        <v>0</v>
      </c>
      <c r="T58" s="65">
        <v>0</v>
      </c>
      <c r="U58" s="94">
        <v>0</v>
      </c>
      <c r="V58" s="94">
        <v>22734</v>
      </c>
      <c r="W58" s="94">
        <v>16823</v>
      </c>
      <c r="X58" s="94">
        <v>17867</v>
      </c>
      <c r="Y58" s="94">
        <v>10345</v>
      </c>
      <c r="Z58" s="94">
        <v>17758</v>
      </c>
      <c r="AA58" s="94">
        <v>16614</v>
      </c>
      <c r="AB58" s="94">
        <v>14381</v>
      </c>
      <c r="AC58" s="94">
        <v>16210</v>
      </c>
      <c r="AD58" s="94">
        <v>17480</v>
      </c>
      <c r="AE58" s="94">
        <v>26080</v>
      </c>
      <c r="AF58" s="94">
        <v>20749</v>
      </c>
      <c r="AG58" s="94">
        <v>10080</v>
      </c>
      <c r="AH58" s="94">
        <v>15080</v>
      </c>
      <c r="AI58" s="94">
        <v>30780</v>
      </c>
      <c r="AJ58" s="94"/>
      <c r="AK58" s="94"/>
      <c r="AL58" s="94"/>
      <c r="AM58" s="94"/>
      <c r="AN58" s="94"/>
      <c r="AO58" s="106"/>
      <c r="AP58" s="106"/>
    </row>
    <row r="59" spans="1:42" x14ac:dyDescent="0.25">
      <c r="A59" s="54">
        <f ca="1">TODAY()-7</f>
        <v>46284</v>
      </c>
    </row>
  </sheetData>
  <mergeCells count="7">
    <mergeCell ref="A2:B2"/>
    <mergeCell ref="K2:M2"/>
    <mergeCell ref="A1:M1"/>
    <mergeCell ref="N1:R1"/>
    <mergeCell ref="C2:G2"/>
    <mergeCell ref="H2:J2"/>
    <mergeCell ref="Q2:S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9"/>
  <sheetViews>
    <sheetView topLeftCell="A7" zoomScaleNormal="100" workbookViewId="0">
      <pane xSplit="2" topLeftCell="C1" activePane="topRight" state="frozen"/>
      <selection activeCell="A16" sqref="A16"/>
      <selection pane="topRight" activeCell="AI37" sqref="AI37:AI58"/>
    </sheetView>
  </sheetViews>
  <sheetFormatPr defaultColWidth="11.5703125" defaultRowHeight="15" x14ac:dyDescent="0.25"/>
  <cols>
    <col min="1" max="1" width="11.7109375" style="42" bestFit="1" customWidth="1"/>
    <col min="2" max="2" width="20.42578125" style="42" bestFit="1" customWidth="1"/>
    <col min="3" max="3" width="11.5703125" style="42" bestFit="1" customWidth="1"/>
    <col min="4" max="4" width="13.42578125" style="42" bestFit="1" customWidth="1"/>
    <col min="5" max="5" width="11.5703125" style="42" bestFit="1" customWidth="1"/>
    <col min="6" max="6" width="11.42578125" style="52" bestFit="1" customWidth="1"/>
    <col min="7" max="7" width="10.42578125" style="42" bestFit="1" customWidth="1"/>
    <col min="8" max="8" width="11.5703125" style="42" bestFit="1" customWidth="1"/>
    <col min="9" max="9" width="11" style="42" bestFit="1" customWidth="1"/>
    <col min="10" max="10" width="10.42578125" style="42" bestFit="1" customWidth="1"/>
    <col min="11" max="11" width="11.5703125" style="42" bestFit="1" customWidth="1"/>
    <col min="12" max="12" width="11.5703125" style="42" customWidth="1"/>
    <col min="13" max="13" width="10.42578125" style="42" customWidth="1"/>
    <col min="14" max="20" width="10.42578125" style="42" hidden="1" customWidth="1"/>
    <col min="21" max="21" width="12.140625" style="42" hidden="1" customWidth="1"/>
    <col min="22" max="29" width="10.42578125" style="42" hidden="1" customWidth="1"/>
    <col min="30" max="37" width="10.42578125" style="42" customWidth="1"/>
    <col min="38" max="39" width="10.42578125" style="42" bestFit="1" customWidth="1"/>
    <col min="40" max="16384" width="11.5703125" style="42"/>
  </cols>
  <sheetData>
    <row r="1" spans="1:27" x14ac:dyDescent="0.25">
      <c r="A1" s="157" t="s">
        <v>96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12"/>
      <c r="T1" s="54"/>
    </row>
    <row r="2" spans="1:27" x14ac:dyDescent="0.25">
      <c r="A2" s="154"/>
      <c r="B2" s="155"/>
      <c r="C2" s="160" t="s">
        <v>42</v>
      </c>
      <c r="D2" s="160"/>
      <c r="E2" s="160"/>
      <c r="F2" s="160"/>
      <c r="G2" s="160"/>
      <c r="H2" s="161" t="s">
        <v>43</v>
      </c>
      <c r="I2" s="161"/>
      <c r="J2" s="161"/>
      <c r="K2" s="156" t="s">
        <v>66</v>
      </c>
      <c r="L2" s="156"/>
      <c r="M2" s="156"/>
      <c r="N2" s="120" t="s">
        <v>108</v>
      </c>
      <c r="O2" s="120"/>
      <c r="P2" s="120"/>
      <c r="Q2" s="156" t="s">
        <v>102</v>
      </c>
      <c r="R2" s="156"/>
      <c r="S2" s="156"/>
    </row>
    <row r="3" spans="1:27" ht="15.75" x14ac:dyDescent="0.25">
      <c r="A3" s="66" t="s">
        <v>0</v>
      </c>
      <c r="B3" s="34" t="s">
        <v>1</v>
      </c>
      <c r="C3" s="34" t="s">
        <v>29</v>
      </c>
      <c r="D3" s="2" t="s">
        <v>30</v>
      </c>
      <c r="E3" s="2" t="s">
        <v>41</v>
      </c>
      <c r="F3" s="3" t="s">
        <v>56</v>
      </c>
      <c r="G3" s="34" t="s">
        <v>4</v>
      </c>
      <c r="H3" s="34" t="s">
        <v>29</v>
      </c>
      <c r="I3" s="2" t="s">
        <v>41</v>
      </c>
      <c r="J3" s="34" t="s">
        <v>4</v>
      </c>
      <c r="K3" s="34" t="s">
        <v>29</v>
      </c>
      <c r="L3" s="2" t="s">
        <v>41</v>
      </c>
      <c r="M3" s="34" t="s">
        <v>4</v>
      </c>
      <c r="N3" s="34" t="s">
        <v>94</v>
      </c>
      <c r="O3" s="34" t="s">
        <v>95</v>
      </c>
      <c r="P3" s="34" t="s">
        <v>83</v>
      </c>
      <c r="Q3" s="67" t="s">
        <v>102</v>
      </c>
      <c r="R3" s="113" t="s">
        <v>80</v>
      </c>
      <c r="S3" s="34" t="s">
        <v>4</v>
      </c>
    </row>
    <row r="4" spans="1:27" ht="15.75" x14ac:dyDescent="0.25">
      <c r="A4" s="68" t="s">
        <v>5</v>
      </c>
      <c r="B4" s="4" t="s">
        <v>6</v>
      </c>
      <c r="C4" s="25">
        <f ca="1">Retail!M35</f>
        <v>520994.28290464886</v>
      </c>
      <c r="D4" s="65">
        <f t="shared" ref="D4:D25" ca="1" si="0">SUMIFS(C37:AM37,$C$36:$AM$36,"="&amp;$A$59)</f>
        <v>215948</v>
      </c>
      <c r="E4" s="4">
        <v>282604</v>
      </c>
      <c r="F4" s="24">
        <f ca="1">E4/D4-1</f>
        <v>0.30866690129105145</v>
      </c>
      <c r="G4" s="23">
        <f ca="1">E4/C4</f>
        <v>0.5424320559228123</v>
      </c>
      <c r="H4" s="47">
        <f ca="1">Attraction!G35</f>
        <v>13653.530694646046</v>
      </c>
      <c r="I4" s="4">
        <v>7800</v>
      </c>
      <c r="J4" s="16">
        <f ca="1">I4/H4</f>
        <v>0.57128080453641283</v>
      </c>
      <c r="K4" s="45">
        <f t="shared" ref="K4:K25" ca="1" si="1">C4+H4</f>
        <v>534647.81359929487</v>
      </c>
      <c r="L4" s="46">
        <f>+E4+I4</f>
        <v>290404</v>
      </c>
      <c r="M4" s="16">
        <f t="shared" ref="M4:M26" ca="1" si="2">L4/K4</f>
        <v>0.54316877879846814</v>
      </c>
      <c r="N4" s="25" t="e">
        <f>VLOOKUP(T1,'LFL 2024'!A2:C33,3,0)</f>
        <v>#N/A</v>
      </c>
      <c r="O4" s="25">
        <f t="shared" ref="O4:O23" si="3">Z37</f>
        <v>100583</v>
      </c>
      <c r="P4" s="24" t="e">
        <f>O4/N4</f>
        <v>#N/A</v>
      </c>
      <c r="Q4" s="25">
        <v>12</v>
      </c>
      <c r="R4" s="114">
        <v>70</v>
      </c>
      <c r="S4" s="117">
        <f>Q4/R4*1</f>
        <v>0.17142857142857143</v>
      </c>
      <c r="T4" s="57"/>
      <c r="U4" s="58"/>
    </row>
    <row r="5" spans="1:27" ht="15.75" x14ac:dyDescent="0.25">
      <c r="A5" s="68" t="s">
        <v>7</v>
      </c>
      <c r="B5" s="4" t="s">
        <v>8</v>
      </c>
      <c r="C5" s="25">
        <f ca="1">Retail!J35</f>
        <v>286734.47590486158</v>
      </c>
      <c r="D5" s="65">
        <f t="shared" ca="1" si="0"/>
        <v>55406</v>
      </c>
      <c r="E5" s="4">
        <v>89519</v>
      </c>
      <c r="F5" s="24">
        <f t="shared" ref="F5:F26" ca="1" si="4">E5/D5-1</f>
        <v>0.61569144136014153</v>
      </c>
      <c r="G5" s="23">
        <f t="shared" ref="G5:G25" ca="1" si="5">E5/C5</f>
        <v>0.31220173199438489</v>
      </c>
      <c r="H5" s="47">
        <f ca="1">Attraction!E35</f>
        <v>18519.062410271603</v>
      </c>
      <c r="I5" s="4">
        <v>8200</v>
      </c>
      <c r="J5" s="16">
        <f ca="1">I5/H5</f>
        <v>0.44278699527746435</v>
      </c>
      <c r="K5" s="45">
        <f t="shared" ca="1" si="1"/>
        <v>305253.53831513319</v>
      </c>
      <c r="L5" s="46">
        <f t="shared" ref="L5:L16" si="6">+E5+I5</f>
        <v>97719</v>
      </c>
      <c r="M5" s="16">
        <f t="shared" ca="1" si="2"/>
        <v>0.32012405339956546</v>
      </c>
      <c r="N5" s="25" t="e">
        <f>VLOOKUP(T1,'LFL 2024'!A2:D33,4,0)</f>
        <v>#N/A</v>
      </c>
      <c r="O5" s="25">
        <f t="shared" si="3"/>
        <v>49455</v>
      </c>
      <c r="P5" s="24" t="e">
        <f t="shared" ref="P5:P23" si="7">O5/N5</f>
        <v>#N/A</v>
      </c>
      <c r="Q5" s="25">
        <v>6</v>
      </c>
      <c r="R5" s="114">
        <v>36</v>
      </c>
      <c r="S5" s="117">
        <f t="shared" ref="S5:S23" si="8">Q5/R5*1</f>
        <v>0.16666666666666666</v>
      </c>
      <c r="U5" s="58"/>
    </row>
    <row r="6" spans="1:27" ht="15.75" x14ac:dyDescent="0.25">
      <c r="A6" s="68" t="s">
        <v>9</v>
      </c>
      <c r="B6" s="4" t="s">
        <v>10</v>
      </c>
      <c r="C6" s="25">
        <f ca="1">Retail!H35</f>
        <v>63851.171607521675</v>
      </c>
      <c r="D6" s="65">
        <f t="shared" ca="1" si="0"/>
        <v>20821</v>
      </c>
      <c r="E6" s="4">
        <v>34140</v>
      </c>
      <c r="F6" s="24">
        <f t="shared" ca="1" si="4"/>
        <v>0.63969069689256042</v>
      </c>
      <c r="G6" s="23">
        <f t="shared" ca="1" si="5"/>
        <v>0.53468087022507049</v>
      </c>
      <c r="H6" s="47">
        <f ca="1">Attraction!B35</f>
        <v>100564.04266308263</v>
      </c>
      <c r="I6" s="4">
        <v>29500</v>
      </c>
      <c r="J6" s="16">
        <f ca="1">I6/H6</f>
        <v>0.29334540675570459</v>
      </c>
      <c r="K6" s="45">
        <f t="shared" ca="1" si="1"/>
        <v>164415.21427060431</v>
      </c>
      <c r="L6" s="46">
        <f t="shared" si="6"/>
        <v>63640</v>
      </c>
      <c r="M6" s="16">
        <f t="shared" ca="1" si="2"/>
        <v>0.38706880188872006</v>
      </c>
      <c r="N6" s="25" t="e">
        <f>VLOOKUP(T1,'LFL 2024'!A2:F33,5,0)</f>
        <v>#N/A</v>
      </c>
      <c r="O6" s="25">
        <f t="shared" si="3"/>
        <v>10195</v>
      </c>
      <c r="P6" s="24" t="e">
        <f t="shared" si="7"/>
        <v>#N/A</v>
      </c>
      <c r="Q6" s="25"/>
      <c r="R6" s="114"/>
      <c r="S6" s="117" t="e">
        <f t="shared" si="8"/>
        <v>#DIV/0!</v>
      </c>
      <c r="U6" s="58"/>
    </row>
    <row r="7" spans="1:27" ht="15.75" x14ac:dyDescent="0.25">
      <c r="A7" s="68" t="s">
        <v>11</v>
      </c>
      <c r="B7" s="4" t="s">
        <v>12</v>
      </c>
      <c r="C7" s="25">
        <f ca="1">Retail!K35</f>
        <v>392222.69980956911</v>
      </c>
      <c r="D7" s="65">
        <f t="shared" ca="1" si="0"/>
        <v>244035</v>
      </c>
      <c r="E7" s="4">
        <v>221767</v>
      </c>
      <c r="F7" s="24">
        <f t="shared" ca="1" si="4"/>
        <v>-9.1249206056508325E-2</v>
      </c>
      <c r="G7" s="23">
        <f t="shared" ca="1" si="5"/>
        <v>0.56541092626120748</v>
      </c>
      <c r="H7" s="36"/>
      <c r="I7" s="4"/>
      <c r="J7" s="16" t="e">
        <f t="shared" ref="J7:J22" si="9">I7/H7</f>
        <v>#DIV/0!</v>
      </c>
      <c r="K7" s="45">
        <f t="shared" ca="1" si="1"/>
        <v>392222.69980956911</v>
      </c>
      <c r="L7" s="46">
        <f t="shared" si="6"/>
        <v>221767</v>
      </c>
      <c r="M7" s="16">
        <f t="shared" ca="1" si="2"/>
        <v>0.56541092626120748</v>
      </c>
      <c r="N7" s="25" t="e">
        <f>VLOOKUP(T1,'LFL 2024'!A2:G33,6,0)</f>
        <v>#N/A</v>
      </c>
      <c r="O7" s="25">
        <f t="shared" si="3"/>
        <v>76164</v>
      </c>
      <c r="P7" s="24" t="e">
        <f t="shared" si="7"/>
        <v>#N/A</v>
      </c>
      <c r="Q7" s="25">
        <v>12</v>
      </c>
      <c r="R7" s="114">
        <v>65</v>
      </c>
      <c r="S7" s="117">
        <f t="shared" si="8"/>
        <v>0.18461538461538463</v>
      </c>
      <c r="U7" s="145"/>
    </row>
    <row r="8" spans="1:27" ht="15.75" x14ac:dyDescent="0.25">
      <c r="A8" s="68" t="s">
        <v>13</v>
      </c>
      <c r="B8" s="4" t="s">
        <v>14</v>
      </c>
      <c r="C8" s="25">
        <f ca="1">Retail!L35</f>
        <v>176136.03164737127</v>
      </c>
      <c r="D8" s="65">
        <f t="shared" ca="1" si="0"/>
        <v>93862</v>
      </c>
      <c r="E8" s="4">
        <v>76215</v>
      </c>
      <c r="F8" s="24">
        <f t="shared" ca="1" si="4"/>
        <v>-0.18801005731819054</v>
      </c>
      <c r="G8" s="23">
        <f t="shared" ca="1" si="5"/>
        <v>0.43270533170966591</v>
      </c>
      <c r="H8" s="47">
        <f ca="1">Attraction!D35</f>
        <v>11996.078057746645</v>
      </c>
      <c r="I8" s="4">
        <v>4250</v>
      </c>
      <c r="J8" s="16">
        <f ca="1">I8/H8</f>
        <v>0.35428245627790822</v>
      </c>
      <c r="K8" s="45">
        <f t="shared" ca="1" si="1"/>
        <v>188132.10970511791</v>
      </c>
      <c r="L8" s="46">
        <f t="shared" si="6"/>
        <v>80465</v>
      </c>
      <c r="M8" s="16">
        <f t="shared" ca="1" si="2"/>
        <v>0.4277047662205164</v>
      </c>
      <c r="N8" s="25" t="e">
        <f>VLOOKUP(T1,'LFL 2024'!A2:H33,7,0)</f>
        <v>#N/A</v>
      </c>
      <c r="O8" s="25">
        <f t="shared" si="3"/>
        <v>31667</v>
      </c>
      <c r="P8" s="24" t="e">
        <f t="shared" si="7"/>
        <v>#N/A</v>
      </c>
      <c r="Q8" s="25">
        <v>5</v>
      </c>
      <c r="R8" s="114">
        <v>39</v>
      </c>
      <c r="S8" s="117">
        <f t="shared" si="8"/>
        <v>0.12820512820512819</v>
      </c>
      <c r="U8" s="58"/>
    </row>
    <row r="9" spans="1:27" ht="15.75" x14ac:dyDescent="0.25">
      <c r="A9" s="68" t="s">
        <v>15</v>
      </c>
      <c r="B9" s="4" t="s">
        <v>16</v>
      </c>
      <c r="C9" s="25">
        <f ca="1">Retail!B35</f>
        <v>480133.83289539319</v>
      </c>
      <c r="D9" s="65">
        <f t="shared" ca="1" si="0"/>
        <v>290337</v>
      </c>
      <c r="E9" s="4">
        <v>165757</v>
      </c>
      <c r="F9" s="24">
        <f t="shared" ca="1" si="4"/>
        <v>-0.42908757753920446</v>
      </c>
      <c r="G9" s="23">
        <f t="shared" ca="1" si="5"/>
        <v>0.34523082658104098</v>
      </c>
      <c r="H9" s="36"/>
      <c r="I9" s="4"/>
      <c r="J9" s="16" t="e">
        <f t="shared" si="9"/>
        <v>#DIV/0!</v>
      </c>
      <c r="K9" s="45">
        <f t="shared" ca="1" si="1"/>
        <v>480133.83289539319</v>
      </c>
      <c r="L9" s="46">
        <f t="shared" si="6"/>
        <v>165757</v>
      </c>
      <c r="M9" s="16">
        <f t="shared" ca="1" si="2"/>
        <v>0.34523082658104098</v>
      </c>
      <c r="N9" s="25" t="e">
        <f>VLOOKUP(T1,'LFL 2024'!A2:I33,8,0)</f>
        <v>#N/A</v>
      </c>
      <c r="O9" s="25">
        <f t="shared" si="3"/>
        <v>71976</v>
      </c>
      <c r="P9" s="24" t="e">
        <f t="shared" si="7"/>
        <v>#N/A</v>
      </c>
      <c r="Q9" s="25">
        <v>20</v>
      </c>
      <c r="R9" s="114">
        <v>74</v>
      </c>
      <c r="S9" s="117">
        <f t="shared" si="8"/>
        <v>0.27027027027027029</v>
      </c>
      <c r="U9" s="58"/>
    </row>
    <row r="10" spans="1:27" ht="15.75" x14ac:dyDescent="0.25">
      <c r="A10" s="68" t="s">
        <v>17</v>
      </c>
      <c r="B10" s="4" t="s">
        <v>18</v>
      </c>
      <c r="C10" s="25">
        <f ca="1">Retail!F35</f>
        <v>190041.2744308961</v>
      </c>
      <c r="D10" s="65">
        <f t="shared" ca="1" si="0"/>
        <v>84325</v>
      </c>
      <c r="E10" s="4">
        <v>56762</v>
      </c>
      <c r="F10" s="24">
        <f t="shared" ca="1" si="4"/>
        <v>-0.32686629113548771</v>
      </c>
      <c r="G10" s="23">
        <f t="shared" ca="1" si="5"/>
        <v>0.29868248447597168</v>
      </c>
      <c r="H10" s="36"/>
      <c r="I10" s="4"/>
      <c r="J10" s="16" t="e">
        <f t="shared" si="9"/>
        <v>#DIV/0!</v>
      </c>
      <c r="K10" s="45">
        <f t="shared" ca="1" si="1"/>
        <v>190041.2744308961</v>
      </c>
      <c r="L10" s="46">
        <f t="shared" si="6"/>
        <v>56762</v>
      </c>
      <c r="M10" s="16">
        <f t="shared" ca="1" si="2"/>
        <v>0.29868248447597168</v>
      </c>
      <c r="N10" s="25" t="e">
        <f>VLOOKUP(T1,'LFL 2024'!A2:J33,9,0)</f>
        <v>#N/A</v>
      </c>
      <c r="O10" s="25">
        <f t="shared" si="3"/>
        <v>23548</v>
      </c>
      <c r="P10" s="24" t="e">
        <f t="shared" si="7"/>
        <v>#N/A</v>
      </c>
      <c r="Q10" s="25">
        <v>4</v>
      </c>
      <c r="R10" s="114">
        <v>29</v>
      </c>
      <c r="S10" s="117">
        <f t="shared" si="8"/>
        <v>0.13793103448275862</v>
      </c>
      <c r="U10" s="58"/>
    </row>
    <row r="11" spans="1:27" ht="15.75" x14ac:dyDescent="0.25">
      <c r="A11" s="68" t="s">
        <v>19</v>
      </c>
      <c r="B11" s="4" t="s">
        <v>20</v>
      </c>
      <c r="C11" s="25">
        <f ca="1">Retail!C35</f>
        <v>174186.12607702776</v>
      </c>
      <c r="D11" s="65">
        <f t="shared" ca="1" si="0"/>
        <v>52628</v>
      </c>
      <c r="E11" s="4">
        <v>60455</v>
      </c>
      <c r="F11" s="24">
        <f t="shared" ca="1" si="4"/>
        <v>0.14872311317169573</v>
      </c>
      <c r="G11" s="23">
        <f t="shared" ca="1" si="5"/>
        <v>0.34707127003482402</v>
      </c>
      <c r="H11" s="36"/>
      <c r="I11" s="4"/>
      <c r="J11" s="16" t="e">
        <f t="shared" si="9"/>
        <v>#DIV/0!</v>
      </c>
      <c r="K11" s="45">
        <f t="shared" ca="1" si="1"/>
        <v>174186.12607702776</v>
      </c>
      <c r="L11" s="46">
        <f t="shared" si="6"/>
        <v>60455</v>
      </c>
      <c r="M11" s="16">
        <f t="shared" ca="1" si="2"/>
        <v>0.34707127003482402</v>
      </c>
      <c r="N11" s="25" t="e">
        <f>VLOOKUP(T1,'LFL 2024'!A2:K33,10,0)</f>
        <v>#N/A</v>
      </c>
      <c r="O11" s="25">
        <f t="shared" si="3"/>
        <v>9526</v>
      </c>
      <c r="P11" s="24" t="e">
        <f t="shared" si="7"/>
        <v>#N/A</v>
      </c>
      <c r="Q11" s="25">
        <v>4</v>
      </c>
      <c r="R11" s="114">
        <v>22</v>
      </c>
      <c r="S11" s="117">
        <f t="shared" si="8"/>
        <v>0.18181818181818182</v>
      </c>
      <c r="U11" s="58"/>
    </row>
    <row r="12" spans="1:27" ht="15.75" x14ac:dyDescent="0.25">
      <c r="A12" s="68" t="s">
        <v>21</v>
      </c>
      <c r="B12" s="4" t="s">
        <v>22</v>
      </c>
      <c r="C12" s="25">
        <f ca="1">Retail!D35</f>
        <v>108239.75567045667</v>
      </c>
      <c r="D12" s="65">
        <f t="shared" ca="1" si="0"/>
        <v>48671</v>
      </c>
      <c r="E12" s="4">
        <v>65881</v>
      </c>
      <c r="F12" s="24">
        <f t="shared" ca="1" si="4"/>
        <v>0.35359865217480646</v>
      </c>
      <c r="G12" s="23">
        <f t="shared" ca="1" si="5"/>
        <v>0.60865806276003809</v>
      </c>
      <c r="H12" s="36"/>
      <c r="I12" s="4"/>
      <c r="J12" s="16" t="e">
        <f t="shared" si="9"/>
        <v>#DIV/0!</v>
      </c>
      <c r="K12" s="45">
        <f t="shared" ca="1" si="1"/>
        <v>108239.75567045667</v>
      </c>
      <c r="L12" s="46">
        <f t="shared" si="6"/>
        <v>65881</v>
      </c>
      <c r="M12" s="16">
        <f t="shared" ca="1" si="2"/>
        <v>0.60865806276003809</v>
      </c>
      <c r="N12" s="25" t="e">
        <f>VLOOKUP(T1,'LFL 2024'!A2:L33,11,0)</f>
        <v>#N/A</v>
      </c>
      <c r="O12" s="25">
        <f t="shared" si="3"/>
        <v>5562</v>
      </c>
      <c r="P12" s="24" t="e">
        <f t="shared" si="7"/>
        <v>#N/A</v>
      </c>
      <c r="Q12" s="25">
        <v>1</v>
      </c>
      <c r="R12" s="114">
        <v>37</v>
      </c>
      <c r="S12" s="117">
        <f t="shared" si="8"/>
        <v>2.7027027027027029E-2</v>
      </c>
      <c r="U12" s="58"/>
    </row>
    <row r="13" spans="1:27" ht="15.75" x14ac:dyDescent="0.25">
      <c r="A13" s="68" t="s">
        <v>23</v>
      </c>
      <c r="B13" s="4" t="s">
        <v>24</v>
      </c>
      <c r="C13" s="25">
        <f ca="1">Retail!G35</f>
        <v>93298.933472166173</v>
      </c>
      <c r="D13" s="65">
        <f t="shared" ca="1" si="0"/>
        <v>26042</v>
      </c>
      <c r="E13" s="4">
        <v>40669</v>
      </c>
      <c r="F13" s="24">
        <f t="shared" ca="1" si="4"/>
        <v>0.56166961062898402</v>
      </c>
      <c r="G13" s="23">
        <f t="shared" ca="1" si="5"/>
        <v>0.43589994533145188</v>
      </c>
      <c r="H13" s="36"/>
      <c r="I13" s="4"/>
      <c r="J13" s="16" t="e">
        <f t="shared" si="9"/>
        <v>#DIV/0!</v>
      </c>
      <c r="K13" s="45">
        <f t="shared" ca="1" si="1"/>
        <v>93298.933472166173</v>
      </c>
      <c r="L13" s="46">
        <f t="shared" si="6"/>
        <v>40669</v>
      </c>
      <c r="M13" s="16">
        <f t="shared" ca="1" si="2"/>
        <v>0.43589994533145188</v>
      </c>
      <c r="N13" s="25" t="e">
        <f>VLOOKUP(T2,'LFL 2024'!A3:L34,11,0)</f>
        <v>#N/A</v>
      </c>
      <c r="O13" s="25">
        <f t="shared" si="3"/>
        <v>23310</v>
      </c>
      <c r="P13" s="24" t="e">
        <f t="shared" si="7"/>
        <v>#N/A</v>
      </c>
      <c r="Q13" s="25">
        <v>0</v>
      </c>
      <c r="R13" s="114">
        <v>7</v>
      </c>
      <c r="S13" s="117">
        <f t="shared" si="8"/>
        <v>0</v>
      </c>
      <c r="U13" s="58"/>
    </row>
    <row r="14" spans="1:27" ht="15.75" hidden="1" x14ac:dyDescent="0.25">
      <c r="A14" s="138" t="s">
        <v>25</v>
      </c>
      <c r="B14" s="111" t="s">
        <v>26</v>
      </c>
      <c r="C14" s="25"/>
      <c r="D14" s="65"/>
      <c r="E14" s="4"/>
      <c r="F14" s="24" t="e">
        <f t="shared" si="4"/>
        <v>#DIV/0!</v>
      </c>
      <c r="G14" s="23" t="e">
        <f t="shared" si="5"/>
        <v>#DIV/0!</v>
      </c>
      <c r="H14" s="137"/>
      <c r="I14" s="139"/>
      <c r="J14" s="16" t="e">
        <f t="shared" si="9"/>
        <v>#DIV/0!</v>
      </c>
      <c r="K14" s="45">
        <f t="shared" si="1"/>
        <v>0</v>
      </c>
      <c r="L14" s="46">
        <f t="shared" si="6"/>
        <v>0</v>
      </c>
      <c r="M14" s="16" t="e">
        <f t="shared" si="2"/>
        <v>#DIV/0!</v>
      </c>
      <c r="N14" s="25" t="e">
        <f>VLOOKUP(T3,'LFL 2024'!A4:L35,11,0)</f>
        <v>#N/A</v>
      </c>
      <c r="O14" s="25">
        <f t="shared" si="3"/>
        <v>0</v>
      </c>
      <c r="P14" s="24" t="e">
        <f t="shared" si="7"/>
        <v>#N/A</v>
      </c>
      <c r="Q14" s="25"/>
      <c r="R14" s="114"/>
      <c r="S14" s="117" t="e">
        <f t="shared" si="8"/>
        <v>#DIV/0!</v>
      </c>
      <c r="U14" s="58"/>
    </row>
    <row r="15" spans="1:27" ht="15.75" x14ac:dyDescent="0.25">
      <c r="A15" s="68" t="s">
        <v>27</v>
      </c>
      <c r="B15" s="4" t="s">
        <v>28</v>
      </c>
      <c r="C15" s="25">
        <f ca="1">Retail!I35</f>
        <v>75609.562014035298</v>
      </c>
      <c r="D15" s="65">
        <f t="shared" ca="1" si="0"/>
        <v>20000</v>
      </c>
      <c r="E15" s="4">
        <v>9354</v>
      </c>
      <c r="F15" s="24">
        <f t="shared" ca="1" si="4"/>
        <v>-0.5323</v>
      </c>
      <c r="G15" s="23">
        <f t="shared" ca="1" si="5"/>
        <v>0.1237145111125446</v>
      </c>
      <c r="H15" s="47">
        <f ca="1">Attraction!C35</f>
        <v>4391.13412542484</v>
      </c>
      <c r="I15" s="108">
        <v>2850</v>
      </c>
      <c r="J15" s="16">
        <f t="shared" ca="1" si="9"/>
        <v>0.64903505987175103</v>
      </c>
      <c r="K15" s="45">
        <f t="shared" ca="1" si="1"/>
        <v>80000.696139460139</v>
      </c>
      <c r="L15" s="46">
        <f t="shared" si="6"/>
        <v>12204</v>
      </c>
      <c r="M15" s="16">
        <f t="shared" ca="1" si="2"/>
        <v>0.15254867256061799</v>
      </c>
      <c r="N15" s="25" t="e">
        <f>VLOOKUP(T4,'LFL 2024'!A5:L36,11,0)</f>
        <v>#N/A</v>
      </c>
      <c r="O15" s="25">
        <f t="shared" si="3"/>
        <v>4195</v>
      </c>
      <c r="P15" s="24" t="e">
        <f t="shared" si="7"/>
        <v>#N/A</v>
      </c>
      <c r="Q15" s="25">
        <v>2</v>
      </c>
      <c r="R15" s="114">
        <v>9</v>
      </c>
      <c r="S15" s="117">
        <f t="shared" si="8"/>
        <v>0.22222222222222221</v>
      </c>
      <c r="U15" s="58"/>
      <c r="AA15" s="42" t="s">
        <v>44</v>
      </c>
    </row>
    <row r="16" spans="1:27" ht="15.75" x14ac:dyDescent="0.25">
      <c r="A16" s="68" t="s">
        <v>46</v>
      </c>
      <c r="B16" s="4" t="s">
        <v>45</v>
      </c>
      <c r="C16" s="25">
        <f ca="1">Retail!N35</f>
        <v>478539.39985072921</v>
      </c>
      <c r="D16" s="65">
        <f t="shared" ca="1" si="0"/>
        <v>187202</v>
      </c>
      <c r="E16" s="65">
        <v>243281</v>
      </c>
      <c r="F16" s="24">
        <f t="shared" ca="1" si="4"/>
        <v>0.29956410722107663</v>
      </c>
      <c r="G16" s="23">
        <f t="shared" ca="1" si="5"/>
        <v>0.50838238204813779</v>
      </c>
      <c r="H16" s="47">
        <f ca="1">Attraction!F35</f>
        <v>86995.039884684636</v>
      </c>
      <c r="I16" s="1">
        <f>4500+12681+53076</f>
        <v>70257</v>
      </c>
      <c r="J16" s="16">
        <f t="shared" ca="1" si="9"/>
        <v>0.80759776756385682</v>
      </c>
      <c r="K16" s="45">
        <f t="shared" ca="1" si="1"/>
        <v>565534.43973541388</v>
      </c>
      <c r="L16" s="46">
        <f t="shared" si="6"/>
        <v>313538</v>
      </c>
      <c r="M16" s="16">
        <f t="shared" ca="1" si="2"/>
        <v>0.55441009065104718</v>
      </c>
      <c r="N16" s="25" t="e">
        <f>VLOOKUP(T5,'LFL 2024'!A6:L37,11,0)</f>
        <v>#N/A</v>
      </c>
      <c r="O16" s="25">
        <f t="shared" si="3"/>
        <v>118788</v>
      </c>
      <c r="P16" s="24" t="e">
        <f t="shared" si="7"/>
        <v>#N/A</v>
      </c>
      <c r="Q16" s="25">
        <v>22</v>
      </c>
      <c r="R16" s="114">
        <v>113</v>
      </c>
      <c r="S16" s="117">
        <f t="shared" si="8"/>
        <v>0.19469026548672566</v>
      </c>
      <c r="U16" s="58"/>
    </row>
    <row r="17" spans="1:24" ht="15.75" hidden="1" x14ac:dyDescent="0.25">
      <c r="A17" s="68" t="s">
        <v>73</v>
      </c>
      <c r="B17" s="4" t="s">
        <v>69</v>
      </c>
      <c r="C17" s="25">
        <v>0</v>
      </c>
      <c r="D17" s="65">
        <v>0</v>
      </c>
      <c r="E17" s="4"/>
      <c r="F17" s="24" t="e">
        <f t="shared" si="4"/>
        <v>#DIV/0!</v>
      </c>
      <c r="G17" s="23" t="e">
        <f t="shared" si="5"/>
        <v>#DIV/0!</v>
      </c>
      <c r="H17" s="47"/>
      <c r="I17" s="108"/>
      <c r="J17" s="16" t="e">
        <f t="shared" si="9"/>
        <v>#DIV/0!</v>
      </c>
      <c r="K17" s="45">
        <f t="shared" si="1"/>
        <v>0</v>
      </c>
      <c r="L17" s="46">
        <f>+E17+I17</f>
        <v>0</v>
      </c>
      <c r="M17" s="16" t="e">
        <f t="shared" si="2"/>
        <v>#DIV/0!</v>
      </c>
      <c r="N17" s="25" t="e">
        <f>VLOOKUP(T6,'LFL 2024'!A7:L38,11,0)</f>
        <v>#N/A</v>
      </c>
      <c r="O17" s="25">
        <f t="shared" si="3"/>
        <v>0</v>
      </c>
      <c r="P17" s="24" t="e">
        <f t="shared" si="7"/>
        <v>#N/A</v>
      </c>
      <c r="Q17" s="25">
        <v>0</v>
      </c>
      <c r="R17" s="114"/>
      <c r="S17" s="117" t="e">
        <f t="shared" si="8"/>
        <v>#DIV/0!</v>
      </c>
      <c r="U17" s="58"/>
    </row>
    <row r="18" spans="1:24" ht="15.75" x14ac:dyDescent="0.25">
      <c r="A18" s="68" t="s">
        <v>48</v>
      </c>
      <c r="B18" s="4" t="s">
        <v>47</v>
      </c>
      <c r="C18" s="25">
        <f ca="1">Retail!P35</f>
        <v>52418.275801081792</v>
      </c>
      <c r="D18" s="65">
        <f t="shared" ca="1" si="0"/>
        <v>12072</v>
      </c>
      <c r="E18" s="4">
        <v>20028</v>
      </c>
      <c r="F18" s="24">
        <f t="shared" ca="1" si="4"/>
        <v>0.65904572564612329</v>
      </c>
      <c r="G18" s="23">
        <f t="shared" ca="1" si="5"/>
        <v>0.38208048040349063</v>
      </c>
      <c r="H18" s="36"/>
      <c r="I18" s="108"/>
      <c r="J18" s="16" t="e">
        <f t="shared" si="9"/>
        <v>#DIV/0!</v>
      </c>
      <c r="K18" s="45">
        <f t="shared" ca="1" si="1"/>
        <v>52418.275801081792</v>
      </c>
      <c r="L18" s="46">
        <f>+E18+I18</f>
        <v>20028</v>
      </c>
      <c r="M18" s="16">
        <f t="shared" ca="1" si="2"/>
        <v>0.38208048040349063</v>
      </c>
      <c r="N18" s="25" t="e">
        <f>VLOOKUP(T7,'LFL 2024'!A8:L39,11,0)</f>
        <v>#N/A</v>
      </c>
      <c r="O18" s="25">
        <f t="shared" si="3"/>
        <v>10004</v>
      </c>
      <c r="P18" s="24" t="e">
        <f t="shared" si="7"/>
        <v>#N/A</v>
      </c>
      <c r="Q18" s="25">
        <v>2</v>
      </c>
      <c r="R18" s="114">
        <v>6</v>
      </c>
      <c r="S18" s="117">
        <f t="shared" si="8"/>
        <v>0.33333333333333331</v>
      </c>
      <c r="U18" s="58"/>
    </row>
    <row r="19" spans="1:24" ht="15.75" x14ac:dyDescent="0.25">
      <c r="A19" s="68" t="s">
        <v>51</v>
      </c>
      <c r="B19" s="4" t="s">
        <v>50</v>
      </c>
      <c r="C19" s="25">
        <f ca="1">Retail!Q35</f>
        <v>50054.432108478766</v>
      </c>
      <c r="D19" s="65">
        <f t="shared" ca="1" si="0"/>
        <v>24076</v>
      </c>
      <c r="E19" s="4">
        <v>9925</v>
      </c>
      <c r="F19" s="24">
        <f t="shared" ca="1" si="4"/>
        <v>-0.58776374813091881</v>
      </c>
      <c r="G19" s="23">
        <f t="shared" ca="1" si="5"/>
        <v>0.19828413952415605</v>
      </c>
      <c r="H19" s="36"/>
      <c r="I19" s="108"/>
      <c r="J19" s="16" t="e">
        <f t="shared" si="9"/>
        <v>#DIV/0!</v>
      </c>
      <c r="K19" s="45">
        <f t="shared" ca="1" si="1"/>
        <v>50054.432108478766</v>
      </c>
      <c r="L19" s="46">
        <f t="shared" ref="L19:L25" si="10">+E19+I19</f>
        <v>9925</v>
      </c>
      <c r="M19" s="16">
        <f t="shared" ca="1" si="2"/>
        <v>0.19828413952415605</v>
      </c>
      <c r="N19" s="25" t="e">
        <f>VLOOKUP(T8,'LFL 2024'!A9:L40,11,0)</f>
        <v>#N/A</v>
      </c>
      <c r="O19" s="25">
        <f t="shared" si="3"/>
        <v>10022</v>
      </c>
      <c r="P19" s="24" t="e">
        <f t="shared" si="7"/>
        <v>#N/A</v>
      </c>
      <c r="Q19" s="25">
        <v>1</v>
      </c>
      <c r="R19" s="114">
        <v>10</v>
      </c>
      <c r="S19" s="117">
        <f t="shared" si="8"/>
        <v>0.1</v>
      </c>
      <c r="U19" s="58"/>
    </row>
    <row r="20" spans="1:24" ht="15.75" x14ac:dyDescent="0.25">
      <c r="A20" s="68" t="s">
        <v>54</v>
      </c>
      <c r="B20" s="4" t="s">
        <v>52</v>
      </c>
      <c r="C20" s="25">
        <f ca="1">Retail!R35</f>
        <v>173176.0929886683</v>
      </c>
      <c r="D20" s="65">
        <f t="shared" ca="1" si="0"/>
        <v>83413</v>
      </c>
      <c r="E20" s="4">
        <v>76520</v>
      </c>
      <c r="F20" s="24">
        <f t="shared" ca="1" si="4"/>
        <v>-8.2636999028928293E-2</v>
      </c>
      <c r="G20" s="23">
        <f t="shared" ca="1" si="5"/>
        <v>0.44186237649446825</v>
      </c>
      <c r="H20" s="47">
        <v>24039</v>
      </c>
      <c r="I20" s="108">
        <v>27592</v>
      </c>
      <c r="J20" s="16">
        <f>I20/H20</f>
        <v>1.1478014892466408</v>
      </c>
      <c r="K20" s="45">
        <f t="shared" ca="1" si="1"/>
        <v>197215.0929886683</v>
      </c>
      <c r="L20" s="46">
        <f t="shared" si="10"/>
        <v>104112</v>
      </c>
      <c r="M20" s="16">
        <f t="shared" ca="1" si="2"/>
        <v>0.5279109140291921</v>
      </c>
      <c r="N20" s="25" t="e">
        <f>VLOOKUP(T9,'LFL 2024'!A10:L41,11,0)</f>
        <v>#N/A</v>
      </c>
      <c r="O20" s="25">
        <f t="shared" si="3"/>
        <v>35746</v>
      </c>
      <c r="P20" s="24" t="e">
        <f t="shared" si="7"/>
        <v>#N/A</v>
      </c>
      <c r="Q20" s="25">
        <v>15</v>
      </c>
      <c r="R20" s="114">
        <v>49</v>
      </c>
      <c r="S20" s="117">
        <f t="shared" si="8"/>
        <v>0.30612244897959184</v>
      </c>
      <c r="U20" s="58"/>
    </row>
    <row r="21" spans="1:24" ht="15.75" x14ac:dyDescent="0.25">
      <c r="A21" s="68" t="s">
        <v>74</v>
      </c>
      <c r="B21" s="4" t="s">
        <v>71</v>
      </c>
      <c r="C21" s="25">
        <f ca="1">Retail!S35</f>
        <v>69239.831976393194</v>
      </c>
      <c r="D21" s="65">
        <f t="shared" ca="1" si="0"/>
        <v>40092</v>
      </c>
      <c r="E21" s="4">
        <v>11576</v>
      </c>
      <c r="F21" s="24">
        <f t="shared" ca="1" si="4"/>
        <v>-0.71126409258704981</v>
      </c>
      <c r="G21" s="23">
        <f t="shared" ca="1" si="5"/>
        <v>0.16718700305261791</v>
      </c>
      <c r="H21" s="47"/>
      <c r="I21" s="108"/>
      <c r="J21" s="16" t="e">
        <f t="shared" si="9"/>
        <v>#DIV/0!</v>
      </c>
      <c r="K21" s="45">
        <f t="shared" ca="1" si="1"/>
        <v>69239.831976393194</v>
      </c>
      <c r="L21" s="46">
        <f t="shared" si="10"/>
        <v>11576</v>
      </c>
      <c r="M21" s="16">
        <f t="shared" ca="1" si="2"/>
        <v>0.16718700305261791</v>
      </c>
      <c r="N21" s="25" t="e">
        <f>VLOOKUP(T10,'LFL 2024'!A11:L42,11,0)</f>
        <v>#N/A</v>
      </c>
      <c r="O21" s="25">
        <f t="shared" si="3"/>
        <v>13410</v>
      </c>
      <c r="P21" s="24" t="e">
        <f t="shared" si="7"/>
        <v>#N/A</v>
      </c>
      <c r="Q21" s="25">
        <v>1</v>
      </c>
      <c r="R21" s="114">
        <v>12</v>
      </c>
      <c r="S21" s="117">
        <f t="shared" si="8"/>
        <v>8.3333333333333329E-2</v>
      </c>
      <c r="T21" s="57"/>
      <c r="U21" s="58"/>
      <c r="X21" s="110"/>
    </row>
    <row r="22" spans="1:24" ht="15.75" x14ac:dyDescent="0.25">
      <c r="A22" s="68" t="s">
        <v>101</v>
      </c>
      <c r="B22" s="4" t="s">
        <v>99</v>
      </c>
      <c r="C22" s="25">
        <f ca="1">Retail!T35</f>
        <v>118798.38844497562</v>
      </c>
      <c r="D22" s="65">
        <f t="shared" ca="1" si="0"/>
        <v>36461</v>
      </c>
      <c r="E22" s="4">
        <v>42688</v>
      </c>
      <c r="F22" s="24">
        <f t="shared" ca="1" si="4"/>
        <v>0.17078522256657802</v>
      </c>
      <c r="G22" s="23">
        <f t="shared" ca="1" si="5"/>
        <v>0.3593314737579289</v>
      </c>
      <c r="H22" s="47"/>
      <c r="I22" s="108"/>
      <c r="J22" s="16" t="e">
        <f t="shared" si="9"/>
        <v>#DIV/0!</v>
      </c>
      <c r="K22" s="45">
        <f t="shared" ca="1" si="1"/>
        <v>118798.38844497562</v>
      </c>
      <c r="L22" s="46">
        <f t="shared" si="10"/>
        <v>42688</v>
      </c>
      <c r="M22" s="16">
        <f t="shared" ca="1" si="2"/>
        <v>0.3593314737579289</v>
      </c>
      <c r="N22" s="25" t="e">
        <f>VLOOKUP(T11,'LFL 2024'!A12:L43,11,0)</f>
        <v>#N/A</v>
      </c>
      <c r="O22" s="25">
        <f t="shared" si="3"/>
        <v>8150</v>
      </c>
      <c r="P22" s="24" t="e">
        <f t="shared" si="7"/>
        <v>#N/A</v>
      </c>
      <c r="Q22" s="25"/>
      <c r="R22" s="114"/>
      <c r="S22" s="117" t="e">
        <f t="shared" si="8"/>
        <v>#DIV/0!</v>
      </c>
      <c r="U22" s="58"/>
    </row>
    <row r="23" spans="1:24" ht="15.75" x14ac:dyDescent="0.25">
      <c r="A23" s="68" t="s">
        <v>78</v>
      </c>
      <c r="B23" s="4" t="s">
        <v>79</v>
      </c>
      <c r="C23" s="25">
        <f ca="1">Retail!U35</f>
        <v>187326.31302623276</v>
      </c>
      <c r="D23" s="65">
        <f t="shared" ca="1" si="0"/>
        <v>74941</v>
      </c>
      <c r="E23" s="4">
        <v>33309</v>
      </c>
      <c r="F23" s="24">
        <f t="shared" ca="1" si="4"/>
        <v>-0.55553035054242672</v>
      </c>
      <c r="G23" s="23">
        <f t="shared" ca="1" si="5"/>
        <v>0.1778127133444167</v>
      </c>
      <c r="H23" s="47"/>
      <c r="I23" s="108"/>
      <c r="J23" s="16" t="e">
        <f t="shared" ref="J23:J25" si="11">I23/H23</f>
        <v>#DIV/0!</v>
      </c>
      <c r="K23" s="45">
        <f t="shared" ca="1" si="1"/>
        <v>187326.31302623276</v>
      </c>
      <c r="L23" s="46">
        <f t="shared" si="10"/>
        <v>33309</v>
      </c>
      <c r="M23" s="16">
        <f t="shared" ca="1" si="2"/>
        <v>0.1778127133444167</v>
      </c>
      <c r="N23" s="25" t="e">
        <f>VLOOKUP(T11,'LFL 2024'!A12:L43,11,0)</f>
        <v>#N/A</v>
      </c>
      <c r="O23" s="25">
        <f t="shared" si="3"/>
        <v>28213</v>
      </c>
      <c r="P23" s="24" t="e">
        <f t="shared" si="7"/>
        <v>#N/A</v>
      </c>
      <c r="Q23" s="25">
        <v>3</v>
      </c>
      <c r="R23" s="114">
        <v>27</v>
      </c>
      <c r="S23" s="117">
        <f t="shared" si="8"/>
        <v>0.1111111111111111</v>
      </c>
      <c r="U23" s="58"/>
    </row>
    <row r="24" spans="1:24" s="105" customFormat="1" ht="15.75" x14ac:dyDescent="0.25">
      <c r="A24" s="93" t="s">
        <v>103</v>
      </c>
      <c r="B24" s="94" t="s">
        <v>104</v>
      </c>
      <c r="C24" s="25">
        <f ca="1">Retail!V35</f>
        <v>157216.40649720485</v>
      </c>
      <c r="D24" s="65">
        <f t="shared" ca="1" si="0"/>
        <v>31412</v>
      </c>
      <c r="E24" s="94">
        <v>52123</v>
      </c>
      <c r="F24" s="24">
        <f t="shared" ca="1" si="4"/>
        <v>0.65933401247930723</v>
      </c>
      <c r="G24" s="23">
        <f t="shared" ca="1" si="5"/>
        <v>0.3315366453241424</v>
      </c>
      <c r="H24" s="98"/>
      <c r="I24" s="141"/>
      <c r="J24" s="16" t="e">
        <f t="shared" si="11"/>
        <v>#DIV/0!</v>
      </c>
      <c r="K24" s="45">
        <f t="shared" ca="1" si="1"/>
        <v>157216.40649720485</v>
      </c>
      <c r="L24" s="46">
        <f t="shared" si="10"/>
        <v>52123</v>
      </c>
      <c r="M24" s="16">
        <f t="shared" ca="1" si="2"/>
        <v>0.3315366453241424</v>
      </c>
      <c r="N24" s="95"/>
      <c r="O24" s="95"/>
      <c r="P24" s="97"/>
      <c r="Q24" s="95"/>
      <c r="R24" s="115"/>
      <c r="S24" s="142"/>
      <c r="U24" s="58"/>
    </row>
    <row r="25" spans="1:24" s="105" customFormat="1" ht="15.75" x14ac:dyDescent="0.25">
      <c r="A25" s="93" t="s">
        <v>105</v>
      </c>
      <c r="B25" s="94" t="s">
        <v>106</v>
      </c>
      <c r="C25" s="25">
        <f ca="1">Retail!W35</f>
        <v>138746.39014871843</v>
      </c>
      <c r="D25" s="65">
        <f t="shared" ca="1" si="0"/>
        <v>14381</v>
      </c>
      <c r="E25" s="94">
        <v>38180</v>
      </c>
      <c r="F25" s="24">
        <f t="shared" ca="1" si="4"/>
        <v>1.6548918712189695</v>
      </c>
      <c r="G25" s="23">
        <f t="shared" ca="1" si="5"/>
        <v>0.27517833047098311</v>
      </c>
      <c r="H25" s="98"/>
      <c r="I25" s="141"/>
      <c r="J25" s="16" t="e">
        <f t="shared" si="11"/>
        <v>#DIV/0!</v>
      </c>
      <c r="K25" s="45">
        <f t="shared" ca="1" si="1"/>
        <v>138746.39014871843</v>
      </c>
      <c r="L25" s="46">
        <f t="shared" si="10"/>
        <v>38180</v>
      </c>
      <c r="M25" s="16">
        <f t="shared" ca="1" si="2"/>
        <v>0.27517833047098311</v>
      </c>
      <c r="N25" s="95"/>
      <c r="O25" s="95"/>
      <c r="P25" s="97"/>
      <c r="Q25" s="95"/>
      <c r="R25" s="115"/>
      <c r="S25" s="142"/>
      <c r="U25" s="58"/>
    </row>
    <row r="26" spans="1:24" ht="16.5" thickBot="1" x14ac:dyDescent="0.3">
      <c r="A26" s="88"/>
      <c r="B26" s="89"/>
      <c r="C26" s="86">
        <f ca="1">SUM(C4:C25)</f>
        <v>3986963.6772764307</v>
      </c>
      <c r="D26" s="86">
        <f ca="1">SUM(D4:D24)</f>
        <v>1641744</v>
      </c>
      <c r="E26" s="86">
        <f>SUM(E3:E25)</f>
        <v>1630753</v>
      </c>
      <c r="F26" s="140">
        <f t="shared" ca="1" si="4"/>
        <v>-6.6947100156906636E-3</v>
      </c>
      <c r="G26" s="78">
        <f t="shared" ref="G26" ca="1" si="12">E26/C26</f>
        <v>0.40902128336268112</v>
      </c>
      <c r="H26" s="86">
        <f ca="1">SUM(H4:H24)</f>
        <v>260157.88783585638</v>
      </c>
      <c r="I26" s="86">
        <f>SUM(I3:I24)</f>
        <v>150449</v>
      </c>
      <c r="J26" s="87">
        <f ca="1">I26/H26</f>
        <v>0.57829882173291647</v>
      </c>
      <c r="K26" s="86">
        <f ca="1">SUM(K4:K25)</f>
        <v>4247121.5651122862</v>
      </c>
      <c r="L26" s="86">
        <f>SUM(L4:L25)</f>
        <v>1781202</v>
      </c>
      <c r="M26" s="87">
        <f t="shared" ca="1" si="2"/>
        <v>0.41939039716488741</v>
      </c>
      <c r="N26" s="92" t="e">
        <f>VLOOKUP(T12,'LFL 2024'!A13:K44,10,0)</f>
        <v>#N/A</v>
      </c>
      <c r="O26" s="92">
        <f t="shared" ref="O26" si="13">E26</f>
        <v>1630753</v>
      </c>
      <c r="P26" s="90" t="e">
        <f t="shared" ref="P26" si="14">O26/N26</f>
        <v>#N/A</v>
      </c>
      <c r="Q26" s="121">
        <f>SUM(Q3:Q23)</f>
        <v>110</v>
      </c>
      <c r="R26" s="122">
        <f>SUM(R3:R23)</f>
        <v>605</v>
      </c>
      <c r="S26" s="123">
        <f>+Q26/R26</f>
        <v>0.18181818181818182</v>
      </c>
      <c r="U26" s="105"/>
    </row>
    <row r="27" spans="1:24" ht="16.5" thickBot="1" x14ac:dyDescent="0.3">
      <c r="A27" s="71"/>
      <c r="B27" s="55"/>
      <c r="C27" s="7"/>
      <c r="D27" s="8"/>
      <c r="E27" s="7"/>
      <c r="F27" s="56"/>
      <c r="G27" s="10"/>
      <c r="H27" s="11"/>
      <c r="I27" s="80"/>
      <c r="J27" s="80"/>
      <c r="K27" s="80"/>
      <c r="L27" s="80"/>
      <c r="M27" s="81"/>
      <c r="N27" s="92"/>
      <c r="O27" s="92"/>
      <c r="P27" s="90"/>
      <c r="Q27" s="124"/>
      <c r="R27" s="124"/>
      <c r="S27" s="125"/>
      <c r="T27" s="105"/>
    </row>
    <row r="28" spans="1:24" ht="15.75" x14ac:dyDescent="0.25">
      <c r="A28" s="71"/>
      <c r="B28" s="5"/>
      <c r="C28" s="37" t="s">
        <v>29</v>
      </c>
      <c r="D28" s="37" t="s">
        <v>30</v>
      </c>
      <c r="E28" s="38" t="s">
        <v>2</v>
      </c>
      <c r="F28" s="39" t="s">
        <v>3</v>
      </c>
      <c r="G28" s="37" t="s">
        <v>31</v>
      </c>
      <c r="H28" s="34" t="s">
        <v>29</v>
      </c>
      <c r="I28" s="2" t="s">
        <v>41</v>
      </c>
      <c r="J28" s="34" t="s">
        <v>4</v>
      </c>
      <c r="K28" s="34" t="s">
        <v>29</v>
      </c>
      <c r="L28" s="2" t="s">
        <v>41</v>
      </c>
      <c r="M28" s="67" t="s">
        <v>4</v>
      </c>
      <c r="N28" s="37" t="s">
        <v>80</v>
      </c>
      <c r="O28" s="37" t="s">
        <v>84</v>
      </c>
      <c r="P28" s="34" t="s">
        <v>83</v>
      </c>
      <c r="Q28" s="34" t="s">
        <v>84</v>
      </c>
      <c r="R28" s="113" t="s">
        <v>80</v>
      </c>
      <c r="S28" s="34" t="s">
        <v>4</v>
      </c>
    </row>
    <row r="29" spans="1:24" ht="15.75" x14ac:dyDescent="0.25">
      <c r="A29" s="69"/>
      <c r="B29" s="4" t="s">
        <v>32</v>
      </c>
      <c r="C29" s="25">
        <f ca="1">+C4+C20+C10+C13+C15+C25</f>
        <v>1191866.5359591332</v>
      </c>
      <c r="D29" s="25">
        <f ca="1">+D4+D20+D10+D13+D15</f>
        <v>429728</v>
      </c>
      <c r="E29" s="25">
        <f>+E4+E20+E10+E13+E15+E25</f>
        <v>504089</v>
      </c>
      <c r="F29" s="24">
        <f ca="1">E29/D29-1</f>
        <v>0.17304201727604429</v>
      </c>
      <c r="G29" s="23">
        <f ca="1">+E29/C29</f>
        <v>0.42294081156859015</v>
      </c>
      <c r="H29" s="25">
        <f ca="1">+H4+H20+H10+H13+H15</f>
        <v>42083.664820070888</v>
      </c>
      <c r="I29" s="25">
        <f t="shared" ref="I29" si="15">+I4+I20+I10+I13+I15</f>
        <v>38242</v>
      </c>
      <c r="J29" s="23">
        <f ca="1">I29/H29</f>
        <v>0.90871363422135498</v>
      </c>
      <c r="K29" s="25">
        <f ca="1">+K4+K20+K10+K13+K15+K25</f>
        <v>1233950.200779204</v>
      </c>
      <c r="L29" s="25">
        <f>+L4+L20+L10+L13+L15+L25</f>
        <v>542331</v>
      </c>
      <c r="M29" s="72">
        <f ca="1">L29/K29</f>
        <v>0.43950801228245157</v>
      </c>
      <c r="N29" s="25" t="e">
        <f>+N4+N20</f>
        <v>#N/A</v>
      </c>
      <c r="O29" s="25">
        <f>+O4+O20+O10+O13+O15</f>
        <v>187382</v>
      </c>
      <c r="P29" s="24" t="e">
        <f t="shared" ref="P29:P32" si="16">O29/N29-1</f>
        <v>#N/A</v>
      </c>
      <c r="Q29" s="25">
        <f>+Q4+Q20+Q10+Q13+Q15</f>
        <v>33</v>
      </c>
      <c r="R29" s="25">
        <f>+R4+R20+R10+R13+R15</f>
        <v>164</v>
      </c>
      <c r="S29" s="117">
        <f t="shared" ref="S29:S32" si="17">Q29/R29*1</f>
        <v>0.20121951219512196</v>
      </c>
    </row>
    <row r="30" spans="1:24" ht="15.75" hidden="1" x14ac:dyDescent="0.25">
      <c r="A30" s="69"/>
      <c r="B30" s="4" t="s">
        <v>33</v>
      </c>
      <c r="C30" s="25">
        <v>0</v>
      </c>
      <c r="D30" s="25">
        <v>0</v>
      </c>
      <c r="E30" s="25"/>
      <c r="F30" s="24" t="e">
        <f>E30/D30-1</f>
        <v>#DIV/0!</v>
      </c>
      <c r="G30" s="23" t="e">
        <f>+E30/C30</f>
        <v>#DIV/0!</v>
      </c>
      <c r="H30" s="25">
        <v>0</v>
      </c>
      <c r="I30" s="25">
        <v>0</v>
      </c>
      <c r="J30" s="23" t="e">
        <f>I30/H30</f>
        <v>#DIV/0!</v>
      </c>
      <c r="K30" s="25">
        <v>0</v>
      </c>
      <c r="L30" s="25">
        <v>0</v>
      </c>
      <c r="M30" s="72" t="e">
        <f t="shared" ref="M30" si="18">L30/K30</f>
        <v>#DIV/0!</v>
      </c>
      <c r="N30" s="25" t="e">
        <f>+N10+N13+N15</f>
        <v>#N/A</v>
      </c>
      <c r="O30" s="25">
        <v>0</v>
      </c>
      <c r="P30" s="24" t="e">
        <f t="shared" si="16"/>
        <v>#N/A</v>
      </c>
      <c r="Q30" s="25">
        <f>+Q9+Q12+Q14</f>
        <v>21</v>
      </c>
      <c r="R30" s="114">
        <f>+R9+R12+R14</f>
        <v>111</v>
      </c>
      <c r="S30" s="117">
        <f t="shared" si="17"/>
        <v>0.1891891891891892</v>
      </c>
    </row>
    <row r="31" spans="1:24" ht="15.75" x14ac:dyDescent="0.25">
      <c r="A31" s="69"/>
      <c r="B31" s="4" t="s">
        <v>75</v>
      </c>
      <c r="C31" s="25">
        <f ca="1">+C11+C9+C12+C6+C14+C21+C22+C24</f>
        <v>1171665.5131689731</v>
      </c>
      <c r="D31" s="25">
        <f ca="1">+D11+D9+D12+D6+D14+D21+D22+D24</f>
        <v>520422</v>
      </c>
      <c r="E31" s="25">
        <f>+E6+E9+E11+E14+E21+E22+E12+E24</f>
        <v>432620</v>
      </c>
      <c r="F31" s="24">
        <f ca="1">E31/D31-1</f>
        <v>-0.16871308284430708</v>
      </c>
      <c r="G31" s="23">
        <f ca="1">+E31/C31</f>
        <v>0.36923507190196625</v>
      </c>
      <c r="H31" s="25">
        <f ca="1">H11+H9+H12+H6+H14+H21+H22+H24</f>
        <v>100564.04266308263</v>
      </c>
      <c r="I31" s="25">
        <f>I11+I9+I12+I6+I14+I21+I22+I24</f>
        <v>29500</v>
      </c>
      <c r="J31" s="23">
        <f ca="1">I31/H31</f>
        <v>0.29334540675570459</v>
      </c>
      <c r="K31" s="25">
        <f ca="1">K11+K9+K12+K6+K14+K21+K22+K24</f>
        <v>1272229.5558320559</v>
      </c>
      <c r="L31" s="25">
        <f>L11+L9+L12+L6+L14+L21+L22+L24</f>
        <v>462120</v>
      </c>
      <c r="M31" s="72">
        <f ca="1">L31/K31</f>
        <v>0.36323633410463185</v>
      </c>
      <c r="N31" s="25" t="e">
        <f>+N11+N9+N12+N6+N14+N21</f>
        <v>#N/A</v>
      </c>
      <c r="O31" s="25">
        <f>+O11+O9+O12+O6+O14+O21</f>
        <v>110669</v>
      </c>
      <c r="P31" s="24" t="e">
        <f t="shared" si="16"/>
        <v>#N/A</v>
      </c>
      <c r="Q31" s="25">
        <f>+Q10+Q8+Q11+Q5+Q13+Q20</f>
        <v>34</v>
      </c>
      <c r="R31" s="114">
        <f>+R10+R8+R11+R5+R13+R20</f>
        <v>182</v>
      </c>
      <c r="S31" s="117">
        <f t="shared" si="17"/>
        <v>0.18681318681318682</v>
      </c>
    </row>
    <row r="32" spans="1:24" ht="15.75" x14ac:dyDescent="0.25">
      <c r="A32" s="69"/>
      <c r="B32" s="4" t="s">
        <v>34</v>
      </c>
      <c r="C32" s="25">
        <f ca="1">+C5+C7+C8+C19+C18+C16+C23</f>
        <v>1623431.6281483243</v>
      </c>
      <c r="D32" s="25">
        <f ca="1">+D5+D7+D8+D19+D18+D16+D23</f>
        <v>691594</v>
      </c>
      <c r="E32" s="25">
        <f>+E5+E7+E8+E16+E17+E18+E19+E23</f>
        <v>694044</v>
      </c>
      <c r="F32" s="24">
        <f ca="1">E32/D32-1</f>
        <v>3.5425408548945825E-3</v>
      </c>
      <c r="G32" s="23">
        <f ca="1">+E32/C32</f>
        <v>0.42751661848033728</v>
      </c>
      <c r="H32" s="25">
        <f ca="1">+H5+H7+H8+H19+H18+H17+H16+H23</f>
        <v>117510.18035270288</v>
      </c>
      <c r="I32" s="25">
        <f t="shared" ref="I32" si="19">+I5+I7+I8+I19+I18+I17+I16+I23</f>
        <v>82707</v>
      </c>
      <c r="J32" s="23">
        <f ca="1">I32/H32</f>
        <v>0.70382838109649482</v>
      </c>
      <c r="K32" s="25">
        <f ca="1">+K5+K7+K8+K19+K18+K17+K16+K23</f>
        <v>1740941.8085010275</v>
      </c>
      <c r="L32" s="25">
        <f>+L5+L7+L8+L19+L18+L17+L16+L23</f>
        <v>776751</v>
      </c>
      <c r="M32" s="72">
        <f ca="1">L32/K32</f>
        <v>0.44616712414344983</v>
      </c>
      <c r="N32" s="25" t="e">
        <f t="shared" ref="N32:O32" si="20">+N5+N7+N8+N19+N18+N17+N16+N23</f>
        <v>#N/A</v>
      </c>
      <c r="O32" s="25">
        <f t="shared" si="20"/>
        <v>324313</v>
      </c>
      <c r="P32" s="24" t="e">
        <f t="shared" si="16"/>
        <v>#N/A</v>
      </c>
      <c r="Q32" s="25">
        <f>+Q4+Q6+Q7+Q18+Q17+Q16+Q15+Q22</f>
        <v>50</v>
      </c>
      <c r="R32" s="25">
        <f>+R4+R6+R7+R18+R17+R16+R15+R22</f>
        <v>263</v>
      </c>
      <c r="S32" s="117">
        <f t="shared" si="17"/>
        <v>0.19011406844106463</v>
      </c>
      <c r="W32" s="57"/>
    </row>
    <row r="33" spans="1:42" ht="16.5" thickBot="1" x14ac:dyDescent="0.3">
      <c r="A33" s="73"/>
      <c r="B33" s="74"/>
      <c r="C33" s="75">
        <f ca="1">SUM(C29:C32)</f>
        <v>3986963.6772764307</v>
      </c>
      <c r="D33" s="75">
        <f ca="1">SUM(D29:D32)</f>
        <v>1641744</v>
      </c>
      <c r="E33" s="75">
        <f t="shared" ref="E33" si="21">SUM(E29:E32)</f>
        <v>1630753</v>
      </c>
      <c r="F33" s="77">
        <f ca="1">E33/D33-1</f>
        <v>-6.6947100156906636E-3</v>
      </c>
      <c r="G33" s="78">
        <f ca="1">+E33/C33</f>
        <v>0.40902128336268112</v>
      </c>
      <c r="H33" s="75">
        <f ca="1">SUM(H29:H32)</f>
        <v>260157.88783585638</v>
      </c>
      <c r="I33" s="75">
        <f t="shared" ref="I33" si="22">SUM(I29:I32)</f>
        <v>150449</v>
      </c>
      <c r="J33" s="78">
        <f ca="1">I33/H33</f>
        <v>0.57829882173291647</v>
      </c>
      <c r="K33" s="75">
        <f ca="1">SUM(K29:K32)</f>
        <v>4247121.5651122872</v>
      </c>
      <c r="L33" s="75">
        <f>SUM(L29:L32)</f>
        <v>1781202</v>
      </c>
      <c r="M33" s="77">
        <f ca="1">L33/K33</f>
        <v>0.41939039716488735</v>
      </c>
      <c r="N33" s="75" t="e">
        <f t="shared" ref="N33:P33" si="23">SUM(N4:N23)</f>
        <v>#N/A</v>
      </c>
      <c r="O33" s="75">
        <f>SUM(O29:O32)</f>
        <v>622364</v>
      </c>
      <c r="P33" s="75" t="e">
        <f t="shared" si="23"/>
        <v>#N/A</v>
      </c>
      <c r="Q33" s="76">
        <f>SUM(Q29:Q32)</f>
        <v>138</v>
      </c>
      <c r="R33" s="119">
        <f>SUM(R29:R32)</f>
        <v>720</v>
      </c>
      <c r="S33" s="118">
        <f>+Q33/R33</f>
        <v>0.19166666666666668</v>
      </c>
    </row>
    <row r="36" spans="1:42" ht="15.75" x14ac:dyDescent="0.25">
      <c r="A36" s="43" t="s">
        <v>0</v>
      </c>
      <c r="B36" s="43" t="s">
        <v>1</v>
      </c>
      <c r="C36" s="53">
        <v>46259</v>
      </c>
      <c r="D36" s="53">
        <f t="shared" ref="D36" si="24">C36+1</f>
        <v>46260</v>
      </c>
      <c r="E36" s="53">
        <f t="shared" ref="E36" si="25">D36+1</f>
        <v>46261</v>
      </c>
      <c r="F36" s="53">
        <f t="shared" ref="F36" si="26">E36+1</f>
        <v>46262</v>
      </c>
      <c r="G36" s="53">
        <f>F36+1</f>
        <v>46263</v>
      </c>
      <c r="H36" s="53">
        <f>G36+1</f>
        <v>46264</v>
      </c>
      <c r="I36" s="53">
        <f t="shared" ref="I36" si="27">H36+1</f>
        <v>46265</v>
      </c>
      <c r="J36" s="53">
        <f t="shared" ref="J36" si="28">I36+1</f>
        <v>46266</v>
      </c>
      <c r="K36" s="53">
        <f t="shared" ref="K36" si="29">J36+1</f>
        <v>46267</v>
      </c>
      <c r="L36" s="53">
        <f t="shared" ref="L36" si="30">K36+1</f>
        <v>46268</v>
      </c>
      <c r="M36" s="53">
        <f t="shared" ref="M36" si="31">L36+1</f>
        <v>46269</v>
      </c>
      <c r="N36" s="53">
        <f t="shared" ref="N36" si="32">M36+1</f>
        <v>46270</v>
      </c>
      <c r="O36" s="53">
        <f t="shared" ref="O36" si="33">N36+1</f>
        <v>46271</v>
      </c>
      <c r="P36" s="53">
        <f t="shared" ref="P36" si="34">O36+1</f>
        <v>46272</v>
      </c>
      <c r="Q36" s="53">
        <f t="shared" ref="Q36" si="35">P36+1</f>
        <v>46273</v>
      </c>
      <c r="R36" s="53">
        <f t="shared" ref="R36" si="36">Q36+1</f>
        <v>46274</v>
      </c>
      <c r="S36" s="53">
        <f t="shared" ref="S36" si="37">R36+1</f>
        <v>46275</v>
      </c>
      <c r="T36" s="53">
        <f t="shared" ref="T36" si="38">S36+1</f>
        <v>46276</v>
      </c>
      <c r="U36" s="53">
        <f t="shared" ref="U36" si="39">T36+1</f>
        <v>46277</v>
      </c>
      <c r="V36" s="53">
        <f t="shared" ref="V36" si="40">U36+1</f>
        <v>46278</v>
      </c>
      <c r="W36" s="53">
        <f t="shared" ref="W36" si="41">V36+1</f>
        <v>46279</v>
      </c>
      <c r="X36" s="53">
        <f t="shared" ref="X36" si="42">W36+1</f>
        <v>46280</v>
      </c>
      <c r="Y36" s="53">
        <f t="shared" ref="Y36" si="43">X36+1</f>
        <v>46281</v>
      </c>
      <c r="Z36" s="53">
        <f t="shared" ref="Z36" si="44">Y36+1</f>
        <v>46282</v>
      </c>
      <c r="AA36" s="53">
        <f t="shared" ref="AA36" si="45">Z36+1</f>
        <v>46283</v>
      </c>
      <c r="AB36" s="53">
        <f t="shared" ref="AB36" si="46">AA36+1</f>
        <v>46284</v>
      </c>
      <c r="AC36" s="53">
        <f t="shared" ref="AC36" si="47">AB36+1</f>
        <v>46285</v>
      </c>
      <c r="AD36" s="53">
        <f t="shared" ref="AD36" si="48">AC36+1</f>
        <v>46286</v>
      </c>
      <c r="AE36" s="53">
        <f>AD36+1</f>
        <v>46287</v>
      </c>
      <c r="AF36" s="53">
        <f t="shared" ref="AF36" si="49">AE36+1</f>
        <v>46288</v>
      </c>
      <c r="AG36" s="53">
        <f t="shared" ref="AG36" si="50">AF36+1</f>
        <v>46289</v>
      </c>
      <c r="AH36" s="53">
        <f t="shared" ref="AH36" si="51">AG36+1</f>
        <v>46290</v>
      </c>
      <c r="AI36" s="53">
        <f t="shared" ref="AI36" si="52">AH36+1</f>
        <v>46291</v>
      </c>
      <c r="AJ36" s="53">
        <f t="shared" ref="AJ36" si="53">AI36+1</f>
        <v>46292</v>
      </c>
      <c r="AK36" s="53">
        <f t="shared" ref="AK36" si="54">AJ36+1</f>
        <v>46293</v>
      </c>
      <c r="AL36" s="53">
        <f t="shared" ref="AL36" si="55">AK36+1</f>
        <v>46294</v>
      </c>
      <c r="AM36" s="53">
        <f t="shared" ref="AM36" si="56">AL36+1</f>
        <v>46295</v>
      </c>
      <c r="AN36" s="53">
        <f t="shared" ref="AN36" si="57">AM36+1</f>
        <v>46296</v>
      </c>
      <c r="AO36" s="53">
        <f t="shared" ref="AO36" si="58">AN36+1</f>
        <v>46297</v>
      </c>
      <c r="AP36" s="53">
        <f t="shared" ref="AP36" si="59">AO36+1</f>
        <v>46298</v>
      </c>
    </row>
    <row r="37" spans="1:42" ht="15.75" x14ac:dyDescent="0.25">
      <c r="A37" s="4" t="s">
        <v>5</v>
      </c>
      <c r="B37" s="4" t="s">
        <v>6</v>
      </c>
      <c r="C37" s="4">
        <v>137270</v>
      </c>
      <c r="D37" s="4">
        <v>189419</v>
      </c>
      <c r="E37" s="4">
        <v>212559</v>
      </c>
      <c r="F37" s="4">
        <v>198820</v>
      </c>
      <c r="G37" s="4">
        <v>276544</v>
      </c>
      <c r="H37" s="4">
        <v>326183</v>
      </c>
      <c r="I37" s="4">
        <v>128034</v>
      </c>
      <c r="J37" s="4">
        <v>94857</v>
      </c>
      <c r="K37" s="4">
        <v>71171</v>
      </c>
      <c r="L37" s="4">
        <v>133567</v>
      </c>
      <c r="M37" s="4">
        <v>134103</v>
      </c>
      <c r="N37" s="4">
        <v>209901</v>
      </c>
      <c r="O37" s="4"/>
      <c r="P37" s="4">
        <v>57731</v>
      </c>
      <c r="Q37" s="4">
        <v>65166</v>
      </c>
      <c r="R37" s="4">
        <v>122525</v>
      </c>
      <c r="S37" s="4">
        <v>116126</v>
      </c>
      <c r="T37" s="4">
        <v>152761</v>
      </c>
      <c r="U37" s="4">
        <v>233248</v>
      </c>
      <c r="V37" s="4">
        <v>224781</v>
      </c>
      <c r="W37" s="4">
        <v>149831</v>
      </c>
      <c r="X37" s="4">
        <v>102569</v>
      </c>
      <c r="Y37" s="4">
        <v>102569</v>
      </c>
      <c r="Z37" s="4">
        <v>100583</v>
      </c>
      <c r="AA37" s="4">
        <v>294381</v>
      </c>
      <c r="AB37" s="4">
        <v>215948</v>
      </c>
      <c r="AC37" s="4">
        <v>296414</v>
      </c>
      <c r="AD37" s="4">
        <v>107605</v>
      </c>
      <c r="AE37" s="4">
        <v>79076</v>
      </c>
      <c r="AF37" s="4">
        <v>97344</v>
      </c>
      <c r="AG37" s="4">
        <v>144787</v>
      </c>
      <c r="AH37" s="4">
        <v>108402</v>
      </c>
      <c r="AI37" s="4">
        <v>282604</v>
      </c>
      <c r="AJ37" s="4"/>
      <c r="AK37" s="4"/>
      <c r="AL37" s="4"/>
      <c r="AM37" s="4"/>
      <c r="AN37" s="4"/>
      <c r="AO37" s="65"/>
      <c r="AP37" s="65"/>
    </row>
    <row r="38" spans="1:42" ht="15.75" x14ac:dyDescent="0.25">
      <c r="A38" s="4" t="s">
        <v>7</v>
      </c>
      <c r="B38" s="4" t="s">
        <v>8</v>
      </c>
      <c r="C38" s="4">
        <v>39699</v>
      </c>
      <c r="D38" s="4">
        <v>125114</v>
      </c>
      <c r="E38" s="4">
        <v>111226</v>
      </c>
      <c r="F38" s="4">
        <v>83127</v>
      </c>
      <c r="G38" s="4">
        <v>62006</v>
      </c>
      <c r="H38" s="4">
        <v>72310</v>
      </c>
      <c r="I38" s="4">
        <v>24717</v>
      </c>
      <c r="J38" s="4">
        <v>73926</v>
      </c>
      <c r="K38" s="4">
        <v>43484</v>
      </c>
      <c r="L38" s="4">
        <v>36303</v>
      </c>
      <c r="M38" s="4"/>
      <c r="N38" s="4">
        <v>48586</v>
      </c>
      <c r="O38" s="4"/>
      <c r="P38" s="4">
        <v>43789</v>
      </c>
      <c r="Q38" s="4">
        <v>23415</v>
      </c>
      <c r="R38" s="4">
        <v>32683</v>
      </c>
      <c r="S38" s="4">
        <v>14029</v>
      </c>
      <c r="T38" s="4"/>
      <c r="U38" s="4">
        <v>46905</v>
      </c>
      <c r="V38" s="4">
        <v>123720</v>
      </c>
      <c r="W38" s="4">
        <v>47374</v>
      </c>
      <c r="X38" s="4">
        <v>33134</v>
      </c>
      <c r="Y38" s="4">
        <v>33134</v>
      </c>
      <c r="Z38" s="4">
        <v>49455</v>
      </c>
      <c r="AA38" s="4">
        <v>35366</v>
      </c>
      <c r="AB38" s="4">
        <v>55406</v>
      </c>
      <c r="AC38" s="4">
        <v>78901</v>
      </c>
      <c r="AD38" s="4">
        <v>54880</v>
      </c>
      <c r="AE38" s="4">
        <v>66459</v>
      </c>
      <c r="AF38" s="4">
        <v>38070</v>
      </c>
      <c r="AG38" s="4">
        <v>18172</v>
      </c>
      <c r="AH38" s="4">
        <v>57101</v>
      </c>
      <c r="AI38" s="4">
        <v>89519</v>
      </c>
      <c r="AJ38" s="4"/>
      <c r="AK38" s="4"/>
      <c r="AL38" s="4"/>
      <c r="AM38" s="4"/>
      <c r="AN38" s="4"/>
      <c r="AO38" s="65"/>
      <c r="AP38" s="65"/>
    </row>
    <row r="39" spans="1:42" ht="15.75" x14ac:dyDescent="0.25">
      <c r="A39" s="4" t="s">
        <v>9</v>
      </c>
      <c r="B39" s="4" t="s">
        <v>10</v>
      </c>
      <c r="C39" s="4">
        <v>15499</v>
      </c>
      <c r="D39" s="4">
        <v>9976</v>
      </c>
      <c r="E39" s="4">
        <v>40984</v>
      </c>
      <c r="F39" s="4">
        <v>27410</v>
      </c>
      <c r="G39" s="4">
        <v>11813</v>
      </c>
      <c r="H39" s="4">
        <v>43713</v>
      </c>
      <c r="I39" s="4">
        <v>8086</v>
      </c>
      <c r="J39" s="4">
        <v>9645</v>
      </c>
      <c r="K39" s="4">
        <v>3269</v>
      </c>
      <c r="L39" s="4">
        <v>999</v>
      </c>
      <c r="M39" s="4">
        <v>23435</v>
      </c>
      <c r="N39" s="4">
        <v>30119</v>
      </c>
      <c r="O39" s="4"/>
      <c r="P39" s="4">
        <v>3897</v>
      </c>
      <c r="Q39" s="4">
        <v>999</v>
      </c>
      <c r="R39" s="4">
        <v>3507</v>
      </c>
      <c r="S39" s="4">
        <v>4642</v>
      </c>
      <c r="T39" s="4">
        <v>2682</v>
      </c>
      <c r="U39" s="4">
        <v>10040</v>
      </c>
      <c r="V39" s="4">
        <v>14500</v>
      </c>
      <c r="W39" s="4">
        <v>7346</v>
      </c>
      <c r="X39" s="4">
        <v>6996</v>
      </c>
      <c r="Y39" s="4">
        <v>6996</v>
      </c>
      <c r="Z39" s="4">
        <v>10195</v>
      </c>
      <c r="AA39" s="4">
        <v>7897</v>
      </c>
      <c r="AB39" s="4">
        <v>20821</v>
      </c>
      <c r="AC39" s="4">
        <v>38071</v>
      </c>
      <c r="AD39" s="4">
        <v>0</v>
      </c>
      <c r="AE39" s="4">
        <v>0</v>
      </c>
      <c r="AF39" s="4">
        <v>5904</v>
      </c>
      <c r="AG39" s="4">
        <v>11851</v>
      </c>
      <c r="AH39" s="4">
        <v>7251</v>
      </c>
      <c r="AI39" s="4">
        <v>34140</v>
      </c>
      <c r="AJ39" s="4"/>
      <c r="AK39" s="4"/>
      <c r="AL39" s="4"/>
      <c r="AM39" s="4"/>
      <c r="AN39" s="4"/>
      <c r="AO39" s="65"/>
      <c r="AP39" s="65"/>
    </row>
    <row r="40" spans="1:42" ht="15.75" x14ac:dyDescent="0.25">
      <c r="A40" s="4" t="s">
        <v>11</v>
      </c>
      <c r="B40" s="4" t="s">
        <v>12</v>
      </c>
      <c r="C40" s="4">
        <v>105679</v>
      </c>
      <c r="D40" s="4">
        <v>230329</v>
      </c>
      <c r="E40" s="4">
        <v>193769</v>
      </c>
      <c r="F40" s="4">
        <v>210589</v>
      </c>
      <c r="G40" s="4">
        <v>240659</v>
      </c>
      <c r="H40" s="4">
        <v>279799</v>
      </c>
      <c r="I40" s="4">
        <v>99587</v>
      </c>
      <c r="J40" s="4">
        <v>53479</v>
      </c>
      <c r="K40" s="4">
        <v>34523</v>
      </c>
      <c r="L40" s="4">
        <v>77393</v>
      </c>
      <c r="M40" s="4">
        <v>95400</v>
      </c>
      <c r="N40" s="4">
        <v>299840</v>
      </c>
      <c r="O40" s="4"/>
      <c r="P40" s="4"/>
      <c r="Q40" s="4">
        <v>58238</v>
      </c>
      <c r="R40" s="4">
        <v>76021</v>
      </c>
      <c r="S40" s="4">
        <v>119379</v>
      </c>
      <c r="T40" s="4">
        <v>86564</v>
      </c>
      <c r="U40" s="4">
        <v>95240</v>
      </c>
      <c r="V40" s="4">
        <v>158899</v>
      </c>
      <c r="W40" s="4">
        <v>97087</v>
      </c>
      <c r="X40" s="4">
        <v>114372</v>
      </c>
      <c r="Y40" s="4">
        <v>114372</v>
      </c>
      <c r="Z40" s="4">
        <v>76164</v>
      </c>
      <c r="AA40" s="4">
        <v>50939</v>
      </c>
      <c r="AB40" s="4">
        <v>244035</v>
      </c>
      <c r="AC40" s="4">
        <v>209321</v>
      </c>
      <c r="AD40" s="4"/>
      <c r="AE40" s="4">
        <v>82091</v>
      </c>
      <c r="AF40" s="4">
        <v>97917</v>
      </c>
      <c r="AG40" s="4">
        <v>88237</v>
      </c>
      <c r="AH40" s="4">
        <v>125978</v>
      </c>
      <c r="AI40" s="4">
        <v>221767</v>
      </c>
      <c r="AJ40" s="4"/>
      <c r="AK40" s="4"/>
      <c r="AL40" s="4"/>
      <c r="AM40" s="4"/>
      <c r="AN40" s="4"/>
      <c r="AO40" s="65"/>
      <c r="AP40" s="65"/>
    </row>
    <row r="41" spans="1:42" ht="15.75" x14ac:dyDescent="0.25">
      <c r="A41" s="4" t="s">
        <v>13</v>
      </c>
      <c r="B41" s="4" t="s">
        <v>14</v>
      </c>
      <c r="C41" s="4">
        <v>39658</v>
      </c>
      <c r="D41" s="4">
        <v>81361</v>
      </c>
      <c r="E41" s="4">
        <v>77409</v>
      </c>
      <c r="F41" s="4">
        <v>83854</v>
      </c>
      <c r="G41" s="4">
        <v>48031</v>
      </c>
      <c r="H41" s="4">
        <v>59704</v>
      </c>
      <c r="I41" s="4">
        <v>10864</v>
      </c>
      <c r="J41" s="4"/>
      <c r="K41" s="4">
        <v>48953</v>
      </c>
      <c r="L41" s="4">
        <v>31197</v>
      </c>
      <c r="M41" s="4">
        <v>8597</v>
      </c>
      <c r="N41" s="4">
        <v>90557</v>
      </c>
      <c r="O41" s="4"/>
      <c r="P41" s="4">
        <v>7075</v>
      </c>
      <c r="Q41" s="4">
        <v>12336</v>
      </c>
      <c r="R41" s="4">
        <v>53293</v>
      </c>
      <c r="S41" s="4">
        <v>26507</v>
      </c>
      <c r="T41" s="4">
        <v>60102</v>
      </c>
      <c r="U41" s="4">
        <v>157930</v>
      </c>
      <c r="V41" s="4">
        <v>71664</v>
      </c>
      <c r="W41" s="4">
        <v>22114</v>
      </c>
      <c r="X41" s="4">
        <v>28601</v>
      </c>
      <c r="Y41" s="4">
        <v>28601</v>
      </c>
      <c r="Z41" s="4">
        <v>31667</v>
      </c>
      <c r="AA41" s="4">
        <v>25234</v>
      </c>
      <c r="AB41" s="4">
        <v>93862</v>
      </c>
      <c r="AC41" s="4">
        <v>99460</v>
      </c>
      <c r="AD41" s="4">
        <v>25745</v>
      </c>
      <c r="AE41" s="4">
        <v>59283</v>
      </c>
      <c r="AF41" s="4">
        <v>38475</v>
      </c>
      <c r="AG41" s="4">
        <v>50523</v>
      </c>
      <c r="AH41" s="4">
        <v>39799</v>
      </c>
      <c r="AI41" s="4">
        <v>76215</v>
      </c>
      <c r="AJ41" s="4"/>
      <c r="AK41" s="4"/>
      <c r="AL41" s="4"/>
      <c r="AM41" s="4"/>
      <c r="AN41" s="4"/>
      <c r="AO41" s="65"/>
      <c r="AP41" s="65"/>
    </row>
    <row r="42" spans="1:42" ht="15.75" x14ac:dyDescent="0.25">
      <c r="A42" s="4" t="s">
        <v>15</v>
      </c>
      <c r="B42" s="4" t="s">
        <v>16</v>
      </c>
      <c r="C42" s="4">
        <v>101463</v>
      </c>
      <c r="D42" s="4">
        <v>236449</v>
      </c>
      <c r="E42" s="4">
        <v>275663</v>
      </c>
      <c r="F42" s="4">
        <v>245777</v>
      </c>
      <c r="G42" s="4">
        <v>360195</v>
      </c>
      <c r="H42" s="4">
        <v>594692</v>
      </c>
      <c r="I42" s="4">
        <v>65667</v>
      </c>
      <c r="J42" s="4">
        <v>41971</v>
      </c>
      <c r="K42" s="4">
        <v>64361</v>
      </c>
      <c r="L42" s="4">
        <v>103370</v>
      </c>
      <c r="M42" s="4">
        <v>126887</v>
      </c>
      <c r="N42" s="4">
        <v>153987</v>
      </c>
      <c r="O42" s="4"/>
      <c r="P42" s="4">
        <v>57998</v>
      </c>
      <c r="Q42" s="4">
        <v>64057</v>
      </c>
      <c r="R42" s="4">
        <v>56438</v>
      </c>
      <c r="S42" s="4">
        <v>24930</v>
      </c>
      <c r="T42" s="4">
        <v>98630</v>
      </c>
      <c r="U42" s="4">
        <v>195835</v>
      </c>
      <c r="V42" s="4">
        <v>199286</v>
      </c>
      <c r="W42" s="4">
        <v>85938</v>
      </c>
      <c r="X42" s="4">
        <v>112826</v>
      </c>
      <c r="Y42" s="4"/>
      <c r="Z42" s="4">
        <v>71976</v>
      </c>
      <c r="AA42" s="4">
        <v>149226</v>
      </c>
      <c r="AB42" s="4">
        <v>290337</v>
      </c>
      <c r="AC42" s="4">
        <v>211367</v>
      </c>
      <c r="AD42" s="4">
        <v>71186</v>
      </c>
      <c r="AE42" s="4">
        <v>107304</v>
      </c>
      <c r="AF42" s="4">
        <v>143804</v>
      </c>
      <c r="AG42" s="4">
        <v>122824</v>
      </c>
      <c r="AH42" s="4">
        <v>122672</v>
      </c>
      <c r="AI42" s="4">
        <v>165757</v>
      </c>
      <c r="AJ42" s="4"/>
      <c r="AK42" s="4"/>
      <c r="AL42" s="4"/>
      <c r="AM42" s="4"/>
      <c r="AN42" s="4"/>
      <c r="AO42" s="65"/>
      <c r="AP42" s="65"/>
    </row>
    <row r="43" spans="1:42" ht="15.75" x14ac:dyDescent="0.25">
      <c r="A43" s="4" t="s">
        <v>17</v>
      </c>
      <c r="B43" s="4" t="s">
        <v>18</v>
      </c>
      <c r="C43" s="4">
        <v>69785</v>
      </c>
      <c r="D43" s="4">
        <v>71578</v>
      </c>
      <c r="E43" s="4">
        <v>121190</v>
      </c>
      <c r="F43" s="4">
        <v>78328</v>
      </c>
      <c r="G43" s="4">
        <v>112339</v>
      </c>
      <c r="H43" s="4">
        <v>61112</v>
      </c>
      <c r="I43" s="4">
        <v>25698</v>
      </c>
      <c r="J43" s="4">
        <v>16683</v>
      </c>
      <c r="K43" s="4">
        <v>48322</v>
      </c>
      <c r="L43" s="4">
        <v>32686</v>
      </c>
      <c r="M43" s="4"/>
      <c r="N43" s="4">
        <v>59471</v>
      </c>
      <c r="O43" s="4"/>
      <c r="P43" s="4">
        <v>44658</v>
      </c>
      <c r="Q43" s="4">
        <v>19345</v>
      </c>
      <c r="R43" s="4">
        <v>41358</v>
      </c>
      <c r="S43" s="4">
        <v>41437</v>
      </c>
      <c r="T43" s="4">
        <v>36352</v>
      </c>
      <c r="U43" s="4">
        <v>63241</v>
      </c>
      <c r="V43" s="4">
        <v>39010</v>
      </c>
      <c r="W43" s="4">
        <v>15243</v>
      </c>
      <c r="X43" s="4">
        <v>13223</v>
      </c>
      <c r="Y43" s="4">
        <v>13223</v>
      </c>
      <c r="Z43" s="4">
        <v>23548</v>
      </c>
      <c r="AA43" s="4">
        <v>5198</v>
      </c>
      <c r="AB43" s="4">
        <v>84325</v>
      </c>
      <c r="AC43" s="4">
        <v>95542</v>
      </c>
      <c r="AD43" s="4">
        <v>30590</v>
      </c>
      <c r="AE43" s="4">
        <v>23687</v>
      </c>
      <c r="AF43" s="4">
        <v>37450</v>
      </c>
      <c r="AG43" s="4">
        <v>29322</v>
      </c>
      <c r="AH43" s="4">
        <v>17836</v>
      </c>
      <c r="AI43" s="4">
        <v>56762</v>
      </c>
      <c r="AJ43" s="4"/>
      <c r="AK43" s="4"/>
      <c r="AL43" s="4"/>
      <c r="AM43" s="4"/>
      <c r="AN43" s="4"/>
      <c r="AO43" s="65"/>
      <c r="AP43" s="65"/>
    </row>
    <row r="44" spans="1:42" ht="15.75" x14ac:dyDescent="0.25">
      <c r="A44" s="4" t="s">
        <v>19</v>
      </c>
      <c r="B44" s="4" t="s">
        <v>20</v>
      </c>
      <c r="C44" s="4">
        <v>31080</v>
      </c>
      <c r="D44" s="4">
        <v>65169</v>
      </c>
      <c r="E44" s="4">
        <v>89080</v>
      </c>
      <c r="F44" s="4">
        <v>58580</v>
      </c>
      <c r="G44" s="4">
        <v>55080</v>
      </c>
      <c r="H44" s="4">
        <v>53967</v>
      </c>
      <c r="I44" s="4">
        <v>14680</v>
      </c>
      <c r="J44" s="4">
        <v>30480</v>
      </c>
      <c r="K44" s="4">
        <v>7303</v>
      </c>
      <c r="L44" s="4">
        <v>24280</v>
      </c>
      <c r="M44" s="4">
        <v>50180</v>
      </c>
      <c r="N44" s="4">
        <v>62680</v>
      </c>
      <c r="O44" s="4"/>
      <c r="P44" s="4">
        <v>13080</v>
      </c>
      <c r="Q44" s="4">
        <v>18617</v>
      </c>
      <c r="R44" s="4">
        <v>52080</v>
      </c>
      <c r="S44" s="4">
        <v>25580</v>
      </c>
      <c r="T44" s="4">
        <v>24280</v>
      </c>
      <c r="U44" s="4">
        <v>42980</v>
      </c>
      <c r="V44" s="4">
        <v>94180</v>
      </c>
      <c r="W44" s="4">
        <v>8095</v>
      </c>
      <c r="X44" s="4">
        <v>18356</v>
      </c>
      <c r="Y44" s="4">
        <v>18356</v>
      </c>
      <c r="Z44" s="4">
        <v>9526</v>
      </c>
      <c r="AA44" s="4">
        <v>26049</v>
      </c>
      <c r="AB44" s="4">
        <v>52628</v>
      </c>
      <c r="AC44" s="4">
        <v>47197</v>
      </c>
      <c r="AD44" s="4">
        <v>26737</v>
      </c>
      <c r="AE44" s="4">
        <v>30647</v>
      </c>
      <c r="AF44" s="4">
        <v>17473</v>
      </c>
      <c r="AG44" s="4">
        <v>31074</v>
      </c>
      <c r="AH44" s="4">
        <v>35116</v>
      </c>
      <c r="AI44" s="4">
        <v>60455</v>
      </c>
      <c r="AJ44" s="4"/>
      <c r="AK44" s="4"/>
      <c r="AL44" s="4"/>
      <c r="AM44" s="4"/>
      <c r="AN44" s="4"/>
      <c r="AO44" s="65"/>
      <c r="AP44" s="65"/>
    </row>
    <row r="45" spans="1:42" ht="15.75" x14ac:dyDescent="0.25">
      <c r="A45" s="4" t="s">
        <v>21</v>
      </c>
      <c r="B45" s="4" t="s">
        <v>22</v>
      </c>
      <c r="C45" s="4">
        <v>0</v>
      </c>
      <c r="D45" s="4">
        <v>40652</v>
      </c>
      <c r="E45" s="4">
        <v>32374</v>
      </c>
      <c r="F45" s="4">
        <v>39550</v>
      </c>
      <c r="G45" s="4">
        <v>38752</v>
      </c>
      <c r="H45" s="4">
        <v>49013</v>
      </c>
      <c r="I45" s="4">
        <v>4377</v>
      </c>
      <c r="J45" s="4">
        <v>6274</v>
      </c>
      <c r="K45" s="4">
        <v>5505</v>
      </c>
      <c r="L45" s="4">
        <v>18687</v>
      </c>
      <c r="M45" s="4">
        <v>28238</v>
      </c>
      <c r="N45" s="4">
        <v>45569</v>
      </c>
      <c r="O45" s="4"/>
      <c r="P45" s="4"/>
      <c r="Q45" s="4">
        <v>2296</v>
      </c>
      <c r="R45" s="4">
        <v>4436</v>
      </c>
      <c r="S45" s="4">
        <v>20962</v>
      </c>
      <c r="T45" s="4">
        <v>18764</v>
      </c>
      <c r="U45" s="4">
        <v>25447</v>
      </c>
      <c r="V45" s="4">
        <v>13549</v>
      </c>
      <c r="W45" s="4">
        <v>2175</v>
      </c>
      <c r="X45" s="4">
        <v>6353</v>
      </c>
      <c r="Y45" s="4">
        <v>6353</v>
      </c>
      <c r="Z45" s="4">
        <v>5562</v>
      </c>
      <c r="AA45" s="4">
        <v>14698</v>
      </c>
      <c r="AB45" s="4">
        <v>48671</v>
      </c>
      <c r="AC45" s="4">
        <v>38441</v>
      </c>
      <c r="AD45" s="4">
        <v>14494</v>
      </c>
      <c r="AE45" s="4">
        <v>11342</v>
      </c>
      <c r="AF45" s="4">
        <v>13647</v>
      </c>
      <c r="AG45" s="4">
        <v>18699</v>
      </c>
      <c r="AH45" s="4">
        <v>19795</v>
      </c>
      <c r="AI45" s="4">
        <v>65881</v>
      </c>
      <c r="AJ45" s="4"/>
      <c r="AK45" s="4"/>
      <c r="AL45" s="4"/>
      <c r="AM45" s="4"/>
      <c r="AN45" s="4"/>
      <c r="AO45" s="65"/>
      <c r="AP45" s="65"/>
    </row>
    <row r="46" spans="1:42" ht="15.75" x14ac:dyDescent="0.25">
      <c r="A46" s="4" t="s">
        <v>23</v>
      </c>
      <c r="B46" s="4" t="s">
        <v>24</v>
      </c>
      <c r="C46" s="4">
        <v>14655</v>
      </c>
      <c r="D46" s="4">
        <v>40005</v>
      </c>
      <c r="E46" s="4">
        <v>60098</v>
      </c>
      <c r="F46" s="4">
        <v>39382</v>
      </c>
      <c r="G46" s="4">
        <v>100468</v>
      </c>
      <c r="H46" s="4">
        <v>23427</v>
      </c>
      <c r="I46" s="4">
        <v>12062</v>
      </c>
      <c r="J46" s="4">
        <v>25788</v>
      </c>
      <c r="K46" s="4">
        <v>12302</v>
      </c>
      <c r="L46" s="4">
        <v>10807</v>
      </c>
      <c r="M46" s="4">
        <v>16008</v>
      </c>
      <c r="N46" s="4">
        <v>24527</v>
      </c>
      <c r="O46" s="4"/>
      <c r="P46" s="4">
        <v>9867</v>
      </c>
      <c r="Q46" s="4">
        <v>15245</v>
      </c>
      <c r="R46" s="4">
        <v>43085</v>
      </c>
      <c r="S46" s="4">
        <v>10983</v>
      </c>
      <c r="T46" s="4">
        <v>21490</v>
      </c>
      <c r="U46" s="4">
        <v>14281</v>
      </c>
      <c r="V46" s="4">
        <v>47728</v>
      </c>
      <c r="W46" s="4">
        <v>7920</v>
      </c>
      <c r="X46" s="4">
        <v>7756</v>
      </c>
      <c r="Y46" s="4">
        <v>7756</v>
      </c>
      <c r="Z46" s="4">
        <v>23310</v>
      </c>
      <c r="AA46" s="4">
        <v>29299</v>
      </c>
      <c r="AB46" s="4">
        <v>26042</v>
      </c>
      <c r="AC46" s="4">
        <v>41811</v>
      </c>
      <c r="AD46" s="4">
        <v>7160</v>
      </c>
      <c r="AE46" s="4">
        <v>16267</v>
      </c>
      <c r="AF46" s="4">
        <v>18896</v>
      </c>
      <c r="AG46" s="4">
        <v>12012</v>
      </c>
      <c r="AH46" s="4">
        <v>38379</v>
      </c>
      <c r="AI46" s="4">
        <v>40669</v>
      </c>
      <c r="AJ46" s="4"/>
      <c r="AK46" s="4"/>
      <c r="AL46" s="4"/>
      <c r="AM46" s="4"/>
      <c r="AN46" s="4"/>
      <c r="AO46" s="65"/>
      <c r="AP46" s="65"/>
    </row>
    <row r="47" spans="1:42" ht="15.75" hidden="1" x14ac:dyDescent="0.25">
      <c r="A47" s="4" t="s">
        <v>25</v>
      </c>
      <c r="B47" s="4" t="s">
        <v>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1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65"/>
      <c r="AP47" s="25"/>
    </row>
    <row r="48" spans="1:42" ht="15.75" x14ac:dyDescent="0.25">
      <c r="A48" s="4" t="s">
        <v>27</v>
      </c>
      <c r="B48" s="4" t="s">
        <v>28</v>
      </c>
      <c r="C48" s="4">
        <v>13960</v>
      </c>
      <c r="D48" s="4">
        <v>35393</v>
      </c>
      <c r="E48" s="4">
        <v>29217</v>
      </c>
      <c r="F48" s="4">
        <v>18510</v>
      </c>
      <c r="G48" s="4">
        <v>7232</v>
      </c>
      <c r="H48" s="4">
        <v>12302</v>
      </c>
      <c r="I48" s="4">
        <v>0</v>
      </c>
      <c r="J48" s="4">
        <v>6159</v>
      </c>
      <c r="K48" s="4">
        <v>9963</v>
      </c>
      <c r="L48" s="4">
        <v>4239</v>
      </c>
      <c r="M48" s="4">
        <v>12714</v>
      </c>
      <c r="N48" s="4"/>
      <c r="O48" s="4"/>
      <c r="P48" s="4">
        <v>5574</v>
      </c>
      <c r="Q48" s="4">
        <v>9338</v>
      </c>
      <c r="R48" s="4">
        <v>6572</v>
      </c>
      <c r="S48" s="4">
        <v>2029</v>
      </c>
      <c r="T48" s="4">
        <v>15542</v>
      </c>
      <c r="U48" s="4">
        <v>28093</v>
      </c>
      <c r="V48" s="4">
        <v>25849</v>
      </c>
      <c r="W48" s="4">
        <v>2197</v>
      </c>
      <c r="X48" s="4">
        <v>5057</v>
      </c>
      <c r="Y48" s="4">
        <v>5057</v>
      </c>
      <c r="Z48" s="4">
        <v>4195</v>
      </c>
      <c r="AA48" s="4">
        <v>8389</v>
      </c>
      <c r="AB48" s="4">
        <v>20000</v>
      </c>
      <c r="AC48" s="4">
        <v>15377</v>
      </c>
      <c r="AD48" s="4">
        <v>7739</v>
      </c>
      <c r="AE48" s="4">
        <v>8107</v>
      </c>
      <c r="AF48" s="4">
        <v>11064</v>
      </c>
      <c r="AG48" s="4">
        <v>5999</v>
      </c>
      <c r="AH48" s="4">
        <v>9109</v>
      </c>
      <c r="AI48" s="4">
        <v>9354</v>
      </c>
      <c r="AJ48" s="4"/>
      <c r="AK48" s="4"/>
      <c r="AL48" s="4"/>
      <c r="AM48" s="4"/>
      <c r="AN48" s="4"/>
      <c r="AO48" s="65"/>
      <c r="AP48" s="65"/>
    </row>
    <row r="49" spans="1:42" ht="15.75" x14ac:dyDescent="0.25">
      <c r="A49" s="4" t="s">
        <v>46</v>
      </c>
      <c r="B49" s="4" t="s">
        <v>45</v>
      </c>
      <c r="C49" s="65">
        <v>116625</v>
      </c>
      <c r="D49" s="65">
        <v>199466</v>
      </c>
      <c r="E49" s="65">
        <v>181064</v>
      </c>
      <c r="F49" s="65">
        <v>183853</v>
      </c>
      <c r="G49" s="65">
        <v>219444</v>
      </c>
      <c r="H49" s="65">
        <v>530348</v>
      </c>
      <c r="I49" s="65">
        <v>87371</v>
      </c>
      <c r="J49" s="65">
        <v>122764</v>
      </c>
      <c r="K49" s="65">
        <v>127765</v>
      </c>
      <c r="L49" s="65">
        <v>139794</v>
      </c>
      <c r="M49" s="65">
        <v>143052</v>
      </c>
      <c r="N49" s="65">
        <v>192306</v>
      </c>
      <c r="O49" s="4"/>
      <c r="P49" s="65"/>
      <c r="Q49" s="65">
        <v>59162</v>
      </c>
      <c r="R49" s="65">
        <v>87403</v>
      </c>
      <c r="S49" s="65">
        <f>92211</f>
        <v>92211</v>
      </c>
      <c r="T49" s="65">
        <v>152441</v>
      </c>
      <c r="U49" s="65">
        <v>282400</v>
      </c>
      <c r="V49" s="65">
        <v>181804</v>
      </c>
      <c r="W49" s="65">
        <v>27208</v>
      </c>
      <c r="X49" s="65">
        <v>70986</v>
      </c>
      <c r="Y49" s="65">
        <v>70986</v>
      </c>
      <c r="Z49" s="65">
        <v>118788</v>
      </c>
      <c r="AA49" s="65">
        <v>148836</v>
      </c>
      <c r="AB49" s="65">
        <v>187202</v>
      </c>
      <c r="AC49" s="65">
        <v>259406</v>
      </c>
      <c r="AD49" s="65">
        <v>95036</v>
      </c>
      <c r="AE49" s="65">
        <v>158583</v>
      </c>
      <c r="AF49" s="65">
        <v>120392</v>
      </c>
      <c r="AG49" s="65">
        <v>157402</v>
      </c>
      <c r="AH49" s="65">
        <v>107100</v>
      </c>
      <c r="AI49" s="65">
        <v>243281</v>
      </c>
      <c r="AJ49" s="65"/>
      <c r="AK49" s="65"/>
      <c r="AL49" s="65"/>
      <c r="AM49" s="65"/>
      <c r="AN49" s="65"/>
      <c r="AO49" s="65"/>
      <c r="AP49" s="65"/>
    </row>
    <row r="50" spans="1:42" ht="15.75" hidden="1" x14ac:dyDescent="0.25">
      <c r="A50" s="4" t="s">
        <v>73</v>
      </c>
      <c r="B50" s="4" t="s">
        <v>69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65"/>
      <c r="AP50" s="65"/>
    </row>
    <row r="51" spans="1:42" ht="15.75" x14ac:dyDescent="0.25">
      <c r="A51" s="4" t="s">
        <v>48</v>
      </c>
      <c r="B51" s="4" t="s">
        <v>47</v>
      </c>
      <c r="C51" s="4">
        <v>19576</v>
      </c>
      <c r="D51" s="4">
        <v>10547</v>
      </c>
      <c r="E51" s="4">
        <v>33412</v>
      </c>
      <c r="F51" s="4">
        <v>47572</v>
      </c>
      <c r="G51" s="4">
        <v>29846</v>
      </c>
      <c r="H51" s="4">
        <v>36967</v>
      </c>
      <c r="I51" s="4">
        <v>4297</v>
      </c>
      <c r="J51" s="4">
        <v>9456</v>
      </c>
      <c r="K51" s="4">
        <v>24000</v>
      </c>
      <c r="L51" s="4">
        <v>11576</v>
      </c>
      <c r="M51" s="4">
        <v>16526</v>
      </c>
      <c r="N51" s="4">
        <v>4672</v>
      </c>
      <c r="O51" s="4"/>
      <c r="P51" s="4">
        <v>3800</v>
      </c>
      <c r="Q51" s="4">
        <v>8865</v>
      </c>
      <c r="R51" s="4">
        <v>0</v>
      </c>
      <c r="S51" s="4">
        <v>2597</v>
      </c>
      <c r="T51" s="4">
        <v>4018</v>
      </c>
      <c r="U51" s="4">
        <v>11248</v>
      </c>
      <c r="V51" s="4">
        <v>23276</v>
      </c>
      <c r="W51" s="4">
        <v>3997</v>
      </c>
      <c r="X51" s="4">
        <v>9970</v>
      </c>
      <c r="Y51" s="4">
        <v>9970</v>
      </c>
      <c r="Z51" s="4">
        <v>10004</v>
      </c>
      <c r="AA51" s="4">
        <v>3269</v>
      </c>
      <c r="AB51" s="4">
        <v>12072</v>
      </c>
      <c r="AC51" s="4">
        <v>41946</v>
      </c>
      <c r="AD51" s="4">
        <v>2214</v>
      </c>
      <c r="AE51" s="4">
        <v>1798</v>
      </c>
      <c r="AF51" s="4">
        <v>11415</v>
      </c>
      <c r="AG51" s="4">
        <v>18830</v>
      </c>
      <c r="AH51" s="4">
        <v>12442</v>
      </c>
      <c r="AI51" s="4">
        <v>20028</v>
      </c>
      <c r="AJ51" s="4"/>
      <c r="AK51" s="4"/>
      <c r="AL51" s="4"/>
      <c r="AM51" s="4"/>
      <c r="AN51" s="4"/>
      <c r="AO51" s="65"/>
      <c r="AP51" s="65"/>
    </row>
    <row r="52" spans="1:42" ht="15.75" x14ac:dyDescent="0.25">
      <c r="A52" s="4" t="s">
        <v>51</v>
      </c>
      <c r="B52" s="4" t="s">
        <v>50</v>
      </c>
      <c r="C52" s="4">
        <v>16057</v>
      </c>
      <c r="D52" s="4">
        <v>11038</v>
      </c>
      <c r="E52" s="4">
        <v>58869</v>
      </c>
      <c r="F52" s="4">
        <v>46940</v>
      </c>
      <c r="G52" s="4">
        <v>5286</v>
      </c>
      <c r="H52" s="4">
        <v>21527</v>
      </c>
      <c r="I52" s="4">
        <v>799</v>
      </c>
      <c r="J52" s="4">
        <v>6974</v>
      </c>
      <c r="K52" s="4">
        <v>8974</v>
      </c>
      <c r="L52" s="4">
        <v>6223</v>
      </c>
      <c r="M52" s="4">
        <v>18964</v>
      </c>
      <c r="N52" s="4">
        <v>13246</v>
      </c>
      <c r="O52" s="4"/>
      <c r="P52" s="4">
        <v>8743</v>
      </c>
      <c r="Q52" s="4">
        <v>14442</v>
      </c>
      <c r="R52" s="4">
        <v>14604</v>
      </c>
      <c r="S52" s="4">
        <v>2697</v>
      </c>
      <c r="T52" s="4">
        <v>8141</v>
      </c>
      <c r="U52" s="4">
        <v>27484</v>
      </c>
      <c r="V52" s="4">
        <v>5808</v>
      </c>
      <c r="W52" s="4">
        <v>18517</v>
      </c>
      <c r="X52" s="4">
        <v>13749</v>
      </c>
      <c r="Y52" s="4">
        <v>13749</v>
      </c>
      <c r="Z52" s="4">
        <v>10022</v>
      </c>
      <c r="AA52" s="4">
        <v>2217</v>
      </c>
      <c r="AB52" s="4">
        <v>24076</v>
      </c>
      <c r="AC52" s="4">
        <v>33979</v>
      </c>
      <c r="AD52" s="4">
        <v>2874</v>
      </c>
      <c r="AE52" s="4">
        <v>21677</v>
      </c>
      <c r="AF52" s="4">
        <v>9164</v>
      </c>
      <c r="AG52" s="4">
        <v>19239</v>
      </c>
      <c r="AH52" s="4">
        <v>4537</v>
      </c>
      <c r="AI52" s="4">
        <v>9925</v>
      </c>
      <c r="AJ52" s="4"/>
      <c r="AK52" s="4"/>
      <c r="AL52" s="4"/>
      <c r="AM52" s="4"/>
      <c r="AN52" s="4"/>
      <c r="AO52" s="65"/>
      <c r="AP52" s="65"/>
    </row>
    <row r="53" spans="1:42" ht="15.75" x14ac:dyDescent="0.25">
      <c r="A53" s="4" t="s">
        <v>54</v>
      </c>
      <c r="B53" s="4" t="s">
        <v>52</v>
      </c>
      <c r="C53" s="4">
        <v>32321</v>
      </c>
      <c r="D53" s="4">
        <v>84213</v>
      </c>
      <c r="E53" s="4">
        <v>113484</v>
      </c>
      <c r="F53" s="4">
        <v>131792</v>
      </c>
      <c r="G53" s="4">
        <v>41568</v>
      </c>
      <c r="H53" s="4">
        <v>85892</v>
      </c>
      <c r="I53" s="4">
        <v>35398</v>
      </c>
      <c r="J53" s="4">
        <v>12131</v>
      </c>
      <c r="K53" s="4">
        <v>37264</v>
      </c>
      <c r="L53" s="4">
        <v>52188</v>
      </c>
      <c r="M53" s="4">
        <v>38543</v>
      </c>
      <c r="N53" s="4">
        <v>64724</v>
      </c>
      <c r="O53" s="4"/>
      <c r="P53" s="4">
        <v>36146</v>
      </c>
      <c r="Q53" s="4">
        <v>44312</v>
      </c>
      <c r="R53" s="4">
        <v>32228</v>
      </c>
      <c r="S53" s="4">
        <v>36094</v>
      </c>
      <c r="T53" s="4">
        <v>26613</v>
      </c>
      <c r="U53" s="4">
        <v>108064</v>
      </c>
      <c r="V53" s="4">
        <v>79229</v>
      </c>
      <c r="W53" s="4">
        <v>48651</v>
      </c>
      <c r="X53" s="4">
        <v>20237</v>
      </c>
      <c r="Y53" s="4">
        <v>20237</v>
      </c>
      <c r="Z53" s="4">
        <v>35746</v>
      </c>
      <c r="AA53" s="4">
        <v>20312</v>
      </c>
      <c r="AB53" s="4">
        <v>83413</v>
      </c>
      <c r="AC53" s="4">
        <v>105814</v>
      </c>
      <c r="AD53" s="4">
        <v>41403</v>
      </c>
      <c r="AE53" s="4">
        <v>32933</v>
      </c>
      <c r="AF53" s="4">
        <v>40483</v>
      </c>
      <c r="AG53" s="4">
        <v>53250</v>
      </c>
      <c r="AH53" s="4">
        <v>67905</v>
      </c>
      <c r="AI53" s="4">
        <v>76520</v>
      </c>
      <c r="AJ53" s="4"/>
      <c r="AK53" s="4"/>
      <c r="AL53" s="4"/>
      <c r="AM53" s="4"/>
      <c r="AN53" s="4"/>
      <c r="AO53" s="65"/>
      <c r="AP53" s="65"/>
    </row>
    <row r="54" spans="1:42" ht="15.75" x14ac:dyDescent="0.25">
      <c r="A54" s="4" t="s">
        <v>74</v>
      </c>
      <c r="B54" s="4" t="s">
        <v>71</v>
      </c>
      <c r="C54" s="4">
        <v>19860</v>
      </c>
      <c r="D54" s="4">
        <v>11087</v>
      </c>
      <c r="E54" s="4">
        <v>41215</v>
      </c>
      <c r="F54" s="4">
        <v>18258</v>
      </c>
      <c r="G54" s="4">
        <v>14031</v>
      </c>
      <c r="H54" s="4">
        <v>11705</v>
      </c>
      <c r="I54" s="4">
        <v>2099</v>
      </c>
      <c r="J54" s="4">
        <v>6294</v>
      </c>
      <c r="K54" s="4">
        <v>7635</v>
      </c>
      <c r="L54" s="4">
        <v>2398</v>
      </c>
      <c r="M54" s="4"/>
      <c r="N54" s="4"/>
      <c r="O54" s="4"/>
      <c r="P54" s="4"/>
      <c r="Q54" s="4">
        <v>1196</v>
      </c>
      <c r="R54" s="4">
        <v>1899</v>
      </c>
      <c r="S54" s="4">
        <v>15501</v>
      </c>
      <c r="T54" s="4">
        <v>15943</v>
      </c>
      <c r="U54" s="4">
        <v>26277</v>
      </c>
      <c r="V54" s="4">
        <v>14908</v>
      </c>
      <c r="W54" s="4">
        <v>15147</v>
      </c>
      <c r="X54" s="4">
        <v>7683</v>
      </c>
      <c r="Y54" s="4">
        <v>7683</v>
      </c>
      <c r="Z54" s="4">
        <v>13410</v>
      </c>
      <c r="AA54" s="4">
        <v>16449</v>
      </c>
      <c r="AB54" s="4">
        <v>40092</v>
      </c>
      <c r="AC54" s="4">
        <v>23478</v>
      </c>
      <c r="AD54" s="4">
        <v>4005</v>
      </c>
      <c r="AE54" s="4">
        <v>5255</v>
      </c>
      <c r="AF54" s="4">
        <v>9491</v>
      </c>
      <c r="AG54" s="4">
        <v>21151</v>
      </c>
      <c r="AH54" s="4">
        <v>10868</v>
      </c>
      <c r="AI54" s="4">
        <v>11576</v>
      </c>
      <c r="AJ54" s="4"/>
      <c r="AK54" s="4"/>
      <c r="AL54" s="4"/>
      <c r="AM54" s="4"/>
      <c r="AN54" s="4"/>
      <c r="AO54" s="44"/>
      <c r="AP54" s="44"/>
    </row>
    <row r="55" spans="1:42" ht="15.75" x14ac:dyDescent="0.25">
      <c r="A55" s="4" t="s">
        <v>97</v>
      </c>
      <c r="B55" s="4" t="s">
        <v>99</v>
      </c>
      <c r="C55" s="4">
        <v>41566</v>
      </c>
      <c r="D55" s="4">
        <v>111708</v>
      </c>
      <c r="E55" s="4">
        <v>22534</v>
      </c>
      <c r="F55" s="4">
        <v>50229</v>
      </c>
      <c r="G55" s="4">
        <v>35855</v>
      </c>
      <c r="H55" s="4">
        <v>47567</v>
      </c>
      <c r="I55" s="4">
        <v>6484</v>
      </c>
      <c r="J55" s="4">
        <v>6053</v>
      </c>
      <c r="K55" s="4">
        <v>11056</v>
      </c>
      <c r="L55" s="4">
        <v>67315</v>
      </c>
      <c r="M55" s="4">
        <v>64596</v>
      </c>
      <c r="N55" s="4">
        <v>13251</v>
      </c>
      <c r="O55" s="4"/>
      <c r="P55" s="4">
        <v>8478</v>
      </c>
      <c r="Q55" s="4">
        <v>21116</v>
      </c>
      <c r="R55" s="4">
        <v>22594</v>
      </c>
      <c r="S55" s="4">
        <v>27258</v>
      </c>
      <c r="T55" s="4">
        <v>6913</v>
      </c>
      <c r="U55" s="4">
        <v>57245</v>
      </c>
      <c r="V55" s="4">
        <v>51409</v>
      </c>
      <c r="W55" s="4">
        <v>5793</v>
      </c>
      <c r="X55" s="4">
        <v>599</v>
      </c>
      <c r="Y55" s="4">
        <v>599</v>
      </c>
      <c r="Z55" s="4">
        <v>8150</v>
      </c>
      <c r="AA55" s="4">
        <v>10383</v>
      </c>
      <c r="AB55" s="4">
        <v>36461</v>
      </c>
      <c r="AC55" s="4">
        <v>34334</v>
      </c>
      <c r="AD55" s="4">
        <v>1000</v>
      </c>
      <c r="AE55" s="4">
        <v>22067</v>
      </c>
      <c r="AF55" s="4">
        <v>19239</v>
      </c>
      <c r="AG55" s="4">
        <v>21431</v>
      </c>
      <c r="AH55" s="4">
        <v>5589</v>
      </c>
      <c r="AI55" s="4">
        <v>42688</v>
      </c>
      <c r="AJ55" s="4"/>
      <c r="AK55" s="4"/>
      <c r="AL55" s="4"/>
      <c r="AM55" s="4"/>
      <c r="AN55" s="4"/>
      <c r="AO55" s="44"/>
      <c r="AP55" s="44"/>
    </row>
    <row r="56" spans="1:42" ht="15.75" x14ac:dyDescent="0.25">
      <c r="A56" s="4" t="s">
        <v>78</v>
      </c>
      <c r="B56" s="4" t="s">
        <v>79</v>
      </c>
      <c r="C56" s="4">
        <v>47992</v>
      </c>
      <c r="D56" s="4">
        <v>95532</v>
      </c>
      <c r="E56" s="4">
        <v>72724</v>
      </c>
      <c r="F56" s="4">
        <v>58070</v>
      </c>
      <c r="G56" s="4">
        <v>102502</v>
      </c>
      <c r="H56" s="4">
        <v>50848</v>
      </c>
      <c r="I56" s="4">
        <v>30876</v>
      </c>
      <c r="J56" s="4">
        <v>50798</v>
      </c>
      <c r="K56" s="4">
        <v>33627</v>
      </c>
      <c r="L56" s="4">
        <v>19923</v>
      </c>
      <c r="M56" s="4">
        <v>34824</v>
      </c>
      <c r="N56" s="4">
        <v>42813</v>
      </c>
      <c r="O56" s="4"/>
      <c r="P56" s="4">
        <v>5402</v>
      </c>
      <c r="Q56" s="4">
        <v>49009</v>
      </c>
      <c r="R56" s="4">
        <v>9919</v>
      </c>
      <c r="S56" s="4">
        <v>14426</v>
      </c>
      <c r="T56" s="4">
        <v>34495</v>
      </c>
      <c r="U56" s="4">
        <v>82993</v>
      </c>
      <c r="V56" s="4">
        <v>65037</v>
      </c>
      <c r="W56" s="4">
        <v>88655</v>
      </c>
      <c r="X56" s="4">
        <v>25025</v>
      </c>
      <c r="Y56" s="4">
        <v>25025</v>
      </c>
      <c r="Z56" s="4">
        <v>28213</v>
      </c>
      <c r="AA56" s="4">
        <v>30102</v>
      </c>
      <c r="AB56" s="4">
        <v>74941</v>
      </c>
      <c r="AC56" s="4">
        <v>79442</v>
      </c>
      <c r="AD56" s="4">
        <v>44093</v>
      </c>
      <c r="AE56" s="4">
        <v>11113</v>
      </c>
      <c r="AF56" s="4">
        <v>45630</v>
      </c>
      <c r="AG56" s="4">
        <v>33662</v>
      </c>
      <c r="AH56" s="4">
        <v>34595</v>
      </c>
      <c r="AI56" s="4">
        <v>33309</v>
      </c>
      <c r="AJ56" s="4"/>
      <c r="AK56" s="4"/>
      <c r="AL56" s="4"/>
      <c r="AM56" s="4"/>
      <c r="AN56" s="4"/>
      <c r="AO56" s="44"/>
      <c r="AP56" s="44"/>
    </row>
    <row r="57" spans="1:42" s="106" customFormat="1" ht="15.75" x14ac:dyDescent="0.25">
      <c r="A57" s="94" t="s">
        <v>103</v>
      </c>
      <c r="B57" s="94" t="s">
        <v>104</v>
      </c>
      <c r="C57" s="94">
        <v>25834</v>
      </c>
      <c r="D57" s="94">
        <v>20017</v>
      </c>
      <c r="E57" s="94">
        <v>6576</v>
      </c>
      <c r="F57" s="94">
        <v>23150</v>
      </c>
      <c r="G57" s="94">
        <v>12001</v>
      </c>
      <c r="H57" s="94">
        <v>12236</v>
      </c>
      <c r="I57" s="94">
        <v>9235</v>
      </c>
      <c r="J57" s="96">
        <v>5868</v>
      </c>
      <c r="K57" s="94">
        <v>20725</v>
      </c>
      <c r="L57" s="94">
        <v>9146</v>
      </c>
      <c r="M57" s="96">
        <v>30184</v>
      </c>
      <c r="N57" s="96">
        <v>14553</v>
      </c>
      <c r="O57" s="96"/>
      <c r="P57" s="94">
        <v>3198</v>
      </c>
      <c r="Q57" s="94">
        <v>6036</v>
      </c>
      <c r="R57" s="94">
        <v>8297</v>
      </c>
      <c r="S57" s="94">
        <v>18873</v>
      </c>
      <c r="T57" s="94">
        <v>14564</v>
      </c>
      <c r="U57" s="94">
        <v>52850</v>
      </c>
      <c r="V57" s="94">
        <v>25613</v>
      </c>
      <c r="W57" s="94">
        <v>7667</v>
      </c>
      <c r="X57" s="94">
        <v>5818</v>
      </c>
      <c r="Y57" s="94">
        <v>5818</v>
      </c>
      <c r="Z57" s="94">
        <v>9828</v>
      </c>
      <c r="AA57" s="94">
        <v>35426</v>
      </c>
      <c r="AB57" s="94">
        <v>31412</v>
      </c>
      <c r="AC57" s="94">
        <v>31212</v>
      </c>
      <c r="AD57" s="94">
        <v>18744</v>
      </c>
      <c r="AE57" s="94">
        <v>13688</v>
      </c>
      <c r="AF57" s="94">
        <v>899</v>
      </c>
      <c r="AG57" s="94">
        <v>26370</v>
      </c>
      <c r="AH57" s="94">
        <v>5438</v>
      </c>
      <c r="AI57" s="94">
        <v>52123</v>
      </c>
      <c r="AJ57" s="94"/>
      <c r="AK57" s="94"/>
      <c r="AL57" s="94"/>
      <c r="AM57" s="94"/>
      <c r="AN57" s="94"/>
      <c r="AO57" s="143"/>
      <c r="AP57" s="143"/>
    </row>
    <row r="58" spans="1:42" ht="15.75" x14ac:dyDescent="0.25">
      <c r="A58" s="4" t="s">
        <v>105</v>
      </c>
      <c r="B58" s="4" t="s">
        <v>106</v>
      </c>
      <c r="C58" s="4">
        <v>29833</v>
      </c>
      <c r="D58" s="4">
        <v>81449</v>
      </c>
      <c r="E58" s="4">
        <v>96411</v>
      </c>
      <c r="F58" s="4">
        <v>88706</v>
      </c>
      <c r="G58" s="4">
        <v>16352</v>
      </c>
      <c r="H58" s="4">
        <v>37678</v>
      </c>
      <c r="I58" s="4">
        <v>24297</v>
      </c>
      <c r="J58" s="106">
        <v>25137</v>
      </c>
      <c r="K58" s="4">
        <v>31071</v>
      </c>
      <c r="L58" s="4">
        <v>36908</v>
      </c>
      <c r="M58" s="106">
        <v>30287</v>
      </c>
      <c r="N58" s="4">
        <v>2746</v>
      </c>
      <c r="O58" s="106"/>
      <c r="P58" s="94">
        <v>4236</v>
      </c>
      <c r="Q58" s="94">
        <v>43118</v>
      </c>
      <c r="R58" s="94">
        <v>10013</v>
      </c>
      <c r="S58" s="94">
        <v>12822</v>
      </c>
      <c r="T58" s="94">
        <v>40785</v>
      </c>
      <c r="U58" s="94">
        <v>30487</v>
      </c>
      <c r="V58" s="94">
        <v>53457</v>
      </c>
      <c r="W58" s="94">
        <v>25770</v>
      </c>
      <c r="X58" s="106">
        <v>25940</v>
      </c>
      <c r="Y58" s="4">
        <v>25940</v>
      </c>
      <c r="Z58" s="94">
        <v>32135</v>
      </c>
      <c r="AA58" s="94">
        <v>30356</v>
      </c>
      <c r="AB58" s="94">
        <v>14381</v>
      </c>
      <c r="AC58" s="94">
        <v>32093</v>
      </c>
      <c r="AD58" s="94">
        <v>36080</v>
      </c>
      <c r="AE58" s="94">
        <v>36080</v>
      </c>
      <c r="AF58" s="94">
        <v>30477</v>
      </c>
      <c r="AG58" s="94">
        <v>30080</v>
      </c>
      <c r="AH58" s="94">
        <v>26080</v>
      </c>
      <c r="AI58" s="94">
        <v>38180</v>
      </c>
      <c r="AJ58" s="94"/>
      <c r="AK58" s="94"/>
      <c r="AL58" s="94"/>
      <c r="AM58" s="94"/>
      <c r="AN58" s="94"/>
      <c r="AO58" s="106"/>
      <c r="AP58" s="106"/>
    </row>
    <row r="59" spans="1:42" x14ac:dyDescent="0.25">
      <c r="A59" s="54">
        <f ca="1">TODAY()-7</f>
        <v>46284</v>
      </c>
    </row>
  </sheetData>
  <mergeCells count="7">
    <mergeCell ref="N1:R1"/>
    <mergeCell ref="A2:B2"/>
    <mergeCell ref="C2:G2"/>
    <mergeCell ref="H2:J2"/>
    <mergeCell ref="K2:M2"/>
    <mergeCell ref="A1:M1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E62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12" defaultRowHeight="15" x14ac:dyDescent="0.25"/>
  <cols>
    <col min="1" max="1" width="11.7109375" style="1" bestFit="1" customWidth="1"/>
    <col min="2" max="2" width="20.42578125" style="1" bestFit="1" customWidth="1"/>
    <col min="3" max="5" width="11.5703125" style="1" bestFit="1" customWidth="1"/>
    <col min="6" max="6" width="11.42578125" style="12" bestFit="1" customWidth="1"/>
    <col min="7" max="8" width="10.42578125" style="1" bestFit="1" customWidth="1"/>
    <col min="9" max="9" width="11" style="1" bestFit="1" customWidth="1"/>
    <col min="10" max="10" width="10.42578125" style="1" bestFit="1" customWidth="1"/>
    <col min="11" max="12" width="11.5703125" style="1" bestFit="1" customWidth="1"/>
    <col min="13" max="13" width="10.42578125" style="1" customWidth="1"/>
    <col min="14" max="19" width="10.42578125" style="1" hidden="1" customWidth="1"/>
    <col min="20" max="20" width="13.42578125" style="1" hidden="1" customWidth="1"/>
    <col min="21" max="21" width="14.28515625" style="1" hidden="1" customWidth="1"/>
    <col min="22" max="27" width="10.42578125" style="1" hidden="1" customWidth="1"/>
    <col min="28" max="34" width="10.42578125" style="1" customWidth="1"/>
    <col min="35" max="39" width="10.42578125" style="1" bestFit="1" customWidth="1"/>
    <col min="40" max="16384" width="12" style="1"/>
  </cols>
  <sheetData>
    <row r="1" spans="1:499" x14ac:dyDescent="0.25">
      <c r="A1" s="157" t="s">
        <v>77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62"/>
      <c r="T1" s="54"/>
    </row>
    <row r="2" spans="1:499" x14ac:dyDescent="0.25">
      <c r="A2" s="154"/>
      <c r="B2" s="155"/>
      <c r="C2" s="160"/>
      <c r="D2" s="160"/>
      <c r="E2" s="160"/>
      <c r="F2" s="160"/>
      <c r="G2" s="160"/>
      <c r="H2" s="161" t="s">
        <v>43</v>
      </c>
      <c r="I2" s="161"/>
      <c r="J2" s="161"/>
      <c r="K2" s="156" t="s">
        <v>66</v>
      </c>
      <c r="L2" s="156"/>
      <c r="M2" s="156"/>
      <c r="N2" s="156" t="s">
        <v>102</v>
      </c>
      <c r="O2" s="156"/>
      <c r="P2" s="156"/>
      <c r="Q2" s="156" t="s">
        <v>102</v>
      </c>
      <c r="R2" s="156"/>
      <c r="S2" s="156"/>
    </row>
    <row r="3" spans="1:499" ht="15.75" x14ac:dyDescent="0.25">
      <c r="A3" s="66" t="s">
        <v>0</v>
      </c>
      <c r="B3" s="34" t="s">
        <v>1</v>
      </c>
      <c r="C3" s="34" t="s">
        <v>29</v>
      </c>
      <c r="D3" s="2" t="s">
        <v>30</v>
      </c>
      <c r="E3" s="2" t="s">
        <v>72</v>
      </c>
      <c r="F3" s="3" t="s">
        <v>56</v>
      </c>
      <c r="G3" s="34" t="s">
        <v>4</v>
      </c>
      <c r="H3" s="34" t="s">
        <v>29</v>
      </c>
      <c r="I3" s="2" t="s">
        <v>41</v>
      </c>
      <c r="J3" s="34" t="s">
        <v>4</v>
      </c>
      <c r="K3" s="34" t="s">
        <v>29</v>
      </c>
      <c r="L3" s="2" t="s">
        <v>41</v>
      </c>
      <c r="M3" s="34" t="s">
        <v>4</v>
      </c>
      <c r="N3" s="34" t="s">
        <v>94</v>
      </c>
      <c r="O3" s="34" t="s">
        <v>95</v>
      </c>
      <c r="P3" s="34" t="s">
        <v>83</v>
      </c>
      <c r="Q3" s="34" t="s">
        <v>84</v>
      </c>
      <c r="R3" s="113" t="s">
        <v>80</v>
      </c>
      <c r="S3" s="34" t="s">
        <v>4</v>
      </c>
      <c r="T3" s="105"/>
      <c r="U3" s="105"/>
      <c r="SE3" s="29">
        <v>46058</v>
      </c>
    </row>
    <row r="4" spans="1:499" ht="15.75" x14ac:dyDescent="0.25">
      <c r="A4" s="68" t="s">
        <v>5</v>
      </c>
      <c r="B4" s="4" t="s">
        <v>6</v>
      </c>
      <c r="C4" s="25">
        <f ca="1">Retail!M35</f>
        <v>520994.28290464886</v>
      </c>
      <c r="D4" s="65">
        <f t="shared" ref="D4:D25" ca="1" si="0">SUMIFS(C37:AM37,$C$36:$AM$36,"="&amp;$A$59)</f>
        <v>333960</v>
      </c>
      <c r="E4" s="4">
        <v>450292</v>
      </c>
      <c r="F4" s="24">
        <f ca="1">E4/D4-1</f>
        <v>0.34834111869684992</v>
      </c>
      <c r="G4" s="23">
        <f ca="1">E4/C4</f>
        <v>0.86429355326037494</v>
      </c>
      <c r="H4" s="47">
        <f ca="1">Attraction!G35</f>
        <v>13653.530694646046</v>
      </c>
      <c r="I4" s="4">
        <v>8401</v>
      </c>
      <c r="J4" s="16">
        <f t="shared" ref="J4:J16" ca="1" si="1">I4/H4</f>
        <v>0.6152987229372312</v>
      </c>
      <c r="K4" s="40">
        <f t="shared" ref="K4:K25" ca="1" si="2">C4+H4</f>
        <v>534647.81359929487</v>
      </c>
      <c r="L4" s="41">
        <f>+E4+I4</f>
        <v>458693</v>
      </c>
      <c r="M4" s="16">
        <f ca="1">L4/K4</f>
        <v>0.85793486540614361</v>
      </c>
      <c r="N4" s="25" t="e">
        <f>VLOOKUP(T1,'LFL 2024'!A2:C33,3,0)</f>
        <v>#N/A</v>
      </c>
      <c r="O4" s="25">
        <f t="shared" ref="O4:O22" si="3">AJ37</f>
        <v>0</v>
      </c>
      <c r="P4" s="24" t="e">
        <f>O4/N4-1</f>
        <v>#N/A</v>
      </c>
      <c r="Q4" s="25"/>
      <c r="R4" s="84"/>
      <c r="S4" s="117" t="e">
        <f>Q4/R4*1</f>
        <v>#DIV/0!</v>
      </c>
      <c r="T4" s="57"/>
      <c r="U4" s="58"/>
    </row>
    <row r="5" spans="1:499" ht="15.75" x14ac:dyDescent="0.25">
      <c r="A5" s="68" t="s">
        <v>7</v>
      </c>
      <c r="B5" s="4" t="s">
        <v>8</v>
      </c>
      <c r="C5" s="25">
        <f ca="1">Retail!J35</f>
        <v>286734.47590486158</v>
      </c>
      <c r="D5" s="65">
        <f t="shared" ca="1" si="0"/>
        <v>84133</v>
      </c>
      <c r="E5" s="4">
        <v>140976</v>
      </c>
      <c r="F5" s="24">
        <f t="shared" ref="F5:F25" ca="1" si="4">E5/D5-1</f>
        <v>0.67563262928933954</v>
      </c>
      <c r="G5" s="23">
        <f t="shared" ref="G5:G25" ca="1" si="5">E5/C5</f>
        <v>0.49166044492946082</v>
      </c>
      <c r="H5" s="47">
        <f ca="1">Attraction!E35</f>
        <v>18519.062410271603</v>
      </c>
      <c r="I5" s="102">
        <v>14000</v>
      </c>
      <c r="J5" s="16">
        <f t="shared" ca="1" si="1"/>
        <v>0.75597779681518307</v>
      </c>
      <c r="K5" s="40">
        <f t="shared" ca="1" si="2"/>
        <v>305253.53831513319</v>
      </c>
      <c r="L5" s="41">
        <f t="shared" ref="L5:L25" si="6">+E5+I5</f>
        <v>154976</v>
      </c>
      <c r="M5" s="16">
        <f ca="1">L5/K5</f>
        <v>0.5076959987274845</v>
      </c>
      <c r="N5" s="25" t="e">
        <f>VLOOKUP(T1,'LFL 2024'!A2:D33,4,0)</f>
        <v>#N/A</v>
      </c>
      <c r="O5" s="25">
        <f t="shared" si="3"/>
        <v>0</v>
      </c>
      <c r="P5" s="24" t="e">
        <f t="shared" ref="P5:P23" si="7">O5/N5-1</f>
        <v>#N/A</v>
      </c>
      <c r="Q5" s="25">
        <v>13</v>
      </c>
      <c r="R5" s="84">
        <v>54</v>
      </c>
      <c r="S5" s="117">
        <f t="shared" ref="S5:S13" si="8">Q5/R5*1</f>
        <v>0.24074074074074073</v>
      </c>
      <c r="T5" s="105"/>
      <c r="U5" s="58"/>
    </row>
    <row r="6" spans="1:499" ht="15.75" x14ac:dyDescent="0.25">
      <c r="A6" s="68" t="s">
        <v>9</v>
      </c>
      <c r="B6" s="4" t="s">
        <v>10</v>
      </c>
      <c r="C6" s="25">
        <f ca="1">Retail!H35</f>
        <v>63851.171607521675</v>
      </c>
      <c r="D6" s="65">
        <f t="shared" ca="1" si="0"/>
        <v>22020</v>
      </c>
      <c r="E6" s="4"/>
      <c r="F6" s="24">
        <f t="shared" ca="1" si="4"/>
        <v>-1</v>
      </c>
      <c r="G6" s="23">
        <f t="shared" ca="1" si="5"/>
        <v>0</v>
      </c>
      <c r="H6" s="47">
        <f ca="1">Attraction!B35</f>
        <v>100564.04266308263</v>
      </c>
      <c r="I6" s="106"/>
      <c r="J6" s="16">
        <f t="shared" ca="1" si="1"/>
        <v>0</v>
      </c>
      <c r="K6" s="40">
        <f t="shared" ca="1" si="2"/>
        <v>164415.21427060431</v>
      </c>
      <c r="L6" s="41">
        <f t="shared" si="6"/>
        <v>0</v>
      </c>
      <c r="M6" s="16">
        <f t="shared" ref="M6:M22" ca="1" si="9">L6/K6</f>
        <v>0</v>
      </c>
      <c r="N6" s="25" t="e">
        <f>VLOOKUP(T1,'LFL 2024'!A2:F33,5,0)</f>
        <v>#N/A</v>
      </c>
      <c r="O6" s="25">
        <f t="shared" si="3"/>
        <v>0</v>
      </c>
      <c r="P6" s="24" t="e">
        <f t="shared" si="7"/>
        <v>#N/A</v>
      </c>
      <c r="Q6" s="25">
        <v>3</v>
      </c>
      <c r="R6" s="84">
        <v>21</v>
      </c>
      <c r="S6" s="117">
        <f t="shared" si="8"/>
        <v>0.14285714285714285</v>
      </c>
      <c r="T6" s="105"/>
      <c r="U6" s="58"/>
    </row>
    <row r="7" spans="1:499" ht="15.75" x14ac:dyDescent="0.25">
      <c r="A7" s="68" t="s">
        <v>11</v>
      </c>
      <c r="B7" s="4" t="s">
        <v>12</v>
      </c>
      <c r="C7" s="25">
        <f ca="1">Retail!K35</f>
        <v>392222.69980956911</v>
      </c>
      <c r="D7" s="65">
        <f t="shared" ca="1" si="0"/>
        <v>368242</v>
      </c>
      <c r="E7" s="4">
        <v>315959</v>
      </c>
      <c r="F7" s="24">
        <f t="shared" ca="1" si="4"/>
        <v>-0.14198000228110863</v>
      </c>
      <c r="G7" s="23">
        <f t="shared" ca="1" si="5"/>
        <v>0.80556020891550528</v>
      </c>
      <c r="H7" s="36"/>
      <c r="I7" s="102"/>
      <c r="J7" s="16"/>
      <c r="K7" s="40">
        <f t="shared" ca="1" si="2"/>
        <v>392222.69980956911</v>
      </c>
      <c r="L7" s="41">
        <f t="shared" si="6"/>
        <v>315959</v>
      </c>
      <c r="M7" s="16">
        <f t="shared" ca="1" si="9"/>
        <v>0.80556020891550528</v>
      </c>
      <c r="N7" s="25" t="e">
        <f>VLOOKUP(T1,'LFL 2024'!A2:G33,6,0)</f>
        <v>#N/A</v>
      </c>
      <c r="O7" s="25">
        <f t="shared" si="3"/>
        <v>0</v>
      </c>
      <c r="P7" s="24" t="e">
        <f t="shared" si="7"/>
        <v>#N/A</v>
      </c>
      <c r="Q7" s="25">
        <v>18</v>
      </c>
      <c r="R7" s="84">
        <v>100</v>
      </c>
      <c r="S7" s="117">
        <f t="shared" si="8"/>
        <v>0.18</v>
      </c>
      <c r="T7" s="105"/>
      <c r="U7" s="58"/>
    </row>
    <row r="8" spans="1:499" ht="15.75" x14ac:dyDescent="0.25">
      <c r="A8" s="68" t="s">
        <v>13</v>
      </c>
      <c r="B8" s="4" t="s">
        <v>14</v>
      </c>
      <c r="C8" s="25">
        <f ca="1">Retail!L35</f>
        <v>176136.03164737127</v>
      </c>
      <c r="D8" s="65">
        <f t="shared" ca="1" si="0"/>
        <v>129904</v>
      </c>
      <c r="E8" s="4">
        <v>361821</v>
      </c>
      <c r="F8" s="24">
        <f t="shared" ca="1" si="4"/>
        <v>1.7852952949870673</v>
      </c>
      <c r="G8" s="23">
        <f t="shared" ca="1" si="5"/>
        <v>2.0542134202522213</v>
      </c>
      <c r="H8" s="25">
        <f ca="1">Attraction!D35</f>
        <v>11996.078057746645</v>
      </c>
      <c r="I8" s="4">
        <v>6650</v>
      </c>
      <c r="J8" s="16">
        <f t="shared" ca="1" si="1"/>
        <v>0.55434784335249165</v>
      </c>
      <c r="K8" s="40">
        <f t="shared" ca="1" si="2"/>
        <v>188132.10970511791</v>
      </c>
      <c r="L8" s="41">
        <f t="shared" si="6"/>
        <v>368471</v>
      </c>
      <c r="M8" s="16">
        <f t="shared" ca="1" si="9"/>
        <v>1.958575814503696</v>
      </c>
      <c r="N8" s="25" t="e">
        <f>VLOOKUP(T1,'LFL 2024'!A2:H33,7,0)</f>
        <v>#N/A</v>
      </c>
      <c r="O8" s="25">
        <f t="shared" si="3"/>
        <v>0</v>
      </c>
      <c r="P8" s="24" t="e">
        <f t="shared" si="7"/>
        <v>#N/A</v>
      </c>
      <c r="Q8" s="25">
        <v>12</v>
      </c>
      <c r="R8" s="84">
        <v>66</v>
      </c>
      <c r="S8" s="117">
        <f t="shared" si="8"/>
        <v>0.18181818181818182</v>
      </c>
      <c r="T8" s="105"/>
      <c r="U8" s="58"/>
    </row>
    <row r="9" spans="1:499" ht="15.75" x14ac:dyDescent="0.25">
      <c r="A9" s="68" t="s">
        <v>15</v>
      </c>
      <c r="B9" s="4" t="s">
        <v>16</v>
      </c>
      <c r="C9" s="25">
        <f ca="1">Retail!B35</f>
        <v>480133.83289539319</v>
      </c>
      <c r="D9" s="65">
        <f t="shared" ca="1" si="0"/>
        <v>449241</v>
      </c>
      <c r="E9" s="4">
        <v>300542</v>
      </c>
      <c r="F9" s="24">
        <f ca="1">E9/D9-1</f>
        <v>-0.33100050974866502</v>
      </c>
      <c r="G9" s="23">
        <f ca="1">E9/C9</f>
        <v>0.62595463891310299</v>
      </c>
      <c r="H9" s="36"/>
      <c r="I9" s="4"/>
      <c r="J9" s="16"/>
      <c r="K9" s="40">
        <f t="shared" ca="1" si="2"/>
        <v>480133.83289539319</v>
      </c>
      <c r="L9" s="41">
        <f>+E9+I9</f>
        <v>300542</v>
      </c>
      <c r="M9" s="16">
        <f t="shared" ca="1" si="9"/>
        <v>0.62595463891310299</v>
      </c>
      <c r="N9" s="25" t="e">
        <f>VLOOKUP(T1,'LFL 2024'!A2:I33,8,0)</f>
        <v>#N/A</v>
      </c>
      <c r="O9" s="25">
        <f t="shared" si="3"/>
        <v>0</v>
      </c>
      <c r="P9" s="24" t="e">
        <f t="shared" si="7"/>
        <v>#N/A</v>
      </c>
      <c r="Q9" s="25">
        <v>26</v>
      </c>
      <c r="R9" s="84">
        <v>109</v>
      </c>
      <c r="S9" s="117">
        <f t="shared" si="8"/>
        <v>0.23853211009174313</v>
      </c>
      <c r="T9" s="105"/>
      <c r="U9" s="58"/>
    </row>
    <row r="10" spans="1:499" ht="15.75" x14ac:dyDescent="0.25">
      <c r="A10" s="68" t="s">
        <v>17</v>
      </c>
      <c r="B10" s="4" t="s">
        <v>18</v>
      </c>
      <c r="C10" s="25">
        <f ca="1">Retail!F35</f>
        <v>190041.2744308961</v>
      </c>
      <c r="D10" s="65">
        <f t="shared" ca="1" si="0"/>
        <v>114385</v>
      </c>
      <c r="E10" s="4">
        <v>84865</v>
      </c>
      <c r="F10" s="24">
        <f t="shared" ca="1" si="4"/>
        <v>-0.25807579665165892</v>
      </c>
      <c r="G10" s="23">
        <f t="shared" ca="1" si="5"/>
        <v>0.44656088659760645</v>
      </c>
      <c r="H10" s="36"/>
      <c r="I10" s="102"/>
      <c r="J10" s="16"/>
      <c r="K10" s="40">
        <f t="shared" ca="1" si="2"/>
        <v>190041.2744308961</v>
      </c>
      <c r="L10" s="41">
        <f t="shared" si="6"/>
        <v>84865</v>
      </c>
      <c r="M10" s="16">
        <f t="shared" ca="1" si="9"/>
        <v>0.44656088659760645</v>
      </c>
      <c r="N10" s="25" t="e">
        <f>VLOOKUP(T1,'LFL 2024'!A2:J33,9,0)</f>
        <v>#N/A</v>
      </c>
      <c r="O10" s="25">
        <f t="shared" si="3"/>
        <v>0</v>
      </c>
      <c r="P10" s="24" t="e">
        <f t="shared" si="7"/>
        <v>#N/A</v>
      </c>
      <c r="Q10" s="25">
        <v>4</v>
      </c>
      <c r="R10" s="84">
        <v>42</v>
      </c>
      <c r="S10" s="117">
        <f t="shared" si="8"/>
        <v>9.5238095238095233E-2</v>
      </c>
      <c r="T10" s="105"/>
      <c r="U10" s="58"/>
      <c r="AE10" s="153"/>
    </row>
    <row r="11" spans="1:499" ht="15.75" x14ac:dyDescent="0.25">
      <c r="A11" s="68" t="s">
        <v>19</v>
      </c>
      <c r="B11" s="4" t="s">
        <v>20</v>
      </c>
      <c r="C11" s="25">
        <f ca="1">Retail!C35</f>
        <v>174186.12607702776</v>
      </c>
      <c r="D11" s="65">
        <f t="shared" ca="1" si="0"/>
        <v>110564</v>
      </c>
      <c r="E11" s="4">
        <v>102367</v>
      </c>
      <c r="F11" s="24">
        <f t="shared" ca="1" si="4"/>
        <v>-7.4138055786693635E-2</v>
      </c>
      <c r="G11" s="23">
        <f t="shared" ca="1" si="5"/>
        <v>0.5876874485097151</v>
      </c>
      <c r="H11" s="36"/>
      <c r="I11" s="102"/>
      <c r="J11" s="16"/>
      <c r="K11" s="45">
        <f t="shared" ca="1" si="2"/>
        <v>174186.12607702776</v>
      </c>
      <c r="L11" s="41">
        <f t="shared" si="6"/>
        <v>102367</v>
      </c>
      <c r="M11" s="16">
        <f t="shared" ca="1" si="9"/>
        <v>0.5876874485097151</v>
      </c>
      <c r="N11" s="25" t="e">
        <f>VLOOKUP(T1,'LFL 2024'!A2:K33,10,0)</f>
        <v>#N/A</v>
      </c>
      <c r="O11" s="25">
        <f t="shared" si="3"/>
        <v>0</v>
      </c>
      <c r="P11" s="24" t="e">
        <f t="shared" si="7"/>
        <v>#N/A</v>
      </c>
      <c r="Q11" s="25">
        <v>5</v>
      </c>
      <c r="R11" s="84">
        <v>37</v>
      </c>
      <c r="S11" s="117">
        <f t="shared" si="8"/>
        <v>0.13513513513513514</v>
      </c>
      <c r="T11" s="105"/>
      <c r="U11" s="58"/>
      <c r="Z11" s="102"/>
    </row>
    <row r="12" spans="1:499" ht="15.75" x14ac:dyDescent="0.25">
      <c r="A12" s="68" t="s">
        <v>21</v>
      </c>
      <c r="B12" s="4" t="s">
        <v>22</v>
      </c>
      <c r="C12" s="25">
        <f ca="1">Retail!D35</f>
        <v>108239.75567045667</v>
      </c>
      <c r="D12" s="65">
        <f t="shared" ca="1" si="0"/>
        <v>63636</v>
      </c>
      <c r="E12" s="4">
        <v>91779</v>
      </c>
      <c r="F12" s="24">
        <f t="shared" ca="1" si="4"/>
        <v>0.44224966999811421</v>
      </c>
      <c r="G12" s="23">
        <f t="shared" ca="1" si="5"/>
        <v>0.84792320004331345</v>
      </c>
      <c r="H12" s="36"/>
      <c r="I12" s="102"/>
      <c r="J12" s="16"/>
      <c r="K12" s="40">
        <f t="shared" ca="1" si="2"/>
        <v>108239.75567045667</v>
      </c>
      <c r="L12" s="41">
        <f t="shared" si="6"/>
        <v>91779</v>
      </c>
      <c r="M12" s="16">
        <f t="shared" ca="1" si="9"/>
        <v>0.84792320004331345</v>
      </c>
      <c r="N12" s="25" t="e">
        <f>VLOOKUP(T1,'LFL 2024'!A2:L33,11,0)</f>
        <v>#N/A</v>
      </c>
      <c r="O12" s="25">
        <f t="shared" si="3"/>
        <v>0</v>
      </c>
      <c r="P12" s="24" t="e">
        <f t="shared" si="7"/>
        <v>#N/A</v>
      </c>
      <c r="Q12" s="25">
        <v>1</v>
      </c>
      <c r="R12" s="84">
        <v>54</v>
      </c>
      <c r="S12" s="117">
        <f t="shared" si="8"/>
        <v>1.8518518518518517E-2</v>
      </c>
      <c r="T12" s="105"/>
      <c r="U12" s="58"/>
      <c r="Z12" s="4"/>
    </row>
    <row r="13" spans="1:499" ht="15.75" x14ac:dyDescent="0.25">
      <c r="A13" s="68" t="s">
        <v>23</v>
      </c>
      <c r="B13" s="4" t="s">
        <v>24</v>
      </c>
      <c r="C13" s="25">
        <f ca="1">Retail!G35</f>
        <v>93298.933472166173</v>
      </c>
      <c r="D13" s="65">
        <f t="shared" ca="1" si="0"/>
        <v>28684</v>
      </c>
      <c r="E13" s="4">
        <v>55011</v>
      </c>
      <c r="F13" s="24">
        <f t="shared" ca="1" si="4"/>
        <v>0.91782875470645653</v>
      </c>
      <c r="G13" s="23">
        <f t="shared" ca="1" si="5"/>
        <v>0.58962088796450607</v>
      </c>
      <c r="H13" s="36"/>
      <c r="I13" s="102"/>
      <c r="J13" s="16"/>
      <c r="K13" s="40">
        <f t="shared" ca="1" si="2"/>
        <v>93298.933472166173</v>
      </c>
      <c r="L13" s="41">
        <f t="shared" si="6"/>
        <v>55011</v>
      </c>
      <c r="M13" s="16">
        <f t="shared" ca="1" si="9"/>
        <v>0.58962088796450607</v>
      </c>
      <c r="N13" s="25" t="e">
        <f>VLOOKUP(T1,'LFL 2024'!A2:M33,12,0)</f>
        <v>#N/A</v>
      </c>
      <c r="O13" s="25">
        <f t="shared" si="3"/>
        <v>0</v>
      </c>
      <c r="P13" s="24" t="e">
        <f t="shared" si="7"/>
        <v>#N/A</v>
      </c>
      <c r="Q13" s="25">
        <v>0</v>
      </c>
      <c r="R13" s="84">
        <v>10</v>
      </c>
      <c r="S13" s="117">
        <f t="shared" si="8"/>
        <v>0</v>
      </c>
      <c r="T13" s="105"/>
      <c r="U13" s="58"/>
      <c r="Z13" s="4"/>
    </row>
    <row r="14" spans="1:499" ht="15.75" hidden="1" x14ac:dyDescent="0.25">
      <c r="A14" s="68" t="s">
        <v>25</v>
      </c>
      <c r="B14" s="4" t="s">
        <v>26</v>
      </c>
      <c r="C14" s="25"/>
      <c r="D14" s="65">
        <f t="shared" ca="1" si="0"/>
        <v>0</v>
      </c>
      <c r="E14" s="4"/>
      <c r="F14" s="24" t="e">
        <f t="shared" ca="1" si="4"/>
        <v>#DIV/0!</v>
      </c>
      <c r="G14" s="23" t="e">
        <f t="shared" si="5"/>
        <v>#DIV/0!</v>
      </c>
      <c r="H14" s="36"/>
      <c r="I14" s="104"/>
      <c r="J14" s="16"/>
      <c r="K14" s="40">
        <f t="shared" si="2"/>
        <v>0</v>
      </c>
      <c r="L14" s="41">
        <f t="shared" si="6"/>
        <v>0</v>
      </c>
      <c r="M14" s="16" t="e">
        <f t="shared" si="9"/>
        <v>#DIV/0!</v>
      </c>
      <c r="N14" s="25" t="e">
        <f>VLOOKUP(T1,'LFL 2024'!A2:N33,13,0)</f>
        <v>#N/A</v>
      </c>
      <c r="O14" s="25">
        <f t="shared" si="3"/>
        <v>0</v>
      </c>
      <c r="P14" s="24" t="e">
        <f t="shared" si="7"/>
        <v>#N/A</v>
      </c>
      <c r="Q14" s="25"/>
      <c r="R14" s="84"/>
      <c r="S14" s="117" t="e">
        <f>Q14/R14*1</f>
        <v>#DIV/0!</v>
      </c>
      <c r="T14" s="105"/>
      <c r="U14" s="58"/>
      <c r="Z14" s="4"/>
    </row>
    <row r="15" spans="1:499" ht="15.75" x14ac:dyDescent="0.25">
      <c r="A15" s="68" t="s">
        <v>27</v>
      </c>
      <c r="B15" s="4" t="s">
        <v>28</v>
      </c>
      <c r="C15" s="25">
        <f ca="1">Retail!I35</f>
        <v>75609.562014035298</v>
      </c>
      <c r="D15" s="65">
        <f t="shared" ca="1" si="0"/>
        <v>30864</v>
      </c>
      <c r="E15" s="4"/>
      <c r="F15" s="24">
        <f t="shared" ca="1" si="4"/>
        <v>-1</v>
      </c>
      <c r="G15" s="23">
        <f t="shared" ca="1" si="5"/>
        <v>0</v>
      </c>
      <c r="H15" s="47">
        <f ca="1">Attraction!C35</f>
        <v>4391.13412542484</v>
      </c>
      <c r="I15" s="103"/>
      <c r="J15" s="16">
        <f t="shared" ca="1" si="1"/>
        <v>0</v>
      </c>
      <c r="K15" s="40">
        <f t="shared" ca="1" si="2"/>
        <v>80000.696139460139</v>
      </c>
      <c r="L15" s="41">
        <f t="shared" si="6"/>
        <v>0</v>
      </c>
      <c r="M15" s="16">
        <f t="shared" ca="1" si="9"/>
        <v>0</v>
      </c>
      <c r="N15" s="25" t="e">
        <f>VLOOKUP(T1,'LFL 2024'!A2:O33,14,0)</f>
        <v>#N/A</v>
      </c>
      <c r="O15" s="25">
        <f t="shared" si="3"/>
        <v>0</v>
      </c>
      <c r="P15" s="24" t="e">
        <f t="shared" si="7"/>
        <v>#N/A</v>
      </c>
      <c r="Q15" s="25">
        <v>3</v>
      </c>
      <c r="R15" s="84">
        <v>22</v>
      </c>
      <c r="S15" s="117">
        <f t="shared" ref="S15:S26" si="10">Q15/R15*1</f>
        <v>0.13636363636363635</v>
      </c>
      <c r="T15" s="105"/>
      <c r="U15" s="58"/>
      <c r="Z15" s="4"/>
    </row>
    <row r="16" spans="1:499" ht="15.75" x14ac:dyDescent="0.25">
      <c r="A16" s="68" t="s">
        <v>46</v>
      </c>
      <c r="B16" s="4" t="s">
        <v>45</v>
      </c>
      <c r="C16" s="25">
        <f ca="1">Retail!N35</f>
        <v>478539.39985072921</v>
      </c>
      <c r="D16" s="65">
        <f t="shared" ca="1" si="0"/>
        <v>266450</v>
      </c>
      <c r="E16" s="4">
        <v>350784</v>
      </c>
      <c r="F16" s="24">
        <f t="shared" ca="1" si="4"/>
        <v>0.31650966410208303</v>
      </c>
      <c r="G16" s="23">
        <f t="shared" ca="1" si="5"/>
        <v>0.7330305511091042</v>
      </c>
      <c r="H16" s="47">
        <f ca="1">Attraction!F35</f>
        <v>86995.039884684636</v>
      </c>
      <c r="I16" s="105">
        <f>70368+15081+6000</f>
        <v>91449</v>
      </c>
      <c r="J16" s="16">
        <f t="shared" ca="1" si="1"/>
        <v>1.0511978627887206</v>
      </c>
      <c r="K16" s="40">
        <f t="shared" ca="1" si="2"/>
        <v>565534.43973541388</v>
      </c>
      <c r="L16" s="41">
        <f t="shared" si="6"/>
        <v>442233</v>
      </c>
      <c r="M16" s="16">
        <f t="shared" ca="1" si="9"/>
        <v>0.78197359688103052</v>
      </c>
      <c r="N16" s="25" t="e">
        <f>VLOOKUP(T1,'LFL 2024'!A2:P33,15,0)</f>
        <v>#N/A</v>
      </c>
      <c r="O16" s="25">
        <f t="shared" si="3"/>
        <v>0</v>
      </c>
      <c r="P16" s="24" t="e">
        <f t="shared" si="7"/>
        <v>#N/A</v>
      </c>
      <c r="Q16" s="25">
        <v>26</v>
      </c>
      <c r="R16" s="84">
        <v>166</v>
      </c>
      <c r="S16" s="117">
        <f t="shared" si="10"/>
        <v>0.15662650602409639</v>
      </c>
      <c r="T16" s="105"/>
      <c r="U16" s="58"/>
      <c r="Z16" s="4"/>
    </row>
    <row r="17" spans="1:26" ht="15.75" hidden="1" x14ac:dyDescent="0.25">
      <c r="A17" s="68" t="s">
        <v>73</v>
      </c>
      <c r="B17" s="4" t="s">
        <v>69</v>
      </c>
      <c r="C17" s="25">
        <v>0</v>
      </c>
      <c r="D17" s="65">
        <f t="shared" ca="1" si="0"/>
        <v>0</v>
      </c>
      <c r="E17" s="4"/>
      <c r="F17" s="24" t="e">
        <f t="shared" ca="1" si="4"/>
        <v>#DIV/0!</v>
      </c>
      <c r="G17" s="23" t="e">
        <f t="shared" si="5"/>
        <v>#DIV/0!</v>
      </c>
      <c r="H17" s="47"/>
      <c r="I17" s="103"/>
      <c r="J17" s="16"/>
      <c r="K17" s="40">
        <f t="shared" si="2"/>
        <v>0</v>
      </c>
      <c r="L17" s="41">
        <f t="shared" si="6"/>
        <v>0</v>
      </c>
      <c r="M17" s="16" t="e">
        <f t="shared" si="9"/>
        <v>#DIV/0!</v>
      </c>
      <c r="N17" s="25" t="e">
        <f>VLOOKUP(T1,'LFL 2024'!A2:Q33,16,0)</f>
        <v>#N/A</v>
      </c>
      <c r="O17" s="25">
        <f t="shared" si="3"/>
        <v>0</v>
      </c>
      <c r="P17" s="24" t="e">
        <f t="shared" si="7"/>
        <v>#N/A</v>
      </c>
      <c r="Q17" s="25"/>
      <c r="R17" s="84"/>
      <c r="S17" s="117" t="e">
        <f t="shared" si="10"/>
        <v>#DIV/0!</v>
      </c>
      <c r="T17" s="105"/>
      <c r="U17" s="58"/>
      <c r="Z17" s="4"/>
    </row>
    <row r="18" spans="1:26" ht="15.75" x14ac:dyDescent="0.25">
      <c r="A18" s="68" t="s">
        <v>48</v>
      </c>
      <c r="B18" s="4" t="s">
        <v>47</v>
      </c>
      <c r="C18" s="25">
        <f ca="1">Retail!P35</f>
        <v>52418.275801081792</v>
      </c>
      <c r="D18" s="65">
        <f t="shared" ca="1" si="0"/>
        <v>22326</v>
      </c>
      <c r="E18" s="4">
        <v>29221</v>
      </c>
      <c r="F18" s="24">
        <f t="shared" ca="1" si="4"/>
        <v>0.30883275105258434</v>
      </c>
      <c r="G18" s="23">
        <f t="shared" ca="1" si="5"/>
        <v>0.55745824435142799</v>
      </c>
      <c r="H18" s="36"/>
      <c r="I18" s="103"/>
      <c r="J18" s="16"/>
      <c r="K18" s="40">
        <f t="shared" ca="1" si="2"/>
        <v>52418.275801081792</v>
      </c>
      <c r="L18" s="41">
        <f t="shared" si="6"/>
        <v>29221</v>
      </c>
      <c r="M18" s="16">
        <f t="shared" ca="1" si="9"/>
        <v>0.55745824435142799</v>
      </c>
      <c r="N18" s="25" t="e">
        <f>VLOOKUP(T1,'LFL 2024'!A2:R33,17,0)</f>
        <v>#N/A</v>
      </c>
      <c r="O18" s="25">
        <f t="shared" si="3"/>
        <v>0</v>
      </c>
      <c r="P18" s="24" t="e">
        <f t="shared" si="7"/>
        <v>#N/A</v>
      </c>
      <c r="Q18" s="25">
        <v>4</v>
      </c>
      <c r="R18" s="84">
        <v>12</v>
      </c>
      <c r="S18" s="117">
        <f t="shared" si="10"/>
        <v>0.33333333333333331</v>
      </c>
      <c r="T18" s="105"/>
      <c r="U18" s="58"/>
      <c r="Z18" s="4"/>
    </row>
    <row r="19" spans="1:26" ht="15.75" x14ac:dyDescent="0.25">
      <c r="A19" s="68" t="s">
        <v>51</v>
      </c>
      <c r="B19" s="4" t="s">
        <v>50</v>
      </c>
      <c r="C19" s="25">
        <f ca="1">Retail!Q35</f>
        <v>50054.432108478766</v>
      </c>
      <c r="D19" s="65">
        <f t="shared" ca="1" si="0"/>
        <v>24076</v>
      </c>
      <c r="E19" s="4">
        <v>12251</v>
      </c>
      <c r="F19" s="24">
        <f t="shared" ca="1" si="4"/>
        <v>-0.4911530154510716</v>
      </c>
      <c r="G19" s="23">
        <f t="shared" ca="1" si="5"/>
        <v>0.24475355096326809</v>
      </c>
      <c r="H19" s="36"/>
      <c r="I19" s="103"/>
      <c r="J19" s="16"/>
      <c r="K19" s="40">
        <f t="shared" ca="1" si="2"/>
        <v>50054.432108478766</v>
      </c>
      <c r="L19" s="41">
        <f t="shared" si="6"/>
        <v>12251</v>
      </c>
      <c r="M19" s="16">
        <f t="shared" ca="1" si="9"/>
        <v>0.24475355096326809</v>
      </c>
      <c r="N19" s="25" t="e">
        <f>VLOOKUP(T1,'LFL 2024'!A2:S33,18,0)</f>
        <v>#N/A</v>
      </c>
      <c r="O19" s="25">
        <f t="shared" si="3"/>
        <v>0</v>
      </c>
      <c r="P19" s="24" t="e">
        <f t="shared" si="7"/>
        <v>#N/A</v>
      </c>
      <c r="Q19" s="25">
        <v>2</v>
      </c>
      <c r="R19" s="84">
        <v>17</v>
      </c>
      <c r="S19" s="117">
        <f t="shared" si="10"/>
        <v>0.11764705882352941</v>
      </c>
      <c r="T19" s="105"/>
      <c r="U19" s="58"/>
      <c r="Z19" s="4"/>
    </row>
    <row r="20" spans="1:26" ht="15.75" x14ac:dyDescent="0.25">
      <c r="A20" s="68" t="s">
        <v>54</v>
      </c>
      <c r="B20" s="4" t="s">
        <v>52</v>
      </c>
      <c r="C20" s="25">
        <f ca="1">Retail!R35</f>
        <v>173176.0929886683</v>
      </c>
      <c r="D20" s="65">
        <f t="shared" ca="1" si="0"/>
        <v>117745</v>
      </c>
      <c r="E20" s="4">
        <v>119707</v>
      </c>
      <c r="F20" s="24">
        <f t="shared" ca="1" si="4"/>
        <v>1.6663127945985012E-2</v>
      </c>
      <c r="G20" s="23">
        <f t="shared" ca="1" si="5"/>
        <v>0.69124437405937422</v>
      </c>
      <c r="H20" s="47">
        <f ca="1">Attraction!H35</f>
        <v>37671.354752526553</v>
      </c>
      <c r="I20" s="103">
        <v>41236</v>
      </c>
      <c r="J20" s="16">
        <f ca="1">I20/H20</f>
        <v>1.094624822252626</v>
      </c>
      <c r="K20" s="40">
        <f t="shared" ca="1" si="2"/>
        <v>210847.44774119486</v>
      </c>
      <c r="L20" s="41">
        <f t="shared" si="6"/>
        <v>160943</v>
      </c>
      <c r="M20" s="16">
        <f t="shared" ca="1" si="9"/>
        <v>0.76331490717188966</v>
      </c>
      <c r="N20" s="25" t="e">
        <f>VLOOKUP(T1,'LFL 2024'!A2:T33,19,0)</f>
        <v>#N/A</v>
      </c>
      <c r="O20" s="25">
        <f t="shared" si="3"/>
        <v>0</v>
      </c>
      <c r="P20" s="24" t="e">
        <f t="shared" si="7"/>
        <v>#N/A</v>
      </c>
      <c r="Q20" s="25">
        <v>20</v>
      </c>
      <c r="R20" s="84">
        <v>71</v>
      </c>
      <c r="S20" s="117">
        <f t="shared" si="10"/>
        <v>0.28169014084507044</v>
      </c>
      <c r="T20" s="105"/>
      <c r="U20" s="58"/>
      <c r="Z20" s="4"/>
    </row>
    <row r="21" spans="1:26" ht="15.75" x14ac:dyDescent="0.25">
      <c r="A21" s="68" t="s">
        <v>74</v>
      </c>
      <c r="B21" s="4" t="s">
        <v>71</v>
      </c>
      <c r="C21" s="25">
        <f ca="1">Retail!S35</f>
        <v>69239.831976393194</v>
      </c>
      <c r="D21" s="65">
        <f t="shared" ca="1" si="0"/>
        <v>41929</v>
      </c>
      <c r="E21" s="4">
        <v>32405</v>
      </c>
      <c r="F21" s="24">
        <f t="shared" ca="1" si="4"/>
        <v>-0.22714588947983494</v>
      </c>
      <c r="G21" s="23">
        <f t="shared" ca="1" si="5"/>
        <v>0.46801095662751235</v>
      </c>
      <c r="H21" s="47"/>
      <c r="I21" s="14"/>
      <c r="J21" s="16"/>
      <c r="K21" s="40">
        <f t="shared" ca="1" si="2"/>
        <v>69239.831976393194</v>
      </c>
      <c r="L21" s="41">
        <f t="shared" si="6"/>
        <v>32405</v>
      </c>
      <c r="M21" s="16">
        <f t="shared" ca="1" si="9"/>
        <v>0.46801095662751235</v>
      </c>
      <c r="N21" s="25" t="e">
        <f>VLOOKUP(T1,'LFL 2024'!A2:U33,20,0)</f>
        <v>#N/A</v>
      </c>
      <c r="O21" s="25">
        <f t="shared" si="3"/>
        <v>0</v>
      </c>
      <c r="P21" s="24" t="e">
        <f t="shared" si="7"/>
        <v>#N/A</v>
      </c>
      <c r="Q21" s="25">
        <v>3</v>
      </c>
      <c r="R21" s="84">
        <v>19</v>
      </c>
      <c r="S21" s="117">
        <f t="shared" si="10"/>
        <v>0.15789473684210525</v>
      </c>
      <c r="T21" s="57"/>
      <c r="U21" s="58"/>
      <c r="Z21" s="4"/>
    </row>
    <row r="22" spans="1:26" s="42" customFormat="1" ht="15.75" x14ac:dyDescent="0.25">
      <c r="A22" s="68" t="s">
        <v>97</v>
      </c>
      <c r="B22" s="4" t="s">
        <v>99</v>
      </c>
      <c r="C22" s="25">
        <f ca="1">Retail!T35</f>
        <v>118798.38844497562</v>
      </c>
      <c r="D22" s="65">
        <f t="shared" ca="1" si="0"/>
        <v>57676</v>
      </c>
      <c r="E22" s="4"/>
      <c r="F22" s="24">
        <f t="shared" ca="1" si="4"/>
        <v>-1</v>
      </c>
      <c r="G22" s="23">
        <f t="shared" ca="1" si="5"/>
        <v>0</v>
      </c>
      <c r="H22" s="47"/>
      <c r="I22" s="14"/>
      <c r="J22" s="16"/>
      <c r="K22" s="40">
        <f t="shared" ca="1" si="2"/>
        <v>118798.38844497562</v>
      </c>
      <c r="L22" s="41">
        <f t="shared" si="6"/>
        <v>0</v>
      </c>
      <c r="M22" s="16">
        <f t="shared" ca="1" si="9"/>
        <v>0</v>
      </c>
      <c r="N22" s="25" t="e">
        <f>VLOOKUP(T2,'LFL 2024'!A3:U34,20,0)</f>
        <v>#N/A</v>
      </c>
      <c r="O22" s="25">
        <f t="shared" si="3"/>
        <v>0</v>
      </c>
      <c r="P22" s="24" t="e">
        <f t="shared" si="7"/>
        <v>#N/A</v>
      </c>
      <c r="Q22" s="25">
        <v>9</v>
      </c>
      <c r="R22" s="84">
        <v>39</v>
      </c>
      <c r="S22" s="117">
        <f t="shared" si="10"/>
        <v>0.23076923076923078</v>
      </c>
      <c r="T22" s="105"/>
      <c r="U22" s="58"/>
      <c r="Z22" s="4"/>
    </row>
    <row r="23" spans="1:26" ht="15.75" x14ac:dyDescent="0.25">
      <c r="A23" s="68" t="s">
        <v>78</v>
      </c>
      <c r="B23" s="4" t="s">
        <v>79</v>
      </c>
      <c r="C23" s="25">
        <f ca="1">Retail!U35</f>
        <v>187326.31302623276</v>
      </c>
      <c r="D23" s="65">
        <f t="shared" ca="1" si="0"/>
        <v>121960</v>
      </c>
      <c r="E23" s="4"/>
      <c r="F23" s="24">
        <f t="shared" ca="1" si="4"/>
        <v>-1</v>
      </c>
      <c r="G23" s="23">
        <f t="shared" ca="1" si="5"/>
        <v>0</v>
      </c>
      <c r="H23" s="47"/>
      <c r="I23" s="14"/>
      <c r="J23" s="16"/>
      <c r="K23" s="40">
        <f t="shared" ca="1" si="2"/>
        <v>187326.31302623276</v>
      </c>
      <c r="L23" s="41">
        <f t="shared" si="6"/>
        <v>0</v>
      </c>
      <c r="M23" s="16">
        <f t="shared" ref="M23:M25" ca="1" si="11">L23/K23</f>
        <v>0</v>
      </c>
      <c r="N23" s="25" t="e">
        <f>VLOOKUP(T1,'LFL 2024'!A2:V33,21,0)</f>
        <v>#N/A</v>
      </c>
      <c r="O23" s="25">
        <f>AJ56</f>
        <v>0</v>
      </c>
      <c r="P23" s="24" t="e">
        <f t="shared" si="7"/>
        <v>#N/A</v>
      </c>
      <c r="Q23" s="25">
        <v>7</v>
      </c>
      <c r="R23" s="84">
        <v>55</v>
      </c>
      <c r="S23" s="117">
        <f t="shared" si="10"/>
        <v>0.12727272727272726</v>
      </c>
      <c r="T23" s="105"/>
      <c r="U23" s="58"/>
      <c r="Z23" s="4"/>
    </row>
    <row r="24" spans="1:26" s="105" customFormat="1" ht="15.75" x14ac:dyDescent="0.25">
      <c r="A24" s="93" t="s">
        <v>103</v>
      </c>
      <c r="B24" s="94" t="s">
        <v>104</v>
      </c>
      <c r="C24" s="25">
        <f ca="1">Retail!V35</f>
        <v>157216.40649720485</v>
      </c>
      <c r="D24" s="65">
        <f t="shared" ca="1" si="0"/>
        <v>38706</v>
      </c>
      <c r="E24" s="94">
        <v>90146</v>
      </c>
      <c r="F24" s="24">
        <f t="shared" ca="1" si="4"/>
        <v>1.3289929209941613</v>
      </c>
      <c r="G24" s="23">
        <f t="shared" ca="1" si="5"/>
        <v>0.57338799434779542</v>
      </c>
      <c r="H24" s="98"/>
      <c r="I24" s="141"/>
      <c r="J24" s="16"/>
      <c r="K24" s="40">
        <f t="shared" ca="1" si="2"/>
        <v>157216.40649720485</v>
      </c>
      <c r="L24" s="41">
        <f t="shared" si="6"/>
        <v>90146</v>
      </c>
      <c r="M24" s="16">
        <f t="shared" ca="1" si="11"/>
        <v>0.57338799434779542</v>
      </c>
      <c r="N24" s="95"/>
      <c r="O24" s="95"/>
      <c r="P24" s="97"/>
      <c r="Q24" s="95"/>
      <c r="R24" s="115"/>
      <c r="S24" s="142"/>
      <c r="U24" s="58"/>
      <c r="Z24" s="4"/>
    </row>
    <row r="25" spans="1:26" s="105" customFormat="1" ht="15.75" x14ac:dyDescent="0.25">
      <c r="A25" s="93" t="s">
        <v>105</v>
      </c>
      <c r="B25" s="94" t="s">
        <v>106</v>
      </c>
      <c r="C25" s="25">
        <f ca="1">Retail!W35</f>
        <v>138746.39014871843</v>
      </c>
      <c r="D25" s="65">
        <f t="shared" ca="1" si="0"/>
        <v>26434</v>
      </c>
      <c r="E25" s="94">
        <v>47557</v>
      </c>
      <c r="F25" s="24">
        <f t="shared" ca="1" si="4"/>
        <v>0.79908451237043199</v>
      </c>
      <c r="G25" s="23">
        <f t="shared" ca="1" si="5"/>
        <v>0.34276207077549881</v>
      </c>
      <c r="H25" s="98"/>
      <c r="I25" s="141"/>
      <c r="J25" s="100"/>
      <c r="K25" s="40">
        <f t="shared" ca="1" si="2"/>
        <v>138746.39014871843</v>
      </c>
      <c r="L25" s="41">
        <f t="shared" si="6"/>
        <v>47557</v>
      </c>
      <c r="M25" s="16">
        <f t="shared" ca="1" si="11"/>
        <v>0.34276207077549881</v>
      </c>
      <c r="N25" s="95"/>
      <c r="O25" s="95"/>
      <c r="P25" s="97"/>
      <c r="Q25" s="95"/>
      <c r="R25" s="115"/>
      <c r="S25" s="142"/>
      <c r="U25" s="58"/>
      <c r="Z25" s="4"/>
    </row>
    <row r="26" spans="1:26" ht="16.5" thickBot="1" x14ac:dyDescent="0.3">
      <c r="A26" s="88"/>
      <c r="B26" s="89"/>
      <c r="C26" s="86">
        <f ca="1">SUM(C4:C25)</f>
        <v>3986963.6772764307</v>
      </c>
      <c r="D26" s="86">
        <f ca="1">SUM(D4:D25)</f>
        <v>2452935</v>
      </c>
      <c r="E26" s="86">
        <f>SUM(E4:E25)</f>
        <v>2585683</v>
      </c>
      <c r="F26" s="90">
        <f t="shared" ref="F26" ca="1" si="12">E26/D26-1</f>
        <v>5.4118025956660043E-2</v>
      </c>
      <c r="G26" s="78">
        <f ca="1">E26/C26</f>
        <v>0.64853437585524443</v>
      </c>
      <c r="H26" s="86">
        <f ca="1">SUM(H4:H24)</f>
        <v>273790.24258838291</v>
      </c>
      <c r="I26" s="86">
        <f>SUM(I4:I24)</f>
        <v>161736</v>
      </c>
      <c r="J26" s="87">
        <f ca="1">I26/H26</f>
        <v>0.59072959821710813</v>
      </c>
      <c r="K26" s="86">
        <f ca="1">SUM(K4:K25)</f>
        <v>4260753.9198648129</v>
      </c>
      <c r="L26" s="86">
        <f>SUM(L4:L25)</f>
        <v>2747419</v>
      </c>
      <c r="M26" s="87">
        <f ca="1">L26/K26</f>
        <v>0.64481991958999862</v>
      </c>
      <c r="N26" s="86" t="e">
        <f>SUM(N4:N23)</f>
        <v>#N/A</v>
      </c>
      <c r="O26" s="86">
        <f>SUM(O4:O23)</f>
        <v>0</v>
      </c>
      <c r="P26" s="77" t="e">
        <f>O26/N26-1</f>
        <v>#N/A</v>
      </c>
      <c r="Q26" s="86">
        <f>SUM(Q4:Q23)</f>
        <v>156</v>
      </c>
      <c r="R26" s="86">
        <f>SUM(R4:R23)</f>
        <v>894</v>
      </c>
      <c r="S26" s="117">
        <f t="shared" si="10"/>
        <v>0.17449664429530201</v>
      </c>
      <c r="Z26" s="4"/>
    </row>
    <row r="27" spans="1:26" ht="15.75" x14ac:dyDescent="0.25">
      <c r="A27" s="69"/>
      <c r="B27" s="6"/>
      <c r="C27" s="7"/>
      <c r="D27" s="8"/>
      <c r="E27" s="7"/>
      <c r="F27" s="9"/>
      <c r="G27" s="10"/>
      <c r="H27" s="11"/>
      <c r="I27" s="82"/>
      <c r="J27" s="82"/>
      <c r="K27" s="82"/>
      <c r="L27" s="82"/>
      <c r="M27" s="83"/>
      <c r="Z27" s="4"/>
    </row>
    <row r="28" spans="1:26" ht="15.75" x14ac:dyDescent="0.25">
      <c r="A28" s="71"/>
      <c r="B28" s="5"/>
      <c r="C28" s="37" t="s">
        <v>29</v>
      </c>
      <c r="D28" s="37" t="s">
        <v>30</v>
      </c>
      <c r="E28" s="38" t="s">
        <v>2</v>
      </c>
      <c r="F28" s="39" t="s">
        <v>3</v>
      </c>
      <c r="G28" s="37" t="s">
        <v>31</v>
      </c>
      <c r="H28" s="34" t="s">
        <v>29</v>
      </c>
      <c r="I28" s="2" t="s">
        <v>41</v>
      </c>
      <c r="J28" s="34" t="s">
        <v>4</v>
      </c>
      <c r="K28" s="34" t="s">
        <v>29</v>
      </c>
      <c r="L28" s="2" t="s">
        <v>41</v>
      </c>
      <c r="M28" s="67" t="s">
        <v>4</v>
      </c>
      <c r="N28" s="37" t="s">
        <v>80</v>
      </c>
      <c r="O28" s="37" t="s">
        <v>84</v>
      </c>
      <c r="P28" s="34" t="s">
        <v>83</v>
      </c>
      <c r="Q28" s="34" t="s">
        <v>84</v>
      </c>
      <c r="R28" s="67" t="s">
        <v>100</v>
      </c>
      <c r="S28" s="34" t="s">
        <v>4</v>
      </c>
      <c r="Z28" s="4"/>
    </row>
    <row r="29" spans="1:26" ht="15.75" x14ac:dyDescent="0.25">
      <c r="A29" s="69"/>
      <c r="B29" s="4" t="s">
        <v>32</v>
      </c>
      <c r="C29" s="25">
        <f ca="1">+C4+C20+C10+C13+C15+C25</f>
        <v>1191866.5359591332</v>
      </c>
      <c r="D29" s="25">
        <f ca="1">+D4+D20+D10+D13+D15+D25</f>
        <v>652072</v>
      </c>
      <c r="E29" s="25">
        <f>+E4+E20+E10+E13+E15+E25</f>
        <v>757432</v>
      </c>
      <c r="F29" s="24">
        <f ca="1">E29/D29-1</f>
        <v>0.16157724913813198</v>
      </c>
      <c r="G29" s="23">
        <f ca="1">+E29/C29</f>
        <v>0.63550068497432077</v>
      </c>
      <c r="H29" s="25">
        <f ca="1">+H4+H20+H15</f>
        <v>55716.019572597441</v>
      </c>
      <c r="I29" s="25">
        <f>+I4+I20+I10+I13+I15</f>
        <v>49637</v>
      </c>
      <c r="J29" s="23">
        <f t="shared" ref="J29" ca="1" si="13">I29/H29</f>
        <v>0.89089278776139891</v>
      </c>
      <c r="K29" s="25">
        <f ca="1">+K4+K20+K10+K13+K15+K25</f>
        <v>1247582.5555317304</v>
      </c>
      <c r="L29" s="25">
        <f>+L4+L20+L10+L13+L15+L25</f>
        <v>807069</v>
      </c>
      <c r="M29" s="72">
        <f ca="1">L29/K29</f>
        <v>0.64690628802197403</v>
      </c>
      <c r="N29" s="25" t="e">
        <f>+N4+N20</f>
        <v>#N/A</v>
      </c>
      <c r="O29" s="25">
        <f>+O4+O20</f>
        <v>0</v>
      </c>
      <c r="P29" s="24" t="e">
        <f t="shared" ref="P29:P33" si="14">O29/N29</f>
        <v>#N/A</v>
      </c>
      <c r="Q29" s="25">
        <f t="shared" ref="Q29:R32" si="15">+Q4+Q20</f>
        <v>20</v>
      </c>
      <c r="R29" s="25">
        <f t="shared" si="15"/>
        <v>71</v>
      </c>
      <c r="S29" s="117">
        <f t="shared" ref="S29:S32" si="16">Q29/R29*1</f>
        <v>0.28169014084507044</v>
      </c>
      <c r="Z29" s="4"/>
    </row>
    <row r="30" spans="1:26" ht="15.75" hidden="1" x14ac:dyDescent="0.25">
      <c r="A30" s="69"/>
      <c r="B30" s="4" t="s">
        <v>33</v>
      </c>
      <c r="C30" s="25">
        <v>0</v>
      </c>
      <c r="D30" s="25">
        <v>0</v>
      </c>
      <c r="E30" s="25">
        <v>0</v>
      </c>
      <c r="F30" s="24" t="e">
        <f>E30/D30-1</f>
        <v>#DIV/0!</v>
      </c>
      <c r="G30" s="23" t="e">
        <f>+E30/C30</f>
        <v>#DIV/0!</v>
      </c>
      <c r="H30" s="25">
        <f>+H10+H13</f>
        <v>0</v>
      </c>
      <c r="I30" s="25">
        <v>0</v>
      </c>
      <c r="J30" s="23" t="e">
        <f>I30/H30</f>
        <v>#DIV/0!</v>
      </c>
      <c r="K30" s="25">
        <v>0</v>
      </c>
      <c r="L30" s="25">
        <v>0</v>
      </c>
      <c r="M30" s="72" t="e">
        <f t="shared" ref="M30:M32" si="17">L30/K30</f>
        <v>#DIV/0!</v>
      </c>
      <c r="N30" s="25" t="e">
        <f>+N10+N13+N15</f>
        <v>#N/A</v>
      </c>
      <c r="O30" s="25">
        <f>+O10+O13+O15</f>
        <v>0</v>
      </c>
      <c r="P30" s="24" t="e">
        <f t="shared" si="14"/>
        <v>#N/A</v>
      </c>
      <c r="Q30" s="25">
        <f t="shared" si="15"/>
        <v>16</v>
      </c>
      <c r="R30" s="25">
        <f t="shared" si="15"/>
        <v>73</v>
      </c>
      <c r="S30" s="117">
        <f t="shared" si="16"/>
        <v>0.21917808219178081</v>
      </c>
      <c r="Z30" s="4"/>
    </row>
    <row r="31" spans="1:26" ht="15.75" x14ac:dyDescent="0.25">
      <c r="A31" s="69"/>
      <c r="B31" s="4" t="s">
        <v>75</v>
      </c>
      <c r="C31" s="25">
        <f ca="1">+C11+C9+C12+C6+C14+C21+C22+C24</f>
        <v>1171665.5131689731</v>
      </c>
      <c r="D31" s="25">
        <f ca="1">+D11+D9+D12+D6+D14+D21+D22+D24</f>
        <v>783772</v>
      </c>
      <c r="E31" s="25">
        <f>+E11+E9+E12+E6+E14+E21+E22+E24</f>
        <v>617239</v>
      </c>
      <c r="F31" s="24">
        <f ca="1">E31/D31-1</f>
        <v>-0.21247633240279062</v>
      </c>
      <c r="G31" s="23">
        <f ca="1">+E31/C31</f>
        <v>0.52680478606097214</v>
      </c>
      <c r="H31" s="25">
        <f ca="1">H11+H9+H12+H6+H14+H21+H22+H24</f>
        <v>100564.04266308263</v>
      </c>
      <c r="I31" s="25">
        <f>I11+I9+I12+I6+I14+I21+I22+I24</f>
        <v>0</v>
      </c>
      <c r="J31" s="23">
        <f ca="1">I31/H31</f>
        <v>0</v>
      </c>
      <c r="K31" s="25">
        <f ca="1">K11+K9+K12+K6+K14+K21+K22+K24</f>
        <v>1272229.5558320559</v>
      </c>
      <c r="L31" s="25">
        <f>L11+L9+L12+L6+L14+L21+L22+L24</f>
        <v>617239</v>
      </c>
      <c r="M31" s="72">
        <f t="shared" ca="1" si="17"/>
        <v>0.4851632295213556</v>
      </c>
      <c r="N31" s="25" t="e">
        <f>+N11+N9+N12+N6+N14+N21</f>
        <v>#N/A</v>
      </c>
      <c r="O31" s="25">
        <f>+O11+O9+O12+O6+O14+O21</f>
        <v>0</v>
      </c>
      <c r="P31" s="24" t="e">
        <f t="shared" si="14"/>
        <v>#N/A</v>
      </c>
      <c r="Q31" s="25">
        <f t="shared" si="15"/>
        <v>12</v>
      </c>
      <c r="R31" s="25">
        <f t="shared" si="15"/>
        <v>60</v>
      </c>
      <c r="S31" s="117">
        <f t="shared" si="16"/>
        <v>0.2</v>
      </c>
      <c r="Z31" s="4"/>
    </row>
    <row r="32" spans="1:26" ht="15.75" x14ac:dyDescent="0.25">
      <c r="A32" s="69"/>
      <c r="B32" s="4" t="s">
        <v>34</v>
      </c>
      <c r="C32" s="25">
        <f ca="1">+C5+C7+C8+C19+C17+C18+C16+C23</f>
        <v>1623431.6281483243</v>
      </c>
      <c r="D32" s="25">
        <f ca="1">+D5+D7+D8+D19+D17+D18+D16+D23</f>
        <v>1017091</v>
      </c>
      <c r="E32" s="25">
        <f>+E5+E7+E8+E19+E17+E18+E16+E23</f>
        <v>1211012</v>
      </c>
      <c r="F32" s="24">
        <f ca="1">E32/D32-1</f>
        <v>0.19066238910775923</v>
      </c>
      <c r="G32" s="23">
        <f ca="1">+E32/C32</f>
        <v>0.74595811674635937</v>
      </c>
      <c r="H32" s="25">
        <f ca="1">+H5+H8+H16</f>
        <v>117510.18035270288</v>
      </c>
      <c r="I32" s="25">
        <f>+I5+I7+I8+I19+I18+I17+I16+I23</f>
        <v>112099</v>
      </c>
      <c r="J32" s="23">
        <f t="shared" ref="J32" ca="1" si="18">I32/H32</f>
        <v>0.95395139096492398</v>
      </c>
      <c r="K32" s="25">
        <f ca="1">+K5+K7+K8+K19+K18+K17+K16+K23</f>
        <v>1740941.8085010275</v>
      </c>
      <c r="L32" s="25">
        <f>+L5+L7+L8+L19+L18+L17+L16+L23</f>
        <v>1323111</v>
      </c>
      <c r="M32" s="72">
        <f t="shared" ca="1" si="17"/>
        <v>0.75999725754143099</v>
      </c>
      <c r="N32" s="25" t="e">
        <f>+N5+N7+N8+N19+N18+N17+N16+N23</f>
        <v>#N/A</v>
      </c>
      <c r="O32" s="25">
        <f>+O5+O7+O8+O19+O18+O17+O16+O23</f>
        <v>0</v>
      </c>
      <c r="P32" s="24" t="e">
        <f t="shared" si="14"/>
        <v>#N/A</v>
      </c>
      <c r="Q32" s="25">
        <f t="shared" si="15"/>
        <v>25</v>
      </c>
      <c r="R32" s="25">
        <f t="shared" si="15"/>
        <v>155</v>
      </c>
      <c r="S32" s="117">
        <f t="shared" si="16"/>
        <v>0.16129032258064516</v>
      </c>
      <c r="Z32" s="4"/>
    </row>
    <row r="33" spans="1:42" ht="16.5" thickBot="1" x14ac:dyDescent="0.3">
      <c r="A33" s="73"/>
      <c r="B33" s="74"/>
      <c r="C33" s="75">
        <f ca="1">SUM(C29:C32)</f>
        <v>3986963.6772764307</v>
      </c>
      <c r="D33" s="75">
        <f ca="1">SUM(D29:D32)</f>
        <v>2452935</v>
      </c>
      <c r="E33" s="75">
        <f>SUM(E29:E32)</f>
        <v>2585683</v>
      </c>
      <c r="F33" s="77">
        <f ca="1">E33/D33-1</f>
        <v>5.4118025956660043E-2</v>
      </c>
      <c r="G33" s="78">
        <f ca="1">+E33/C33</f>
        <v>0.64853437585524443</v>
      </c>
      <c r="H33" s="75">
        <f ca="1">SUM(H29:H32)</f>
        <v>273790.24258838291</v>
      </c>
      <c r="I33" s="75">
        <f>SUM(I29:I32)</f>
        <v>161736</v>
      </c>
      <c r="J33" s="78">
        <f ca="1">I33/H33</f>
        <v>0.59072959821710813</v>
      </c>
      <c r="K33" s="75">
        <f t="shared" ref="K33:L33" ca="1" si="19">SUM(K29:K32)</f>
        <v>4260753.9198648138</v>
      </c>
      <c r="L33" s="75">
        <f t="shared" si="19"/>
        <v>2747419</v>
      </c>
      <c r="M33" s="79">
        <f ca="1">L33/K33</f>
        <v>0.64481991958999851</v>
      </c>
      <c r="N33" s="76" t="e">
        <f>SUM(N29:N32)</f>
        <v>#N/A</v>
      </c>
      <c r="O33" s="76">
        <f>SUM(O29:O32)</f>
        <v>0</v>
      </c>
      <c r="P33" s="63" t="e">
        <f t="shared" si="14"/>
        <v>#N/A</v>
      </c>
      <c r="Q33" s="76">
        <f>SUM(Q29:Q32)</f>
        <v>73</v>
      </c>
      <c r="R33" s="76">
        <f>SUM(R29:R32)</f>
        <v>359</v>
      </c>
      <c r="S33" s="118">
        <f>+Q33/R33</f>
        <v>0.20334261838440112</v>
      </c>
      <c r="Z33" s="4"/>
    </row>
    <row r="34" spans="1:42" x14ac:dyDescent="0.25">
      <c r="C34" s="101"/>
    </row>
    <row r="36" spans="1:42" ht="15.75" x14ac:dyDescent="0.25">
      <c r="A36" s="43" t="s">
        <v>0</v>
      </c>
      <c r="B36" s="43" t="s">
        <v>1</v>
      </c>
      <c r="C36" s="53">
        <v>46259</v>
      </c>
      <c r="D36" s="53">
        <f t="shared" ref="D36:F36" si="20">C36+1</f>
        <v>46260</v>
      </c>
      <c r="E36" s="53">
        <f t="shared" si="20"/>
        <v>46261</v>
      </c>
      <c r="F36" s="53">
        <f t="shared" si="20"/>
        <v>46262</v>
      </c>
      <c r="G36" s="53">
        <f>F36+1</f>
        <v>46263</v>
      </c>
      <c r="H36" s="53">
        <f>G36+1</f>
        <v>46264</v>
      </c>
      <c r="I36" s="53">
        <f t="shared" ref="I36:AP36" si="21">H36+1</f>
        <v>46265</v>
      </c>
      <c r="J36" s="53">
        <f t="shared" si="21"/>
        <v>46266</v>
      </c>
      <c r="K36" s="53">
        <f t="shared" si="21"/>
        <v>46267</v>
      </c>
      <c r="L36" s="53">
        <f t="shared" si="21"/>
        <v>46268</v>
      </c>
      <c r="M36" s="53">
        <f t="shared" si="21"/>
        <v>46269</v>
      </c>
      <c r="N36" s="53">
        <f t="shared" si="21"/>
        <v>46270</v>
      </c>
      <c r="O36" s="53">
        <f t="shared" si="21"/>
        <v>46271</v>
      </c>
      <c r="P36" s="53">
        <f t="shared" si="21"/>
        <v>46272</v>
      </c>
      <c r="Q36" s="53">
        <f t="shared" si="21"/>
        <v>46273</v>
      </c>
      <c r="R36" s="53">
        <f t="shared" si="21"/>
        <v>46274</v>
      </c>
      <c r="S36" s="53">
        <f t="shared" si="21"/>
        <v>46275</v>
      </c>
      <c r="T36" s="53">
        <f t="shared" si="21"/>
        <v>46276</v>
      </c>
      <c r="U36" s="53">
        <f t="shared" si="21"/>
        <v>46277</v>
      </c>
      <c r="V36" s="53">
        <f t="shared" si="21"/>
        <v>46278</v>
      </c>
      <c r="W36" s="53">
        <f t="shared" si="21"/>
        <v>46279</v>
      </c>
      <c r="X36" s="53">
        <f t="shared" si="21"/>
        <v>46280</v>
      </c>
      <c r="Y36" s="53">
        <f t="shared" si="21"/>
        <v>46281</v>
      </c>
      <c r="Z36" s="53">
        <f t="shared" si="21"/>
        <v>46282</v>
      </c>
      <c r="AA36" s="53">
        <f t="shared" si="21"/>
        <v>46283</v>
      </c>
      <c r="AB36" s="53">
        <f t="shared" si="21"/>
        <v>46284</v>
      </c>
      <c r="AC36" s="53">
        <f t="shared" si="21"/>
        <v>46285</v>
      </c>
      <c r="AD36" s="53">
        <f t="shared" si="21"/>
        <v>46286</v>
      </c>
      <c r="AE36" s="53">
        <f t="shared" si="21"/>
        <v>46287</v>
      </c>
      <c r="AF36" s="53">
        <f t="shared" si="21"/>
        <v>46288</v>
      </c>
      <c r="AG36" s="53">
        <f t="shared" si="21"/>
        <v>46289</v>
      </c>
      <c r="AH36" s="53">
        <f t="shared" si="21"/>
        <v>46290</v>
      </c>
      <c r="AI36" s="53">
        <f>AH36+1</f>
        <v>46291</v>
      </c>
      <c r="AJ36" s="53">
        <f t="shared" si="21"/>
        <v>46292</v>
      </c>
      <c r="AK36" s="53">
        <f t="shared" si="21"/>
        <v>46293</v>
      </c>
      <c r="AL36" s="53">
        <f t="shared" si="21"/>
        <v>46294</v>
      </c>
      <c r="AM36" s="53">
        <f t="shared" si="21"/>
        <v>46295</v>
      </c>
      <c r="AN36" s="53">
        <f t="shared" si="21"/>
        <v>46296</v>
      </c>
      <c r="AO36" s="53">
        <f t="shared" si="21"/>
        <v>46297</v>
      </c>
      <c r="AP36" s="53">
        <f t="shared" si="21"/>
        <v>46298</v>
      </c>
    </row>
    <row r="37" spans="1:42" ht="14.25" customHeight="1" x14ac:dyDescent="0.25">
      <c r="A37" s="4" t="s">
        <v>5</v>
      </c>
      <c r="B37" s="4" t="s">
        <v>6</v>
      </c>
      <c r="C37" s="4">
        <v>226258</v>
      </c>
      <c r="D37" s="4">
        <v>277580</v>
      </c>
      <c r="E37" s="4">
        <v>371875</v>
      </c>
      <c r="F37" s="4">
        <v>350510</v>
      </c>
      <c r="G37" s="4">
        <v>386304</v>
      </c>
      <c r="H37" s="4">
        <v>439607</v>
      </c>
      <c r="I37" s="4">
        <v>128034</v>
      </c>
      <c r="J37" s="4">
        <v>154783</v>
      </c>
      <c r="K37" s="4">
        <v>149426</v>
      </c>
      <c r="L37" s="4">
        <v>261489</v>
      </c>
      <c r="M37" s="4">
        <v>146170</v>
      </c>
      <c r="N37" s="4">
        <v>344085</v>
      </c>
      <c r="O37" s="4"/>
      <c r="P37" s="4">
        <v>110994</v>
      </c>
      <c r="Q37" s="4">
        <v>65166</v>
      </c>
      <c r="R37" s="4">
        <v>180568</v>
      </c>
      <c r="S37" s="4">
        <v>171261</v>
      </c>
      <c r="T37" s="4">
        <v>205049</v>
      </c>
      <c r="U37" s="4">
        <v>467207</v>
      </c>
      <c r="V37" s="4">
        <v>385764</v>
      </c>
      <c r="W37" s="4">
        <v>169342</v>
      </c>
      <c r="X37" s="4">
        <v>217460</v>
      </c>
      <c r="Y37" s="4">
        <v>150861</v>
      </c>
      <c r="Z37" s="4">
        <v>180950</v>
      </c>
      <c r="AA37" s="4">
        <v>425028</v>
      </c>
      <c r="AB37" s="4">
        <v>333960</v>
      </c>
      <c r="AC37" s="4">
        <v>423099</v>
      </c>
      <c r="AD37" s="4"/>
      <c r="AE37" s="4">
        <v>108229</v>
      </c>
      <c r="AF37" s="4">
        <v>133290</v>
      </c>
      <c r="AG37" s="4">
        <v>203028</v>
      </c>
      <c r="AH37" s="4"/>
      <c r="AI37" s="4"/>
      <c r="AJ37" s="4"/>
      <c r="AK37" s="4"/>
      <c r="AL37" s="4"/>
      <c r="AM37" s="4"/>
      <c r="AN37" s="4"/>
      <c r="AO37" s="65"/>
      <c r="AP37" s="65"/>
    </row>
    <row r="38" spans="1:42" ht="15.75" x14ac:dyDescent="0.25">
      <c r="A38" s="4" t="s">
        <v>7</v>
      </c>
      <c r="B38" s="4" t="s">
        <v>8</v>
      </c>
      <c r="C38" s="4">
        <v>57799</v>
      </c>
      <c r="D38" s="4">
        <v>191145</v>
      </c>
      <c r="E38" s="65">
        <v>202912</v>
      </c>
      <c r="F38" s="4">
        <v>99132</v>
      </c>
      <c r="G38" s="4">
        <v>132109</v>
      </c>
      <c r="H38" s="4">
        <v>127364</v>
      </c>
      <c r="I38" s="4">
        <v>44440</v>
      </c>
      <c r="J38" s="4">
        <v>108143</v>
      </c>
      <c r="K38" s="4">
        <v>75563</v>
      </c>
      <c r="L38" s="4">
        <v>83397</v>
      </c>
      <c r="M38" s="4">
        <v>42672</v>
      </c>
      <c r="N38" s="4">
        <v>48586</v>
      </c>
      <c r="O38" s="4"/>
      <c r="P38" s="4">
        <v>55320</v>
      </c>
      <c r="Q38" s="4">
        <v>27029</v>
      </c>
      <c r="R38" s="4">
        <v>68438</v>
      </c>
      <c r="S38" s="4">
        <v>15252</v>
      </c>
      <c r="T38" s="4">
        <v>46829</v>
      </c>
      <c r="U38" s="4">
        <v>90571</v>
      </c>
      <c r="V38" s="4">
        <v>148378</v>
      </c>
      <c r="W38" s="4"/>
      <c r="X38" s="4">
        <v>31226</v>
      </c>
      <c r="Y38" s="4">
        <v>46255</v>
      </c>
      <c r="Z38" s="4">
        <v>83721</v>
      </c>
      <c r="AA38" s="4">
        <v>53113</v>
      </c>
      <c r="AB38" s="4">
        <v>84133</v>
      </c>
      <c r="AC38" s="4">
        <v>154462</v>
      </c>
      <c r="AD38" s="4"/>
      <c r="AE38" s="4">
        <v>85236</v>
      </c>
      <c r="AF38" s="4">
        <v>55442</v>
      </c>
      <c r="AG38" s="4">
        <v>57764</v>
      </c>
      <c r="AH38" s="4"/>
      <c r="AI38" s="4"/>
      <c r="AJ38" s="65"/>
      <c r="AK38" s="4"/>
      <c r="AL38" s="4"/>
      <c r="AM38" s="4"/>
      <c r="AN38" s="4"/>
      <c r="AO38" s="65"/>
      <c r="AP38" s="65"/>
    </row>
    <row r="39" spans="1:42" ht="15.75" x14ac:dyDescent="0.25">
      <c r="A39" s="4" t="s">
        <v>9</v>
      </c>
      <c r="B39" s="4" t="s">
        <v>10</v>
      </c>
      <c r="C39" s="4">
        <v>28279</v>
      </c>
      <c r="D39" s="4">
        <v>22998</v>
      </c>
      <c r="E39" s="65">
        <v>50869</v>
      </c>
      <c r="F39" s="4">
        <v>30607</v>
      </c>
      <c r="G39" s="4">
        <v>24354</v>
      </c>
      <c r="H39" s="4">
        <v>54258</v>
      </c>
      <c r="I39" s="4">
        <v>8086</v>
      </c>
      <c r="J39" s="4">
        <v>9645</v>
      </c>
      <c r="K39" s="4">
        <v>5168</v>
      </c>
      <c r="L39" s="4">
        <v>6065</v>
      </c>
      <c r="M39" s="4">
        <v>24734</v>
      </c>
      <c r="N39" s="4">
        <v>35389</v>
      </c>
      <c r="O39" s="4"/>
      <c r="P39" s="4">
        <v>8496</v>
      </c>
      <c r="Q39" s="4">
        <v>1048</v>
      </c>
      <c r="R39" s="4">
        <v>9104</v>
      </c>
      <c r="S39" s="4">
        <v>5741</v>
      </c>
      <c r="T39" s="4">
        <v>5480</v>
      </c>
      <c r="U39" s="4">
        <v>11538</v>
      </c>
      <c r="V39" s="4">
        <v>22720</v>
      </c>
      <c r="W39" s="4">
        <v>14172</v>
      </c>
      <c r="X39" s="4">
        <v>32446</v>
      </c>
      <c r="Y39" s="4">
        <v>9770</v>
      </c>
      <c r="Z39" s="4">
        <v>12194</v>
      </c>
      <c r="AA39" s="4">
        <v>16440</v>
      </c>
      <c r="AB39" s="4">
        <v>22020</v>
      </c>
      <c r="AC39" s="4">
        <v>48373</v>
      </c>
      <c r="AD39" s="4"/>
      <c r="AE39" s="4">
        <v>0</v>
      </c>
      <c r="AF39" s="4">
        <v>11501</v>
      </c>
      <c r="AG39" s="4">
        <v>16697</v>
      </c>
      <c r="AH39" s="4"/>
      <c r="AI39" s="4"/>
      <c r="AJ39" s="65"/>
      <c r="AK39" s="4"/>
      <c r="AL39" s="4"/>
      <c r="AM39" s="4"/>
      <c r="AN39" s="4"/>
      <c r="AO39" s="65"/>
      <c r="AP39" s="65"/>
    </row>
    <row r="40" spans="1:42" ht="15.75" x14ac:dyDescent="0.25">
      <c r="A40" s="4" t="s">
        <v>11</v>
      </c>
      <c r="B40" s="4" t="s">
        <v>12</v>
      </c>
      <c r="C40" s="4">
        <v>182288</v>
      </c>
      <c r="D40" s="4">
        <v>369370</v>
      </c>
      <c r="E40" s="65">
        <v>248272</v>
      </c>
      <c r="F40" s="4">
        <v>296224</v>
      </c>
      <c r="G40" s="4">
        <v>359084</v>
      </c>
      <c r="H40" s="4">
        <v>326193</v>
      </c>
      <c r="I40" s="4">
        <v>99587</v>
      </c>
      <c r="J40" s="4">
        <v>83960</v>
      </c>
      <c r="K40" s="4">
        <v>50302</v>
      </c>
      <c r="L40" s="4">
        <v>133153</v>
      </c>
      <c r="M40" s="4">
        <v>130505</v>
      </c>
      <c r="N40" s="4">
        <v>349780</v>
      </c>
      <c r="O40" s="4"/>
      <c r="P40" s="4">
        <v>68545</v>
      </c>
      <c r="Q40" s="4">
        <v>72224</v>
      </c>
      <c r="R40" s="4">
        <v>101521</v>
      </c>
      <c r="S40" s="4">
        <v>167561</v>
      </c>
      <c r="T40" s="4">
        <v>122689</v>
      </c>
      <c r="U40" s="4">
        <v>142796</v>
      </c>
      <c r="V40" s="4">
        <v>256995</v>
      </c>
      <c r="W40" s="4">
        <v>123928</v>
      </c>
      <c r="X40" s="4">
        <v>76172</v>
      </c>
      <c r="Y40" s="4">
        <v>156157</v>
      </c>
      <c r="Z40" s="4">
        <v>112758</v>
      </c>
      <c r="AA40" s="4">
        <v>77313</v>
      </c>
      <c r="AB40" s="4">
        <v>368242</v>
      </c>
      <c r="AC40" s="4">
        <v>304668</v>
      </c>
      <c r="AD40" s="4"/>
      <c r="AE40" s="4">
        <v>181529</v>
      </c>
      <c r="AF40" s="4">
        <v>143928</v>
      </c>
      <c r="AG40" s="4">
        <v>134378</v>
      </c>
      <c r="AH40" s="4"/>
      <c r="AI40" s="4"/>
      <c r="AJ40" s="65"/>
      <c r="AK40" s="4"/>
      <c r="AL40" s="4"/>
      <c r="AM40" s="4"/>
      <c r="AN40" s="4"/>
      <c r="AO40" s="65"/>
      <c r="AP40" s="65"/>
    </row>
    <row r="41" spans="1:42" ht="15.75" x14ac:dyDescent="0.25">
      <c r="A41" s="4" t="s">
        <v>13</v>
      </c>
      <c r="B41" s="4" t="s">
        <v>14</v>
      </c>
      <c r="C41" s="4">
        <v>56777</v>
      </c>
      <c r="D41" s="4">
        <v>116197</v>
      </c>
      <c r="E41" s="107">
        <v>103763</v>
      </c>
      <c r="F41" s="4">
        <v>110567</v>
      </c>
      <c r="G41" s="4">
        <v>71367</v>
      </c>
      <c r="H41" s="4">
        <v>114535</v>
      </c>
      <c r="I41" s="4">
        <v>25953</v>
      </c>
      <c r="J41" s="4">
        <v>55961</v>
      </c>
      <c r="K41" s="4">
        <v>54990</v>
      </c>
      <c r="L41" s="4">
        <v>40785</v>
      </c>
      <c r="M41" s="4">
        <v>37036</v>
      </c>
      <c r="N41" s="4">
        <v>142167</v>
      </c>
      <c r="O41" s="4"/>
      <c r="P41" s="4">
        <v>37125</v>
      </c>
      <c r="Q41" s="4">
        <v>18978</v>
      </c>
      <c r="R41" s="4">
        <v>65287</v>
      </c>
      <c r="S41" s="4">
        <v>42025</v>
      </c>
      <c r="T41" s="4">
        <v>96100</v>
      </c>
      <c r="U41" s="4">
        <v>189720</v>
      </c>
      <c r="V41" s="4">
        <v>147124</v>
      </c>
      <c r="W41" s="4">
        <v>31102</v>
      </c>
      <c r="X41" s="4">
        <v>45001</v>
      </c>
      <c r="Y41" s="4">
        <v>29730</v>
      </c>
      <c r="Z41" s="4">
        <v>37034</v>
      </c>
      <c r="AA41" s="4">
        <v>56327</v>
      </c>
      <c r="AB41" s="4">
        <v>129904</v>
      </c>
      <c r="AC41" s="4">
        <v>149083</v>
      </c>
      <c r="AD41" s="4"/>
      <c r="AE41" s="4">
        <v>76420</v>
      </c>
      <c r="AF41" s="4">
        <v>55230</v>
      </c>
      <c r="AG41" s="4">
        <v>90464</v>
      </c>
      <c r="AH41" s="4"/>
      <c r="AI41" s="4"/>
      <c r="AJ41" s="107"/>
      <c r="AK41" s="4"/>
      <c r="AL41" s="4"/>
      <c r="AM41" s="4"/>
      <c r="AN41" s="4"/>
      <c r="AO41" s="65"/>
      <c r="AP41" s="65"/>
    </row>
    <row r="42" spans="1:42" ht="15.75" x14ac:dyDescent="0.25">
      <c r="A42" s="4" t="s">
        <v>15</v>
      </c>
      <c r="B42" s="4" t="s">
        <v>16</v>
      </c>
      <c r="C42" s="4">
        <v>250112</v>
      </c>
      <c r="D42" s="4">
        <v>236449</v>
      </c>
      <c r="E42" s="65">
        <v>401066</v>
      </c>
      <c r="F42" s="4">
        <v>336916</v>
      </c>
      <c r="G42" s="4">
        <v>480207</v>
      </c>
      <c r="H42" s="4">
        <v>727037</v>
      </c>
      <c r="I42" s="4">
        <v>110233</v>
      </c>
      <c r="J42" s="4">
        <v>167844</v>
      </c>
      <c r="K42" s="4">
        <v>64361</v>
      </c>
      <c r="L42" s="4">
        <v>123050</v>
      </c>
      <c r="M42" s="4">
        <v>134504</v>
      </c>
      <c r="N42" s="4">
        <v>202285</v>
      </c>
      <c r="O42" s="4"/>
      <c r="P42" s="4">
        <v>97567</v>
      </c>
      <c r="Q42" s="4">
        <v>81864</v>
      </c>
      <c r="R42" s="4">
        <v>56438</v>
      </c>
      <c r="S42" s="4">
        <v>95536</v>
      </c>
      <c r="T42" s="4">
        <v>144387</v>
      </c>
      <c r="U42" s="4">
        <v>315444</v>
      </c>
      <c r="V42" s="4">
        <v>245907</v>
      </c>
      <c r="W42" s="4">
        <v>126752</v>
      </c>
      <c r="X42" s="4">
        <v>84790</v>
      </c>
      <c r="Y42" s="4">
        <v>149803</v>
      </c>
      <c r="Z42" s="4">
        <v>109582</v>
      </c>
      <c r="AA42" s="4">
        <v>245352</v>
      </c>
      <c r="AB42" s="4">
        <v>449241</v>
      </c>
      <c r="AC42" s="4">
        <v>312288</v>
      </c>
      <c r="AD42" s="4"/>
      <c r="AE42" s="4">
        <v>147184</v>
      </c>
      <c r="AF42" s="4">
        <v>166607</v>
      </c>
      <c r="AG42" s="4">
        <v>182095</v>
      </c>
      <c r="AH42" s="4"/>
      <c r="AI42" s="4"/>
      <c r="AJ42" s="65"/>
      <c r="AK42" s="4"/>
      <c r="AL42" s="4"/>
      <c r="AM42" s="4"/>
      <c r="AN42" s="4"/>
      <c r="AO42" s="65"/>
      <c r="AP42" s="65"/>
    </row>
    <row r="43" spans="1:42" ht="15.75" x14ac:dyDescent="0.25">
      <c r="A43" s="4" t="s">
        <v>17</v>
      </c>
      <c r="B43" s="4" t="s">
        <v>18</v>
      </c>
      <c r="C43" s="4">
        <v>81379</v>
      </c>
      <c r="D43" s="4">
        <v>134351</v>
      </c>
      <c r="E43" s="4">
        <v>179844</v>
      </c>
      <c r="F43" s="4">
        <v>122753</v>
      </c>
      <c r="G43" s="4">
        <v>156042</v>
      </c>
      <c r="H43" s="4">
        <v>120980</v>
      </c>
      <c r="I43" s="4">
        <v>32302</v>
      </c>
      <c r="J43" s="4">
        <v>19680</v>
      </c>
      <c r="K43" s="4">
        <v>55141</v>
      </c>
      <c r="L43" s="4">
        <v>45561</v>
      </c>
      <c r="M43" s="4">
        <v>41570</v>
      </c>
      <c r="N43" s="4">
        <v>59471</v>
      </c>
      <c r="O43" s="4"/>
      <c r="P43" s="4">
        <v>58031</v>
      </c>
      <c r="Q43" s="4">
        <v>19345</v>
      </c>
      <c r="R43" s="4">
        <v>54890</v>
      </c>
      <c r="S43" s="4">
        <v>50780</v>
      </c>
      <c r="T43" s="4">
        <v>57324</v>
      </c>
      <c r="U43" s="4">
        <v>72034</v>
      </c>
      <c r="V43" s="4">
        <v>51590</v>
      </c>
      <c r="W43" s="4"/>
      <c r="X43" s="4">
        <v>50790</v>
      </c>
      <c r="Y43" s="4">
        <v>16324</v>
      </c>
      <c r="Z43" s="4">
        <v>31420</v>
      </c>
      <c r="AA43" s="4">
        <v>21714</v>
      </c>
      <c r="AB43" s="4">
        <v>114385</v>
      </c>
      <c r="AC43" s="4">
        <v>117511</v>
      </c>
      <c r="AD43" s="4"/>
      <c r="AE43" s="4">
        <v>26577</v>
      </c>
      <c r="AF43" s="4">
        <v>54998</v>
      </c>
      <c r="AG43" s="4">
        <v>58885</v>
      </c>
      <c r="AH43" s="4"/>
      <c r="AI43" s="4"/>
      <c r="AJ43" s="4"/>
      <c r="AK43" s="4"/>
      <c r="AL43" s="4"/>
      <c r="AM43" s="4"/>
      <c r="AN43" s="4"/>
      <c r="AO43" s="65"/>
      <c r="AP43" s="65"/>
    </row>
    <row r="44" spans="1:42" ht="15.75" x14ac:dyDescent="0.25">
      <c r="A44" s="4" t="s">
        <v>19</v>
      </c>
      <c r="B44" s="4" t="s">
        <v>20</v>
      </c>
      <c r="C44" s="4">
        <v>48880</v>
      </c>
      <c r="D44" s="4">
        <v>118701</v>
      </c>
      <c r="E44" s="65">
        <v>122980</v>
      </c>
      <c r="F44" s="4">
        <v>76780</v>
      </c>
      <c r="G44" s="4">
        <v>75080</v>
      </c>
      <c r="H44" s="4">
        <v>85329</v>
      </c>
      <c r="I44" s="4">
        <v>23580</v>
      </c>
      <c r="J44" s="4">
        <v>35380</v>
      </c>
      <c r="K44" s="4">
        <v>24582</v>
      </c>
      <c r="L44" s="4">
        <v>36780</v>
      </c>
      <c r="M44" s="4">
        <v>67280</v>
      </c>
      <c r="N44" s="4">
        <v>94080</v>
      </c>
      <c r="O44" s="4"/>
      <c r="P44" s="4">
        <v>24980</v>
      </c>
      <c r="Q44" s="4">
        <v>28980</v>
      </c>
      <c r="R44" s="4">
        <v>52080</v>
      </c>
      <c r="S44" s="4">
        <v>30073</v>
      </c>
      <c r="T44" s="4">
        <v>30580</v>
      </c>
      <c r="U44" s="4">
        <v>60080</v>
      </c>
      <c r="V44" s="4">
        <v>136780</v>
      </c>
      <c r="W44" s="4">
        <v>18080</v>
      </c>
      <c r="X44" s="4">
        <v>22680</v>
      </c>
      <c r="Y44" s="4">
        <v>32052</v>
      </c>
      <c r="Z44" s="4">
        <v>15952</v>
      </c>
      <c r="AA44" s="4">
        <v>31984</v>
      </c>
      <c r="AB44" s="4">
        <v>110564</v>
      </c>
      <c r="AC44" s="4">
        <v>62356</v>
      </c>
      <c r="AD44" s="4"/>
      <c r="AE44" s="4">
        <v>40882</v>
      </c>
      <c r="AF44" s="4">
        <v>19736</v>
      </c>
      <c r="AG44" s="4">
        <v>38108</v>
      </c>
      <c r="AH44" s="4"/>
      <c r="AI44" s="4"/>
      <c r="AJ44" s="65"/>
      <c r="AK44" s="4"/>
      <c r="AL44" s="4"/>
      <c r="AM44" s="4"/>
      <c r="AN44" s="4"/>
      <c r="AO44" s="65"/>
      <c r="AP44" s="65"/>
    </row>
    <row r="45" spans="1:42" ht="15.75" x14ac:dyDescent="0.25">
      <c r="A45" s="4" t="s">
        <v>21</v>
      </c>
      <c r="B45" s="4" t="s">
        <v>22</v>
      </c>
      <c r="C45" s="4">
        <v>25968</v>
      </c>
      <c r="D45" s="4">
        <v>67887</v>
      </c>
      <c r="E45" s="4">
        <v>53913</v>
      </c>
      <c r="F45" s="4">
        <v>55866</v>
      </c>
      <c r="G45" s="4">
        <v>50716</v>
      </c>
      <c r="H45" s="4">
        <v>78663</v>
      </c>
      <c r="I45" s="4">
        <v>6295</v>
      </c>
      <c r="J45" s="4">
        <v>10243</v>
      </c>
      <c r="K45" s="4">
        <v>18792</v>
      </c>
      <c r="L45" s="4"/>
      <c r="M45" s="4">
        <v>30296</v>
      </c>
      <c r="N45" s="4">
        <v>59778</v>
      </c>
      <c r="O45" s="4"/>
      <c r="P45" s="4">
        <v>2916</v>
      </c>
      <c r="Q45" s="4">
        <v>3115</v>
      </c>
      <c r="R45" s="4">
        <v>14239</v>
      </c>
      <c r="S45" s="4">
        <v>20962</v>
      </c>
      <c r="T45" s="4">
        <v>20210</v>
      </c>
      <c r="U45" s="4">
        <v>38783</v>
      </c>
      <c r="V45" s="4">
        <v>23961</v>
      </c>
      <c r="W45" s="4">
        <v>5173</v>
      </c>
      <c r="X45" s="4">
        <v>57201</v>
      </c>
      <c r="Y45" s="4">
        <v>9650</v>
      </c>
      <c r="Z45" s="4">
        <v>17775</v>
      </c>
      <c r="AA45" s="4">
        <v>22030</v>
      </c>
      <c r="AB45" s="4">
        <v>63636</v>
      </c>
      <c r="AC45" s="4">
        <v>52091</v>
      </c>
      <c r="AD45" s="4"/>
      <c r="AE45" s="4">
        <v>13760</v>
      </c>
      <c r="AF45" s="4">
        <v>15266</v>
      </c>
      <c r="AG45" s="4">
        <v>28007</v>
      </c>
      <c r="AH45" s="4"/>
      <c r="AI45" s="4"/>
      <c r="AJ45" s="4"/>
      <c r="AK45" s="4"/>
      <c r="AL45" s="4"/>
      <c r="AM45" s="4"/>
      <c r="AN45" s="4"/>
      <c r="AO45" s="65"/>
      <c r="AP45" s="65"/>
    </row>
    <row r="46" spans="1:42" ht="15.75" x14ac:dyDescent="0.25">
      <c r="A46" s="4" t="s">
        <v>23</v>
      </c>
      <c r="B46" s="4" t="s">
        <v>24</v>
      </c>
      <c r="C46" s="4">
        <v>32976</v>
      </c>
      <c r="D46" s="4">
        <v>72316</v>
      </c>
      <c r="E46" s="65">
        <v>69066</v>
      </c>
      <c r="F46" s="4">
        <v>52900</v>
      </c>
      <c r="G46" s="4">
        <v>116514</v>
      </c>
      <c r="H46" s="4">
        <v>78665</v>
      </c>
      <c r="I46" s="4">
        <v>14561</v>
      </c>
      <c r="J46" s="4">
        <v>37803</v>
      </c>
      <c r="K46" s="4">
        <v>15316</v>
      </c>
      <c r="L46" s="4">
        <v>59804</v>
      </c>
      <c r="M46" s="4">
        <v>32594</v>
      </c>
      <c r="N46" s="4">
        <v>29589</v>
      </c>
      <c r="O46" s="4"/>
      <c r="P46" s="4">
        <v>23070</v>
      </c>
      <c r="Q46" s="4">
        <v>32294</v>
      </c>
      <c r="R46" s="4">
        <v>47314</v>
      </c>
      <c r="S46" s="4">
        <v>12881</v>
      </c>
      <c r="T46" s="4">
        <v>40266</v>
      </c>
      <c r="U46" s="4">
        <v>17177</v>
      </c>
      <c r="V46" s="4">
        <v>69896</v>
      </c>
      <c r="W46" s="4">
        <v>13446</v>
      </c>
      <c r="X46" s="4">
        <v>20938</v>
      </c>
      <c r="Y46" s="4">
        <v>24565</v>
      </c>
      <c r="Z46" s="4">
        <v>36887</v>
      </c>
      <c r="AA46" s="4">
        <v>40489</v>
      </c>
      <c r="AB46" s="4">
        <v>28684</v>
      </c>
      <c r="AC46" s="4">
        <v>50746</v>
      </c>
      <c r="AD46" s="4"/>
      <c r="AE46" s="4">
        <v>39876</v>
      </c>
      <c r="AF46" s="4">
        <v>19795</v>
      </c>
      <c r="AG46" s="4">
        <v>29930</v>
      </c>
      <c r="AH46" s="4"/>
      <c r="AI46" s="4"/>
      <c r="AJ46" s="65"/>
      <c r="AK46" s="4"/>
      <c r="AL46" s="4"/>
      <c r="AM46" s="4"/>
      <c r="AN46" s="4"/>
      <c r="AO46" s="65"/>
      <c r="AP46" s="65"/>
    </row>
    <row r="47" spans="1:42" ht="15.75" hidden="1" x14ac:dyDescent="0.25">
      <c r="A47" s="4" t="s">
        <v>25</v>
      </c>
      <c r="B47" s="4" t="s">
        <v>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65"/>
      <c r="AP47" s="25"/>
    </row>
    <row r="48" spans="1:42" ht="15.75" x14ac:dyDescent="0.25">
      <c r="A48" s="4" t="s">
        <v>27</v>
      </c>
      <c r="B48" s="4" t="s">
        <v>28</v>
      </c>
      <c r="C48" s="4">
        <v>13960</v>
      </c>
      <c r="D48" s="4">
        <v>38242</v>
      </c>
      <c r="E48" s="4">
        <v>29217</v>
      </c>
      <c r="F48" s="4">
        <v>22369</v>
      </c>
      <c r="G48" s="4">
        <v>37856</v>
      </c>
      <c r="H48" s="4">
        <v>40904</v>
      </c>
      <c r="I48" s="4">
        <v>8000</v>
      </c>
      <c r="J48" s="4">
        <v>9338</v>
      </c>
      <c r="K48" s="4">
        <v>15724</v>
      </c>
      <c r="L48" s="4">
        <v>10239</v>
      </c>
      <c r="M48" s="4">
        <v>15000</v>
      </c>
      <c r="N48" s="4">
        <v>8329</v>
      </c>
      <c r="O48" s="4"/>
      <c r="P48" s="4">
        <v>18233</v>
      </c>
      <c r="Q48" s="4">
        <v>10037</v>
      </c>
      <c r="R48" s="4">
        <v>10838</v>
      </c>
      <c r="S48" s="4">
        <v>2029</v>
      </c>
      <c r="T48" s="4">
        <v>38809</v>
      </c>
      <c r="U48" s="4">
        <v>30590</v>
      </c>
      <c r="V48" s="4">
        <v>49632</v>
      </c>
      <c r="W48" s="4">
        <v>10000</v>
      </c>
      <c r="X48" s="4">
        <v>10623</v>
      </c>
      <c r="Y48" s="4">
        <v>6150</v>
      </c>
      <c r="Z48" s="4">
        <v>7035</v>
      </c>
      <c r="AA48" s="4">
        <v>15484</v>
      </c>
      <c r="AB48" s="4">
        <v>30864</v>
      </c>
      <c r="AC48" s="4">
        <v>20500</v>
      </c>
      <c r="AD48" s="4"/>
      <c r="AE48" s="4">
        <v>9752</v>
      </c>
      <c r="AF48" s="4">
        <v>18297</v>
      </c>
      <c r="AG48" s="4">
        <v>6197</v>
      </c>
      <c r="AH48" s="4"/>
      <c r="AI48" s="4"/>
      <c r="AJ48" s="4"/>
      <c r="AK48" s="4"/>
      <c r="AL48" s="4"/>
      <c r="AM48" s="4"/>
      <c r="AN48" s="4"/>
      <c r="AO48" s="65"/>
      <c r="AP48" s="65"/>
    </row>
    <row r="49" spans="1:42" ht="15.75" x14ac:dyDescent="0.25">
      <c r="A49" s="4" t="s">
        <v>46</v>
      </c>
      <c r="B49" s="4" t="s">
        <v>45</v>
      </c>
      <c r="C49" s="4">
        <v>171971</v>
      </c>
      <c r="D49" s="4">
        <v>282672</v>
      </c>
      <c r="E49" s="111">
        <v>282875</v>
      </c>
      <c r="F49" s="4">
        <v>312131</v>
      </c>
      <c r="G49" s="4">
        <v>406847</v>
      </c>
      <c r="H49" s="4">
        <v>696914</v>
      </c>
      <c r="I49" s="4">
        <v>135924</v>
      </c>
      <c r="J49" s="65">
        <v>138480</v>
      </c>
      <c r="K49" s="4">
        <v>132523</v>
      </c>
      <c r="L49" s="4">
        <v>124426</v>
      </c>
      <c r="M49" s="4">
        <v>202716</v>
      </c>
      <c r="N49" s="4">
        <v>192306</v>
      </c>
      <c r="O49" s="4"/>
      <c r="P49" s="4">
        <v>86699</v>
      </c>
      <c r="Q49" s="4">
        <v>133836</v>
      </c>
      <c r="R49" s="4">
        <v>155002</v>
      </c>
      <c r="S49" s="4">
        <v>125721</v>
      </c>
      <c r="T49" s="4">
        <v>230756</v>
      </c>
      <c r="U49" s="4">
        <v>365110</v>
      </c>
      <c r="V49" s="4">
        <v>284390</v>
      </c>
      <c r="W49" s="4">
        <v>47270</v>
      </c>
      <c r="X49" s="4">
        <v>131799</v>
      </c>
      <c r="Y49" s="4">
        <v>112496</v>
      </c>
      <c r="Z49" s="4">
        <v>166875</v>
      </c>
      <c r="AA49" s="4">
        <v>176130</v>
      </c>
      <c r="AB49" s="4">
        <v>266450</v>
      </c>
      <c r="AC49" s="4">
        <v>380581</v>
      </c>
      <c r="AD49" s="4"/>
      <c r="AE49" s="4">
        <v>200824</v>
      </c>
      <c r="AF49" s="4">
        <v>189730</v>
      </c>
      <c r="AG49" s="4">
        <v>216141</v>
      </c>
      <c r="AH49" s="4"/>
      <c r="AI49" s="4"/>
      <c r="AJ49" s="111"/>
      <c r="AK49" s="4"/>
      <c r="AL49" s="4"/>
      <c r="AM49" s="4"/>
      <c r="AN49" s="4"/>
      <c r="AO49" s="65"/>
      <c r="AP49" s="65"/>
    </row>
    <row r="50" spans="1:42" ht="15.75" hidden="1" x14ac:dyDescent="0.25">
      <c r="A50" s="4" t="s">
        <v>73</v>
      </c>
      <c r="B50" s="4" t="s">
        <v>69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65"/>
      <c r="AP50" s="65"/>
    </row>
    <row r="51" spans="1:42" ht="15.75" x14ac:dyDescent="0.25">
      <c r="A51" s="4" t="s">
        <v>48</v>
      </c>
      <c r="B51" s="4" t="s">
        <v>47</v>
      </c>
      <c r="C51" s="4">
        <v>20067</v>
      </c>
      <c r="D51" s="4">
        <v>17723</v>
      </c>
      <c r="E51" s="111">
        <v>51108</v>
      </c>
      <c r="F51" s="4">
        <v>64088</v>
      </c>
      <c r="G51" s="4">
        <v>40737</v>
      </c>
      <c r="H51" s="4">
        <v>43967</v>
      </c>
      <c r="I51" s="4">
        <v>4297</v>
      </c>
      <c r="J51" s="4">
        <v>10122</v>
      </c>
      <c r="K51" s="4">
        <v>25412</v>
      </c>
      <c r="L51" s="4">
        <v>11855</v>
      </c>
      <c r="M51" s="4">
        <v>26227</v>
      </c>
      <c r="N51" s="4">
        <v>5771</v>
      </c>
      <c r="O51" s="4"/>
      <c r="P51" s="4">
        <v>10666</v>
      </c>
      <c r="Q51" s="4">
        <v>8865</v>
      </c>
      <c r="R51" s="4">
        <v>4096</v>
      </c>
      <c r="S51" s="4">
        <v>3537</v>
      </c>
      <c r="T51" s="4">
        <v>6665</v>
      </c>
      <c r="U51" s="4">
        <v>19670</v>
      </c>
      <c r="V51" s="4">
        <v>32476</v>
      </c>
      <c r="W51" s="4">
        <v>35742</v>
      </c>
      <c r="X51" s="4">
        <v>16608</v>
      </c>
      <c r="Y51" s="4">
        <v>9970</v>
      </c>
      <c r="Z51" s="4">
        <v>13557</v>
      </c>
      <c r="AA51" s="4">
        <v>4369</v>
      </c>
      <c r="AB51" s="4">
        <v>22326</v>
      </c>
      <c r="AC51" s="4">
        <v>44893</v>
      </c>
      <c r="AD51" s="4"/>
      <c r="AE51" s="4">
        <v>6180</v>
      </c>
      <c r="AF51" s="4">
        <v>15909</v>
      </c>
      <c r="AG51" s="4">
        <v>27236</v>
      </c>
      <c r="AH51" s="4"/>
      <c r="AI51" s="4"/>
      <c r="AJ51" s="111"/>
      <c r="AK51" s="4"/>
      <c r="AL51" s="4"/>
      <c r="AM51" s="4"/>
      <c r="AN51" s="4"/>
      <c r="AO51" s="65"/>
      <c r="AP51" s="65"/>
    </row>
    <row r="52" spans="1:42" ht="15.75" x14ac:dyDescent="0.25">
      <c r="A52" s="4" t="s">
        <v>51</v>
      </c>
      <c r="B52" s="4" t="s">
        <v>50</v>
      </c>
      <c r="C52" s="4">
        <v>16896</v>
      </c>
      <c r="D52" s="4">
        <v>12960</v>
      </c>
      <c r="E52" s="4">
        <v>88159</v>
      </c>
      <c r="F52" s="4">
        <v>54246</v>
      </c>
      <c r="G52" s="4">
        <v>20571</v>
      </c>
      <c r="H52" s="4">
        <v>23205</v>
      </c>
      <c r="I52" s="4">
        <v>799</v>
      </c>
      <c r="J52" s="4">
        <v>8072</v>
      </c>
      <c r="K52" s="4">
        <v>9236</v>
      </c>
      <c r="L52" s="4">
        <v>13820</v>
      </c>
      <c r="M52" s="4">
        <v>26009</v>
      </c>
      <c r="N52" s="4">
        <v>16333</v>
      </c>
      <c r="O52" s="4"/>
      <c r="P52" s="4">
        <v>12991</v>
      </c>
      <c r="Q52" s="4">
        <v>15389</v>
      </c>
      <c r="R52" s="4">
        <v>14604</v>
      </c>
      <c r="S52" s="4">
        <v>10882</v>
      </c>
      <c r="T52" s="4">
        <v>9739</v>
      </c>
      <c r="U52" s="4">
        <v>31791</v>
      </c>
      <c r="V52" s="4">
        <v>24471</v>
      </c>
      <c r="W52" s="4">
        <v>31251</v>
      </c>
      <c r="X52" s="4">
        <v>9241</v>
      </c>
      <c r="Y52" s="4">
        <v>13839</v>
      </c>
      <c r="Z52" s="4">
        <v>12969</v>
      </c>
      <c r="AA52" s="4">
        <v>5253</v>
      </c>
      <c r="AB52" s="4">
        <v>24076</v>
      </c>
      <c r="AC52" s="4">
        <v>48691</v>
      </c>
      <c r="AD52" s="4"/>
      <c r="AE52" s="4">
        <v>25384</v>
      </c>
      <c r="AF52" s="4">
        <v>15245</v>
      </c>
      <c r="AG52" s="4">
        <v>26974</v>
      </c>
      <c r="AH52" s="4"/>
      <c r="AI52" s="4"/>
      <c r="AJ52" s="4"/>
      <c r="AK52" s="4"/>
      <c r="AL52" s="4"/>
      <c r="AM52" s="4"/>
      <c r="AN52" s="4"/>
      <c r="AO52" s="65"/>
      <c r="AP52" s="65"/>
    </row>
    <row r="53" spans="1:42" ht="15.75" x14ac:dyDescent="0.25">
      <c r="A53" s="4" t="s">
        <v>54</v>
      </c>
      <c r="B53" s="4" t="s">
        <v>52</v>
      </c>
      <c r="C53" s="4">
        <v>56463</v>
      </c>
      <c r="D53" s="4">
        <v>126073</v>
      </c>
      <c r="E53" s="111">
        <v>136886</v>
      </c>
      <c r="F53" s="4">
        <v>178087</v>
      </c>
      <c r="G53" s="4">
        <v>60848</v>
      </c>
      <c r="H53" s="4">
        <v>129923</v>
      </c>
      <c r="I53" s="4">
        <v>50839</v>
      </c>
      <c r="J53" s="4">
        <v>28133</v>
      </c>
      <c r="K53" s="4">
        <v>82282</v>
      </c>
      <c r="L53" s="4">
        <v>61798</v>
      </c>
      <c r="M53" s="4">
        <v>68932</v>
      </c>
      <c r="N53" s="4">
        <v>83353</v>
      </c>
      <c r="O53" s="4"/>
      <c r="P53" s="4">
        <v>44411</v>
      </c>
      <c r="Q53" s="4">
        <v>60091</v>
      </c>
      <c r="R53" s="4">
        <v>56736</v>
      </c>
      <c r="S53" s="4">
        <v>46551</v>
      </c>
      <c r="T53" s="4">
        <v>67287</v>
      </c>
      <c r="U53" s="4">
        <v>137769</v>
      </c>
      <c r="V53" s="4">
        <v>136435</v>
      </c>
      <c r="W53" s="4">
        <v>65179</v>
      </c>
      <c r="X53" s="4">
        <v>53405</v>
      </c>
      <c r="Y53" s="4">
        <v>43257</v>
      </c>
      <c r="Z53" s="4">
        <v>50624</v>
      </c>
      <c r="AA53" s="4">
        <v>46203</v>
      </c>
      <c r="AB53" s="4">
        <v>117745</v>
      </c>
      <c r="AC53" s="4">
        <v>138242</v>
      </c>
      <c r="AD53" s="4"/>
      <c r="AE53" s="4">
        <v>45212</v>
      </c>
      <c r="AF53" s="4">
        <v>60562</v>
      </c>
      <c r="AG53" s="4">
        <v>87030</v>
      </c>
      <c r="AH53" s="4"/>
      <c r="AI53" s="4"/>
      <c r="AJ53" s="111"/>
      <c r="AK53" s="4"/>
      <c r="AL53" s="4"/>
      <c r="AM53" s="4"/>
      <c r="AN53" s="4"/>
      <c r="AO53" s="65"/>
      <c r="AP53" s="65"/>
    </row>
    <row r="54" spans="1:42" ht="15.75" x14ac:dyDescent="0.25">
      <c r="A54" s="4" t="s">
        <v>74</v>
      </c>
      <c r="B54" s="4" t="s">
        <v>71</v>
      </c>
      <c r="C54" s="4">
        <v>19860</v>
      </c>
      <c r="D54" s="4">
        <v>26066</v>
      </c>
      <c r="E54" s="111">
        <v>66390</v>
      </c>
      <c r="F54" s="4">
        <v>27565</v>
      </c>
      <c r="G54" s="4">
        <v>19664</v>
      </c>
      <c r="H54" s="4">
        <v>19072</v>
      </c>
      <c r="I54" s="4">
        <v>5118</v>
      </c>
      <c r="J54" s="4">
        <v>8178</v>
      </c>
      <c r="K54" s="4">
        <v>18005</v>
      </c>
      <c r="L54" s="4">
        <v>5816</v>
      </c>
      <c r="M54" s="4">
        <v>5682</v>
      </c>
      <c r="N54" s="4">
        <v>13246</v>
      </c>
      <c r="O54" s="4"/>
      <c r="P54" s="4">
        <v>1597</v>
      </c>
      <c r="Q54" s="4">
        <v>2605</v>
      </c>
      <c r="R54" s="4">
        <v>3199</v>
      </c>
      <c r="S54" s="4">
        <v>18000</v>
      </c>
      <c r="T54" s="4">
        <v>15943</v>
      </c>
      <c r="U54" s="4">
        <v>30514</v>
      </c>
      <c r="V54" s="4">
        <v>16207</v>
      </c>
      <c r="W54" s="4">
        <v>15147</v>
      </c>
      <c r="X54" s="4">
        <v>9267</v>
      </c>
      <c r="Y54" s="4">
        <v>7683</v>
      </c>
      <c r="Z54" s="4">
        <v>19002</v>
      </c>
      <c r="AA54" s="4">
        <v>19712</v>
      </c>
      <c r="AB54" s="4">
        <v>41929</v>
      </c>
      <c r="AC54" s="4">
        <v>33958</v>
      </c>
      <c r="AD54" s="4"/>
      <c r="AE54" s="4">
        <v>5255</v>
      </c>
      <c r="AF54" s="4">
        <v>11289</v>
      </c>
      <c r="AG54" s="4">
        <v>22450</v>
      </c>
      <c r="AH54" s="4"/>
      <c r="AI54" s="4"/>
      <c r="AJ54" s="111"/>
      <c r="AK54" s="4"/>
      <c r="AL54" s="4"/>
      <c r="AM54" s="4"/>
      <c r="AN54" s="4"/>
      <c r="AO54" s="44"/>
      <c r="AP54" s="44"/>
    </row>
    <row r="55" spans="1:42" s="42" customFormat="1" ht="15.75" x14ac:dyDescent="0.25">
      <c r="A55" s="4" t="s">
        <v>97</v>
      </c>
      <c r="B55" s="4" t="s">
        <v>99</v>
      </c>
      <c r="C55" s="4">
        <v>76342</v>
      </c>
      <c r="D55" s="4">
        <v>120560</v>
      </c>
      <c r="E55" s="111">
        <v>32270</v>
      </c>
      <c r="F55" s="4">
        <v>77406</v>
      </c>
      <c r="G55" s="4">
        <v>49364</v>
      </c>
      <c r="H55" s="4">
        <v>61417</v>
      </c>
      <c r="I55" s="4">
        <v>14494</v>
      </c>
      <c r="J55" s="4">
        <v>27951</v>
      </c>
      <c r="K55" s="4">
        <v>13755</v>
      </c>
      <c r="L55" s="4">
        <v>67315</v>
      </c>
      <c r="M55" s="4">
        <v>73391</v>
      </c>
      <c r="N55" s="4">
        <v>21221</v>
      </c>
      <c r="O55" s="4"/>
      <c r="P55" s="4">
        <v>10088</v>
      </c>
      <c r="Q55" s="4">
        <v>22564</v>
      </c>
      <c r="R55" s="4">
        <v>24326</v>
      </c>
      <c r="S55" s="4">
        <v>34743</v>
      </c>
      <c r="T55" s="4">
        <v>16867</v>
      </c>
      <c r="U55" s="4">
        <v>75075</v>
      </c>
      <c r="V55" s="4">
        <v>87672</v>
      </c>
      <c r="W55" s="4"/>
      <c r="X55" s="4">
        <v>22346</v>
      </c>
      <c r="Y55" s="4">
        <v>4197</v>
      </c>
      <c r="Z55" s="4">
        <v>12159</v>
      </c>
      <c r="AA55" s="4">
        <v>10383</v>
      </c>
      <c r="AB55" s="4">
        <v>57676</v>
      </c>
      <c r="AC55" s="4">
        <v>63872</v>
      </c>
      <c r="AD55" s="4"/>
      <c r="AE55" s="4">
        <v>24044</v>
      </c>
      <c r="AF55" s="4">
        <v>19239</v>
      </c>
      <c r="AG55" s="4">
        <v>25005</v>
      </c>
      <c r="AH55" s="4"/>
      <c r="AI55" s="4"/>
      <c r="AJ55" s="111"/>
      <c r="AK55" s="4"/>
      <c r="AL55" s="4"/>
      <c r="AM55" s="4"/>
      <c r="AN55" s="4"/>
      <c r="AO55" s="44"/>
      <c r="AP55" s="44"/>
    </row>
    <row r="56" spans="1:42" ht="15.75" x14ac:dyDescent="0.25">
      <c r="A56" s="4" t="s">
        <v>78</v>
      </c>
      <c r="B56" s="4" t="s">
        <v>79</v>
      </c>
      <c r="C56" s="4">
        <v>68900</v>
      </c>
      <c r="D56" s="4">
        <v>203051</v>
      </c>
      <c r="E56" s="65">
        <v>160624</v>
      </c>
      <c r="F56" s="4">
        <v>117583</v>
      </c>
      <c r="G56" s="4">
        <v>136563</v>
      </c>
      <c r="H56" s="4">
        <v>115741</v>
      </c>
      <c r="I56" s="4">
        <v>61743</v>
      </c>
      <c r="J56" s="4">
        <v>57257</v>
      </c>
      <c r="K56" s="4">
        <v>37013</v>
      </c>
      <c r="L56" s="4">
        <v>48137</v>
      </c>
      <c r="M56" s="4">
        <v>46614</v>
      </c>
      <c r="N56" s="4">
        <v>88035</v>
      </c>
      <c r="O56" s="4"/>
      <c r="P56" s="4">
        <v>24893</v>
      </c>
      <c r="Q56" s="4">
        <v>67954</v>
      </c>
      <c r="R56" s="4">
        <v>25844</v>
      </c>
      <c r="S56" s="4">
        <v>14426</v>
      </c>
      <c r="T56" s="4">
        <v>59969</v>
      </c>
      <c r="U56" s="4">
        <v>106802</v>
      </c>
      <c r="V56" s="4">
        <v>119619</v>
      </c>
      <c r="W56" s="4">
        <v>104485</v>
      </c>
      <c r="X56" s="4">
        <v>29691</v>
      </c>
      <c r="Y56" s="4">
        <v>68584</v>
      </c>
      <c r="Z56" s="4">
        <v>38627</v>
      </c>
      <c r="AA56" s="4">
        <v>52943</v>
      </c>
      <c r="AB56" s="4">
        <v>121960</v>
      </c>
      <c r="AC56" s="4">
        <v>109058</v>
      </c>
      <c r="AD56" s="4"/>
      <c r="AE56" s="4">
        <v>28753</v>
      </c>
      <c r="AF56" s="4">
        <v>79384</v>
      </c>
      <c r="AG56" s="4">
        <v>47569</v>
      </c>
      <c r="AH56" s="4"/>
      <c r="AI56" s="4"/>
      <c r="AJ56" s="65"/>
      <c r="AK56" s="4"/>
      <c r="AL56" s="4"/>
      <c r="AM56" s="4"/>
      <c r="AN56" s="4"/>
      <c r="AO56" s="13"/>
      <c r="AP56" s="13"/>
    </row>
    <row r="57" spans="1:42" s="106" customFormat="1" ht="15.75" x14ac:dyDescent="0.25">
      <c r="A57" s="4" t="s">
        <v>103</v>
      </c>
      <c r="B57" s="4" t="s">
        <v>104</v>
      </c>
      <c r="C57" s="4">
        <v>35122</v>
      </c>
      <c r="D57" s="4">
        <v>40218</v>
      </c>
      <c r="E57" s="65">
        <v>49578</v>
      </c>
      <c r="F57" s="4">
        <v>33314</v>
      </c>
      <c r="G57" s="4">
        <v>24356</v>
      </c>
      <c r="H57" s="4">
        <v>36676</v>
      </c>
      <c r="I57" s="4">
        <v>9235</v>
      </c>
      <c r="J57" s="65">
        <v>17660</v>
      </c>
      <c r="K57" s="4">
        <v>24261</v>
      </c>
      <c r="L57" s="4">
        <v>24591</v>
      </c>
      <c r="M57" s="94">
        <v>49095</v>
      </c>
      <c r="N57" s="65">
        <v>35461</v>
      </c>
      <c r="O57" s="4"/>
      <c r="P57" s="94">
        <v>3797</v>
      </c>
      <c r="Q57" s="94">
        <v>8655</v>
      </c>
      <c r="R57" s="94">
        <v>17333</v>
      </c>
      <c r="S57" s="94">
        <v>30725</v>
      </c>
      <c r="T57" s="4">
        <v>23443</v>
      </c>
      <c r="U57" s="94">
        <v>68921</v>
      </c>
      <c r="V57" s="94">
        <v>59324</v>
      </c>
      <c r="W57" s="94">
        <v>19281</v>
      </c>
      <c r="X57" s="94">
        <v>14211</v>
      </c>
      <c r="Y57" s="94">
        <v>6697</v>
      </c>
      <c r="Z57" s="94">
        <v>26753</v>
      </c>
      <c r="AA57" s="94">
        <v>47928</v>
      </c>
      <c r="AB57" s="94">
        <v>38706</v>
      </c>
      <c r="AC57" s="94">
        <v>57014</v>
      </c>
      <c r="AD57" s="94"/>
      <c r="AE57" s="94">
        <v>18246</v>
      </c>
      <c r="AF57" s="94">
        <v>2753</v>
      </c>
      <c r="AG57" s="94">
        <v>33229</v>
      </c>
      <c r="AH57" s="94"/>
      <c r="AI57" s="94"/>
      <c r="AJ57" s="65"/>
      <c r="AK57" s="94"/>
      <c r="AL57" s="94"/>
      <c r="AM57" s="94"/>
      <c r="AN57" s="94"/>
    </row>
    <row r="58" spans="1:42" s="70" customFormat="1" ht="15.75" x14ac:dyDescent="0.25">
      <c r="A58" s="4" t="s">
        <v>105</v>
      </c>
      <c r="B58" s="4" t="s">
        <v>106</v>
      </c>
      <c r="C58" s="4">
        <v>34849</v>
      </c>
      <c r="D58" s="4">
        <v>107957</v>
      </c>
      <c r="E58" s="65">
        <v>125328</v>
      </c>
      <c r="F58" s="4">
        <v>104122</v>
      </c>
      <c r="G58" s="4">
        <v>52346</v>
      </c>
      <c r="H58" s="4">
        <v>49916</v>
      </c>
      <c r="I58" s="4">
        <v>29894</v>
      </c>
      <c r="J58" s="106">
        <v>56633</v>
      </c>
      <c r="K58" s="4">
        <v>43247</v>
      </c>
      <c r="L58" s="4">
        <v>50291</v>
      </c>
      <c r="M58" s="65"/>
      <c r="N58" s="65">
        <v>2746</v>
      </c>
      <c r="O58" s="65"/>
      <c r="P58" s="94">
        <v>4236</v>
      </c>
      <c r="Q58" s="94">
        <v>43118</v>
      </c>
      <c r="R58" s="94">
        <v>31086</v>
      </c>
      <c r="S58" s="94">
        <v>22410</v>
      </c>
      <c r="T58" s="65">
        <v>130246</v>
      </c>
      <c r="U58" s="94">
        <v>49481</v>
      </c>
      <c r="V58" s="94">
        <v>75769</v>
      </c>
      <c r="W58" s="94">
        <v>34647</v>
      </c>
      <c r="X58" s="94">
        <v>72748</v>
      </c>
      <c r="Y58" s="94">
        <v>25940</v>
      </c>
      <c r="Z58" s="94">
        <v>42784</v>
      </c>
      <c r="AA58" s="94">
        <v>60477</v>
      </c>
      <c r="AB58" s="94">
        <v>26434</v>
      </c>
      <c r="AC58" s="94">
        <v>62780</v>
      </c>
      <c r="AD58" s="4"/>
      <c r="AE58" s="94">
        <v>40080</v>
      </c>
      <c r="AF58" s="94">
        <v>32849</v>
      </c>
      <c r="AG58" s="94">
        <v>55580</v>
      </c>
      <c r="AH58" s="94"/>
      <c r="AI58" s="94"/>
      <c r="AJ58" s="65"/>
      <c r="AK58" s="94"/>
      <c r="AL58" s="94"/>
      <c r="AM58" s="94"/>
      <c r="AN58" s="94"/>
      <c r="AO58" s="106"/>
      <c r="AP58" s="106"/>
    </row>
    <row r="59" spans="1:42" ht="14.25" customHeight="1" x14ac:dyDescent="0.25">
      <c r="A59" s="29">
        <f ca="1">TODAY()-7</f>
        <v>46284</v>
      </c>
    </row>
    <row r="62" spans="1:42" x14ac:dyDescent="0.25">
      <c r="A62" s="29"/>
    </row>
  </sheetData>
  <mergeCells count="8">
    <mergeCell ref="N2:P2"/>
    <mergeCell ref="Q2:S2"/>
    <mergeCell ref="N1:R1"/>
    <mergeCell ref="A2:B2"/>
    <mergeCell ref="C2:G2"/>
    <mergeCell ref="H2:J2"/>
    <mergeCell ref="K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6"/>
  <sheetViews>
    <sheetView topLeftCell="A16" workbookViewId="0">
      <selection activeCell="D26" sqref="D26"/>
    </sheetView>
  </sheetViews>
  <sheetFormatPr defaultColWidth="12" defaultRowHeight="15" x14ac:dyDescent="0.25"/>
  <cols>
    <col min="1" max="1" width="11.7109375" style="1" bestFit="1" customWidth="1"/>
    <col min="2" max="2" width="20.42578125" style="1" bestFit="1" customWidth="1"/>
    <col min="3" max="5" width="11.5703125" style="1" bestFit="1" customWidth="1"/>
    <col min="6" max="6" width="11.42578125" style="12" bestFit="1" customWidth="1"/>
    <col min="7" max="8" width="10.42578125" style="1" bestFit="1" customWidth="1"/>
    <col min="9" max="9" width="11" style="1" bestFit="1" customWidth="1"/>
    <col min="10" max="10" width="10.42578125" style="1" bestFit="1" customWidth="1"/>
    <col min="11" max="12" width="11.5703125" style="1" bestFit="1" customWidth="1"/>
    <col min="13" max="13" width="10.42578125" style="1" bestFit="1" customWidth="1"/>
    <col min="14" max="15" width="11.5703125" style="1" bestFit="1" customWidth="1"/>
    <col min="16" max="19" width="10.42578125" style="1" bestFit="1" customWidth="1"/>
    <col min="20" max="20" width="13.42578125" style="1" bestFit="1" customWidth="1"/>
    <col min="21" max="39" width="10.42578125" style="1" bestFit="1" customWidth="1"/>
    <col min="40" max="16384" width="12" style="1"/>
  </cols>
  <sheetData>
    <row r="1" spans="1:20" x14ac:dyDescent="0.25">
      <c r="A1" s="157" t="s">
        <v>68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62"/>
      <c r="T1" s="54">
        <f ca="1">TODAY()</f>
        <v>46291</v>
      </c>
    </row>
    <row r="2" spans="1:20" x14ac:dyDescent="0.25">
      <c r="A2" s="154"/>
      <c r="B2" s="155"/>
      <c r="C2" s="160"/>
      <c r="D2" s="160"/>
      <c r="E2" s="160"/>
      <c r="F2" s="160"/>
      <c r="G2" s="160"/>
      <c r="H2" s="161" t="s">
        <v>43</v>
      </c>
      <c r="I2" s="161"/>
      <c r="J2" s="161"/>
      <c r="K2" s="156" t="s">
        <v>66</v>
      </c>
      <c r="L2" s="156"/>
      <c r="M2" s="156"/>
      <c r="N2" s="163"/>
      <c r="O2" s="163"/>
      <c r="P2" s="163"/>
      <c r="Q2" s="163"/>
      <c r="R2" s="164"/>
    </row>
    <row r="3" spans="1:20" ht="15.75" x14ac:dyDescent="0.25">
      <c r="A3" s="66" t="s">
        <v>0</v>
      </c>
      <c r="B3" s="34" t="s">
        <v>1</v>
      </c>
      <c r="C3" s="34" t="s">
        <v>29</v>
      </c>
      <c r="D3" s="2" t="s">
        <v>30</v>
      </c>
      <c r="E3" s="2" t="s">
        <v>72</v>
      </c>
      <c r="F3" s="3" t="s">
        <v>56</v>
      </c>
      <c r="G3" s="34" t="s">
        <v>4</v>
      </c>
      <c r="H3" s="34" t="s">
        <v>29</v>
      </c>
      <c r="I3" s="2" t="s">
        <v>41</v>
      </c>
      <c r="J3" s="34" t="s">
        <v>4</v>
      </c>
      <c r="K3" s="34" t="s">
        <v>29</v>
      </c>
      <c r="L3" s="2" t="s">
        <v>41</v>
      </c>
      <c r="M3" s="34" t="s">
        <v>4</v>
      </c>
      <c r="N3" s="34" t="s">
        <v>94</v>
      </c>
      <c r="O3" s="34" t="s">
        <v>95</v>
      </c>
      <c r="P3" s="34" t="s">
        <v>83</v>
      </c>
      <c r="Q3" s="34" t="s">
        <v>82</v>
      </c>
      <c r="R3" s="67" t="s">
        <v>81</v>
      </c>
    </row>
    <row r="4" spans="1:20" ht="15.75" x14ac:dyDescent="0.25">
      <c r="A4" s="68" t="s">
        <v>5</v>
      </c>
      <c r="B4" s="4" t="s">
        <v>6</v>
      </c>
      <c r="C4" s="25">
        <f ca="1">Retail!M35</f>
        <v>520994.28290464886</v>
      </c>
      <c r="D4" s="65">
        <f t="shared" ref="D4:D22" ca="1" si="0">SUMIFS(C34:AM34,$C$33:$AM$33,"="&amp;$A$53)</f>
        <v>0</v>
      </c>
      <c r="E4" s="65"/>
      <c r="F4" s="24" t="e">
        <f t="shared" ref="F4:F23" ca="1" si="1">E4/D4-1</f>
        <v>#DIV/0!</v>
      </c>
      <c r="G4" s="23">
        <f t="shared" ref="G4:G23" ca="1" si="2">E4/C4</f>
        <v>0</v>
      </c>
      <c r="H4" s="47">
        <f ca="1">Attraction!G35</f>
        <v>13653.530694646046</v>
      </c>
      <c r="I4" s="13"/>
      <c r="J4" s="16">
        <f t="shared" ref="J4:J16" ca="1" si="3">I4/H4</f>
        <v>0</v>
      </c>
      <c r="K4" s="40">
        <f t="shared" ref="K4:K22" ca="1" si="4">C4+H4</f>
        <v>534647.81359929487</v>
      </c>
      <c r="L4" s="41">
        <f t="shared" ref="L4:L22" si="5">E4+I4</f>
        <v>0</v>
      </c>
      <c r="M4" s="16">
        <f ca="1">L4/K4</f>
        <v>0</v>
      </c>
      <c r="N4" s="25" t="e">
        <f ca="1">VLOOKUP(T1,'LFL 2024'!A2:C33,3,0)</f>
        <v>#N/A</v>
      </c>
      <c r="O4" s="25">
        <f>E4</f>
        <v>0</v>
      </c>
      <c r="P4" s="24" t="e">
        <f ca="1">O4/N4-1</f>
        <v>#N/A</v>
      </c>
      <c r="Q4" s="25"/>
      <c r="R4" s="84"/>
    </row>
    <row r="5" spans="1:20" ht="15.75" x14ac:dyDescent="0.25">
      <c r="A5" s="68" t="s">
        <v>7</v>
      </c>
      <c r="B5" s="4" t="s">
        <v>8</v>
      </c>
      <c r="C5" s="25">
        <f ca="1">Retail!J35</f>
        <v>286734.47590486158</v>
      </c>
      <c r="D5" s="65">
        <f t="shared" ca="1" si="0"/>
        <v>0</v>
      </c>
      <c r="E5" s="65"/>
      <c r="F5" s="24" t="e">
        <f t="shared" ca="1" si="1"/>
        <v>#DIV/0!</v>
      </c>
      <c r="G5" s="23">
        <f t="shared" ca="1" si="2"/>
        <v>0</v>
      </c>
      <c r="H5" s="47">
        <f ca="1">Attraction!E35</f>
        <v>18519.062410271603</v>
      </c>
      <c r="I5" s="13"/>
      <c r="J5" s="16">
        <f t="shared" ca="1" si="3"/>
        <v>0</v>
      </c>
      <c r="K5" s="40">
        <f t="shared" ca="1" si="4"/>
        <v>305253.53831513319</v>
      </c>
      <c r="L5" s="41">
        <f t="shared" si="5"/>
        <v>0</v>
      </c>
      <c r="M5" s="16">
        <f ca="1">L5/K5</f>
        <v>0</v>
      </c>
      <c r="N5" s="25" t="e">
        <f ca="1">VLOOKUP(T1,'LFL 2024'!A2:D33,4,0)</f>
        <v>#N/A</v>
      </c>
      <c r="O5" s="25">
        <f t="shared" ref="O5:O22" si="6">E5</f>
        <v>0</v>
      </c>
      <c r="P5" s="24" t="e">
        <f t="shared" ref="P5:P22" ca="1" si="7">O5/N5-1</f>
        <v>#N/A</v>
      </c>
      <c r="Q5" s="25"/>
      <c r="R5" s="84"/>
    </row>
    <row r="6" spans="1:20" ht="15.75" x14ac:dyDescent="0.25">
      <c r="A6" s="68" t="s">
        <v>9</v>
      </c>
      <c r="B6" s="4" t="s">
        <v>10</v>
      </c>
      <c r="C6" s="25">
        <f ca="1">Retail!H35</f>
        <v>63851.171607521675</v>
      </c>
      <c r="D6" s="65">
        <f t="shared" ca="1" si="0"/>
        <v>0</v>
      </c>
      <c r="E6" s="65"/>
      <c r="F6" s="24" t="e">
        <f t="shared" ca="1" si="1"/>
        <v>#DIV/0!</v>
      </c>
      <c r="G6" s="23">
        <f t="shared" ca="1" si="2"/>
        <v>0</v>
      </c>
      <c r="H6" s="47">
        <f ca="1">Attraction!B35</f>
        <v>100564.04266308263</v>
      </c>
      <c r="I6" s="44"/>
      <c r="J6" s="16">
        <f t="shared" ca="1" si="3"/>
        <v>0</v>
      </c>
      <c r="K6" s="40">
        <f t="shared" ca="1" si="4"/>
        <v>164415.21427060431</v>
      </c>
      <c r="L6" s="41">
        <f t="shared" si="5"/>
        <v>0</v>
      </c>
      <c r="M6" s="16">
        <f t="shared" ref="M6:M22" ca="1" si="8">L6/K6</f>
        <v>0</v>
      </c>
      <c r="N6" s="25" t="e">
        <f ca="1">VLOOKUP(T1,'LFL 2024'!A2:F33,5,0)</f>
        <v>#N/A</v>
      </c>
      <c r="O6" s="25">
        <f t="shared" si="6"/>
        <v>0</v>
      </c>
      <c r="P6" s="24" t="e">
        <f t="shared" ca="1" si="7"/>
        <v>#N/A</v>
      </c>
      <c r="Q6" s="25"/>
      <c r="R6" s="84"/>
    </row>
    <row r="7" spans="1:20" ht="15.75" x14ac:dyDescent="0.25">
      <c r="A7" s="68" t="s">
        <v>11</v>
      </c>
      <c r="B7" s="4" t="s">
        <v>12</v>
      </c>
      <c r="C7" s="25">
        <f ca="1">Retail!K35</f>
        <v>392222.69980956911</v>
      </c>
      <c r="D7" s="65">
        <f t="shared" ca="1" si="0"/>
        <v>0</v>
      </c>
      <c r="E7" s="65"/>
      <c r="F7" s="24" t="e">
        <f t="shared" ca="1" si="1"/>
        <v>#DIV/0!</v>
      </c>
      <c r="G7" s="23">
        <f t="shared" ca="1" si="2"/>
        <v>0</v>
      </c>
      <c r="H7" s="36"/>
      <c r="I7" s="13"/>
      <c r="J7" s="16"/>
      <c r="K7" s="40">
        <f t="shared" ca="1" si="4"/>
        <v>392222.69980956911</v>
      </c>
      <c r="L7" s="41">
        <f t="shared" si="5"/>
        <v>0</v>
      </c>
      <c r="M7" s="16">
        <f t="shared" ca="1" si="8"/>
        <v>0</v>
      </c>
      <c r="N7" s="25" t="e">
        <f ca="1">VLOOKUP(T1,'LFL 2024'!A2:G33,6,0)</f>
        <v>#N/A</v>
      </c>
      <c r="O7" s="25">
        <f t="shared" si="6"/>
        <v>0</v>
      </c>
      <c r="P7" s="24" t="e">
        <f t="shared" ca="1" si="7"/>
        <v>#N/A</v>
      </c>
      <c r="Q7" s="25"/>
      <c r="R7" s="84"/>
    </row>
    <row r="8" spans="1:20" ht="15.75" x14ac:dyDescent="0.25">
      <c r="A8" s="68" t="s">
        <v>13</v>
      </c>
      <c r="B8" s="4" t="s">
        <v>14</v>
      </c>
      <c r="C8" s="25">
        <f ca="1">Retail!L35</f>
        <v>176136.03164737127</v>
      </c>
      <c r="D8" s="65">
        <f t="shared" ca="1" si="0"/>
        <v>0</v>
      </c>
      <c r="E8" s="65"/>
      <c r="F8" s="24" t="e">
        <f t="shared" ca="1" si="1"/>
        <v>#DIV/0!</v>
      </c>
      <c r="G8" s="23">
        <f t="shared" ca="1" si="2"/>
        <v>0</v>
      </c>
      <c r="H8" s="47">
        <f ca="1">Attraction!D35</f>
        <v>11996.078057746645</v>
      </c>
      <c r="I8" s="13"/>
      <c r="J8" s="16">
        <f t="shared" ca="1" si="3"/>
        <v>0</v>
      </c>
      <c r="K8" s="40">
        <f t="shared" ca="1" si="4"/>
        <v>188132.10970511791</v>
      </c>
      <c r="L8" s="41">
        <f t="shared" si="5"/>
        <v>0</v>
      </c>
      <c r="M8" s="16">
        <f t="shared" ca="1" si="8"/>
        <v>0</v>
      </c>
      <c r="N8" s="25" t="e">
        <f ca="1">VLOOKUP(T1,'LFL 2024'!A2:H33,7,0)</f>
        <v>#N/A</v>
      </c>
      <c r="O8" s="25">
        <f t="shared" si="6"/>
        <v>0</v>
      </c>
      <c r="P8" s="24" t="e">
        <f t="shared" ca="1" si="7"/>
        <v>#N/A</v>
      </c>
      <c r="Q8" s="25"/>
      <c r="R8" s="84"/>
    </row>
    <row r="9" spans="1:20" ht="15.75" x14ac:dyDescent="0.25">
      <c r="A9" s="68" t="s">
        <v>15</v>
      </c>
      <c r="B9" s="4" t="s">
        <v>16</v>
      </c>
      <c r="C9" s="25">
        <f ca="1">Retail!B35</f>
        <v>480133.83289539319</v>
      </c>
      <c r="D9" s="65">
        <f t="shared" ca="1" si="0"/>
        <v>0</v>
      </c>
      <c r="E9" s="65"/>
      <c r="F9" s="24" t="e">
        <f t="shared" ca="1" si="1"/>
        <v>#DIV/0!</v>
      </c>
      <c r="G9" s="23">
        <f t="shared" ca="1" si="2"/>
        <v>0</v>
      </c>
      <c r="H9" s="36"/>
      <c r="I9" s="13"/>
      <c r="J9" s="16"/>
      <c r="K9" s="40">
        <f t="shared" ca="1" si="4"/>
        <v>480133.83289539319</v>
      </c>
      <c r="L9" s="41">
        <f t="shared" si="5"/>
        <v>0</v>
      </c>
      <c r="M9" s="16">
        <f t="shared" ca="1" si="8"/>
        <v>0</v>
      </c>
      <c r="N9" s="25" t="e">
        <f ca="1">VLOOKUP(T1,'LFL 2024'!A2:I33,8,0)</f>
        <v>#N/A</v>
      </c>
      <c r="O9" s="25">
        <f t="shared" si="6"/>
        <v>0</v>
      </c>
      <c r="P9" s="24" t="e">
        <f t="shared" ca="1" si="7"/>
        <v>#N/A</v>
      </c>
      <c r="Q9" s="25"/>
      <c r="R9" s="84"/>
    </row>
    <row r="10" spans="1:20" ht="15.75" x14ac:dyDescent="0.25">
      <c r="A10" s="68" t="s">
        <v>17</v>
      </c>
      <c r="B10" s="4" t="s">
        <v>18</v>
      </c>
      <c r="C10" s="25">
        <f ca="1">Retail!F35</f>
        <v>190041.2744308961</v>
      </c>
      <c r="D10" s="65">
        <f t="shared" ca="1" si="0"/>
        <v>0</v>
      </c>
      <c r="E10" s="65"/>
      <c r="F10" s="24" t="e">
        <f t="shared" ca="1" si="1"/>
        <v>#DIV/0!</v>
      </c>
      <c r="G10" s="23">
        <f t="shared" ca="1" si="2"/>
        <v>0</v>
      </c>
      <c r="H10" s="36"/>
      <c r="I10" s="13"/>
      <c r="J10" s="16"/>
      <c r="K10" s="40">
        <f t="shared" ca="1" si="4"/>
        <v>190041.2744308961</v>
      </c>
      <c r="L10" s="41">
        <f t="shared" si="5"/>
        <v>0</v>
      </c>
      <c r="M10" s="16">
        <f t="shared" ca="1" si="8"/>
        <v>0</v>
      </c>
      <c r="N10" s="25" t="e">
        <f ca="1">VLOOKUP(T1,'LFL 2024'!A2:J33,9,0)</f>
        <v>#N/A</v>
      </c>
      <c r="O10" s="25">
        <f t="shared" si="6"/>
        <v>0</v>
      </c>
      <c r="P10" s="24" t="e">
        <f t="shared" ca="1" si="7"/>
        <v>#N/A</v>
      </c>
      <c r="Q10" s="25"/>
      <c r="R10" s="84"/>
    </row>
    <row r="11" spans="1:20" ht="15.75" x14ac:dyDescent="0.25">
      <c r="A11" s="68" t="s">
        <v>19</v>
      </c>
      <c r="B11" s="4" t="s">
        <v>20</v>
      </c>
      <c r="C11" s="25">
        <f ca="1">Retail!C35</f>
        <v>174186.12607702776</v>
      </c>
      <c r="D11" s="65">
        <f t="shared" ca="1" si="0"/>
        <v>0</v>
      </c>
      <c r="E11" s="65"/>
      <c r="F11" s="24" t="e">
        <f t="shared" ca="1" si="1"/>
        <v>#DIV/0!</v>
      </c>
      <c r="G11" s="23">
        <f t="shared" ca="1" si="2"/>
        <v>0</v>
      </c>
      <c r="H11" s="36"/>
      <c r="I11" s="13"/>
      <c r="J11" s="16"/>
      <c r="K11" s="45">
        <f t="shared" ca="1" si="4"/>
        <v>174186.12607702776</v>
      </c>
      <c r="L11" s="41">
        <f t="shared" si="5"/>
        <v>0</v>
      </c>
      <c r="M11" s="16">
        <f t="shared" ca="1" si="8"/>
        <v>0</v>
      </c>
      <c r="N11" s="25" t="e">
        <f ca="1">VLOOKUP(T1,'LFL 2024'!A2:K33,10,0)</f>
        <v>#N/A</v>
      </c>
      <c r="O11" s="25">
        <f t="shared" si="6"/>
        <v>0</v>
      </c>
      <c r="P11" s="24" t="e">
        <f t="shared" ca="1" si="7"/>
        <v>#N/A</v>
      </c>
      <c r="Q11" s="25"/>
      <c r="R11" s="84"/>
    </row>
    <row r="12" spans="1:20" ht="15.75" x14ac:dyDescent="0.25">
      <c r="A12" s="68" t="s">
        <v>21</v>
      </c>
      <c r="B12" s="4" t="s">
        <v>22</v>
      </c>
      <c r="C12" s="25">
        <f ca="1">Retail!D35</f>
        <v>108239.75567045667</v>
      </c>
      <c r="D12" s="65">
        <f t="shared" ca="1" si="0"/>
        <v>0</v>
      </c>
      <c r="E12" s="65"/>
      <c r="F12" s="24" t="e">
        <f t="shared" ca="1" si="1"/>
        <v>#DIV/0!</v>
      </c>
      <c r="G12" s="23">
        <f t="shared" ca="1" si="2"/>
        <v>0</v>
      </c>
      <c r="H12" s="36"/>
      <c r="I12" s="13"/>
      <c r="J12" s="16"/>
      <c r="K12" s="40">
        <f t="shared" ca="1" si="4"/>
        <v>108239.75567045667</v>
      </c>
      <c r="L12" s="41">
        <f t="shared" si="5"/>
        <v>0</v>
      </c>
      <c r="M12" s="16">
        <f t="shared" ca="1" si="8"/>
        <v>0</v>
      </c>
      <c r="N12" s="25" t="e">
        <f ca="1">VLOOKUP(T1,'LFL 2024'!A2:L33,11,0)</f>
        <v>#N/A</v>
      </c>
      <c r="O12" s="25">
        <f t="shared" si="6"/>
        <v>0</v>
      </c>
      <c r="P12" s="24" t="e">
        <f t="shared" ca="1" si="7"/>
        <v>#N/A</v>
      </c>
      <c r="Q12" s="25"/>
      <c r="R12" s="84"/>
    </row>
    <row r="13" spans="1:20" ht="15.75" x14ac:dyDescent="0.25">
      <c r="A13" s="68" t="s">
        <v>23</v>
      </c>
      <c r="B13" s="4" t="s">
        <v>24</v>
      </c>
      <c r="C13" s="25">
        <f ca="1">Retail!G35</f>
        <v>93298.933472166173</v>
      </c>
      <c r="D13" s="65">
        <f t="shared" ca="1" si="0"/>
        <v>0</v>
      </c>
      <c r="E13" s="65"/>
      <c r="F13" s="24" t="e">
        <f t="shared" ca="1" si="1"/>
        <v>#DIV/0!</v>
      </c>
      <c r="G13" s="23">
        <f t="shared" ca="1" si="2"/>
        <v>0</v>
      </c>
      <c r="H13" s="36"/>
      <c r="I13" s="13"/>
      <c r="J13" s="16"/>
      <c r="K13" s="40">
        <f t="shared" ca="1" si="4"/>
        <v>93298.933472166173</v>
      </c>
      <c r="L13" s="41">
        <f t="shared" si="5"/>
        <v>0</v>
      </c>
      <c r="M13" s="16">
        <f t="shared" ca="1" si="8"/>
        <v>0</v>
      </c>
      <c r="N13" s="25" t="e">
        <f ca="1">VLOOKUP(T1,'LFL 2024'!A2:M33,12,0)</f>
        <v>#N/A</v>
      </c>
      <c r="O13" s="25">
        <f t="shared" si="6"/>
        <v>0</v>
      </c>
      <c r="P13" s="24" t="e">
        <f t="shared" ca="1" si="7"/>
        <v>#N/A</v>
      </c>
      <c r="Q13" s="25"/>
      <c r="R13" s="84"/>
    </row>
    <row r="14" spans="1:20" ht="15.75" x14ac:dyDescent="0.25">
      <c r="A14" s="68" t="s">
        <v>25</v>
      </c>
      <c r="B14" s="4" t="s">
        <v>26</v>
      </c>
      <c r="C14" s="25">
        <f ca="1">Retail!E35</f>
        <v>0</v>
      </c>
      <c r="D14" s="65">
        <f t="shared" ca="1" si="0"/>
        <v>0</v>
      </c>
      <c r="E14" s="25"/>
      <c r="F14" s="24" t="e">
        <f t="shared" ca="1" si="1"/>
        <v>#DIV/0!</v>
      </c>
      <c r="G14" s="23" t="e">
        <f t="shared" ca="1" si="2"/>
        <v>#DIV/0!</v>
      </c>
      <c r="H14" s="36"/>
      <c r="I14" s="15"/>
      <c r="J14" s="16"/>
      <c r="K14" s="40">
        <f t="shared" ca="1" si="4"/>
        <v>0</v>
      </c>
      <c r="L14" s="41">
        <f t="shared" si="5"/>
        <v>0</v>
      </c>
      <c r="M14" s="16" t="e">
        <f t="shared" ca="1" si="8"/>
        <v>#DIV/0!</v>
      </c>
      <c r="N14" s="25" t="e">
        <f ca="1">VLOOKUP(T1,'LFL 2024'!A2:N33,13,0)</f>
        <v>#N/A</v>
      </c>
      <c r="O14" s="25">
        <f t="shared" si="6"/>
        <v>0</v>
      </c>
      <c r="P14" s="24" t="e">
        <f t="shared" ca="1" si="7"/>
        <v>#N/A</v>
      </c>
      <c r="Q14" s="25"/>
      <c r="R14" s="84"/>
    </row>
    <row r="15" spans="1:20" ht="15.75" x14ac:dyDescent="0.25">
      <c r="A15" s="68" t="s">
        <v>27</v>
      </c>
      <c r="B15" s="4" t="s">
        <v>28</v>
      </c>
      <c r="C15" s="25">
        <f ca="1">Retail!I35</f>
        <v>75609.562014035298</v>
      </c>
      <c r="D15" s="65">
        <f t="shared" ca="1" si="0"/>
        <v>0</v>
      </c>
      <c r="E15" s="65"/>
      <c r="F15" s="24" t="e">
        <f t="shared" ca="1" si="1"/>
        <v>#DIV/0!</v>
      </c>
      <c r="G15" s="23">
        <f t="shared" ca="1" si="2"/>
        <v>0</v>
      </c>
      <c r="H15" s="47">
        <f ca="1">Attraction!C35</f>
        <v>4391.13412542484</v>
      </c>
      <c r="I15" s="14"/>
      <c r="J15" s="16">
        <f t="shared" ca="1" si="3"/>
        <v>0</v>
      </c>
      <c r="K15" s="40">
        <f t="shared" ca="1" si="4"/>
        <v>80000.696139460139</v>
      </c>
      <c r="L15" s="41">
        <f t="shared" si="5"/>
        <v>0</v>
      </c>
      <c r="M15" s="16">
        <f t="shared" ca="1" si="8"/>
        <v>0</v>
      </c>
      <c r="N15" s="25" t="e">
        <f ca="1">VLOOKUP(T1,'LFL 2024'!A2:O33,14,0)</f>
        <v>#N/A</v>
      </c>
      <c r="O15" s="25">
        <f t="shared" si="6"/>
        <v>0</v>
      </c>
      <c r="P15" s="24" t="e">
        <f t="shared" ca="1" si="7"/>
        <v>#N/A</v>
      </c>
      <c r="Q15" s="25"/>
      <c r="R15" s="84"/>
    </row>
    <row r="16" spans="1:20" ht="15.75" x14ac:dyDescent="0.25">
      <c r="A16" s="68" t="s">
        <v>46</v>
      </c>
      <c r="B16" s="4" t="s">
        <v>45</v>
      </c>
      <c r="C16" s="25">
        <f ca="1">Retail!N35</f>
        <v>478539.39985072921</v>
      </c>
      <c r="D16" s="65">
        <f t="shared" ca="1" si="0"/>
        <v>0</v>
      </c>
      <c r="E16" s="65"/>
      <c r="F16" s="24" t="e">
        <f t="shared" ca="1" si="1"/>
        <v>#DIV/0!</v>
      </c>
      <c r="G16" s="23">
        <f t="shared" ca="1" si="2"/>
        <v>0</v>
      </c>
      <c r="H16" s="47">
        <f ca="1">Attraction!F35</f>
        <v>86995.039884684636</v>
      </c>
      <c r="I16" s="44"/>
      <c r="J16" s="16">
        <f t="shared" ca="1" si="3"/>
        <v>0</v>
      </c>
      <c r="K16" s="40">
        <f t="shared" ca="1" si="4"/>
        <v>565534.43973541388</v>
      </c>
      <c r="L16" s="41">
        <f t="shared" si="5"/>
        <v>0</v>
      </c>
      <c r="M16" s="16">
        <f t="shared" ca="1" si="8"/>
        <v>0</v>
      </c>
      <c r="N16" s="25" t="e">
        <f ca="1">VLOOKUP(T1,'LFL 2024'!A2:P33,15,0)</f>
        <v>#N/A</v>
      </c>
      <c r="O16" s="25">
        <f t="shared" si="6"/>
        <v>0</v>
      </c>
      <c r="P16" s="24" t="e">
        <f t="shared" ca="1" si="7"/>
        <v>#N/A</v>
      </c>
      <c r="Q16" s="25"/>
      <c r="R16" s="84"/>
    </row>
    <row r="17" spans="1:18" ht="15.75" x14ac:dyDescent="0.25">
      <c r="A17" s="68" t="s">
        <v>73</v>
      </c>
      <c r="B17" s="4" t="s">
        <v>69</v>
      </c>
      <c r="C17" s="25">
        <f ca="1">Retail!O35</f>
        <v>0</v>
      </c>
      <c r="D17" s="65">
        <f t="shared" ca="1" si="0"/>
        <v>0</v>
      </c>
      <c r="E17" s="65"/>
      <c r="F17" s="24" t="e">
        <f t="shared" ca="1" si="1"/>
        <v>#DIV/0!</v>
      </c>
      <c r="G17" s="23" t="e">
        <f t="shared" ca="1" si="2"/>
        <v>#DIV/0!</v>
      </c>
      <c r="H17" s="47"/>
      <c r="I17" s="14"/>
      <c r="J17" s="16"/>
      <c r="K17" s="40">
        <f t="shared" ca="1" si="4"/>
        <v>0</v>
      </c>
      <c r="L17" s="41">
        <f t="shared" si="5"/>
        <v>0</v>
      </c>
      <c r="M17" s="16" t="e">
        <f t="shared" ca="1" si="8"/>
        <v>#DIV/0!</v>
      </c>
      <c r="N17" s="25" t="e">
        <f ca="1">VLOOKUP(T1,'LFL 2024'!A2:Q33,16,0)</f>
        <v>#N/A</v>
      </c>
      <c r="O17" s="25">
        <f t="shared" si="6"/>
        <v>0</v>
      </c>
      <c r="P17" s="24" t="e">
        <f t="shared" ca="1" si="7"/>
        <v>#N/A</v>
      </c>
      <c r="Q17" s="25"/>
      <c r="R17" s="84"/>
    </row>
    <row r="18" spans="1:18" ht="15.75" x14ac:dyDescent="0.25">
      <c r="A18" s="68" t="s">
        <v>48</v>
      </c>
      <c r="B18" s="4" t="s">
        <v>47</v>
      </c>
      <c r="C18" s="25">
        <f ca="1">Retail!P35</f>
        <v>52418.275801081792</v>
      </c>
      <c r="D18" s="65">
        <f t="shared" ca="1" si="0"/>
        <v>0</v>
      </c>
      <c r="E18" s="65"/>
      <c r="F18" s="24" t="e">
        <f t="shared" ca="1" si="1"/>
        <v>#DIV/0!</v>
      </c>
      <c r="G18" s="23">
        <f t="shared" ca="1" si="2"/>
        <v>0</v>
      </c>
      <c r="H18" s="36"/>
      <c r="I18" s="14"/>
      <c r="J18" s="16"/>
      <c r="K18" s="40">
        <f t="shared" ca="1" si="4"/>
        <v>52418.275801081792</v>
      </c>
      <c r="L18" s="41">
        <f t="shared" si="5"/>
        <v>0</v>
      </c>
      <c r="M18" s="16">
        <f t="shared" ca="1" si="8"/>
        <v>0</v>
      </c>
      <c r="N18" s="25" t="e">
        <f ca="1">VLOOKUP(T1,'LFL 2024'!A2:R33,17,0)</f>
        <v>#N/A</v>
      </c>
      <c r="O18" s="25">
        <f t="shared" si="6"/>
        <v>0</v>
      </c>
      <c r="P18" s="24" t="e">
        <f t="shared" ca="1" si="7"/>
        <v>#N/A</v>
      </c>
      <c r="Q18" s="25"/>
      <c r="R18" s="84"/>
    </row>
    <row r="19" spans="1:18" ht="15.75" x14ac:dyDescent="0.25">
      <c r="A19" s="68" t="s">
        <v>51</v>
      </c>
      <c r="B19" s="4" t="s">
        <v>50</v>
      </c>
      <c r="C19" s="25">
        <f ca="1">Retail!Q35</f>
        <v>50054.432108478766</v>
      </c>
      <c r="D19" s="65">
        <f t="shared" ca="1" si="0"/>
        <v>0</v>
      </c>
      <c r="E19" s="65"/>
      <c r="F19" s="24" t="e">
        <f t="shared" ca="1" si="1"/>
        <v>#DIV/0!</v>
      </c>
      <c r="G19" s="23">
        <f t="shared" ca="1" si="2"/>
        <v>0</v>
      </c>
      <c r="H19" s="36"/>
      <c r="I19" s="14"/>
      <c r="J19" s="16"/>
      <c r="K19" s="40">
        <f t="shared" ca="1" si="4"/>
        <v>50054.432108478766</v>
      </c>
      <c r="L19" s="41">
        <f t="shared" si="5"/>
        <v>0</v>
      </c>
      <c r="M19" s="16">
        <f t="shared" ca="1" si="8"/>
        <v>0</v>
      </c>
      <c r="N19" s="25" t="e">
        <f ca="1">VLOOKUP(T1,'LFL 2024'!A2:S33,18,0)</f>
        <v>#N/A</v>
      </c>
      <c r="O19" s="25">
        <f t="shared" si="6"/>
        <v>0</v>
      </c>
      <c r="P19" s="24" t="e">
        <f t="shared" ca="1" si="7"/>
        <v>#N/A</v>
      </c>
      <c r="Q19" s="25"/>
      <c r="R19" s="84"/>
    </row>
    <row r="20" spans="1:18" ht="15.75" x14ac:dyDescent="0.25">
      <c r="A20" s="68" t="s">
        <v>54</v>
      </c>
      <c r="B20" s="4" t="s">
        <v>52</v>
      </c>
      <c r="C20" s="25">
        <f ca="1">Retail!R35</f>
        <v>173176.0929886683</v>
      </c>
      <c r="D20" s="65">
        <f t="shared" ca="1" si="0"/>
        <v>0</v>
      </c>
      <c r="E20" s="65"/>
      <c r="F20" s="24" t="e">
        <f t="shared" ca="1" si="1"/>
        <v>#DIV/0!</v>
      </c>
      <c r="G20" s="23">
        <f t="shared" ca="1" si="2"/>
        <v>0</v>
      </c>
      <c r="H20" s="47">
        <f ca="1">Attraction!H35</f>
        <v>37671.354752526553</v>
      </c>
      <c r="I20" s="14"/>
      <c r="J20" s="16">
        <f ca="1">I20/H20</f>
        <v>0</v>
      </c>
      <c r="K20" s="40">
        <f t="shared" ca="1" si="4"/>
        <v>210847.44774119486</v>
      </c>
      <c r="L20" s="41">
        <f t="shared" si="5"/>
        <v>0</v>
      </c>
      <c r="M20" s="16">
        <f t="shared" ca="1" si="8"/>
        <v>0</v>
      </c>
      <c r="N20" s="25" t="e">
        <f ca="1">VLOOKUP(T1,'LFL 2024'!A2:T33,19,0)</f>
        <v>#N/A</v>
      </c>
      <c r="O20" s="25">
        <f t="shared" si="6"/>
        <v>0</v>
      </c>
      <c r="P20" s="24" t="e">
        <f t="shared" ca="1" si="7"/>
        <v>#N/A</v>
      </c>
      <c r="Q20" s="25"/>
      <c r="R20" s="84"/>
    </row>
    <row r="21" spans="1:18" ht="15.75" x14ac:dyDescent="0.25">
      <c r="A21" s="68" t="s">
        <v>74</v>
      </c>
      <c r="B21" s="4" t="s">
        <v>71</v>
      </c>
      <c r="C21" s="25">
        <f ca="1">Retail!S35</f>
        <v>69239.831976393194</v>
      </c>
      <c r="D21" s="65">
        <f t="shared" ca="1" si="0"/>
        <v>0</v>
      </c>
      <c r="E21" s="65"/>
      <c r="F21" s="24" t="e">
        <f t="shared" ca="1" si="1"/>
        <v>#DIV/0!</v>
      </c>
      <c r="G21" s="23">
        <f t="shared" ca="1" si="2"/>
        <v>0</v>
      </c>
      <c r="H21" s="47"/>
      <c r="I21" s="14"/>
      <c r="J21" s="16"/>
      <c r="K21" s="40">
        <f t="shared" ca="1" si="4"/>
        <v>69239.831976393194</v>
      </c>
      <c r="L21" s="41">
        <f t="shared" si="5"/>
        <v>0</v>
      </c>
      <c r="M21" s="16">
        <f t="shared" ca="1" si="8"/>
        <v>0</v>
      </c>
      <c r="N21" s="25" t="e">
        <f ca="1">VLOOKUP(T1,'LFL 2024'!A2:U33,20,0)</f>
        <v>#N/A</v>
      </c>
      <c r="O21" s="25">
        <f t="shared" si="6"/>
        <v>0</v>
      </c>
      <c r="P21" s="24" t="e">
        <f t="shared" ca="1" si="7"/>
        <v>#N/A</v>
      </c>
      <c r="Q21" s="25"/>
      <c r="R21" s="84"/>
    </row>
    <row r="22" spans="1:18" ht="15.75" x14ac:dyDescent="0.25">
      <c r="A22" s="68" t="s">
        <v>78</v>
      </c>
      <c r="B22" s="4" t="s">
        <v>79</v>
      </c>
      <c r="C22" s="25">
        <f ca="1">Retail!T35</f>
        <v>118798.38844497562</v>
      </c>
      <c r="D22" s="65">
        <f t="shared" ca="1" si="0"/>
        <v>0</v>
      </c>
      <c r="E22" s="65"/>
      <c r="F22" s="24" t="e">
        <f t="shared" ca="1" si="1"/>
        <v>#DIV/0!</v>
      </c>
      <c r="G22" s="23">
        <f t="shared" ca="1" si="2"/>
        <v>0</v>
      </c>
      <c r="H22" s="47"/>
      <c r="I22" s="14"/>
      <c r="J22" s="16"/>
      <c r="K22" s="40">
        <f t="shared" ca="1" si="4"/>
        <v>118798.38844497562</v>
      </c>
      <c r="L22" s="41">
        <f t="shared" si="5"/>
        <v>0</v>
      </c>
      <c r="M22" s="16">
        <f t="shared" ca="1" si="8"/>
        <v>0</v>
      </c>
      <c r="N22" s="25" t="e">
        <f ca="1">VLOOKUP(T1,'LFL 2024'!A2:V33,21,0)</f>
        <v>#N/A</v>
      </c>
      <c r="O22" s="25">
        <f t="shared" si="6"/>
        <v>0</v>
      </c>
      <c r="P22" s="24" t="e">
        <f t="shared" ca="1" si="7"/>
        <v>#N/A</v>
      </c>
      <c r="Q22" s="25"/>
      <c r="R22" s="84"/>
    </row>
    <row r="23" spans="1:18" ht="16.5" thickBot="1" x14ac:dyDescent="0.3">
      <c r="A23" s="88"/>
      <c r="B23" s="89"/>
      <c r="C23" s="86">
        <f ca="1">SUM(C4:C22)</f>
        <v>3503674.567604275</v>
      </c>
      <c r="D23" s="86">
        <f t="shared" ref="D23:E23" ca="1" si="9">SUM(D4:D22)</f>
        <v>0</v>
      </c>
      <c r="E23" s="86">
        <f t="shared" si="9"/>
        <v>0</v>
      </c>
      <c r="F23" s="90" t="e">
        <f t="shared" ca="1" si="1"/>
        <v>#DIV/0!</v>
      </c>
      <c r="G23" s="78">
        <f t="shared" ca="1" si="2"/>
        <v>0</v>
      </c>
      <c r="H23" s="86">
        <f t="shared" ref="H23" ca="1" si="10">SUM(H4:H22)</f>
        <v>273790.24258838291</v>
      </c>
      <c r="I23" s="86">
        <f t="shared" ref="I23" si="11">SUM(I4:I22)</f>
        <v>0</v>
      </c>
      <c r="J23" s="87">
        <f ca="1">I23/H23</f>
        <v>0</v>
      </c>
      <c r="K23" s="86">
        <f t="shared" ref="K23:L23" ca="1" si="12">SUM(K4:K22)</f>
        <v>3777464.8101926572</v>
      </c>
      <c r="L23" s="86">
        <f t="shared" si="12"/>
        <v>0</v>
      </c>
      <c r="M23" s="87">
        <f ca="1">L23/K23</f>
        <v>0</v>
      </c>
      <c r="N23" s="86" t="e">
        <f t="shared" ref="N23:O23" ca="1" si="13">SUM(N4:N22)</f>
        <v>#N/A</v>
      </c>
      <c r="O23" s="86">
        <f t="shared" si="13"/>
        <v>0</v>
      </c>
      <c r="P23" s="77" t="e">
        <f ca="1">O23/N23-1</f>
        <v>#N/A</v>
      </c>
      <c r="Q23" s="86">
        <f t="shared" ref="Q23" si="14">SUM(Q4:Q22)</f>
        <v>0</v>
      </c>
      <c r="R23" s="86">
        <f t="shared" ref="R23" si="15">SUM(R4:R22)</f>
        <v>0</v>
      </c>
    </row>
    <row r="24" spans="1:18" ht="15.75" x14ac:dyDescent="0.25">
      <c r="A24" s="69"/>
      <c r="B24" s="6"/>
      <c r="C24" s="7"/>
      <c r="D24" s="8"/>
      <c r="E24" s="7"/>
      <c r="F24" s="9"/>
      <c r="G24" s="10"/>
      <c r="H24" s="11"/>
      <c r="I24" s="82"/>
      <c r="J24" s="82"/>
      <c r="K24" s="82"/>
      <c r="L24" s="82"/>
      <c r="M24" s="83"/>
    </row>
    <row r="25" spans="1:18" ht="15.75" x14ac:dyDescent="0.25">
      <c r="A25" s="71"/>
      <c r="B25" s="5"/>
      <c r="C25" s="37" t="s">
        <v>29</v>
      </c>
      <c r="D25" s="37" t="s">
        <v>30</v>
      </c>
      <c r="E25" s="38" t="s">
        <v>2</v>
      </c>
      <c r="F25" s="39" t="s">
        <v>3</v>
      </c>
      <c r="G25" s="37" t="s">
        <v>31</v>
      </c>
      <c r="H25" s="34" t="s">
        <v>29</v>
      </c>
      <c r="I25" s="2" t="s">
        <v>41</v>
      </c>
      <c r="J25" s="34" t="s">
        <v>4</v>
      </c>
      <c r="K25" s="34" t="s">
        <v>29</v>
      </c>
      <c r="L25" s="2" t="s">
        <v>41</v>
      </c>
      <c r="M25" s="67" t="s">
        <v>4</v>
      </c>
      <c r="N25" s="37" t="s">
        <v>80</v>
      </c>
      <c r="O25" s="37" t="s">
        <v>84</v>
      </c>
      <c r="P25" s="34" t="s">
        <v>83</v>
      </c>
      <c r="Q25" s="34" t="s">
        <v>82</v>
      </c>
      <c r="R25" s="34" t="s">
        <v>81</v>
      </c>
    </row>
    <row r="26" spans="1:18" ht="15.75" x14ac:dyDescent="0.25">
      <c r="A26" s="69"/>
      <c r="B26" s="4" t="s">
        <v>32</v>
      </c>
      <c r="C26" s="25">
        <f ca="1">+C4+C20</f>
        <v>694170.37589331716</v>
      </c>
      <c r="D26" s="25">
        <f ca="1">+D4+D20</f>
        <v>0</v>
      </c>
      <c r="E26" s="25">
        <f>+E4+E20</f>
        <v>0</v>
      </c>
      <c r="F26" s="24" t="e">
        <f ca="1">E26/D26-1</f>
        <v>#DIV/0!</v>
      </c>
      <c r="G26" s="23">
        <f ca="1">+E26/C26</f>
        <v>0</v>
      </c>
      <c r="H26" s="25">
        <f ca="1">+H4+H20</f>
        <v>51324.885447172601</v>
      </c>
      <c r="I26" s="25">
        <f>+I4+I20</f>
        <v>0</v>
      </c>
      <c r="J26" s="23">
        <f t="shared" ref="J26" ca="1" si="16">I26/H26</f>
        <v>0</v>
      </c>
      <c r="K26" s="25">
        <f t="shared" ref="K26" ca="1" si="17">+K4+K20</f>
        <v>745495.26134048973</v>
      </c>
      <c r="L26" s="25">
        <f>+L4+L20</f>
        <v>0</v>
      </c>
      <c r="M26" s="72">
        <f ca="1">L26/K26</f>
        <v>0</v>
      </c>
      <c r="N26" s="25" t="e">
        <f ca="1">+N4+N20</f>
        <v>#N/A</v>
      </c>
      <c r="O26" s="25">
        <f>+O4+O20</f>
        <v>0</v>
      </c>
      <c r="P26" s="24" t="e">
        <f t="shared" ref="P26:P30" ca="1" si="18">O26/N26</f>
        <v>#N/A</v>
      </c>
      <c r="Q26" s="25">
        <f>+Q4+Q20</f>
        <v>0</v>
      </c>
      <c r="R26" s="25">
        <f>+R4+R20</f>
        <v>0</v>
      </c>
    </row>
    <row r="27" spans="1:18" ht="15.75" x14ac:dyDescent="0.25">
      <c r="A27" s="69"/>
      <c r="B27" s="4" t="s">
        <v>33</v>
      </c>
      <c r="C27" s="25">
        <f ca="1">C10+C13+C15</f>
        <v>358949.76991709758</v>
      </c>
      <c r="D27" s="25">
        <f ca="1">+D10+D13+D15</f>
        <v>0</v>
      </c>
      <c r="E27" s="25">
        <f>+E10+E13+E15</f>
        <v>0</v>
      </c>
      <c r="F27" s="24" t="e">
        <f ca="1">E27/D27-1</f>
        <v>#DIV/0!</v>
      </c>
      <c r="G27" s="23">
        <f ca="1">+E27/C27</f>
        <v>0</v>
      </c>
      <c r="H27" s="25">
        <f ca="1">+H10+H13+H15</f>
        <v>4391.13412542484</v>
      </c>
      <c r="I27" s="25">
        <f>I10+I13+I15</f>
        <v>0</v>
      </c>
      <c r="J27" s="23">
        <f ca="1">I27/H27</f>
        <v>0</v>
      </c>
      <c r="K27" s="25">
        <f ca="1">K10+K13+K15</f>
        <v>363340.90404252242</v>
      </c>
      <c r="L27" s="25">
        <f>L10+L13+L15</f>
        <v>0</v>
      </c>
      <c r="M27" s="72">
        <f t="shared" ref="M27:M29" ca="1" si="19">L27/K27</f>
        <v>0</v>
      </c>
      <c r="N27" s="25" t="e">
        <f ca="1">+N10+N13+N15</f>
        <v>#N/A</v>
      </c>
      <c r="O27" s="25">
        <f>+O10+O13+O15</f>
        <v>0</v>
      </c>
      <c r="P27" s="24" t="e">
        <f t="shared" ca="1" si="18"/>
        <v>#N/A</v>
      </c>
      <c r="Q27" s="25">
        <f>+Q10+Q13+Q15</f>
        <v>0</v>
      </c>
      <c r="R27" s="25">
        <f>+R10+R13+R15</f>
        <v>0</v>
      </c>
    </row>
    <row r="28" spans="1:18" ht="15.75" x14ac:dyDescent="0.25">
      <c r="A28" s="69"/>
      <c r="B28" s="4" t="s">
        <v>75</v>
      </c>
      <c r="C28" s="25">
        <f ca="1">+C11+C9+C12+C6+C14+C21</f>
        <v>895650.71822679264</v>
      </c>
      <c r="D28" s="25">
        <f ca="1">+D11+D9+D12+D6+D14+D21</f>
        <v>0</v>
      </c>
      <c r="E28" s="25">
        <f>+E11+E9+E12+E6+E14+E21</f>
        <v>0</v>
      </c>
      <c r="F28" s="24" t="e">
        <f ca="1">E28/D28-1</f>
        <v>#DIV/0!</v>
      </c>
      <c r="G28" s="23">
        <f ca="1">+E28/C28</f>
        <v>0</v>
      </c>
      <c r="H28" s="25">
        <f ca="1">H11+H9+H12+H6+H14+H21</f>
        <v>100564.04266308263</v>
      </c>
      <c r="I28" s="25">
        <f>I11+I9+I12+I6+I14+I21</f>
        <v>0</v>
      </c>
      <c r="J28" s="23">
        <f ca="1">I28/H28</f>
        <v>0</v>
      </c>
      <c r="K28" s="25">
        <f ca="1">K11+K9+K12+K6+K14+K21</f>
        <v>996214.76088987524</v>
      </c>
      <c r="L28" s="25">
        <f>L11+L9+L12+L6+L14+L21</f>
        <v>0</v>
      </c>
      <c r="M28" s="72">
        <f t="shared" ca="1" si="19"/>
        <v>0</v>
      </c>
      <c r="N28" s="25" t="e">
        <f ca="1">+N11+N9+N12+N6+N14+N21</f>
        <v>#N/A</v>
      </c>
      <c r="O28" s="25">
        <f>+O11+O9+O12+O6+O14+O21</f>
        <v>0</v>
      </c>
      <c r="P28" s="24" t="e">
        <f t="shared" ca="1" si="18"/>
        <v>#N/A</v>
      </c>
      <c r="Q28" s="25">
        <f>+Q11+Q9+Q12+Q6+Q14+Q21</f>
        <v>0</v>
      </c>
      <c r="R28" s="25">
        <f>+R11+R9+R12+R6+R14+R21</f>
        <v>0</v>
      </c>
    </row>
    <row r="29" spans="1:18" ht="15.75" x14ac:dyDescent="0.25">
      <c r="A29" s="69"/>
      <c r="B29" s="4" t="s">
        <v>34</v>
      </c>
      <c r="C29" s="25">
        <f ca="1">+C5+C7+C8+C19+C18+C17+C16+C22</f>
        <v>1554903.7035670674</v>
      </c>
      <c r="D29" s="25">
        <f t="shared" ref="D29:E29" ca="1" si="20">+D5+D7+D8+D19+D18+D17+D16+D22</f>
        <v>0</v>
      </c>
      <c r="E29" s="25">
        <f t="shared" si="20"/>
        <v>0</v>
      </c>
      <c r="F29" s="24" t="e">
        <f ca="1">E29/D29-1</f>
        <v>#DIV/0!</v>
      </c>
      <c r="G29" s="23">
        <f ca="1">+E29/C29</f>
        <v>0</v>
      </c>
      <c r="H29" s="25">
        <f t="shared" ref="H29:I29" ca="1" si="21">+H5+H7+H8+H19+H18+H17+H16+H22</f>
        <v>117510.18035270288</v>
      </c>
      <c r="I29" s="25">
        <f t="shared" si="21"/>
        <v>0</v>
      </c>
      <c r="J29" s="23">
        <f t="shared" ref="J29:J30" ca="1" si="22">I29/H29</f>
        <v>0</v>
      </c>
      <c r="K29" s="25">
        <f t="shared" ref="K29:L29" ca="1" si="23">+K5+K7+K8+K19+K18+K17+K16+K22</f>
        <v>1672413.8839197704</v>
      </c>
      <c r="L29" s="25">
        <f t="shared" si="23"/>
        <v>0</v>
      </c>
      <c r="M29" s="72">
        <f t="shared" ca="1" si="19"/>
        <v>0</v>
      </c>
      <c r="N29" s="25" t="e">
        <f t="shared" ref="N29:O29" ca="1" si="24">+N5+N7+N8+N19+N18+N17+N16+N22</f>
        <v>#N/A</v>
      </c>
      <c r="O29" s="25">
        <f t="shared" si="24"/>
        <v>0</v>
      </c>
      <c r="P29" s="24" t="e">
        <f t="shared" ca="1" si="18"/>
        <v>#N/A</v>
      </c>
      <c r="Q29" s="25">
        <f t="shared" ref="Q29:R29" si="25">+Q5+Q7+Q8+Q19+Q18+Q17+Q16+Q22</f>
        <v>0</v>
      </c>
      <c r="R29" s="25">
        <f t="shared" si="25"/>
        <v>0</v>
      </c>
    </row>
    <row r="30" spans="1:18" ht="16.5" thickBot="1" x14ac:dyDescent="0.3">
      <c r="A30" s="73"/>
      <c r="B30" s="74"/>
      <c r="C30" s="75">
        <f ca="1">SUM(C26:C29)</f>
        <v>3503674.5676042745</v>
      </c>
      <c r="D30" s="76">
        <f ca="1">SUM(D26:D29)</f>
        <v>0</v>
      </c>
      <c r="E30" s="75">
        <f>SUM(E26:E29)</f>
        <v>0</v>
      </c>
      <c r="F30" s="77" t="e">
        <f ca="1">E30/D30-1</f>
        <v>#DIV/0!</v>
      </c>
      <c r="G30" s="78">
        <f ca="1">+E30/C30</f>
        <v>0</v>
      </c>
      <c r="H30" s="76">
        <f ca="1">SUM(H26:H29)</f>
        <v>273790.24258838291</v>
      </c>
      <c r="I30" s="76">
        <f>SUM(I26:I29)</f>
        <v>0</v>
      </c>
      <c r="J30" s="78">
        <f t="shared" ca="1" si="22"/>
        <v>0</v>
      </c>
      <c r="K30" s="76">
        <f ca="1">SUM(K26:K29)</f>
        <v>3777464.8101926576</v>
      </c>
      <c r="L30" s="76">
        <f>SUM(L26:L29)</f>
        <v>0</v>
      </c>
      <c r="M30" s="79">
        <f ca="1">L30/K30</f>
        <v>0</v>
      </c>
      <c r="N30" s="76" t="e">
        <f ca="1">SUM(N26:N29)</f>
        <v>#N/A</v>
      </c>
      <c r="O30" s="76">
        <f>SUM(O26:O29)</f>
        <v>0</v>
      </c>
      <c r="P30" s="63" t="e">
        <f t="shared" ca="1" si="18"/>
        <v>#N/A</v>
      </c>
      <c r="Q30" s="76">
        <f>SUM(Q26:Q29)</f>
        <v>0</v>
      </c>
      <c r="R30" s="76">
        <f>SUM(R26:R29)</f>
        <v>0</v>
      </c>
    </row>
    <row r="33" spans="1:42" ht="15.75" x14ac:dyDescent="0.25">
      <c r="A33" s="43" t="s">
        <v>0</v>
      </c>
      <c r="B33" s="43" t="s">
        <v>1</v>
      </c>
      <c r="C33" s="53">
        <v>45985</v>
      </c>
      <c r="D33" s="53">
        <f t="shared" ref="D33:F33" si="26">C33+1</f>
        <v>45986</v>
      </c>
      <c r="E33" s="53">
        <f t="shared" si="26"/>
        <v>45987</v>
      </c>
      <c r="F33" s="53">
        <f t="shared" si="26"/>
        <v>45988</v>
      </c>
      <c r="G33" s="53">
        <f>F33+1</f>
        <v>45989</v>
      </c>
      <c r="H33" s="53">
        <f>G33+1</f>
        <v>45990</v>
      </c>
      <c r="I33" s="53">
        <f t="shared" ref="I33:AP33" si="27">H33+1</f>
        <v>45991</v>
      </c>
      <c r="J33" s="53">
        <f t="shared" si="27"/>
        <v>45992</v>
      </c>
      <c r="K33" s="53">
        <f t="shared" si="27"/>
        <v>45993</v>
      </c>
      <c r="L33" s="53">
        <f t="shared" si="27"/>
        <v>45994</v>
      </c>
      <c r="M33" s="53">
        <f t="shared" si="27"/>
        <v>45995</v>
      </c>
      <c r="N33" s="53">
        <f t="shared" si="27"/>
        <v>45996</v>
      </c>
      <c r="O33" s="53">
        <f t="shared" si="27"/>
        <v>45997</v>
      </c>
      <c r="P33" s="53">
        <f t="shared" si="27"/>
        <v>45998</v>
      </c>
      <c r="Q33" s="53">
        <f t="shared" si="27"/>
        <v>45999</v>
      </c>
      <c r="R33" s="53">
        <f t="shared" si="27"/>
        <v>46000</v>
      </c>
      <c r="S33" s="53">
        <f t="shared" si="27"/>
        <v>46001</v>
      </c>
      <c r="T33" s="53">
        <f t="shared" si="27"/>
        <v>46002</v>
      </c>
      <c r="U33" s="53">
        <f t="shared" si="27"/>
        <v>46003</v>
      </c>
      <c r="V33" s="53">
        <f t="shared" si="27"/>
        <v>46004</v>
      </c>
      <c r="W33" s="53">
        <f t="shared" si="27"/>
        <v>46005</v>
      </c>
      <c r="X33" s="53">
        <f t="shared" si="27"/>
        <v>46006</v>
      </c>
      <c r="Y33" s="53">
        <f t="shared" si="27"/>
        <v>46007</v>
      </c>
      <c r="Z33" s="53">
        <f t="shared" si="27"/>
        <v>46008</v>
      </c>
      <c r="AA33" s="53">
        <f t="shared" si="27"/>
        <v>46009</v>
      </c>
      <c r="AB33" s="53">
        <f t="shared" si="27"/>
        <v>46010</v>
      </c>
      <c r="AC33" s="53">
        <f t="shared" si="27"/>
        <v>46011</v>
      </c>
      <c r="AD33" s="53">
        <f t="shared" si="27"/>
        <v>46012</v>
      </c>
      <c r="AE33" s="53">
        <f t="shared" si="27"/>
        <v>46013</v>
      </c>
      <c r="AF33" s="53">
        <f t="shared" si="27"/>
        <v>46014</v>
      </c>
      <c r="AG33" s="53">
        <f t="shared" si="27"/>
        <v>46015</v>
      </c>
      <c r="AH33" s="53">
        <f t="shared" si="27"/>
        <v>46016</v>
      </c>
      <c r="AI33" s="53">
        <f>AH33+1</f>
        <v>46017</v>
      </c>
      <c r="AJ33" s="53">
        <f t="shared" si="27"/>
        <v>46018</v>
      </c>
      <c r="AK33" s="53">
        <f t="shared" si="27"/>
        <v>46019</v>
      </c>
      <c r="AL33" s="53">
        <f t="shared" si="27"/>
        <v>46020</v>
      </c>
      <c r="AM33" s="53">
        <f t="shared" si="27"/>
        <v>46021</v>
      </c>
      <c r="AN33" s="53">
        <f t="shared" si="27"/>
        <v>46022</v>
      </c>
      <c r="AO33" s="53">
        <f t="shared" si="27"/>
        <v>46023</v>
      </c>
      <c r="AP33" s="53">
        <f t="shared" si="27"/>
        <v>46024</v>
      </c>
    </row>
    <row r="34" spans="1:42" ht="15.75" x14ac:dyDescent="0.25">
      <c r="A34" s="4" t="s">
        <v>5</v>
      </c>
      <c r="B34" s="4" t="s">
        <v>6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 spans="1:42" ht="15.75" x14ac:dyDescent="0.25">
      <c r="A35" s="4" t="s">
        <v>7</v>
      </c>
      <c r="B35" s="4" t="s">
        <v>8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</row>
    <row r="36" spans="1:42" ht="15.75" x14ac:dyDescent="0.25">
      <c r="A36" s="4" t="s">
        <v>9</v>
      </c>
      <c r="B36" s="4" t="s">
        <v>10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pans="1:42" ht="15.75" x14ac:dyDescent="0.25">
      <c r="A37" s="4" t="s">
        <v>11</v>
      </c>
      <c r="B37" s="4" t="s">
        <v>12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</row>
    <row r="38" spans="1:42" ht="15.75" x14ac:dyDescent="0.25">
      <c r="A38" s="4" t="s">
        <v>13</v>
      </c>
      <c r="B38" s="4" t="s">
        <v>14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pans="1:42" ht="15.75" x14ac:dyDescent="0.25">
      <c r="A39" s="4" t="s">
        <v>15</v>
      </c>
      <c r="B39" s="4" t="s">
        <v>16</v>
      </c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 spans="1:42" ht="15.75" x14ac:dyDescent="0.25">
      <c r="A40" s="4" t="s">
        <v>17</v>
      </c>
      <c r="B40" s="4" t="s">
        <v>18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pans="1:42" ht="15.75" x14ac:dyDescent="0.25">
      <c r="A41" s="4" t="s">
        <v>19</v>
      </c>
      <c r="B41" s="4" t="s">
        <v>20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</row>
    <row r="42" spans="1:42" ht="15.75" x14ac:dyDescent="0.25">
      <c r="A42" s="4" t="s">
        <v>21</v>
      </c>
      <c r="B42" s="4" t="s">
        <v>22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pans="1:42" ht="15.75" x14ac:dyDescent="0.25">
      <c r="A43" s="4" t="s">
        <v>23</v>
      </c>
      <c r="B43" s="4" t="s">
        <v>24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</row>
    <row r="44" spans="1:42" ht="15.75" x14ac:dyDescent="0.25">
      <c r="A44" s="4" t="s">
        <v>25</v>
      </c>
      <c r="B44" s="4" t="s">
        <v>26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65"/>
      <c r="AO44" s="65"/>
      <c r="AP44" s="25"/>
    </row>
    <row r="45" spans="1:42" ht="15.75" x14ac:dyDescent="0.25">
      <c r="A45" s="4" t="s">
        <v>27</v>
      </c>
      <c r="B45" s="4" t="s">
        <v>28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</row>
    <row r="46" spans="1:42" ht="15.75" x14ac:dyDescent="0.25">
      <c r="A46" s="4" t="s">
        <v>46</v>
      </c>
      <c r="B46" s="4" t="s">
        <v>45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pans="1:42" ht="15.75" x14ac:dyDescent="0.25">
      <c r="A47" s="4" t="s">
        <v>73</v>
      </c>
      <c r="B47" s="4" t="s">
        <v>69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</row>
    <row r="48" spans="1:42" ht="15.75" x14ac:dyDescent="0.25">
      <c r="A48" s="4" t="s">
        <v>48</v>
      </c>
      <c r="B48" s="4" t="s">
        <v>47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pans="1:42" ht="15.75" x14ac:dyDescent="0.25">
      <c r="A49" s="4" t="s">
        <v>51</v>
      </c>
      <c r="B49" s="4" t="s">
        <v>50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</row>
    <row r="50" spans="1:42" ht="15.75" x14ac:dyDescent="0.25">
      <c r="A50" s="4" t="s">
        <v>54</v>
      </c>
      <c r="B50" s="4" t="s">
        <v>52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pans="1:42" ht="15.75" x14ac:dyDescent="0.25">
      <c r="A51" s="4" t="s">
        <v>74</v>
      </c>
      <c r="B51" s="4" t="s">
        <v>71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44"/>
      <c r="AO51" s="44"/>
      <c r="AP51" s="44"/>
    </row>
    <row r="52" spans="1:42" ht="15.75" x14ac:dyDescent="0.25">
      <c r="AB52" s="65">
        <v>78308</v>
      </c>
      <c r="AC52" s="65">
        <v>166212</v>
      </c>
      <c r="AD52" s="65">
        <v>190014</v>
      </c>
      <c r="AE52" s="65">
        <v>97235</v>
      </c>
      <c r="AF52" s="65">
        <v>112364</v>
      </c>
      <c r="AG52" s="65">
        <v>186352</v>
      </c>
    </row>
    <row r="53" spans="1:42" x14ac:dyDescent="0.25">
      <c r="A53" s="29">
        <f ca="1">TODAY()-7</f>
        <v>46284</v>
      </c>
    </row>
    <row r="56" spans="1:42" x14ac:dyDescent="0.25">
      <c r="A56" s="29"/>
    </row>
  </sheetData>
  <mergeCells count="7">
    <mergeCell ref="N1:R1"/>
    <mergeCell ref="N2:R2"/>
    <mergeCell ref="A2:B2"/>
    <mergeCell ref="C2:G2"/>
    <mergeCell ref="H2:J2"/>
    <mergeCell ref="K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7"/>
  <sheetViews>
    <sheetView zoomScaleNormal="100" workbookViewId="0">
      <selection activeCell="P3" sqref="P3:W32"/>
    </sheetView>
  </sheetViews>
  <sheetFormatPr defaultRowHeight="15" x14ac:dyDescent="0.25"/>
  <cols>
    <col min="1" max="1" width="10.42578125" bestFit="1" customWidth="1"/>
    <col min="2" max="2" width="10" bestFit="1" customWidth="1"/>
    <col min="3" max="4" width="9" bestFit="1" customWidth="1"/>
    <col min="5" max="5" width="9.7109375" bestFit="1" customWidth="1"/>
    <col min="6" max="10" width="9" bestFit="1" customWidth="1"/>
    <col min="11" max="11" width="10" bestFit="1" customWidth="1"/>
    <col min="12" max="12" width="9" bestFit="1" customWidth="1"/>
    <col min="13" max="14" width="10" bestFit="1" customWidth="1"/>
    <col min="15" max="15" width="9.7109375" bestFit="1" customWidth="1"/>
    <col min="16" max="18" width="9" bestFit="1" customWidth="1"/>
    <col min="19" max="21" width="9" customWidth="1"/>
    <col min="22" max="22" width="16.7109375" bestFit="1" customWidth="1"/>
    <col min="23" max="23" width="16.7109375" customWidth="1"/>
    <col min="24" max="24" width="10" bestFit="1" customWidth="1"/>
    <col min="25" max="25" width="9" bestFit="1" customWidth="1"/>
  </cols>
  <sheetData>
    <row r="1" spans="1:24" ht="15.75" x14ac:dyDescent="0.25">
      <c r="A1" s="28"/>
      <c r="B1" s="18" t="s">
        <v>35</v>
      </c>
      <c r="C1" s="19" t="s">
        <v>57</v>
      </c>
      <c r="D1" s="19" t="s">
        <v>58</v>
      </c>
      <c r="E1" s="19" t="s">
        <v>26</v>
      </c>
      <c r="F1" s="19" t="s">
        <v>59</v>
      </c>
      <c r="G1" s="19" t="s">
        <v>24</v>
      </c>
      <c r="H1" s="19" t="s">
        <v>38</v>
      </c>
      <c r="I1" s="19" t="s">
        <v>28</v>
      </c>
      <c r="J1" s="19" t="s">
        <v>60</v>
      </c>
      <c r="K1" s="19" t="s">
        <v>61</v>
      </c>
      <c r="L1" s="19" t="s">
        <v>39</v>
      </c>
      <c r="M1" s="19" t="s">
        <v>62</v>
      </c>
      <c r="N1" s="19" t="s">
        <v>49</v>
      </c>
      <c r="O1" s="19" t="s">
        <v>70</v>
      </c>
      <c r="P1" s="19" t="s">
        <v>63</v>
      </c>
      <c r="Q1" s="19" t="s">
        <v>50</v>
      </c>
      <c r="R1" s="19" t="s">
        <v>52</v>
      </c>
      <c r="S1" s="19" t="s">
        <v>71</v>
      </c>
      <c r="T1" s="19" t="s">
        <v>98</v>
      </c>
      <c r="U1" s="19" t="s">
        <v>79</v>
      </c>
      <c r="V1" s="4" t="s">
        <v>104</v>
      </c>
      <c r="W1" s="94" t="s">
        <v>106</v>
      </c>
      <c r="X1" s="19"/>
    </row>
    <row r="2" spans="1:24" ht="15.75" x14ac:dyDescent="0.25">
      <c r="A2" s="19" t="s">
        <v>37</v>
      </c>
      <c r="B2" s="19" t="s">
        <v>15</v>
      </c>
      <c r="C2" s="19" t="s">
        <v>19</v>
      </c>
      <c r="D2" s="19" t="s">
        <v>21</v>
      </c>
      <c r="E2" s="19" t="s">
        <v>25</v>
      </c>
      <c r="F2" s="19" t="s">
        <v>17</v>
      </c>
      <c r="G2" s="19" t="s">
        <v>23</v>
      </c>
      <c r="H2" s="19" t="s">
        <v>9</v>
      </c>
      <c r="I2" s="19" t="s">
        <v>27</v>
      </c>
      <c r="J2" s="19" t="s">
        <v>7</v>
      </c>
      <c r="K2" s="19" t="s">
        <v>11</v>
      </c>
      <c r="L2" s="19" t="s">
        <v>13</v>
      </c>
      <c r="M2" s="19" t="s">
        <v>5</v>
      </c>
      <c r="N2" s="19" t="s">
        <v>46</v>
      </c>
      <c r="O2" s="4" t="s">
        <v>73</v>
      </c>
      <c r="P2" s="19" t="s">
        <v>48</v>
      </c>
      <c r="Q2" s="19" t="s">
        <v>51</v>
      </c>
      <c r="R2" s="19" t="s">
        <v>54</v>
      </c>
      <c r="S2" s="19" t="s">
        <v>76</v>
      </c>
      <c r="T2" s="19" t="s">
        <v>97</v>
      </c>
      <c r="U2" s="19" t="s">
        <v>78</v>
      </c>
      <c r="V2" s="4" t="s">
        <v>103</v>
      </c>
      <c r="W2" s="93" t="s">
        <v>105</v>
      </c>
      <c r="X2" s="19" t="s">
        <v>36</v>
      </c>
    </row>
    <row r="3" spans="1:24" x14ac:dyDescent="0.25">
      <c r="A3" s="21">
        <v>46266</v>
      </c>
      <c r="B3" s="61">
        <v>200783.23921080079</v>
      </c>
      <c r="C3" s="61">
        <v>72841.470904938877</v>
      </c>
      <c r="D3" s="61">
        <v>45263.897825827335</v>
      </c>
      <c r="E3" s="61"/>
      <c r="F3" s="61">
        <v>79471.805671102004</v>
      </c>
      <c r="G3" s="61">
        <v>39015.917633814948</v>
      </c>
      <c r="H3" s="61">
        <v>26701.399035872699</v>
      </c>
      <c r="I3" s="61">
        <v>31618.544114960212</v>
      </c>
      <c r="J3" s="61">
        <v>119907.14446930576</v>
      </c>
      <c r="K3" s="61">
        <v>164020.40173854708</v>
      </c>
      <c r="L3" s="61">
        <v>73656.885961627981</v>
      </c>
      <c r="M3" s="61">
        <v>217870.33648739863</v>
      </c>
      <c r="N3" s="61">
        <v>200116.47630121405</v>
      </c>
      <c r="O3" s="61"/>
      <c r="P3" s="61">
        <v>21920.369880452385</v>
      </c>
      <c r="Q3" s="61">
        <v>20931.853427181999</v>
      </c>
      <c r="R3" s="61">
        <v>72419.093431624919</v>
      </c>
      <c r="S3" s="61">
        <v>28954.838826491698</v>
      </c>
      <c r="T3" s="61">
        <v>49679.326076989804</v>
      </c>
      <c r="U3" s="61">
        <v>78336.458174606436</v>
      </c>
      <c r="V3" s="61">
        <v>65745.042717012941</v>
      </c>
      <c r="W3" s="61">
        <v>58021.217698554989</v>
      </c>
      <c r="X3" s="20">
        <f t="shared" ref="X3:X35" si="0">SUM(B3:V3)</f>
        <v>1609254.5018897704</v>
      </c>
    </row>
    <row r="4" spans="1:24" x14ac:dyDescent="0.25">
      <c r="A4" s="21">
        <f>A3+1</f>
        <v>46267</v>
      </c>
      <c r="B4" s="30">
        <v>209512.9452634443</v>
      </c>
      <c r="C4" s="30">
        <v>76008.491379066647</v>
      </c>
      <c r="D4" s="30">
        <v>47231.893383471994</v>
      </c>
      <c r="E4" s="30"/>
      <c r="F4" s="30">
        <v>82927.101569845574</v>
      </c>
      <c r="G4" s="30">
        <v>40712.26187876342</v>
      </c>
      <c r="H4" s="30">
        <v>27862.329428736728</v>
      </c>
      <c r="I4" s="30">
        <v>32993.263424306308</v>
      </c>
      <c r="J4" s="30">
        <v>125120.49857666687</v>
      </c>
      <c r="K4" s="30">
        <v>171151.72355326649</v>
      </c>
      <c r="L4" s="30">
        <v>76859.359264307466</v>
      </c>
      <c r="M4" s="30">
        <v>227342.95981293768</v>
      </c>
      <c r="N4" s="30">
        <v>208817.19266213637</v>
      </c>
      <c r="O4" s="30"/>
      <c r="P4" s="30">
        <v>22873.429440472053</v>
      </c>
      <c r="Q4" s="30">
        <v>21841.934010972553</v>
      </c>
      <c r="R4" s="30">
        <v>75567.749667782526</v>
      </c>
      <c r="S4" s="30">
        <v>30213.74486242612</v>
      </c>
      <c r="T4" s="30">
        <v>51839.296775989358</v>
      </c>
      <c r="U4" s="30">
        <v>81742.391138719744</v>
      </c>
      <c r="V4" s="30">
        <v>68603.522835143929</v>
      </c>
      <c r="W4" s="30">
        <v>60543.879337622588</v>
      </c>
      <c r="X4" s="20">
        <f t="shared" si="0"/>
        <v>1679222.088928456</v>
      </c>
    </row>
    <row r="5" spans="1:24" x14ac:dyDescent="0.25">
      <c r="A5" s="21">
        <f t="shared" ref="A5:A33" si="1">A4+1</f>
        <v>46268</v>
      </c>
      <c r="B5" s="30">
        <v>244431.76947401837</v>
      </c>
      <c r="C5" s="30">
        <v>88676.573275577772</v>
      </c>
      <c r="D5" s="30">
        <v>55103.875614050667</v>
      </c>
      <c r="E5" s="30"/>
      <c r="F5" s="30">
        <v>96748.285164819841</v>
      </c>
      <c r="G5" s="30">
        <v>47497.63885855733</v>
      </c>
      <c r="H5" s="30">
        <v>32506.051000192852</v>
      </c>
      <c r="I5" s="30">
        <v>38492.140661690697</v>
      </c>
      <c r="J5" s="30">
        <v>145973.91500611138</v>
      </c>
      <c r="K5" s="30">
        <v>199677.01081214429</v>
      </c>
      <c r="L5" s="30">
        <v>89669.25247502538</v>
      </c>
      <c r="M5" s="30">
        <v>265233.45311509399</v>
      </c>
      <c r="N5" s="30">
        <v>243620.0581058258</v>
      </c>
      <c r="O5" s="30"/>
      <c r="P5" s="30">
        <v>26685.66768055073</v>
      </c>
      <c r="Q5" s="30">
        <v>25482.256346134647</v>
      </c>
      <c r="R5" s="30">
        <v>88162.374612412954</v>
      </c>
      <c r="S5" s="30">
        <v>35249.369006163804</v>
      </c>
      <c r="T5" s="30">
        <v>60479.179571987588</v>
      </c>
      <c r="U5" s="30">
        <v>95366.122995173049</v>
      </c>
      <c r="V5" s="30">
        <v>80037.443307667927</v>
      </c>
      <c r="W5" s="30">
        <v>70634.525893893035</v>
      </c>
      <c r="X5" s="20">
        <f t="shared" si="0"/>
        <v>1959092.4370831994</v>
      </c>
    </row>
    <row r="6" spans="1:24" x14ac:dyDescent="0.25">
      <c r="A6" s="21">
        <f t="shared" si="1"/>
        <v>46269</v>
      </c>
      <c r="B6" s="30">
        <v>349188.24210574053</v>
      </c>
      <c r="C6" s="30">
        <v>126680.81896511109</v>
      </c>
      <c r="D6" s="30">
        <v>78719.822305786656</v>
      </c>
      <c r="E6" s="30"/>
      <c r="F6" s="30">
        <v>138211.83594974261</v>
      </c>
      <c r="G6" s="30">
        <v>67853.769797939036</v>
      </c>
      <c r="H6" s="30">
        <v>46437.215714561215</v>
      </c>
      <c r="I6" s="30">
        <v>54988.772373843844</v>
      </c>
      <c r="J6" s="30">
        <v>208534.16429444478</v>
      </c>
      <c r="K6" s="30">
        <v>285252.87258877751</v>
      </c>
      <c r="L6" s="30">
        <v>128098.93210717911</v>
      </c>
      <c r="M6" s="30">
        <v>378904.93302156281</v>
      </c>
      <c r="N6" s="30">
        <v>348028.65443689399</v>
      </c>
      <c r="O6" s="30"/>
      <c r="P6" s="30">
        <v>38122.382400786759</v>
      </c>
      <c r="Q6" s="30">
        <v>36403.223351620923</v>
      </c>
      <c r="R6" s="30">
        <v>125946.24944630421</v>
      </c>
      <c r="S6" s="30">
        <v>50356.241437376862</v>
      </c>
      <c r="T6" s="30">
        <v>86398.827959982271</v>
      </c>
      <c r="U6" s="30">
        <v>136237.31856453291</v>
      </c>
      <c r="V6" s="30">
        <v>114339.20472523988</v>
      </c>
      <c r="W6" s="30">
        <v>100906.46556270432</v>
      </c>
      <c r="X6" s="20">
        <f t="shared" si="0"/>
        <v>2798703.4815474274</v>
      </c>
    </row>
    <row r="7" spans="1:24" x14ac:dyDescent="0.25">
      <c r="A7" s="21">
        <f t="shared" si="1"/>
        <v>46270</v>
      </c>
      <c r="B7" s="30">
        <v>453944.71473746264</v>
      </c>
      <c r="C7" s="30">
        <v>164685.0646546444</v>
      </c>
      <c r="D7" s="30">
        <v>102335.76899752265</v>
      </c>
      <c r="E7" s="30"/>
      <c r="F7" s="30">
        <v>179675.3867346654</v>
      </c>
      <c r="G7" s="30">
        <v>88209.900737320742</v>
      </c>
      <c r="H7" s="30">
        <v>60368.380428929573</v>
      </c>
      <c r="I7" s="30">
        <v>71485.404085996997</v>
      </c>
      <c r="J7" s="30">
        <v>271094.41358277819</v>
      </c>
      <c r="K7" s="30">
        <v>370828.73436541075</v>
      </c>
      <c r="L7" s="30">
        <v>166528.61173933282</v>
      </c>
      <c r="M7" s="30">
        <v>492576.41292803164</v>
      </c>
      <c r="N7" s="30">
        <v>452437.25076796213</v>
      </c>
      <c r="O7" s="30"/>
      <c r="P7" s="30">
        <v>49559.09712102278</v>
      </c>
      <c r="Q7" s="30">
        <v>47324.190357107196</v>
      </c>
      <c r="R7" s="30">
        <v>163730.12428019548</v>
      </c>
      <c r="S7" s="30">
        <v>65463.11386858992</v>
      </c>
      <c r="T7" s="30">
        <v>112318.47634797693</v>
      </c>
      <c r="U7" s="30">
        <v>177108.51413389278</v>
      </c>
      <c r="V7" s="30">
        <v>148640.96614281184</v>
      </c>
      <c r="W7" s="30">
        <v>131178.40523151562</v>
      </c>
      <c r="X7" s="20">
        <f t="shared" si="0"/>
        <v>3638314.5260116551</v>
      </c>
    </row>
    <row r="8" spans="1:24" x14ac:dyDescent="0.25">
      <c r="A8" s="21">
        <f>A7+1</f>
        <v>46271</v>
      </c>
      <c r="B8" s="30">
        <v>453944.71473746264</v>
      </c>
      <c r="C8" s="30">
        <v>164685.0646546444</v>
      </c>
      <c r="D8" s="30">
        <v>102335.76899752265</v>
      </c>
      <c r="E8" s="30"/>
      <c r="F8" s="30">
        <v>179675.3867346654</v>
      </c>
      <c r="G8" s="30">
        <v>88209.900737320742</v>
      </c>
      <c r="H8" s="30">
        <v>60368.380428929573</v>
      </c>
      <c r="I8" s="30">
        <v>71485.404085996997</v>
      </c>
      <c r="J8" s="30">
        <v>271094.41358277819</v>
      </c>
      <c r="K8" s="30">
        <v>370828.73436541075</v>
      </c>
      <c r="L8" s="30">
        <v>166528.61173933282</v>
      </c>
      <c r="M8" s="30">
        <v>492576.41292803164</v>
      </c>
      <c r="N8" s="30">
        <v>452437.25076796213</v>
      </c>
      <c r="O8" s="30"/>
      <c r="P8" s="30">
        <v>49559.09712102278</v>
      </c>
      <c r="Q8" s="30">
        <v>47324.190357107196</v>
      </c>
      <c r="R8" s="30">
        <v>163730.12428019548</v>
      </c>
      <c r="S8" s="30">
        <v>65463.11386858992</v>
      </c>
      <c r="T8" s="30">
        <v>112318.47634797693</v>
      </c>
      <c r="U8" s="30">
        <v>177108.51413389278</v>
      </c>
      <c r="V8" s="30">
        <v>148640.96614281184</v>
      </c>
      <c r="W8" s="30">
        <v>131178.40523151562</v>
      </c>
      <c r="X8" s="20">
        <f t="shared" si="0"/>
        <v>3638314.5260116551</v>
      </c>
    </row>
    <row r="9" spans="1:24" x14ac:dyDescent="0.25">
      <c r="A9" s="21">
        <f>A8+1</f>
        <v>46272</v>
      </c>
      <c r="B9" s="30">
        <v>200783.23921080079</v>
      </c>
      <c r="C9" s="30">
        <v>72841.470904938877</v>
      </c>
      <c r="D9" s="30">
        <v>45263.897825827335</v>
      </c>
      <c r="E9" s="30"/>
      <c r="F9" s="30">
        <v>79471.805671102004</v>
      </c>
      <c r="G9" s="30">
        <v>39015.917633814948</v>
      </c>
      <c r="H9" s="30">
        <v>26701.399035872699</v>
      </c>
      <c r="I9" s="30">
        <v>31618.544114960212</v>
      </c>
      <c r="J9" s="30">
        <v>119907.14446930576</v>
      </c>
      <c r="K9" s="30">
        <v>164020.40173854708</v>
      </c>
      <c r="L9" s="30">
        <v>73656.885961627981</v>
      </c>
      <c r="M9" s="30">
        <v>217870.33648739863</v>
      </c>
      <c r="N9" s="30">
        <v>200116.47630121405</v>
      </c>
      <c r="O9" s="30"/>
      <c r="P9" s="30">
        <v>21920.369880452385</v>
      </c>
      <c r="Q9" s="30">
        <v>20931.853427182032</v>
      </c>
      <c r="R9" s="30">
        <v>72419.093431624919</v>
      </c>
      <c r="S9" s="30">
        <v>28954.838826491698</v>
      </c>
      <c r="T9" s="30">
        <v>49679.326076989804</v>
      </c>
      <c r="U9" s="30">
        <v>78336.458174606436</v>
      </c>
      <c r="V9" s="30">
        <v>65745.042717012941</v>
      </c>
      <c r="W9" s="30">
        <v>58021.217698554989</v>
      </c>
      <c r="X9" s="20">
        <f t="shared" si="0"/>
        <v>1609254.5018897704</v>
      </c>
    </row>
    <row r="10" spans="1:24" x14ac:dyDescent="0.25">
      <c r="A10" s="21">
        <f t="shared" si="1"/>
        <v>46273</v>
      </c>
      <c r="B10" s="30">
        <v>209512.9452634443</v>
      </c>
      <c r="C10" s="30">
        <v>76008.491379066647</v>
      </c>
      <c r="D10" s="30">
        <v>47231.893383471994</v>
      </c>
      <c r="E10" s="30"/>
      <c r="F10" s="30">
        <v>82927.101569845574</v>
      </c>
      <c r="G10" s="30">
        <v>40712.26187876342</v>
      </c>
      <c r="H10" s="30">
        <v>27862.329428736728</v>
      </c>
      <c r="I10" s="30">
        <v>32993.263424306308</v>
      </c>
      <c r="J10" s="30">
        <v>125120.49857666687</v>
      </c>
      <c r="K10" s="30">
        <v>171151.72355326649</v>
      </c>
      <c r="L10" s="30">
        <v>76859.359264307466</v>
      </c>
      <c r="M10" s="30">
        <v>227342.95981293768</v>
      </c>
      <c r="N10" s="30">
        <v>208817.19266213637</v>
      </c>
      <c r="O10" s="30"/>
      <c r="P10" s="30">
        <v>22873.429440472053</v>
      </c>
      <c r="Q10" s="30">
        <v>21841.934010972553</v>
      </c>
      <c r="R10" s="30">
        <v>75567.749667782526</v>
      </c>
      <c r="S10" s="30">
        <v>30213.74486242612</v>
      </c>
      <c r="T10" s="30">
        <v>51839.296775989358</v>
      </c>
      <c r="U10" s="30">
        <v>81742.391138719744</v>
      </c>
      <c r="V10" s="30">
        <v>68603.522835143929</v>
      </c>
      <c r="W10" s="30">
        <v>60543.879337622588</v>
      </c>
      <c r="X10" s="20">
        <f t="shared" si="0"/>
        <v>1679222.088928456</v>
      </c>
    </row>
    <row r="11" spans="1:24" x14ac:dyDescent="0.25">
      <c r="A11" s="21">
        <f t="shared" si="1"/>
        <v>46274</v>
      </c>
      <c r="B11" s="31">
        <v>209512.9452634443</v>
      </c>
      <c r="C11" s="31">
        <v>76008.491379066647</v>
      </c>
      <c r="D11" s="31">
        <v>47231.893383471994</v>
      </c>
      <c r="E11" s="31"/>
      <c r="F11" s="31">
        <v>82927.101569845574</v>
      </c>
      <c r="G11" s="31">
        <v>40712.26187876342</v>
      </c>
      <c r="H11" s="31">
        <v>27862.329428736728</v>
      </c>
      <c r="I11" s="31">
        <v>32993.263424306308</v>
      </c>
      <c r="J11" s="31">
        <v>125120.49857666687</v>
      </c>
      <c r="K11" s="31">
        <v>171151.72355326649</v>
      </c>
      <c r="L11" s="31">
        <v>76859.359264307466</v>
      </c>
      <c r="M11" s="31">
        <v>227342.95981293768</v>
      </c>
      <c r="N11" s="31">
        <v>208817.19266213637</v>
      </c>
      <c r="O11" s="31"/>
      <c r="P11" s="31">
        <v>22873.429440472053</v>
      </c>
      <c r="Q11" s="31">
        <v>21841.934010972553</v>
      </c>
      <c r="R11" s="31">
        <v>75567.749667782526</v>
      </c>
      <c r="S11" s="31">
        <v>30213.74486242612</v>
      </c>
      <c r="T11" s="31">
        <v>51839.296775989358</v>
      </c>
      <c r="U11" s="31">
        <v>81742.391138719744</v>
      </c>
      <c r="V11" s="31">
        <v>68603.522835143929</v>
      </c>
      <c r="W11" s="31">
        <v>60543.879337622588</v>
      </c>
      <c r="X11" s="20">
        <f t="shared" si="0"/>
        <v>1679222.088928456</v>
      </c>
    </row>
    <row r="12" spans="1:24" x14ac:dyDescent="0.25">
      <c r="A12" s="21">
        <f t="shared" si="1"/>
        <v>46275</v>
      </c>
      <c r="B12" s="30">
        <v>235702.06342137486</v>
      </c>
      <c r="C12" s="30">
        <v>85509.552801449987</v>
      </c>
      <c r="D12" s="30">
        <v>53135.880056406</v>
      </c>
      <c r="E12" s="30"/>
      <c r="F12" s="30">
        <v>93292.989266076271</v>
      </c>
      <c r="G12" s="30">
        <v>45801.29461360885</v>
      </c>
      <c r="H12" s="30">
        <v>31345.120607328819</v>
      </c>
      <c r="I12" s="30">
        <v>37117.421352344594</v>
      </c>
      <c r="J12" s="30">
        <v>140760.56089875023</v>
      </c>
      <c r="K12" s="30">
        <v>192545.68899742482</v>
      </c>
      <c r="L12" s="30">
        <v>86466.779172345894</v>
      </c>
      <c r="M12" s="30">
        <v>255760.8297895549</v>
      </c>
      <c r="N12" s="30">
        <v>234919.34174490345</v>
      </c>
      <c r="O12" s="30"/>
      <c r="P12" s="30">
        <v>25732.608120531062</v>
      </c>
      <c r="Q12" s="30">
        <v>24572.175762344123</v>
      </c>
      <c r="R12" s="30">
        <v>85013.718376255347</v>
      </c>
      <c r="S12" s="30">
        <v>33990.462970229382</v>
      </c>
      <c r="T12" s="30">
        <v>58319.208872988027</v>
      </c>
      <c r="U12" s="30">
        <v>91960.190031059727</v>
      </c>
      <c r="V12" s="30">
        <v>77178.963189536924</v>
      </c>
      <c r="W12" s="30">
        <v>68111.864254825414</v>
      </c>
      <c r="X12" s="20">
        <f t="shared" si="0"/>
        <v>1889124.8500445134</v>
      </c>
    </row>
    <row r="13" spans="1:24" x14ac:dyDescent="0.25">
      <c r="A13" s="21">
        <f t="shared" si="1"/>
        <v>46276</v>
      </c>
      <c r="B13" s="30">
        <v>261891.18157930535</v>
      </c>
      <c r="C13" s="30">
        <v>95010.614223833312</v>
      </c>
      <c r="D13" s="30">
        <v>59039.866729339992</v>
      </c>
      <c r="E13" s="30"/>
      <c r="F13" s="30">
        <v>103658.87696230695</v>
      </c>
      <c r="G13" s="30">
        <v>50890.327348454273</v>
      </c>
      <c r="H13" s="30">
        <v>34827.911785920907</v>
      </c>
      <c r="I13" s="30">
        <v>41241.579280382881</v>
      </c>
      <c r="J13" s="30">
        <v>156400.62322083357</v>
      </c>
      <c r="K13" s="30">
        <v>213939.65444158312</v>
      </c>
      <c r="L13" s="30">
        <v>96074.199080384322</v>
      </c>
      <c r="M13" s="30">
        <v>284178.6997661721</v>
      </c>
      <c r="N13" s="30">
        <v>261021.49082767047</v>
      </c>
      <c r="O13" s="30"/>
      <c r="P13" s="30">
        <v>28591.786800590064</v>
      </c>
      <c r="Q13" s="30">
        <v>27302.417513715689</v>
      </c>
      <c r="R13" s="30">
        <v>94459.687084728153</v>
      </c>
      <c r="S13" s="30">
        <v>37767.181078032649</v>
      </c>
      <c r="T13" s="30">
        <v>64799.120969986696</v>
      </c>
      <c r="U13" s="30">
        <v>102177.98892339968</v>
      </c>
      <c r="V13" s="30">
        <v>85754.403543929904</v>
      </c>
      <c r="W13" s="30">
        <v>75679.849172028233</v>
      </c>
      <c r="X13" s="20">
        <f t="shared" si="0"/>
        <v>2099027.6111605703</v>
      </c>
    </row>
    <row r="14" spans="1:24" x14ac:dyDescent="0.25">
      <c r="A14" s="21">
        <f t="shared" si="1"/>
        <v>46277</v>
      </c>
      <c r="B14" s="30">
        <v>462674.42079010617</v>
      </c>
      <c r="C14" s="30">
        <v>167852.08512877219</v>
      </c>
      <c r="D14" s="30">
        <v>104303.76455516732</v>
      </c>
      <c r="E14" s="30"/>
      <c r="F14" s="30">
        <v>183130.68263340896</v>
      </c>
      <c r="G14" s="30">
        <v>89906.244982269214</v>
      </c>
      <c r="H14" s="30">
        <v>61529.31082179361</v>
      </c>
      <c r="I14" s="30">
        <v>72860.123395343093</v>
      </c>
      <c r="J14" s="30">
        <v>276307.76769013936</v>
      </c>
      <c r="K14" s="30">
        <v>377960.05618013022</v>
      </c>
      <c r="L14" s="30">
        <v>169731.0850420123</v>
      </c>
      <c r="M14" s="30">
        <v>502049.0362535707</v>
      </c>
      <c r="N14" s="30">
        <v>461137.96712888451</v>
      </c>
      <c r="O14" s="30"/>
      <c r="P14" s="30">
        <v>50512.156681042448</v>
      </c>
      <c r="Q14" s="30">
        <v>48234.270940897717</v>
      </c>
      <c r="R14" s="30">
        <v>166878.78051635309</v>
      </c>
      <c r="S14" s="30">
        <v>66722.01990452435</v>
      </c>
      <c r="T14" s="30">
        <v>114478.44704697649</v>
      </c>
      <c r="U14" s="30">
        <v>180514.44709800612</v>
      </c>
      <c r="V14" s="30">
        <v>151499.44626094284</v>
      </c>
      <c r="W14" s="30">
        <v>133701.06687058322</v>
      </c>
      <c r="X14" s="20">
        <f t="shared" si="0"/>
        <v>3708282.1130503407</v>
      </c>
    </row>
    <row r="15" spans="1:24" x14ac:dyDescent="0.25">
      <c r="A15" s="21">
        <f>A14+1</f>
        <v>46278</v>
      </c>
      <c r="B15" s="30">
        <v>462674.42079010617</v>
      </c>
      <c r="C15" s="30">
        <v>167852.08512877219</v>
      </c>
      <c r="D15" s="30">
        <v>104303.76455516732</v>
      </c>
      <c r="E15" s="30"/>
      <c r="F15" s="30">
        <v>183130.68263340896</v>
      </c>
      <c r="G15" s="30">
        <v>89906.244982269214</v>
      </c>
      <c r="H15" s="30">
        <v>61529.31082179361</v>
      </c>
      <c r="I15" s="30">
        <v>72860.123395343093</v>
      </c>
      <c r="J15" s="30">
        <v>276307.76769013936</v>
      </c>
      <c r="K15" s="30">
        <v>377960.05618013022</v>
      </c>
      <c r="L15" s="30">
        <v>169731.0850420123</v>
      </c>
      <c r="M15" s="30">
        <v>502049.0362535707</v>
      </c>
      <c r="N15" s="30">
        <v>461137.96712888451</v>
      </c>
      <c r="O15" s="30"/>
      <c r="P15" s="30">
        <v>50512.156681042448</v>
      </c>
      <c r="Q15" s="30">
        <v>48234.270940897717</v>
      </c>
      <c r="R15" s="30">
        <v>166878.78051635309</v>
      </c>
      <c r="S15" s="30">
        <v>66722.01990452435</v>
      </c>
      <c r="T15" s="30">
        <v>114478.44704697649</v>
      </c>
      <c r="U15" s="30">
        <v>180514.44709800612</v>
      </c>
      <c r="V15" s="30">
        <v>151499.44626094284</v>
      </c>
      <c r="W15" s="30">
        <v>133701.06687058322</v>
      </c>
      <c r="X15" s="20">
        <f t="shared" si="0"/>
        <v>3708282.1130503407</v>
      </c>
    </row>
    <row r="16" spans="1:24" x14ac:dyDescent="0.25">
      <c r="A16" s="21">
        <f t="shared" si="1"/>
        <v>46279</v>
      </c>
      <c r="B16" s="30">
        <v>200783.23921080079</v>
      </c>
      <c r="C16" s="30">
        <v>72841.470904938877</v>
      </c>
      <c r="D16" s="30">
        <v>45263.897825827335</v>
      </c>
      <c r="E16" s="30"/>
      <c r="F16" s="30">
        <v>79471.805671102004</v>
      </c>
      <c r="G16" s="30">
        <v>39015.917633814948</v>
      </c>
      <c r="H16" s="30">
        <v>26701.399035872699</v>
      </c>
      <c r="I16" s="30">
        <v>31618.544114960212</v>
      </c>
      <c r="J16" s="30">
        <v>119907.14446930576</v>
      </c>
      <c r="K16" s="30">
        <v>164020.40173854708</v>
      </c>
      <c r="L16" s="30">
        <v>73656.885961627981</v>
      </c>
      <c r="M16" s="30">
        <v>217870.33648739863</v>
      </c>
      <c r="N16" s="30">
        <v>200116.47630121405</v>
      </c>
      <c r="O16" s="30"/>
      <c r="P16" s="30">
        <v>21920.369880452385</v>
      </c>
      <c r="Q16" s="30">
        <v>20931.853427182032</v>
      </c>
      <c r="R16" s="30">
        <v>72419.093431624919</v>
      </c>
      <c r="S16" s="30">
        <v>28954.838826491698</v>
      </c>
      <c r="T16" s="30">
        <v>49679.326076989804</v>
      </c>
      <c r="U16" s="30">
        <v>78336.458174606436</v>
      </c>
      <c r="V16" s="30">
        <v>65745.042717012941</v>
      </c>
      <c r="W16" s="30">
        <v>58021.217698554989</v>
      </c>
      <c r="X16" s="20">
        <f t="shared" si="0"/>
        <v>1609254.5018897704</v>
      </c>
    </row>
    <row r="17" spans="1:24" x14ac:dyDescent="0.25">
      <c r="A17" s="21">
        <f t="shared" si="1"/>
        <v>46280</v>
      </c>
      <c r="B17" s="31">
        <v>209512.9452634443</v>
      </c>
      <c r="C17" s="31">
        <v>76008.491379066647</v>
      </c>
      <c r="D17" s="31">
        <v>47231.893383471994</v>
      </c>
      <c r="E17" s="31"/>
      <c r="F17" s="31">
        <v>82927.101569845574</v>
      </c>
      <c r="G17" s="31">
        <v>40712.26187876342</v>
      </c>
      <c r="H17" s="31">
        <v>27862.329428736728</v>
      </c>
      <c r="I17" s="31">
        <v>32993.263424306308</v>
      </c>
      <c r="J17" s="31">
        <v>125120.49857666687</v>
      </c>
      <c r="K17" s="31">
        <v>171151.72355326649</v>
      </c>
      <c r="L17" s="31">
        <v>76859.359264307466</v>
      </c>
      <c r="M17" s="31">
        <v>227342.95981293768</v>
      </c>
      <c r="N17" s="31">
        <v>208817.19266213637</v>
      </c>
      <c r="O17" s="31"/>
      <c r="P17" s="31">
        <v>22873.429440472053</v>
      </c>
      <c r="Q17" s="31">
        <v>21841.934010972553</v>
      </c>
      <c r="R17" s="31">
        <v>75567.749667782526</v>
      </c>
      <c r="S17" s="31">
        <v>30213.74486242612</v>
      </c>
      <c r="T17" s="31">
        <v>51839.296775989358</v>
      </c>
      <c r="U17" s="31">
        <v>81742.391138719744</v>
      </c>
      <c r="V17" s="31">
        <v>68603.522835143929</v>
      </c>
      <c r="W17" s="31">
        <v>60543.879337622588</v>
      </c>
      <c r="X17" s="20">
        <f t="shared" si="0"/>
        <v>1679222.088928456</v>
      </c>
    </row>
    <row r="18" spans="1:24" x14ac:dyDescent="0.25">
      <c r="A18" s="21">
        <f t="shared" si="1"/>
        <v>46281</v>
      </c>
      <c r="B18" s="31">
        <v>209512.9452634443</v>
      </c>
      <c r="C18" s="31">
        <v>76008.491379066647</v>
      </c>
      <c r="D18" s="31">
        <v>47231.893383471994</v>
      </c>
      <c r="E18" s="31"/>
      <c r="F18" s="31">
        <v>82927.101569845574</v>
      </c>
      <c r="G18" s="31">
        <v>40712.26187876342</v>
      </c>
      <c r="H18" s="31">
        <v>27862.329428736728</v>
      </c>
      <c r="I18" s="31">
        <v>32993.263424306308</v>
      </c>
      <c r="J18" s="31">
        <v>125120.49857666687</v>
      </c>
      <c r="K18" s="31">
        <v>171151.72355326649</v>
      </c>
      <c r="L18" s="31">
        <v>76859.359264307466</v>
      </c>
      <c r="M18" s="31">
        <v>227342.95981293768</v>
      </c>
      <c r="N18" s="31">
        <v>208817.19266213637</v>
      </c>
      <c r="O18" s="31"/>
      <c r="P18" s="31">
        <v>22873.429440472053</v>
      </c>
      <c r="Q18" s="31">
        <v>21841.934010972553</v>
      </c>
      <c r="R18" s="31">
        <v>75567.749667782526</v>
      </c>
      <c r="S18" s="31">
        <v>30213.74486242612</v>
      </c>
      <c r="T18" s="31">
        <v>51839.296775989358</v>
      </c>
      <c r="U18" s="31">
        <v>81742.391138719744</v>
      </c>
      <c r="V18" s="31">
        <v>68603.522835143929</v>
      </c>
      <c r="W18" s="31">
        <v>60543.879337622588</v>
      </c>
      <c r="X18" s="20">
        <f t="shared" si="0"/>
        <v>1679222.088928456</v>
      </c>
    </row>
    <row r="19" spans="1:24" x14ac:dyDescent="0.25">
      <c r="A19" s="21">
        <f t="shared" si="1"/>
        <v>46282</v>
      </c>
      <c r="B19" s="30">
        <v>244431.76947401837</v>
      </c>
      <c r="C19" s="30">
        <v>88676.573275577772</v>
      </c>
      <c r="D19" s="30">
        <v>55103.875614050667</v>
      </c>
      <c r="E19" s="30"/>
      <c r="F19" s="30">
        <v>96748.285164819841</v>
      </c>
      <c r="G19" s="30">
        <v>47497.63885855733</v>
      </c>
      <c r="H19" s="30">
        <v>32506.051000192852</v>
      </c>
      <c r="I19" s="30">
        <v>38492.140661690697</v>
      </c>
      <c r="J19" s="30">
        <v>145973.91500611138</v>
      </c>
      <c r="K19" s="30">
        <v>199677.01081214429</v>
      </c>
      <c r="L19" s="30">
        <v>89669.25247502538</v>
      </c>
      <c r="M19" s="30">
        <v>265233.45311509399</v>
      </c>
      <c r="N19" s="30">
        <v>243620.0581058258</v>
      </c>
      <c r="O19" s="30"/>
      <c r="P19" s="30">
        <v>26685.66768055073</v>
      </c>
      <c r="Q19" s="30">
        <v>25482.256346134647</v>
      </c>
      <c r="R19" s="30">
        <v>88162.374612412954</v>
      </c>
      <c r="S19" s="30">
        <v>35249.369006163804</v>
      </c>
      <c r="T19" s="30">
        <v>60479.179571987588</v>
      </c>
      <c r="U19" s="30">
        <v>95366.122995173049</v>
      </c>
      <c r="V19" s="30">
        <v>80037.443307667927</v>
      </c>
      <c r="W19" s="30">
        <v>70634.525893893035</v>
      </c>
      <c r="X19" s="20">
        <f t="shared" si="0"/>
        <v>1959092.4370831994</v>
      </c>
    </row>
    <row r="20" spans="1:24" x14ac:dyDescent="0.25">
      <c r="A20" s="21">
        <f t="shared" si="1"/>
        <v>46283</v>
      </c>
      <c r="B20" s="30">
        <v>261891.18157930535</v>
      </c>
      <c r="C20" s="30">
        <v>95010.614223833312</v>
      </c>
      <c r="D20" s="30">
        <v>59039.866729339992</v>
      </c>
      <c r="E20" s="30"/>
      <c r="F20" s="30">
        <v>103658.87696230695</v>
      </c>
      <c r="G20" s="30">
        <v>50890.327348454273</v>
      </c>
      <c r="H20" s="30">
        <v>34827.911785920907</v>
      </c>
      <c r="I20" s="30">
        <v>41241.579280382881</v>
      </c>
      <c r="J20" s="30">
        <v>156400.62322083357</v>
      </c>
      <c r="K20" s="30">
        <v>213939.65444158312</v>
      </c>
      <c r="L20" s="30">
        <v>96074.199080384322</v>
      </c>
      <c r="M20" s="30">
        <v>284178.6997661721</v>
      </c>
      <c r="N20" s="30">
        <v>261021.49082767047</v>
      </c>
      <c r="O20" s="30"/>
      <c r="P20" s="30">
        <v>28591.786800590064</v>
      </c>
      <c r="Q20" s="30">
        <v>27302.417513715689</v>
      </c>
      <c r="R20" s="30">
        <v>94459.687084728153</v>
      </c>
      <c r="S20" s="30">
        <v>37767.181078032649</v>
      </c>
      <c r="T20" s="30">
        <v>64799.120969986696</v>
      </c>
      <c r="U20" s="30">
        <v>102177.98892339968</v>
      </c>
      <c r="V20" s="30">
        <v>85754.403543929904</v>
      </c>
      <c r="W20" s="30">
        <v>75679.849172028233</v>
      </c>
      <c r="X20" s="20">
        <f t="shared" si="0"/>
        <v>2099027.6111605703</v>
      </c>
    </row>
    <row r="21" spans="1:24" x14ac:dyDescent="0.25">
      <c r="A21" s="21">
        <f t="shared" si="1"/>
        <v>46284</v>
      </c>
      <c r="B21" s="30">
        <v>462674.42079010617</v>
      </c>
      <c r="C21" s="30">
        <v>167852.08512877219</v>
      </c>
      <c r="D21" s="30">
        <v>104303.76455516732</v>
      </c>
      <c r="E21" s="30"/>
      <c r="F21" s="30">
        <v>183130.68263340896</v>
      </c>
      <c r="G21" s="30">
        <v>89906.244982269214</v>
      </c>
      <c r="H21" s="30">
        <v>61529.31082179361</v>
      </c>
      <c r="I21" s="30">
        <v>72860.123395343093</v>
      </c>
      <c r="J21" s="30">
        <v>276307.76769013936</v>
      </c>
      <c r="K21" s="30">
        <v>377960.05618013022</v>
      </c>
      <c r="L21" s="30">
        <v>169731.0850420123</v>
      </c>
      <c r="M21" s="30">
        <v>502049.0362535707</v>
      </c>
      <c r="N21" s="30">
        <v>461137.96712888451</v>
      </c>
      <c r="O21" s="30"/>
      <c r="P21" s="30">
        <v>50512.156681042448</v>
      </c>
      <c r="Q21" s="30">
        <v>48234.270940897717</v>
      </c>
      <c r="R21" s="30">
        <v>166878.78051635309</v>
      </c>
      <c r="S21" s="30">
        <v>66722.01990452435</v>
      </c>
      <c r="T21" s="30">
        <v>114478.44704697649</v>
      </c>
      <c r="U21" s="30">
        <v>180514.44709800612</v>
      </c>
      <c r="V21" s="30">
        <v>151499.44626094284</v>
      </c>
      <c r="W21" s="30">
        <v>133701.06687058322</v>
      </c>
      <c r="X21" s="20">
        <f t="shared" si="0"/>
        <v>3708282.1130503407</v>
      </c>
    </row>
    <row r="22" spans="1:24" x14ac:dyDescent="0.25">
      <c r="A22" s="21">
        <f>A21+1</f>
        <v>46285</v>
      </c>
      <c r="B22" s="30">
        <v>462674.42079010617</v>
      </c>
      <c r="C22" s="30">
        <v>167852.08512877219</v>
      </c>
      <c r="D22" s="30">
        <v>104303.76455516732</v>
      </c>
      <c r="E22" s="30"/>
      <c r="F22" s="30">
        <v>183130.68263340896</v>
      </c>
      <c r="G22" s="30">
        <v>89906.244982269214</v>
      </c>
      <c r="H22" s="30">
        <v>61529.31082179361</v>
      </c>
      <c r="I22" s="30">
        <v>72860.123395343093</v>
      </c>
      <c r="J22" s="30">
        <v>276307.76769013936</v>
      </c>
      <c r="K22" s="30">
        <v>377960.05618013022</v>
      </c>
      <c r="L22" s="30">
        <v>169731.0850420123</v>
      </c>
      <c r="M22" s="30">
        <v>502049.0362535707</v>
      </c>
      <c r="N22" s="30">
        <v>461137.96712888451</v>
      </c>
      <c r="O22" s="30"/>
      <c r="P22" s="30">
        <v>50512.156681042448</v>
      </c>
      <c r="Q22" s="30">
        <v>48234.270940897717</v>
      </c>
      <c r="R22" s="30">
        <v>166878.78051635309</v>
      </c>
      <c r="S22" s="30">
        <v>66722.01990452435</v>
      </c>
      <c r="T22" s="30">
        <v>114478.44704697649</v>
      </c>
      <c r="U22" s="30">
        <v>180514.44709800612</v>
      </c>
      <c r="V22" s="30">
        <v>151499.44626094284</v>
      </c>
      <c r="W22" s="30">
        <v>133701.06687058322</v>
      </c>
      <c r="X22" s="20">
        <f t="shared" si="0"/>
        <v>3708282.1130503407</v>
      </c>
    </row>
    <row r="23" spans="1:24" x14ac:dyDescent="0.25">
      <c r="A23" s="21">
        <f t="shared" si="1"/>
        <v>46286</v>
      </c>
      <c r="B23" s="31">
        <v>200783.23921080079</v>
      </c>
      <c r="C23" s="31">
        <v>72841.470904938877</v>
      </c>
      <c r="D23" s="31">
        <v>45263.897825827335</v>
      </c>
      <c r="E23" s="31"/>
      <c r="F23" s="31">
        <v>79471.805671102004</v>
      </c>
      <c r="G23" s="31">
        <v>39015.917633814948</v>
      </c>
      <c r="H23" s="31">
        <v>26701.399035872699</v>
      </c>
      <c r="I23" s="31">
        <v>31618.544114960212</v>
      </c>
      <c r="J23" s="31">
        <v>119907.14446930576</v>
      </c>
      <c r="K23" s="31">
        <v>164020.40173854708</v>
      </c>
      <c r="L23" s="31">
        <v>73656.885961627981</v>
      </c>
      <c r="M23" s="31">
        <v>217870.33648739863</v>
      </c>
      <c r="N23" s="31">
        <v>200116.47630121405</v>
      </c>
      <c r="O23" s="31"/>
      <c r="P23" s="31">
        <v>21920.369880452385</v>
      </c>
      <c r="Q23" s="31">
        <v>20931.853427182032</v>
      </c>
      <c r="R23" s="31">
        <v>72419.093431624919</v>
      </c>
      <c r="S23" s="31">
        <v>28954.838826491698</v>
      </c>
      <c r="T23" s="31">
        <v>49679.326076989804</v>
      </c>
      <c r="U23" s="31">
        <v>78336.458174606436</v>
      </c>
      <c r="V23" s="31">
        <v>65745.042717012941</v>
      </c>
      <c r="W23" s="31">
        <v>58021.217698554989</v>
      </c>
      <c r="X23" s="20">
        <f t="shared" si="0"/>
        <v>1609254.5018897704</v>
      </c>
    </row>
    <row r="24" spans="1:24" x14ac:dyDescent="0.25">
      <c r="A24" s="21">
        <f t="shared" si="1"/>
        <v>46287</v>
      </c>
      <c r="B24" s="30">
        <v>209512.9452634443</v>
      </c>
      <c r="C24" s="30">
        <v>76008.491379066647</v>
      </c>
      <c r="D24" s="30">
        <v>47231.893383471994</v>
      </c>
      <c r="E24" s="30"/>
      <c r="F24" s="30">
        <v>82927.101569845574</v>
      </c>
      <c r="G24" s="30">
        <v>40712.26187876342</v>
      </c>
      <c r="H24" s="30">
        <v>27862.329428736728</v>
      </c>
      <c r="I24" s="30">
        <v>32993.263424306308</v>
      </c>
      <c r="J24" s="30">
        <v>125120.49857666687</v>
      </c>
      <c r="K24" s="30">
        <v>171151.72355326649</v>
      </c>
      <c r="L24" s="30">
        <v>76859.359264307466</v>
      </c>
      <c r="M24" s="30">
        <v>227342.95981293768</v>
      </c>
      <c r="N24" s="30">
        <v>208817.19266213637</v>
      </c>
      <c r="O24" s="30"/>
      <c r="P24" s="30">
        <v>22873.429440472053</v>
      </c>
      <c r="Q24" s="30">
        <v>21841.934010972553</v>
      </c>
      <c r="R24" s="30">
        <v>75567.749667782526</v>
      </c>
      <c r="S24" s="30">
        <v>30213.74486242612</v>
      </c>
      <c r="T24" s="30">
        <v>51839.296775989358</v>
      </c>
      <c r="U24" s="30">
        <v>81742.391138719744</v>
      </c>
      <c r="V24" s="30">
        <v>68603.522835143929</v>
      </c>
      <c r="W24" s="30">
        <v>60543.879337622588</v>
      </c>
      <c r="X24" s="20">
        <f t="shared" si="0"/>
        <v>1679222.088928456</v>
      </c>
    </row>
    <row r="25" spans="1:24" x14ac:dyDescent="0.25">
      <c r="A25" s="21">
        <f t="shared" si="1"/>
        <v>46288</v>
      </c>
      <c r="B25" s="30">
        <v>209512.9452634443</v>
      </c>
      <c r="C25" s="30">
        <v>76008.491379066647</v>
      </c>
      <c r="D25" s="30">
        <v>47231.893383471994</v>
      </c>
      <c r="E25" s="30"/>
      <c r="F25" s="30">
        <v>82927.101569845574</v>
      </c>
      <c r="G25" s="30">
        <v>40712.26187876342</v>
      </c>
      <c r="H25" s="30">
        <v>27862.329428736728</v>
      </c>
      <c r="I25" s="30">
        <v>32993.263424306308</v>
      </c>
      <c r="J25" s="30">
        <v>125120.49857666687</v>
      </c>
      <c r="K25" s="30">
        <v>171151.72355326649</v>
      </c>
      <c r="L25" s="30">
        <v>76859.359264307466</v>
      </c>
      <c r="M25" s="30">
        <v>227342.95981293768</v>
      </c>
      <c r="N25" s="30">
        <v>208817.19266213637</v>
      </c>
      <c r="O25" s="30"/>
      <c r="P25" s="30">
        <v>22873.429440472053</v>
      </c>
      <c r="Q25" s="30">
        <v>21841.934010972553</v>
      </c>
      <c r="R25" s="30">
        <v>75567.749667782526</v>
      </c>
      <c r="S25" s="30">
        <v>30213.74486242612</v>
      </c>
      <c r="T25" s="30">
        <v>51839.296775989358</v>
      </c>
      <c r="U25" s="30">
        <v>81742.391138719744</v>
      </c>
      <c r="V25" s="30">
        <v>68603.522835143929</v>
      </c>
      <c r="W25" s="30">
        <v>60543.879337622588</v>
      </c>
      <c r="X25" s="20">
        <f t="shared" si="0"/>
        <v>1679222.088928456</v>
      </c>
    </row>
    <row r="26" spans="1:24" x14ac:dyDescent="0.25">
      <c r="A26" s="21">
        <f t="shared" si="1"/>
        <v>46289</v>
      </c>
      <c r="B26" s="30">
        <v>244431.76947401837</v>
      </c>
      <c r="C26" s="30">
        <v>88676.573275577772</v>
      </c>
      <c r="D26" s="30">
        <v>55103.875614050667</v>
      </c>
      <c r="E26" s="30"/>
      <c r="F26" s="30">
        <v>96748.285164819841</v>
      </c>
      <c r="G26" s="30">
        <v>47497.63885855733</v>
      </c>
      <c r="H26" s="30">
        <v>32506.051000192852</v>
      </c>
      <c r="I26" s="30">
        <v>38492.140661690697</v>
      </c>
      <c r="J26" s="30">
        <v>145973.91500611138</v>
      </c>
      <c r="K26" s="30">
        <v>199677.01081214429</v>
      </c>
      <c r="L26" s="30">
        <v>89669.25247502538</v>
      </c>
      <c r="M26" s="30">
        <v>265233.45311509399</v>
      </c>
      <c r="N26" s="30">
        <v>243620.0581058258</v>
      </c>
      <c r="O26" s="30"/>
      <c r="P26" s="30">
        <v>26685.66768055073</v>
      </c>
      <c r="Q26" s="30">
        <v>25482.256346134647</v>
      </c>
      <c r="R26" s="30">
        <v>88162.374612412954</v>
      </c>
      <c r="S26" s="30">
        <v>35249.369006163804</v>
      </c>
      <c r="T26" s="30">
        <v>60479.179571987588</v>
      </c>
      <c r="U26" s="30">
        <v>95366.122995173049</v>
      </c>
      <c r="V26" s="30">
        <v>80037.443307667927</v>
      </c>
      <c r="W26" s="30">
        <v>70634.525893893035</v>
      </c>
      <c r="X26" s="20">
        <f t="shared" si="0"/>
        <v>1959092.4370831994</v>
      </c>
    </row>
    <row r="27" spans="1:24" x14ac:dyDescent="0.25">
      <c r="A27" s="21">
        <f t="shared" si="1"/>
        <v>46290</v>
      </c>
      <c r="B27" s="30">
        <v>261891.18157930535</v>
      </c>
      <c r="C27" s="30">
        <v>95010.614223833312</v>
      </c>
      <c r="D27" s="30">
        <v>59039.866729339992</v>
      </c>
      <c r="E27" s="30"/>
      <c r="F27" s="30">
        <v>103658.87696230695</v>
      </c>
      <c r="G27" s="30">
        <v>50890.327348454273</v>
      </c>
      <c r="H27" s="30">
        <v>34827.911785920907</v>
      </c>
      <c r="I27" s="30">
        <v>41241.579280382881</v>
      </c>
      <c r="J27" s="30">
        <v>156400.62322083357</v>
      </c>
      <c r="K27" s="30">
        <v>213939.65444158312</v>
      </c>
      <c r="L27" s="30">
        <v>96074.199080384322</v>
      </c>
      <c r="M27" s="30">
        <v>284178.6997661721</v>
      </c>
      <c r="N27" s="30">
        <v>261021.49082767047</v>
      </c>
      <c r="O27" s="30"/>
      <c r="P27" s="30">
        <v>28591.786800590064</v>
      </c>
      <c r="Q27" s="30">
        <v>27302.417513715689</v>
      </c>
      <c r="R27" s="30">
        <v>94459.687084728153</v>
      </c>
      <c r="S27" s="30">
        <v>37767.181078032649</v>
      </c>
      <c r="T27" s="30">
        <v>64799.120969986696</v>
      </c>
      <c r="U27" s="30">
        <v>102177.98892339968</v>
      </c>
      <c r="V27" s="30">
        <v>85754.403543929904</v>
      </c>
      <c r="W27" s="30">
        <v>75679.849172028233</v>
      </c>
      <c r="X27" s="20">
        <f t="shared" si="0"/>
        <v>2099027.6111605703</v>
      </c>
    </row>
    <row r="28" spans="1:24" x14ac:dyDescent="0.25">
      <c r="A28" s="21">
        <f t="shared" si="1"/>
        <v>46291</v>
      </c>
      <c r="B28" s="30">
        <v>480133.83289539319</v>
      </c>
      <c r="C28" s="30">
        <v>174186.12607702776</v>
      </c>
      <c r="D28" s="30">
        <v>108239.75567045667</v>
      </c>
      <c r="E28" s="30"/>
      <c r="F28" s="30">
        <v>190041.2744308961</v>
      </c>
      <c r="G28" s="30">
        <v>93298.933472166173</v>
      </c>
      <c r="H28" s="30">
        <v>63851.171607521675</v>
      </c>
      <c r="I28" s="30">
        <v>75609.562014035298</v>
      </c>
      <c r="J28" s="30">
        <v>286734.47590486158</v>
      </c>
      <c r="K28" s="30">
        <v>392222.69980956911</v>
      </c>
      <c r="L28" s="30">
        <v>176136.03164737127</v>
      </c>
      <c r="M28" s="30">
        <v>520994.28290464886</v>
      </c>
      <c r="N28" s="30">
        <v>478539.39985072921</v>
      </c>
      <c r="O28" s="30"/>
      <c r="P28" s="30">
        <v>52418.275801081792</v>
      </c>
      <c r="Q28" s="30">
        <v>50054.432108478766</v>
      </c>
      <c r="R28" s="30">
        <v>173176.0929886683</v>
      </c>
      <c r="S28" s="30">
        <v>69239.831976393194</v>
      </c>
      <c r="T28" s="30">
        <v>118798.38844497562</v>
      </c>
      <c r="U28" s="30">
        <v>187326.31302623276</v>
      </c>
      <c r="V28" s="30">
        <v>157216.40649720485</v>
      </c>
      <c r="W28" s="30">
        <v>138746.39014871843</v>
      </c>
      <c r="X28" s="20">
        <f t="shared" si="0"/>
        <v>3848217.2871277118</v>
      </c>
    </row>
    <row r="29" spans="1:24" x14ac:dyDescent="0.25">
      <c r="A29" s="21">
        <f>A28+1</f>
        <v>46292</v>
      </c>
      <c r="B29" s="30">
        <v>480133.83289539319</v>
      </c>
      <c r="C29" s="30">
        <v>174186.12607702776</v>
      </c>
      <c r="D29" s="30">
        <v>108239.75567045667</v>
      </c>
      <c r="E29" s="30"/>
      <c r="F29" s="30">
        <v>190041.2744308961</v>
      </c>
      <c r="G29" s="30">
        <v>93298.933472166173</v>
      </c>
      <c r="H29" s="30">
        <v>63851.171607521675</v>
      </c>
      <c r="I29" s="30">
        <v>75609.562014035298</v>
      </c>
      <c r="J29" s="30">
        <v>286734.47590486158</v>
      </c>
      <c r="K29" s="30">
        <v>392222.69980956911</v>
      </c>
      <c r="L29" s="30">
        <v>176136.03164737127</v>
      </c>
      <c r="M29" s="30">
        <v>520994.28290464886</v>
      </c>
      <c r="N29" s="30">
        <v>478539.39985072921</v>
      </c>
      <c r="O29" s="30"/>
      <c r="P29" s="30">
        <v>52418.275801081792</v>
      </c>
      <c r="Q29" s="30">
        <v>50054.432108478766</v>
      </c>
      <c r="R29" s="30">
        <v>173176.0929886683</v>
      </c>
      <c r="S29" s="30">
        <v>69239.831976393194</v>
      </c>
      <c r="T29" s="30">
        <v>118798.38844497562</v>
      </c>
      <c r="U29" s="30">
        <v>187326.31302623276</v>
      </c>
      <c r="V29" s="30">
        <v>157216.40649720485</v>
      </c>
      <c r="W29" s="30">
        <v>138746.39014871843</v>
      </c>
      <c r="X29" s="20">
        <f t="shared" si="0"/>
        <v>3848217.2871277118</v>
      </c>
    </row>
    <row r="30" spans="1:24" x14ac:dyDescent="0.25">
      <c r="A30" s="21">
        <f t="shared" si="1"/>
        <v>46293</v>
      </c>
      <c r="B30" s="31">
        <v>200783.23921080079</v>
      </c>
      <c r="C30" s="31">
        <v>72841.470904938877</v>
      </c>
      <c r="D30" s="31">
        <v>45263.897825827335</v>
      </c>
      <c r="E30" s="31"/>
      <c r="F30" s="31">
        <v>79471.805671102004</v>
      </c>
      <c r="G30" s="31">
        <v>39015.917633814948</v>
      </c>
      <c r="H30" s="31">
        <v>26701.399035872699</v>
      </c>
      <c r="I30" s="31">
        <v>31618.544114960212</v>
      </c>
      <c r="J30" s="31">
        <v>119907.14446930576</v>
      </c>
      <c r="K30" s="31">
        <v>164020.40173854708</v>
      </c>
      <c r="L30" s="31">
        <v>73656.885961627981</v>
      </c>
      <c r="M30" s="31">
        <v>217870.33648739863</v>
      </c>
      <c r="N30" s="31">
        <v>200116.47630121405</v>
      </c>
      <c r="O30" s="31"/>
      <c r="P30" s="31">
        <v>21920.369880452385</v>
      </c>
      <c r="Q30" s="31">
        <v>20931.853427182032</v>
      </c>
      <c r="R30" s="31">
        <v>72419.093431624919</v>
      </c>
      <c r="S30" s="31">
        <v>28954.838826491698</v>
      </c>
      <c r="T30" s="31">
        <v>49679.326076989804</v>
      </c>
      <c r="U30" s="31">
        <v>78336.458174606436</v>
      </c>
      <c r="V30" s="31">
        <v>65745.042717012941</v>
      </c>
      <c r="W30" s="31">
        <v>58021.217698554989</v>
      </c>
      <c r="X30" s="20">
        <f t="shared" si="0"/>
        <v>1609254.5018897704</v>
      </c>
    </row>
    <row r="31" spans="1:24" x14ac:dyDescent="0.25">
      <c r="A31" s="21">
        <f>A30+1</f>
        <v>46294</v>
      </c>
      <c r="B31" s="31">
        <v>209512.9452634443</v>
      </c>
      <c r="C31" s="31">
        <v>76008.491379066647</v>
      </c>
      <c r="D31" s="31">
        <v>47231.893383471994</v>
      </c>
      <c r="E31" s="31"/>
      <c r="F31" s="31">
        <v>82927.101569845574</v>
      </c>
      <c r="G31" s="31">
        <v>40712.26187876342</v>
      </c>
      <c r="H31" s="31">
        <v>27862.329428736728</v>
      </c>
      <c r="I31" s="31">
        <v>32993.263424306308</v>
      </c>
      <c r="J31" s="31">
        <v>125120.49857666687</v>
      </c>
      <c r="K31" s="31">
        <v>171151.72355326649</v>
      </c>
      <c r="L31" s="31">
        <v>76859.359264307466</v>
      </c>
      <c r="M31" s="31">
        <v>227342.95981293768</v>
      </c>
      <c r="N31" s="31">
        <v>208817.19266213637</v>
      </c>
      <c r="O31" s="31"/>
      <c r="P31" s="31">
        <v>22873.429440472053</v>
      </c>
      <c r="Q31" s="31">
        <v>21841.934010972553</v>
      </c>
      <c r="R31" s="31">
        <v>75567.749667782526</v>
      </c>
      <c r="S31" s="31">
        <v>30213.74486242612</v>
      </c>
      <c r="T31" s="31">
        <v>51839.296775989358</v>
      </c>
      <c r="U31" s="31">
        <v>81742.391138719744</v>
      </c>
      <c r="V31" s="31">
        <v>68603.522835143929</v>
      </c>
      <c r="W31" s="31">
        <v>60543.879337622588</v>
      </c>
      <c r="X31" s="20">
        <f t="shared" si="0"/>
        <v>1679222.088928456</v>
      </c>
    </row>
    <row r="32" spans="1:24" x14ac:dyDescent="0.25">
      <c r="A32" s="21">
        <f t="shared" si="1"/>
        <v>46295</v>
      </c>
      <c r="B32" s="31">
        <v>209512.9452634443</v>
      </c>
      <c r="C32" s="31">
        <v>76008.491379066647</v>
      </c>
      <c r="D32" s="31">
        <v>47231.893383471994</v>
      </c>
      <c r="E32" s="31"/>
      <c r="F32" s="31">
        <v>82927.101569845574</v>
      </c>
      <c r="G32" s="31">
        <v>40712.26187876342</v>
      </c>
      <c r="H32" s="31">
        <v>27862.329428736728</v>
      </c>
      <c r="I32" s="31">
        <v>32993.263424306308</v>
      </c>
      <c r="J32" s="31">
        <v>125120.49857666687</v>
      </c>
      <c r="K32" s="31">
        <v>171151.72355326649</v>
      </c>
      <c r="L32" s="31">
        <v>76859.359264307466</v>
      </c>
      <c r="M32" s="31">
        <v>227342.95981293768</v>
      </c>
      <c r="N32" s="31">
        <v>208817.19266213637</v>
      </c>
      <c r="O32" s="31"/>
      <c r="P32" s="31">
        <v>22873.429440472053</v>
      </c>
      <c r="Q32" s="31">
        <v>21841.934010972553</v>
      </c>
      <c r="R32" s="31">
        <v>75567.749667782526</v>
      </c>
      <c r="S32" s="31">
        <v>30213.74486242612</v>
      </c>
      <c r="T32" s="31">
        <v>51839.296775989358</v>
      </c>
      <c r="U32" s="31">
        <v>81742.391138719744</v>
      </c>
      <c r="V32" s="31">
        <v>68603.522835143929</v>
      </c>
      <c r="W32" s="31">
        <v>60543.879337622588</v>
      </c>
      <c r="X32" s="20">
        <f t="shared" si="0"/>
        <v>1679222.088928456</v>
      </c>
    </row>
    <row r="33" spans="1:24" x14ac:dyDescent="0.25">
      <c r="A33" s="21">
        <f t="shared" si="1"/>
        <v>46296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0">
        <f t="shared" si="0"/>
        <v>0</v>
      </c>
    </row>
    <row r="34" spans="1:24" x14ac:dyDescent="0.25">
      <c r="A34" s="19" t="s">
        <v>36</v>
      </c>
      <c r="B34" s="20">
        <f>SUM(B3:B33)</f>
        <v>8712246.6405382268</v>
      </c>
      <c r="C34" s="20">
        <f t="shared" ref="C34:S34" si="2">SUM(C3:C33)</f>
        <v>3160686.4331795219</v>
      </c>
      <c r="D34" s="20">
        <f t="shared" si="2"/>
        <v>1964059.5665293778</v>
      </c>
      <c r="E34" s="20">
        <f t="shared" si="2"/>
        <v>0</v>
      </c>
      <c r="F34" s="20">
        <f t="shared" si="2"/>
        <v>3448385.3069460783</v>
      </c>
      <c r="G34" s="20">
        <f t="shared" si="2"/>
        <v>1692951.5564585787</v>
      </c>
      <c r="H34" s="20">
        <f t="shared" si="2"/>
        <v>1158608.5320783025</v>
      </c>
      <c r="I34" s="20">
        <f t="shared" si="2"/>
        <v>1371969.8707274043</v>
      </c>
      <c r="J34" s="20">
        <f t="shared" si="2"/>
        <v>5202927.3991463976</v>
      </c>
      <c r="K34" s="20">
        <f t="shared" si="2"/>
        <v>7117059.1710899966</v>
      </c>
      <c r="L34" s="20">
        <f t="shared" si="2"/>
        <v>3196068.3560741195</v>
      </c>
      <c r="M34" s="20">
        <f t="shared" si="2"/>
        <v>9453678.0788879897</v>
      </c>
      <c r="N34" s="20">
        <f t="shared" si="2"/>
        <v>8683314.9282005019</v>
      </c>
      <c r="O34" s="20">
        <f t="shared" si="2"/>
        <v>0</v>
      </c>
      <c r="P34" s="20">
        <f t="shared" si="2"/>
        <v>951153.4408996295</v>
      </c>
      <c r="Q34" s="20">
        <f t="shared" si="2"/>
        <v>908260.42262294178</v>
      </c>
      <c r="R34" s="20">
        <f t="shared" si="2"/>
        <v>3142358.9236852895</v>
      </c>
      <c r="S34" s="20">
        <f t="shared" si="2"/>
        <v>1256388.2238625525</v>
      </c>
      <c r="T34" s="20">
        <f t="shared" ref="T34" si="3">SUM(T3:T33)</f>
        <v>2155650.7576015582</v>
      </c>
      <c r="U34" s="20">
        <f t="shared" ref="U34:W34" si="4">SUM(U3:U33)</f>
        <v>3399121.0981850964</v>
      </c>
      <c r="V34" s="20">
        <f t="shared" si="4"/>
        <v>2852763.1578947348</v>
      </c>
      <c r="W34" s="20">
        <f t="shared" si="4"/>
        <v>2517616.3157894728</v>
      </c>
      <c r="X34" s="20">
        <f t="shared" si="0"/>
        <v>69827651.864608303</v>
      </c>
    </row>
    <row r="35" spans="1:24" x14ac:dyDescent="0.25">
      <c r="A35" s="19" t="s">
        <v>64</v>
      </c>
      <c r="B35" s="20">
        <f ca="1">SUMIFS(B3:B33,$A$3:$A$33,"="&amp;$A$37)</f>
        <v>480133.83289539319</v>
      </c>
      <c r="C35" s="20">
        <f ca="1">SUMIFS(C3:C33,$A$3:$A$33,"="&amp;$A$37)</f>
        <v>174186.12607702776</v>
      </c>
      <c r="D35" s="20">
        <f t="shared" ref="D35:S35" ca="1" si="5">SUMIFS(D3:D33,$A$3:$A$33,"="&amp;$A$37)</f>
        <v>108239.75567045667</v>
      </c>
      <c r="E35" s="20">
        <f t="shared" ca="1" si="5"/>
        <v>0</v>
      </c>
      <c r="F35" s="20">
        <f t="shared" ca="1" si="5"/>
        <v>190041.2744308961</v>
      </c>
      <c r="G35" s="20">
        <f t="shared" ca="1" si="5"/>
        <v>93298.933472166173</v>
      </c>
      <c r="H35" s="20">
        <f t="shared" ca="1" si="5"/>
        <v>63851.171607521675</v>
      </c>
      <c r="I35" s="20">
        <f t="shared" ca="1" si="5"/>
        <v>75609.562014035298</v>
      </c>
      <c r="J35" s="20">
        <f t="shared" ca="1" si="5"/>
        <v>286734.47590486158</v>
      </c>
      <c r="K35" s="20">
        <f t="shared" ca="1" si="5"/>
        <v>392222.69980956911</v>
      </c>
      <c r="L35" s="20">
        <f t="shared" ca="1" si="5"/>
        <v>176136.03164737127</v>
      </c>
      <c r="M35" s="20">
        <f t="shared" ca="1" si="5"/>
        <v>520994.28290464886</v>
      </c>
      <c r="N35" s="20">
        <f t="shared" ca="1" si="5"/>
        <v>478539.39985072921</v>
      </c>
      <c r="O35" s="20">
        <f t="shared" ca="1" si="5"/>
        <v>0</v>
      </c>
      <c r="P35" s="20">
        <f t="shared" ca="1" si="5"/>
        <v>52418.275801081792</v>
      </c>
      <c r="Q35" s="20">
        <f t="shared" ca="1" si="5"/>
        <v>50054.432108478766</v>
      </c>
      <c r="R35" s="20">
        <f t="shared" ca="1" si="5"/>
        <v>173176.0929886683</v>
      </c>
      <c r="S35" s="20">
        <f t="shared" ca="1" si="5"/>
        <v>69239.831976393194</v>
      </c>
      <c r="T35" s="20">
        <f t="shared" ref="T35" ca="1" si="6">SUMIFS(T3:T33,$A$3:$A$33,"="&amp;$A$37)</f>
        <v>118798.38844497562</v>
      </c>
      <c r="U35" s="20">
        <f t="shared" ref="U35:W35" ca="1" si="7">SUMIFS(U3:U33,$A$3:$A$33,"="&amp;$A$37)</f>
        <v>187326.31302623276</v>
      </c>
      <c r="V35" s="20">
        <f t="shared" ca="1" si="7"/>
        <v>157216.40649720485</v>
      </c>
      <c r="W35" s="20">
        <f t="shared" ca="1" si="7"/>
        <v>138746.39014871843</v>
      </c>
      <c r="X35" s="20">
        <f t="shared" ca="1" si="0"/>
        <v>3848217.2871277118</v>
      </c>
    </row>
    <row r="37" spans="1:24" hidden="1" x14ac:dyDescent="0.25">
      <c r="A37" s="35">
        <f ca="1">TODAY()</f>
        <v>46291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7"/>
  <sheetViews>
    <sheetView workbookViewId="0">
      <selection activeCell="M22" sqref="M22"/>
    </sheetView>
  </sheetViews>
  <sheetFormatPr defaultRowHeight="15" x14ac:dyDescent="0.25"/>
  <cols>
    <col min="1" max="1" width="13.140625" customWidth="1"/>
    <col min="2" max="2" width="16.42578125" customWidth="1"/>
    <col min="3" max="5" width="8.5703125" bestFit="1" customWidth="1"/>
    <col min="6" max="6" width="10.42578125" customWidth="1"/>
    <col min="7" max="7" width="9.7109375" customWidth="1"/>
    <col min="8" max="9" width="8.5703125" bestFit="1" customWidth="1"/>
    <col min="13" max="13" width="11.7109375" bestFit="1" customWidth="1"/>
    <col min="24" max="24" width="14.85546875" customWidth="1"/>
  </cols>
  <sheetData>
    <row r="1" spans="1:24" x14ac:dyDescent="0.25">
      <c r="A1" s="17"/>
      <c r="B1" s="18" t="s">
        <v>38</v>
      </c>
      <c r="C1" s="19" t="s">
        <v>40</v>
      </c>
      <c r="D1" s="19" t="s">
        <v>39</v>
      </c>
      <c r="E1" s="19" t="s">
        <v>53</v>
      </c>
      <c r="F1" s="19" t="s">
        <v>49</v>
      </c>
      <c r="G1" s="19" t="s">
        <v>62</v>
      </c>
      <c r="H1" s="19" t="s">
        <v>55</v>
      </c>
      <c r="I1" s="165" t="s">
        <v>36</v>
      </c>
    </row>
    <row r="2" spans="1:24" x14ac:dyDescent="0.25">
      <c r="A2" s="19" t="s">
        <v>37</v>
      </c>
      <c r="B2" s="22" t="s">
        <v>9</v>
      </c>
      <c r="C2" s="22" t="s">
        <v>27</v>
      </c>
      <c r="D2" s="22" t="s">
        <v>13</v>
      </c>
      <c r="E2" s="22" t="s">
        <v>7</v>
      </c>
      <c r="F2" s="22" t="s">
        <v>46</v>
      </c>
      <c r="G2" s="22" t="s">
        <v>5</v>
      </c>
      <c r="H2" s="22" t="s">
        <v>54</v>
      </c>
      <c r="I2" s="166"/>
    </row>
    <row r="3" spans="1:24" x14ac:dyDescent="0.25">
      <c r="A3" s="21">
        <v>46266</v>
      </c>
      <c r="B3" s="146">
        <v>38540.512377340674</v>
      </c>
      <c r="C3" s="146">
        <v>1682.8734667965603</v>
      </c>
      <c r="D3" s="148">
        <v>4597.4185466377839</v>
      </c>
      <c r="E3" s="146">
        <v>7097.3096858389436</v>
      </c>
      <c r="F3" s="151">
        <v>33340.280707248952</v>
      </c>
      <c r="G3" s="146">
        <v>5232.6264417826706</v>
      </c>
      <c r="H3" s="146">
        <v>14437.300606292434</v>
      </c>
      <c r="I3" s="20">
        <f t="shared" ref="I3:I33" si="0">SUM(B3:H3)</f>
        <v>104928.32183193802</v>
      </c>
      <c r="J3" s="64"/>
    </row>
    <row r="4" spans="1:24" x14ac:dyDescent="0.25">
      <c r="A4" s="21">
        <f>A3+1</f>
        <v>46267</v>
      </c>
      <c r="B4" s="146">
        <v>39909.056535039825</v>
      </c>
      <c r="C4" s="146">
        <v>1742.6310182422283</v>
      </c>
      <c r="D4" s="148">
        <v>4760.6693677710809</v>
      </c>
      <c r="E4" s="146">
        <v>7349.3297319358671</v>
      </c>
      <c r="F4" s="151">
        <v>34524.168610222987</v>
      </c>
      <c r="G4" s="146">
        <v>5418.4330101077458</v>
      </c>
      <c r="H4" s="146">
        <v>14949.958123770184</v>
      </c>
      <c r="I4" s="20">
        <f t="shared" si="0"/>
        <v>108654.24639708993</v>
      </c>
      <c r="J4" s="64"/>
      <c r="U4" s="146">
        <v>3865.1169345018302</v>
      </c>
      <c r="V4" s="146">
        <v>6886.2251165673133</v>
      </c>
      <c r="W4" s="146">
        <v>22588.938656179806</v>
      </c>
      <c r="X4" s="150">
        <f>U4+V4+W4</f>
        <v>33340.280707248952</v>
      </c>
    </row>
    <row r="5" spans="1:24" x14ac:dyDescent="0.25">
      <c r="A5" s="21">
        <f>A4+1</f>
        <v>46268</v>
      </c>
      <c r="B5" s="146">
        <v>44737.047462315684</v>
      </c>
      <c r="C5" s="146">
        <v>1953.4454918511465</v>
      </c>
      <c r="D5" s="148">
        <v>5336.5904872086876</v>
      </c>
      <c r="E5" s="146">
        <v>8238.4135727475823</v>
      </c>
      <c r="F5" s="151">
        <v>38700.72369053548</v>
      </c>
      <c r="G5" s="146">
        <v>6073.9269677232014</v>
      </c>
      <c r="H5" s="146">
        <v>16758.526615519531</v>
      </c>
      <c r="I5" s="20">
        <f t="shared" si="0"/>
        <v>121798.67428790132</v>
      </c>
      <c r="J5" s="64"/>
      <c r="U5" s="146">
        <v>4002.3642847121082</v>
      </c>
      <c r="V5" s="146">
        <v>7130.7497108334774</v>
      </c>
      <c r="W5" s="146">
        <v>23391.054614677403</v>
      </c>
      <c r="X5" s="150">
        <f t="shared" ref="X5:X34" si="1">U5+V5+W5</f>
        <v>34524.168610222987</v>
      </c>
    </row>
    <row r="6" spans="1:24" x14ac:dyDescent="0.25">
      <c r="A6" s="21">
        <f t="shared" ref="A6:A31" si="2">A5+1</f>
        <v>46269</v>
      </c>
      <c r="B6" s="146">
        <v>67580.935462890979</v>
      </c>
      <c r="C6" s="146">
        <v>2950.9250431931441</v>
      </c>
      <c r="D6" s="148">
        <v>8061.5909579576928</v>
      </c>
      <c r="E6" s="146">
        <v>12445.159606150737</v>
      </c>
      <c r="F6" s="151">
        <v>58462.309393581818</v>
      </c>
      <c r="G6" s="146">
        <v>9175.4304250360874</v>
      </c>
      <c r="H6" s="146">
        <v>25315.861682883235</v>
      </c>
      <c r="I6" s="20">
        <f t="shared" si="0"/>
        <v>183992.2125716937</v>
      </c>
      <c r="J6" s="64"/>
      <c r="U6" s="146">
        <v>4486.5495832865618</v>
      </c>
      <c r="V6" s="146">
        <v>7993.3908729554687</v>
      </c>
      <c r="W6" s="146">
        <v>26220.783234293445</v>
      </c>
      <c r="X6" s="150">
        <f t="shared" si="1"/>
        <v>38700.72369053548</v>
      </c>
    </row>
    <row r="7" spans="1:24" x14ac:dyDescent="0.25">
      <c r="A7" s="21">
        <f t="shared" si="2"/>
        <v>46270</v>
      </c>
      <c r="B7" s="146">
        <v>88453.982763726701</v>
      </c>
      <c r="C7" s="146">
        <v>3862.3477334223021</v>
      </c>
      <c r="D7" s="148">
        <v>10551.493890388072</v>
      </c>
      <c r="E7" s="146">
        <v>16288.971523614864</v>
      </c>
      <c r="F7" s="151">
        <v>76518.977904161875</v>
      </c>
      <c r="G7" s="146">
        <v>12009.353808243317</v>
      </c>
      <c r="H7" s="146">
        <v>33134.918562591476</v>
      </c>
      <c r="I7" s="20">
        <f t="shared" si="0"/>
        <v>240820.04618614863</v>
      </c>
      <c r="J7" s="64"/>
      <c r="U7" s="146">
        <v>6777.4972877804439</v>
      </c>
      <c r="V7" s="146">
        <v>12075.022008770344</v>
      </c>
      <c r="W7" s="146">
        <v>39609.790097031029</v>
      </c>
      <c r="X7" s="150">
        <f t="shared" si="1"/>
        <v>58462.309393581818</v>
      </c>
    </row>
    <row r="8" spans="1:24" x14ac:dyDescent="0.25">
      <c r="A8" s="21">
        <f t="shared" si="2"/>
        <v>46271</v>
      </c>
      <c r="B8" s="146">
        <v>98932.746130475687</v>
      </c>
      <c r="C8" s="146">
        <v>4319.9034779356925</v>
      </c>
      <c r="D8" s="148">
        <v>11801.484045590167</v>
      </c>
      <c r="E8" s="146">
        <v>18218.656007575362</v>
      </c>
      <c r="F8" s="151">
        <v>85583.85251433056</v>
      </c>
      <c r="G8" s="146">
        <v>13432.050365393181</v>
      </c>
      <c r="H8" s="146">
        <v>37060.270027220831</v>
      </c>
      <c r="I8" s="20">
        <f t="shared" si="0"/>
        <v>269348.9625685215</v>
      </c>
      <c r="J8" s="64"/>
      <c r="U8" s="146">
        <v>8870.7950573386534</v>
      </c>
      <c r="V8" s="146">
        <v>15804.513230242019</v>
      </c>
      <c r="W8" s="146">
        <v>51843.669616581195</v>
      </c>
      <c r="X8" s="150">
        <f t="shared" si="1"/>
        <v>76518.977904161875</v>
      </c>
    </row>
    <row r="9" spans="1:24" x14ac:dyDescent="0.25">
      <c r="A9" s="21">
        <f t="shared" si="2"/>
        <v>46272</v>
      </c>
      <c r="B9" s="146">
        <v>37758.567643850009</v>
      </c>
      <c r="C9" s="146">
        <v>1648.7298095558635</v>
      </c>
      <c r="D9" s="148">
        <v>4504.1419657506731</v>
      </c>
      <c r="E9" s="146">
        <v>6953.313055060964</v>
      </c>
      <c r="F9" s="151">
        <v>32663.842971889164</v>
      </c>
      <c r="G9" s="146">
        <v>5126.4621892575387</v>
      </c>
      <c r="H9" s="146">
        <v>14144.383608604847</v>
      </c>
      <c r="I9" s="20">
        <f t="shared" si="0"/>
        <v>102799.44124396905</v>
      </c>
      <c r="J9" s="64"/>
      <c r="U9" s="146">
        <v>9921.6800415577836</v>
      </c>
      <c r="V9" s="146">
        <v>17676.806021271364</v>
      </c>
      <c r="W9" s="146">
        <v>57985.36645150141</v>
      </c>
      <c r="X9" s="150">
        <f t="shared" si="1"/>
        <v>85583.85251433056</v>
      </c>
    </row>
    <row r="10" spans="1:24" x14ac:dyDescent="0.25">
      <c r="A10" s="21">
        <f t="shared" si="2"/>
        <v>46273</v>
      </c>
      <c r="B10" s="146">
        <v>39511.704619393851</v>
      </c>
      <c r="C10" s="146">
        <v>1725.2806262890967</v>
      </c>
      <c r="D10" s="148">
        <v>4713.2700740448545</v>
      </c>
      <c r="E10" s="146">
        <v>7276.1566103128434</v>
      </c>
      <c r="F10" s="151">
        <v>34180.430979609955</v>
      </c>
      <c r="G10" s="146">
        <v>5364.4847356233486</v>
      </c>
      <c r="H10" s="146">
        <v>14801.109841824669</v>
      </c>
      <c r="I10" s="20">
        <f t="shared" si="0"/>
        <v>107572.43748709862</v>
      </c>
      <c r="J10" s="64"/>
      <c r="U10" s="146">
        <v>3786.6979502997337</v>
      </c>
      <c r="V10" s="146">
        <v>6746.5111602293373</v>
      </c>
      <c r="W10" s="146">
        <v>22130.633861360093</v>
      </c>
      <c r="X10" s="150">
        <f t="shared" si="1"/>
        <v>32663.842971889164</v>
      </c>
    </row>
    <row r="11" spans="1:24" x14ac:dyDescent="0.25">
      <c r="A11" s="21">
        <f t="shared" si="2"/>
        <v>46274</v>
      </c>
      <c r="B11" s="146">
        <v>39655.602642031976</v>
      </c>
      <c r="C11" s="146">
        <v>1731.5639408919551</v>
      </c>
      <c r="D11" s="148">
        <v>4730.4353735516142</v>
      </c>
      <c r="E11" s="146">
        <v>7302.6557087120409</v>
      </c>
      <c r="F11" s="151">
        <v>34304.912990149955</v>
      </c>
      <c r="G11" s="146">
        <v>5384.0216995018873</v>
      </c>
      <c r="H11" s="146">
        <v>14855.014133213879</v>
      </c>
      <c r="I11" s="20">
        <f t="shared" si="0"/>
        <v>107964.2064880533</v>
      </c>
      <c r="J11" s="64"/>
      <c r="U11" s="146">
        <v>3962.5150060340457</v>
      </c>
      <c r="V11" s="146">
        <v>7059.7528669190169</v>
      </c>
      <c r="W11" s="146">
        <v>23158.163106656888</v>
      </c>
      <c r="X11" s="150">
        <f t="shared" si="1"/>
        <v>34180.430979609955</v>
      </c>
    </row>
    <row r="12" spans="1:24" x14ac:dyDescent="0.25">
      <c r="A12" s="21">
        <f t="shared" si="2"/>
        <v>46275</v>
      </c>
      <c r="B12" s="146">
        <v>44141.961272821209</v>
      </c>
      <c r="C12" s="146">
        <v>1927.4610226009111</v>
      </c>
      <c r="D12" s="148">
        <v>5265.6038781661364</v>
      </c>
      <c r="E12" s="146">
        <v>8128.8273032331354</v>
      </c>
      <c r="F12" s="151">
        <v>38185.931868140869</v>
      </c>
      <c r="G12" s="146">
        <v>5993.1324079674459</v>
      </c>
      <c r="H12" s="146">
        <v>16535.606948020868</v>
      </c>
      <c r="I12" s="20">
        <f t="shared" si="0"/>
        <v>120178.52470095058</v>
      </c>
      <c r="J12" s="64"/>
      <c r="U12" s="146">
        <v>3976.9461240922201</v>
      </c>
      <c r="V12" s="146">
        <v>7085.4638426323963</v>
      </c>
      <c r="W12" s="146">
        <v>23242.503023425335</v>
      </c>
      <c r="X12" s="150">
        <f t="shared" si="1"/>
        <v>34304.912990149955</v>
      </c>
    </row>
    <row r="13" spans="1:24" x14ac:dyDescent="0.25">
      <c r="A13" s="21">
        <f t="shared" si="2"/>
        <v>46276</v>
      </c>
      <c r="B13" s="146">
        <v>53548.306732141558</v>
      </c>
      <c r="C13" s="146">
        <v>2338.1895837063767</v>
      </c>
      <c r="D13" s="148">
        <v>6387.6675042892457</v>
      </c>
      <c r="E13" s="146">
        <v>9861.0239612109326</v>
      </c>
      <c r="F13" s="151">
        <v>46323.088815423165</v>
      </c>
      <c r="G13" s="146">
        <v>7270.22731239119</v>
      </c>
      <c r="H13" s="146">
        <v>20059.229978073909</v>
      </c>
      <c r="I13" s="20">
        <f t="shared" si="0"/>
        <v>145787.73388723636</v>
      </c>
      <c r="J13" s="64"/>
      <c r="U13" s="146">
        <v>4426.8701040418709</v>
      </c>
      <c r="V13" s="146">
        <v>7887.063862445134</v>
      </c>
      <c r="W13" s="146">
        <v>25871.997901653864</v>
      </c>
      <c r="X13" s="150">
        <f t="shared" si="1"/>
        <v>38185.931868140869</v>
      </c>
    </row>
    <row r="14" spans="1:24" x14ac:dyDescent="0.25">
      <c r="A14" s="21">
        <f t="shared" si="2"/>
        <v>46277</v>
      </c>
      <c r="B14" s="146">
        <v>96870.216174779329</v>
      </c>
      <c r="C14" s="146">
        <v>4229.8430007180832</v>
      </c>
      <c r="D14" s="148">
        <v>11555.449084288268</v>
      </c>
      <c r="E14" s="146">
        <v>17838.837138314477</v>
      </c>
      <c r="F14" s="151">
        <v>83799.617602849321</v>
      </c>
      <c r="G14" s="146">
        <v>13152.021686026404</v>
      </c>
      <c r="H14" s="146">
        <v>36287.644985593768</v>
      </c>
      <c r="I14" s="20">
        <f t="shared" si="0"/>
        <v>263733.62967256969</v>
      </c>
      <c r="J14" s="64"/>
      <c r="U14" s="146">
        <v>5370.2053864230356</v>
      </c>
      <c r="V14" s="146">
        <v>9567.7424098108841</v>
      </c>
      <c r="W14" s="146">
        <v>31385.141019189246</v>
      </c>
      <c r="X14" s="150">
        <f t="shared" si="1"/>
        <v>46323.088815423165</v>
      </c>
    </row>
    <row r="15" spans="1:24" x14ac:dyDescent="0.25">
      <c r="A15" s="21">
        <f t="shared" si="2"/>
        <v>46278</v>
      </c>
      <c r="B15" s="146">
        <v>98781.414396884516</v>
      </c>
      <c r="C15" s="146">
        <v>4313.2955699594968</v>
      </c>
      <c r="D15" s="148">
        <v>11783.4319939751</v>
      </c>
      <c r="E15" s="146">
        <v>18190.787976967058</v>
      </c>
      <c r="F15" s="151">
        <v>85452.939815805817</v>
      </c>
      <c r="G15" s="146">
        <v>13411.504130228557</v>
      </c>
      <c r="H15" s="146">
        <v>37003.581062950296</v>
      </c>
      <c r="I15" s="20">
        <f t="shared" si="0"/>
        <v>268936.95494677086</v>
      </c>
      <c r="J15" s="64"/>
      <c r="U15" s="146">
        <v>9714.8348553384585</v>
      </c>
      <c r="V15" s="146">
        <v>17308.283531338431</v>
      </c>
      <c r="W15" s="146">
        <v>56776.499216172429</v>
      </c>
      <c r="X15" s="150">
        <f t="shared" si="1"/>
        <v>83799.617602849321</v>
      </c>
    </row>
    <row r="16" spans="1:24" x14ac:dyDescent="0.25">
      <c r="A16" s="21">
        <f t="shared" si="2"/>
        <v>46279</v>
      </c>
      <c r="B16" s="146">
        <v>43565.437680586561</v>
      </c>
      <c r="C16" s="146">
        <v>1902.2870901203364</v>
      </c>
      <c r="D16" s="148">
        <v>5196.8315632170452</v>
      </c>
      <c r="E16" s="146">
        <v>8022.6593718050281</v>
      </c>
      <c r="F16" s="151">
        <v>37687.198010862019</v>
      </c>
      <c r="G16" s="146">
        <v>5914.8580829272787</v>
      </c>
      <c r="H16" s="146">
        <v>16319.640841337639</v>
      </c>
      <c r="I16" s="20">
        <f t="shared" si="0"/>
        <v>118608.91264085591</v>
      </c>
      <c r="J16" s="64"/>
      <c r="U16" s="146">
        <v>9906.5034180478542</v>
      </c>
      <c r="V16" s="146">
        <v>17649.766827433305</v>
      </c>
      <c r="W16" s="146">
        <v>57896.669570324659</v>
      </c>
      <c r="X16" s="150">
        <f t="shared" si="1"/>
        <v>85452.939815805817</v>
      </c>
    </row>
    <row r="17" spans="1:24" x14ac:dyDescent="0.25">
      <c r="A17" s="21">
        <f t="shared" si="2"/>
        <v>46280</v>
      </c>
      <c r="B17" s="146">
        <v>38920.009313407034</v>
      </c>
      <c r="C17" s="146">
        <v>1699.4442201426459</v>
      </c>
      <c r="D17" s="148">
        <v>4642.6879565299441</v>
      </c>
      <c r="E17" s="146">
        <v>7167.1947785361936</v>
      </c>
      <c r="F17" s="151">
        <v>33668.572512301136</v>
      </c>
      <c r="G17" s="146">
        <v>5284.150554456477</v>
      </c>
      <c r="H17" s="146">
        <v>14579.460401458475</v>
      </c>
      <c r="I17" s="20">
        <f t="shared" si="0"/>
        <v>105961.51973683189</v>
      </c>
      <c r="J17" s="64"/>
      <c r="U17" s="146">
        <v>4369.0522141895271</v>
      </c>
      <c r="V17" s="146">
        <v>7784.0535235510933</v>
      </c>
      <c r="W17" s="146">
        <v>25534.092273121394</v>
      </c>
      <c r="X17" s="150">
        <f t="shared" si="1"/>
        <v>37687.198010862019</v>
      </c>
    </row>
    <row r="18" spans="1:24" x14ac:dyDescent="0.25">
      <c r="A18" s="21">
        <f t="shared" si="2"/>
        <v>46281</v>
      </c>
      <c r="B18" s="146">
        <v>40064.82788782307</v>
      </c>
      <c r="C18" s="146">
        <v>1749.4327824201237</v>
      </c>
      <c r="D18" s="148">
        <v>4779.2510124391365</v>
      </c>
      <c r="E18" s="146">
        <v>7378.015326980907</v>
      </c>
      <c r="F18" s="151">
        <v>34658.921894691375</v>
      </c>
      <c r="G18" s="146">
        <v>5439.5820101901909</v>
      </c>
      <c r="H18" s="146">
        <v>15008.310172231862</v>
      </c>
      <c r="I18" s="20">
        <f t="shared" si="0"/>
        <v>109078.34108677668</v>
      </c>
      <c r="J18" s="64"/>
      <c r="U18" s="146">
        <v>3903.1755887257414</v>
      </c>
      <c r="V18" s="146">
        <v>6954.031722437373</v>
      </c>
      <c r="W18" s="146">
        <v>22811.365201138018</v>
      </c>
      <c r="X18" s="150">
        <f t="shared" si="1"/>
        <v>33668.572512301136</v>
      </c>
    </row>
    <row r="19" spans="1:24" x14ac:dyDescent="0.25">
      <c r="A19" s="21">
        <f t="shared" si="2"/>
        <v>46282</v>
      </c>
      <c r="B19" s="146">
        <v>45509.74465235442</v>
      </c>
      <c r="C19" s="146">
        <v>1987.1853546286061</v>
      </c>
      <c r="D19" s="148">
        <v>5428.7639476349068</v>
      </c>
      <c r="E19" s="146">
        <v>8380.7072505635206</v>
      </c>
      <c r="F19" s="151">
        <v>39369.16164396394</v>
      </c>
      <c r="G19" s="146">
        <v>6178.8356858144807</v>
      </c>
      <c r="H19" s="146">
        <v>17047.979477510689</v>
      </c>
      <c r="I19" s="20">
        <f t="shared" si="0"/>
        <v>123902.37801247057</v>
      </c>
      <c r="J19" s="64"/>
      <c r="U19" s="146">
        <v>4017.9861448383572</v>
      </c>
      <c r="V19" s="146">
        <v>7158.5821535232717</v>
      </c>
      <c r="W19" s="146">
        <v>23482.353596329751</v>
      </c>
      <c r="X19" s="150">
        <f t="shared" si="1"/>
        <v>34658.921894691375</v>
      </c>
    </row>
    <row r="20" spans="1:24" x14ac:dyDescent="0.25">
      <c r="A20" s="21">
        <f t="shared" si="2"/>
        <v>46283</v>
      </c>
      <c r="B20" s="146">
        <v>52305.240611767025</v>
      </c>
      <c r="C20" s="146">
        <v>2283.9110372519203</v>
      </c>
      <c r="D20" s="148">
        <v>6239.3847004553527</v>
      </c>
      <c r="E20" s="146">
        <v>9632.1109376918321</v>
      </c>
      <c r="F20" s="151">
        <v>45247.748327336551</v>
      </c>
      <c r="G20" s="146">
        <v>7101.4568355829942</v>
      </c>
      <c r="H20" s="146">
        <v>19593.576613696321</v>
      </c>
      <c r="I20" s="20">
        <f t="shared" si="0"/>
        <v>142403.42906378198</v>
      </c>
      <c r="J20" s="64"/>
      <c r="U20" s="146">
        <v>4564.04115800202</v>
      </c>
      <c r="V20" s="146">
        <v>8131.4525246909079</v>
      </c>
      <c r="W20" s="146">
        <v>26673.667961271014</v>
      </c>
      <c r="X20" s="150">
        <f t="shared" si="1"/>
        <v>39369.16164396394</v>
      </c>
    </row>
    <row r="21" spans="1:24" x14ac:dyDescent="0.25">
      <c r="A21" s="21">
        <f t="shared" si="2"/>
        <v>46284</v>
      </c>
      <c r="B21" s="146">
        <v>100733.65285779152</v>
      </c>
      <c r="C21" s="146">
        <v>4398.540163351352</v>
      </c>
      <c r="D21" s="148">
        <v>12016.310509438492</v>
      </c>
      <c r="E21" s="146">
        <v>18550.296454747673</v>
      </c>
      <c r="F21" s="151">
        <v>87141.764750380244</v>
      </c>
      <c r="G21" s="146">
        <v>13676.558587501759</v>
      </c>
      <c r="H21" s="146">
        <v>37734.890840031818</v>
      </c>
      <c r="I21" s="20">
        <f t="shared" si="0"/>
        <v>274252.01416324289</v>
      </c>
      <c r="J21" s="64"/>
      <c r="U21" s="146">
        <v>5245.5418670197532</v>
      </c>
      <c r="V21" s="146">
        <v>9345.6376008278658</v>
      </c>
      <c r="W21" s="146">
        <v>30656.568859488936</v>
      </c>
      <c r="X21" s="150">
        <f t="shared" si="1"/>
        <v>45247.748327336551</v>
      </c>
    </row>
    <row r="22" spans="1:24" x14ac:dyDescent="0.25">
      <c r="A22" s="21">
        <f t="shared" si="2"/>
        <v>46285</v>
      </c>
      <c r="B22" s="147">
        <v>98810.290104224361</v>
      </c>
      <c r="C22" s="147">
        <v>4314.5564292143363</v>
      </c>
      <c r="D22" s="149">
        <v>11786.876517783496</v>
      </c>
      <c r="E22" s="147">
        <v>18196.10549416512</v>
      </c>
      <c r="F22" s="151">
        <v>85477.919353672478</v>
      </c>
      <c r="G22" s="147">
        <v>13415.424570835892</v>
      </c>
      <c r="H22" s="147">
        <v>37014.397921403113</v>
      </c>
      <c r="I22" s="20">
        <f t="shared" si="0"/>
        <v>269015.5703912988</v>
      </c>
      <c r="J22" s="64"/>
      <c r="U22" s="146">
        <v>10102.287788052074</v>
      </c>
      <c r="V22" s="146">
        <v>17998.582987203161</v>
      </c>
      <c r="W22" s="146">
        <v>59040.893975125015</v>
      </c>
      <c r="X22" s="150">
        <f t="shared" si="1"/>
        <v>87141.764750380244</v>
      </c>
    </row>
    <row r="23" spans="1:24" x14ac:dyDescent="0.25">
      <c r="A23" s="21">
        <f t="shared" si="2"/>
        <v>46286</v>
      </c>
      <c r="B23" s="147">
        <v>37758.567643850009</v>
      </c>
      <c r="C23" s="147">
        <v>1648.7298095558635</v>
      </c>
      <c r="D23" s="149">
        <v>4504.1419657506731</v>
      </c>
      <c r="E23" s="147">
        <v>6953.313055060964</v>
      </c>
      <c r="F23" s="151">
        <v>32663.842971889164</v>
      </c>
      <c r="G23" s="147">
        <v>5126.4621892575387</v>
      </c>
      <c r="H23" s="147">
        <v>14144.383608604847</v>
      </c>
      <c r="I23" s="20">
        <f t="shared" si="0"/>
        <v>102799.44124396905</v>
      </c>
      <c r="J23" s="64"/>
      <c r="U23" s="147">
        <v>9909.3992795336126</v>
      </c>
      <c r="V23" s="147">
        <v>17654.926193743628</v>
      </c>
      <c r="W23" s="147">
        <v>57913.593880395245</v>
      </c>
      <c r="X23" s="150">
        <f t="shared" si="1"/>
        <v>85477.919353672478</v>
      </c>
    </row>
    <row r="24" spans="1:24" x14ac:dyDescent="0.25">
      <c r="A24" s="21">
        <f t="shared" si="2"/>
        <v>46287</v>
      </c>
      <c r="B24" s="147">
        <v>39511.704619393851</v>
      </c>
      <c r="C24" s="147">
        <v>1725.2806262890967</v>
      </c>
      <c r="D24" s="149">
        <v>4713.2700740448545</v>
      </c>
      <c r="E24" s="147">
        <v>7276.1566103128434</v>
      </c>
      <c r="F24" s="151">
        <v>34180.430979609955</v>
      </c>
      <c r="G24" s="147">
        <v>5364.4847356233486</v>
      </c>
      <c r="H24" s="147">
        <v>14801.109841824669</v>
      </c>
      <c r="I24" s="20">
        <f t="shared" si="0"/>
        <v>107572.43748709862</v>
      </c>
      <c r="J24" s="64"/>
      <c r="U24" s="147">
        <v>3786.6979502997337</v>
      </c>
      <c r="V24" s="147">
        <v>6746.5111602293373</v>
      </c>
      <c r="W24" s="147">
        <v>22130.633861360093</v>
      </c>
      <c r="X24" s="150">
        <f t="shared" si="1"/>
        <v>32663.842971889164</v>
      </c>
    </row>
    <row r="25" spans="1:24" x14ac:dyDescent="0.25">
      <c r="A25" s="21">
        <f t="shared" si="2"/>
        <v>46288</v>
      </c>
      <c r="B25" s="147">
        <v>40064.82788782307</v>
      </c>
      <c r="C25" s="147">
        <v>1749.4327824201237</v>
      </c>
      <c r="D25" s="149">
        <v>4779.2510124391365</v>
      </c>
      <c r="E25" s="147">
        <v>7378.015326980907</v>
      </c>
      <c r="F25" s="151">
        <v>34658.921894691375</v>
      </c>
      <c r="G25" s="147">
        <v>5439.5820101901909</v>
      </c>
      <c r="H25" s="147">
        <v>15008.310172231862</v>
      </c>
      <c r="I25" s="20">
        <f t="shared" si="0"/>
        <v>109078.34108677668</v>
      </c>
      <c r="J25" s="64"/>
      <c r="U25" s="147">
        <v>3962.5150060340457</v>
      </c>
      <c r="V25" s="147">
        <v>7059.7528669190169</v>
      </c>
      <c r="W25" s="147">
        <v>23158.163106656888</v>
      </c>
      <c r="X25" s="150">
        <f t="shared" si="1"/>
        <v>34180.430979609955</v>
      </c>
    </row>
    <row r="26" spans="1:24" x14ac:dyDescent="0.25">
      <c r="A26" s="21">
        <f t="shared" si="2"/>
        <v>46289</v>
      </c>
      <c r="B26" s="147">
        <v>45509.74465235442</v>
      </c>
      <c r="C26" s="147">
        <v>1987.1853546286061</v>
      </c>
      <c r="D26" s="149">
        <v>5428.7639476349068</v>
      </c>
      <c r="E26" s="147">
        <v>8380.7072505635206</v>
      </c>
      <c r="F26" s="151">
        <v>39369.16164396394</v>
      </c>
      <c r="G26" s="147">
        <v>6178.8356858144807</v>
      </c>
      <c r="H26" s="147">
        <v>17047.979477510689</v>
      </c>
      <c r="I26" s="20">
        <f t="shared" si="0"/>
        <v>123902.37801247057</v>
      </c>
      <c r="J26" s="64"/>
      <c r="U26" s="147">
        <v>4017.9861448383572</v>
      </c>
      <c r="V26" s="147">
        <v>7158.5821535232717</v>
      </c>
      <c r="W26" s="147">
        <v>23482.353596329751</v>
      </c>
      <c r="X26" s="150">
        <f t="shared" si="1"/>
        <v>34658.921894691375</v>
      </c>
    </row>
    <row r="27" spans="1:24" x14ac:dyDescent="0.25">
      <c r="A27" s="21">
        <f t="shared" si="2"/>
        <v>46290</v>
      </c>
      <c r="B27" s="147">
        <v>52305.240611767025</v>
      </c>
      <c r="C27" s="147">
        <v>2283.9110372519203</v>
      </c>
      <c r="D27" s="149">
        <v>6239.3847004553527</v>
      </c>
      <c r="E27" s="147">
        <v>9632.1109376918321</v>
      </c>
      <c r="F27" s="151">
        <v>45247.748327336551</v>
      </c>
      <c r="G27" s="147">
        <v>7101.4568355829942</v>
      </c>
      <c r="H27" s="147">
        <v>19593.576613696321</v>
      </c>
      <c r="I27" s="20">
        <f t="shared" si="0"/>
        <v>142403.42906378198</v>
      </c>
      <c r="J27" s="64"/>
      <c r="U27" s="147">
        <v>4564.04115800202</v>
      </c>
      <c r="V27" s="147">
        <v>8131.4525246909079</v>
      </c>
      <c r="W27" s="147">
        <v>26673.667961271014</v>
      </c>
      <c r="X27" s="150">
        <f t="shared" si="1"/>
        <v>39369.16164396394</v>
      </c>
    </row>
    <row r="28" spans="1:24" x14ac:dyDescent="0.25">
      <c r="A28" s="21">
        <f t="shared" si="2"/>
        <v>46291</v>
      </c>
      <c r="B28" s="146">
        <v>100564.04266308263</v>
      </c>
      <c r="C28" s="146">
        <v>4391.13412542484</v>
      </c>
      <c r="D28" s="148">
        <v>11996.078057746645</v>
      </c>
      <c r="E28" s="146">
        <v>18519.062410271603</v>
      </c>
      <c r="F28" s="151">
        <v>86995.039884684636</v>
      </c>
      <c r="G28" s="146">
        <v>13653.530694646046</v>
      </c>
      <c r="H28" s="146">
        <v>37671.354752526553</v>
      </c>
      <c r="I28" s="20">
        <f t="shared" si="0"/>
        <v>273790.24258838291</v>
      </c>
      <c r="J28" s="64"/>
      <c r="U28" s="147">
        <v>5245.5418670197532</v>
      </c>
      <c r="V28" s="147">
        <v>9345.6376008278658</v>
      </c>
      <c r="W28" s="147">
        <v>30656.568859488936</v>
      </c>
      <c r="X28" s="150">
        <f t="shared" si="1"/>
        <v>45247.748327336551</v>
      </c>
    </row>
    <row r="29" spans="1:24" x14ac:dyDescent="0.25">
      <c r="A29" s="21">
        <f t="shared" si="2"/>
        <v>46292</v>
      </c>
      <c r="B29" s="146">
        <v>96664.662292385066</v>
      </c>
      <c r="C29" s="146">
        <v>4220.8674798092925</v>
      </c>
      <c r="D29" s="148">
        <v>11530.928983932561</v>
      </c>
      <c r="E29" s="146">
        <v>17800.983994427985</v>
      </c>
      <c r="F29" s="151">
        <v>83621.798894255335</v>
      </c>
      <c r="G29" s="146">
        <v>13124.113736342279</v>
      </c>
      <c r="H29" s="146">
        <v>36210.644369674053</v>
      </c>
      <c r="I29" s="20">
        <f t="shared" si="0"/>
        <v>263173.99975082657</v>
      </c>
      <c r="J29" s="64"/>
      <c r="U29" s="146">
        <v>10085.278070344768</v>
      </c>
      <c r="V29" s="146">
        <v>17968.27788976712</v>
      </c>
      <c r="W29" s="146">
        <v>58941.483924572742</v>
      </c>
      <c r="X29" s="150">
        <f t="shared" si="1"/>
        <v>86995.039884684636</v>
      </c>
    </row>
    <row r="30" spans="1:24" x14ac:dyDescent="0.25">
      <c r="A30" s="21">
        <f t="shared" si="2"/>
        <v>46293</v>
      </c>
      <c r="B30" s="146">
        <v>37758.567643850009</v>
      </c>
      <c r="C30" s="146">
        <v>1648.7298095558635</v>
      </c>
      <c r="D30" s="148">
        <v>4504.1419657506731</v>
      </c>
      <c r="E30" s="146">
        <v>6953.313055060964</v>
      </c>
      <c r="F30" s="151">
        <v>32663.842971889164</v>
      </c>
      <c r="G30" s="146">
        <v>5126.4621892575387</v>
      </c>
      <c r="H30" s="146">
        <v>14144.383608604847</v>
      </c>
      <c r="I30" s="20">
        <f t="shared" si="0"/>
        <v>102799.44124396905</v>
      </c>
      <c r="J30" s="64"/>
      <c r="U30" s="146">
        <v>9694.2204487624385</v>
      </c>
      <c r="V30" s="146">
        <v>17271.556196374833</v>
      </c>
      <c r="W30" s="146">
        <v>56656.022249118061</v>
      </c>
      <c r="X30" s="150">
        <f t="shared" si="1"/>
        <v>83621.798894255335</v>
      </c>
    </row>
    <row r="31" spans="1:24" x14ac:dyDescent="0.25">
      <c r="A31" s="21">
        <f t="shared" si="2"/>
        <v>46294</v>
      </c>
      <c r="B31" s="146">
        <v>39511.704619393851</v>
      </c>
      <c r="C31" s="146">
        <v>1725.2806262890967</v>
      </c>
      <c r="D31" s="148">
        <v>4713.2700740448545</v>
      </c>
      <c r="E31" s="146">
        <v>7276.1566103128434</v>
      </c>
      <c r="F31" s="151">
        <v>34180.430979609955</v>
      </c>
      <c r="G31" s="146">
        <v>5364.4847356233486</v>
      </c>
      <c r="H31" s="146">
        <v>14801.109841824669</v>
      </c>
      <c r="I31" s="20">
        <f t="shared" si="0"/>
        <v>107572.43748709862</v>
      </c>
      <c r="J31" s="64"/>
      <c r="U31" s="146">
        <v>3786.6979502997337</v>
      </c>
      <c r="V31" s="146">
        <v>6746.5111602293373</v>
      </c>
      <c r="W31" s="146">
        <v>22130.633861360093</v>
      </c>
      <c r="X31" s="150">
        <f t="shared" si="1"/>
        <v>32663.842971889164</v>
      </c>
    </row>
    <row r="32" spans="1:24" x14ac:dyDescent="0.25">
      <c r="A32" s="21">
        <f>A31+1</f>
        <v>46295</v>
      </c>
      <c r="B32" s="146">
        <v>40259.74404445367</v>
      </c>
      <c r="C32" s="146">
        <v>1757.9438064831163</v>
      </c>
      <c r="D32" s="148">
        <v>4802.5021603418754</v>
      </c>
      <c r="E32" s="146">
        <v>7413.9095131514641</v>
      </c>
      <c r="F32" s="151">
        <v>34827.538214910906</v>
      </c>
      <c r="G32" s="146">
        <v>5466.0456810705919</v>
      </c>
      <c r="H32" s="146">
        <v>15081.325889271309</v>
      </c>
      <c r="I32" s="20">
        <f t="shared" si="0"/>
        <v>109609.00930968294</v>
      </c>
      <c r="J32" s="64"/>
      <c r="U32" s="146">
        <v>3962.5150060340457</v>
      </c>
      <c r="V32" s="146">
        <v>7059.7528669190169</v>
      </c>
      <c r="W32" s="146">
        <v>23158.163106656888</v>
      </c>
      <c r="X32" s="150">
        <f t="shared" si="1"/>
        <v>34180.430979609955</v>
      </c>
    </row>
    <row r="33" spans="1:24" ht="15.75" thickBot="1" x14ac:dyDescent="0.3">
      <c r="A33" s="21">
        <f>A32+1</f>
        <v>46296</v>
      </c>
      <c r="B33" s="135"/>
      <c r="C33" s="127"/>
      <c r="D33" s="126"/>
      <c r="E33" s="127"/>
      <c r="F33" s="131"/>
      <c r="G33" s="136"/>
      <c r="H33" s="128"/>
      <c r="I33" s="20">
        <f t="shared" si="0"/>
        <v>0</v>
      </c>
      <c r="J33" s="64"/>
      <c r="U33" s="146">
        <v>4037.533724549412</v>
      </c>
      <c r="V33" s="146">
        <v>7193.4087930934193</v>
      </c>
      <c r="W33" s="146">
        <v>23596.59569726808</v>
      </c>
      <c r="X33" s="150">
        <f t="shared" si="1"/>
        <v>34827.538214910906</v>
      </c>
    </row>
    <row r="34" spans="1:24" ht="15.75" thickBot="1" x14ac:dyDescent="0.3">
      <c r="A34" s="26" t="s">
        <v>36</v>
      </c>
      <c r="B34" s="27">
        <f>SUBTOTAL(9,B3:B33)</f>
        <v>1738240.0639999998</v>
      </c>
      <c r="C34" s="27">
        <f t="shared" ref="C34:I34" si="3">SUBTOTAL(9,C3:C33)</f>
        <v>75900.342320000011</v>
      </c>
      <c r="D34" s="27">
        <f t="shared" si="3"/>
        <v>207351.08631925925</v>
      </c>
      <c r="E34" s="132">
        <f t="shared" si="3"/>
        <v>320100.26026000001</v>
      </c>
      <c r="F34" s="134">
        <f t="shared" si="3"/>
        <v>1503701.1211199986</v>
      </c>
      <c r="G34" s="133">
        <f t="shared" si="3"/>
        <v>236000.00000000003</v>
      </c>
      <c r="H34" s="27">
        <f t="shared" si="3"/>
        <v>651145.84061999957</v>
      </c>
      <c r="I34" s="27">
        <f t="shared" si="3"/>
        <v>4732438.7146392567</v>
      </c>
      <c r="U34" s="127"/>
      <c r="V34" s="128"/>
      <c r="W34" s="130"/>
      <c r="X34" s="129">
        <f t="shared" si="1"/>
        <v>0</v>
      </c>
    </row>
    <row r="35" spans="1:24" x14ac:dyDescent="0.25">
      <c r="A35" s="32" t="s">
        <v>65</v>
      </c>
      <c r="B35" s="33">
        <f ca="1">SUMIFS(B3:B33,$A$3:$A$33,"="&amp;$A$37)</f>
        <v>100564.04266308263</v>
      </c>
      <c r="C35" s="33">
        <f t="shared" ref="C35:I35" ca="1" si="4">SUMIFS(C3:C33,$A$3:$A$33,"="&amp;$A$37)</f>
        <v>4391.13412542484</v>
      </c>
      <c r="D35" s="33">
        <f t="shared" ca="1" si="4"/>
        <v>11996.078057746645</v>
      </c>
      <c r="E35" s="33">
        <f t="shared" ca="1" si="4"/>
        <v>18519.062410271603</v>
      </c>
      <c r="F35" s="33">
        <f t="shared" ca="1" si="4"/>
        <v>86995.039884684636</v>
      </c>
      <c r="G35" s="33">
        <f t="shared" ca="1" si="4"/>
        <v>13653.530694646046</v>
      </c>
      <c r="H35" s="33">
        <f t="shared" ca="1" si="4"/>
        <v>37671.354752526553</v>
      </c>
      <c r="I35" s="33">
        <f t="shared" ca="1" si="4"/>
        <v>273790.24258838291</v>
      </c>
    </row>
    <row r="37" spans="1:24" hidden="1" x14ac:dyDescent="0.25">
      <c r="A37" s="35">
        <f ca="1">TODAY()</f>
        <v>46291</v>
      </c>
    </row>
  </sheetData>
  <mergeCells count="1"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3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0.42578125" customWidth="1"/>
    <col min="9" max="9" width="9.5703125" bestFit="1" customWidth="1"/>
  </cols>
  <sheetData>
    <row r="1" spans="1:21" x14ac:dyDescent="0.25">
      <c r="A1" t="s">
        <v>0</v>
      </c>
      <c r="B1" t="s">
        <v>86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46</v>
      </c>
      <c r="P1" t="s">
        <v>73</v>
      </c>
      <c r="Q1" t="s">
        <v>48</v>
      </c>
      <c r="R1" t="s">
        <v>51</v>
      </c>
      <c r="S1" t="s">
        <v>54</v>
      </c>
      <c r="T1" t="s">
        <v>74</v>
      </c>
      <c r="U1" t="s">
        <v>78</v>
      </c>
    </row>
    <row r="2" spans="1:21" x14ac:dyDescent="0.25">
      <c r="A2" s="35">
        <v>46023</v>
      </c>
      <c r="B2" s="35" t="s">
        <v>87</v>
      </c>
      <c r="I2" s="91"/>
      <c r="U2">
        <v>0</v>
      </c>
    </row>
    <row r="3" spans="1:21" x14ac:dyDescent="0.25">
      <c r="A3" s="35">
        <f>A2+1</f>
        <v>46024</v>
      </c>
      <c r="B3" s="35" t="s">
        <v>88</v>
      </c>
      <c r="I3" s="91"/>
      <c r="U3">
        <v>0</v>
      </c>
    </row>
    <row r="4" spans="1:21" x14ac:dyDescent="0.25">
      <c r="A4" s="35">
        <f t="shared" ref="A4:A32" si="0">A3+1</f>
        <v>46025</v>
      </c>
      <c r="B4" s="35" t="s">
        <v>89</v>
      </c>
      <c r="I4" s="91"/>
      <c r="U4">
        <v>0</v>
      </c>
    </row>
    <row r="5" spans="1:21" x14ac:dyDescent="0.25">
      <c r="A5" s="35">
        <f t="shared" si="0"/>
        <v>46026</v>
      </c>
      <c r="B5" s="35" t="s">
        <v>90</v>
      </c>
      <c r="I5" s="91"/>
      <c r="U5">
        <v>0</v>
      </c>
    </row>
    <row r="6" spans="1:21" x14ac:dyDescent="0.25">
      <c r="A6" s="35">
        <f t="shared" si="0"/>
        <v>46027</v>
      </c>
      <c r="B6" s="35" t="s">
        <v>91</v>
      </c>
      <c r="I6" s="91"/>
      <c r="U6">
        <v>0</v>
      </c>
    </row>
    <row r="7" spans="1:21" x14ac:dyDescent="0.25">
      <c r="A7" s="35">
        <f t="shared" si="0"/>
        <v>46028</v>
      </c>
      <c r="B7" s="35" t="s">
        <v>92</v>
      </c>
      <c r="I7" s="91"/>
      <c r="U7">
        <v>0</v>
      </c>
    </row>
    <row r="8" spans="1:21" x14ac:dyDescent="0.25">
      <c r="A8" s="35">
        <f t="shared" si="0"/>
        <v>46029</v>
      </c>
      <c r="B8" s="35" t="s">
        <v>93</v>
      </c>
      <c r="I8" s="91"/>
      <c r="U8">
        <v>0</v>
      </c>
    </row>
    <row r="9" spans="1:21" x14ac:dyDescent="0.25">
      <c r="A9" s="35">
        <f t="shared" si="0"/>
        <v>46030</v>
      </c>
      <c r="B9" s="35" t="s">
        <v>87</v>
      </c>
      <c r="I9" s="91"/>
      <c r="U9">
        <v>0</v>
      </c>
    </row>
    <row r="10" spans="1:21" x14ac:dyDescent="0.25">
      <c r="A10" s="35">
        <f t="shared" si="0"/>
        <v>46031</v>
      </c>
      <c r="B10" s="35" t="s">
        <v>88</v>
      </c>
      <c r="I10" s="91"/>
      <c r="U10">
        <v>0</v>
      </c>
    </row>
    <row r="11" spans="1:21" x14ac:dyDescent="0.25">
      <c r="A11" s="35">
        <f t="shared" si="0"/>
        <v>46032</v>
      </c>
      <c r="B11" s="35" t="s">
        <v>89</v>
      </c>
      <c r="I11" s="91"/>
      <c r="U11">
        <v>0</v>
      </c>
    </row>
    <row r="12" spans="1:21" x14ac:dyDescent="0.25">
      <c r="A12" s="35">
        <f t="shared" si="0"/>
        <v>46033</v>
      </c>
      <c r="B12" s="35" t="s">
        <v>90</v>
      </c>
      <c r="I12" s="91"/>
      <c r="U12">
        <v>0</v>
      </c>
    </row>
    <row r="13" spans="1:21" x14ac:dyDescent="0.25">
      <c r="A13" s="35">
        <f t="shared" si="0"/>
        <v>46034</v>
      </c>
      <c r="B13" s="35" t="s">
        <v>91</v>
      </c>
      <c r="I13" s="91"/>
      <c r="U13">
        <v>0</v>
      </c>
    </row>
    <row r="14" spans="1:21" x14ac:dyDescent="0.25">
      <c r="A14" s="35">
        <f t="shared" si="0"/>
        <v>46035</v>
      </c>
      <c r="B14" s="35" t="s">
        <v>92</v>
      </c>
      <c r="I14" s="91"/>
      <c r="U14">
        <v>0</v>
      </c>
    </row>
    <row r="15" spans="1:21" x14ac:dyDescent="0.25">
      <c r="A15" s="35">
        <f t="shared" si="0"/>
        <v>46036</v>
      </c>
      <c r="B15" s="35" t="s">
        <v>93</v>
      </c>
      <c r="I15" s="91"/>
      <c r="U15">
        <v>0</v>
      </c>
    </row>
    <row r="16" spans="1:21" x14ac:dyDescent="0.25">
      <c r="A16" s="35">
        <f t="shared" si="0"/>
        <v>46037</v>
      </c>
      <c r="B16" s="35" t="s">
        <v>87</v>
      </c>
      <c r="I16" s="91"/>
      <c r="U16">
        <v>0</v>
      </c>
    </row>
    <row r="17" spans="1:21" x14ac:dyDescent="0.25">
      <c r="A17" s="35">
        <f t="shared" si="0"/>
        <v>46038</v>
      </c>
      <c r="B17" s="35" t="s">
        <v>88</v>
      </c>
      <c r="I17" s="91"/>
      <c r="U17">
        <v>0</v>
      </c>
    </row>
    <row r="18" spans="1:21" x14ac:dyDescent="0.25">
      <c r="A18" s="35">
        <f t="shared" si="0"/>
        <v>46039</v>
      </c>
      <c r="B18" s="35" t="s">
        <v>89</v>
      </c>
      <c r="I18" s="91"/>
      <c r="U18">
        <v>0</v>
      </c>
    </row>
    <row r="19" spans="1:21" x14ac:dyDescent="0.25">
      <c r="A19" s="35">
        <f t="shared" si="0"/>
        <v>46040</v>
      </c>
      <c r="B19" s="35" t="s">
        <v>90</v>
      </c>
      <c r="I19" s="91"/>
      <c r="U19">
        <v>0</v>
      </c>
    </row>
    <row r="20" spans="1:21" x14ac:dyDescent="0.25">
      <c r="A20" s="35">
        <f t="shared" si="0"/>
        <v>46041</v>
      </c>
      <c r="B20" s="35" t="s">
        <v>91</v>
      </c>
      <c r="I20" s="91"/>
      <c r="U20">
        <v>0</v>
      </c>
    </row>
    <row r="21" spans="1:21" x14ac:dyDescent="0.25">
      <c r="A21" s="35">
        <f t="shared" si="0"/>
        <v>46042</v>
      </c>
      <c r="B21" s="35" t="s">
        <v>92</v>
      </c>
      <c r="I21" s="91"/>
      <c r="U21">
        <v>0</v>
      </c>
    </row>
    <row r="22" spans="1:21" x14ac:dyDescent="0.25">
      <c r="A22" s="35">
        <f t="shared" si="0"/>
        <v>46043</v>
      </c>
      <c r="B22" s="35" t="s">
        <v>93</v>
      </c>
      <c r="I22" s="91"/>
      <c r="U22">
        <v>0</v>
      </c>
    </row>
    <row r="23" spans="1:21" x14ac:dyDescent="0.25">
      <c r="A23" s="35">
        <f t="shared" si="0"/>
        <v>46044</v>
      </c>
      <c r="B23" s="35" t="s">
        <v>87</v>
      </c>
      <c r="I23" s="91"/>
      <c r="U23">
        <v>0</v>
      </c>
    </row>
    <row r="24" spans="1:21" x14ac:dyDescent="0.25">
      <c r="A24" s="35">
        <f t="shared" si="0"/>
        <v>46045</v>
      </c>
      <c r="B24" s="35" t="s">
        <v>88</v>
      </c>
      <c r="I24" s="91"/>
      <c r="U24">
        <v>0</v>
      </c>
    </row>
    <row r="25" spans="1:21" x14ac:dyDescent="0.25">
      <c r="A25" s="35">
        <f t="shared" si="0"/>
        <v>46046</v>
      </c>
      <c r="B25" s="35" t="s">
        <v>89</v>
      </c>
      <c r="I25" s="91"/>
      <c r="U25">
        <v>0</v>
      </c>
    </row>
    <row r="26" spans="1:21" x14ac:dyDescent="0.25">
      <c r="A26" s="35">
        <f t="shared" si="0"/>
        <v>46047</v>
      </c>
      <c r="B26" s="35" t="s">
        <v>90</v>
      </c>
      <c r="I26" s="91"/>
      <c r="U26">
        <v>0</v>
      </c>
    </row>
    <row r="27" spans="1:21" x14ac:dyDescent="0.25">
      <c r="A27" s="35">
        <f t="shared" si="0"/>
        <v>46048</v>
      </c>
      <c r="B27" s="35" t="s">
        <v>91</v>
      </c>
      <c r="I27" s="91"/>
      <c r="U27">
        <v>0</v>
      </c>
    </row>
    <row r="28" spans="1:21" x14ac:dyDescent="0.25">
      <c r="A28" s="35">
        <f t="shared" si="0"/>
        <v>46049</v>
      </c>
      <c r="B28" s="35" t="s">
        <v>92</v>
      </c>
      <c r="I28" s="91"/>
      <c r="U28">
        <v>0</v>
      </c>
    </row>
    <row r="29" spans="1:21" x14ac:dyDescent="0.25">
      <c r="A29" s="35">
        <f t="shared" si="0"/>
        <v>46050</v>
      </c>
      <c r="B29" s="35" t="s">
        <v>93</v>
      </c>
      <c r="I29" s="91"/>
      <c r="U29">
        <v>0</v>
      </c>
    </row>
    <row r="30" spans="1:21" x14ac:dyDescent="0.25">
      <c r="A30" s="35">
        <f t="shared" si="0"/>
        <v>46051</v>
      </c>
      <c r="B30" s="35" t="s">
        <v>87</v>
      </c>
      <c r="I30" s="91"/>
      <c r="U30">
        <v>0</v>
      </c>
    </row>
    <row r="31" spans="1:21" x14ac:dyDescent="0.25">
      <c r="A31" s="35">
        <f t="shared" si="0"/>
        <v>46052</v>
      </c>
      <c r="B31" s="35" t="s">
        <v>88</v>
      </c>
      <c r="I31" s="91"/>
      <c r="U31">
        <v>0</v>
      </c>
    </row>
    <row r="32" spans="1:21" x14ac:dyDescent="0.25">
      <c r="A32" s="35">
        <f t="shared" si="0"/>
        <v>46053</v>
      </c>
      <c r="B32" s="35" t="s">
        <v>89</v>
      </c>
      <c r="I32" s="91"/>
      <c r="U32">
        <v>0</v>
      </c>
    </row>
    <row r="33" spans="1:21" x14ac:dyDescent="0.25">
      <c r="A33" t="s">
        <v>85</v>
      </c>
      <c r="C33">
        <f>SUM(C2:C32)</f>
        <v>0</v>
      </c>
      <c r="D33">
        <f t="shared" ref="D33:U33" si="1">SUM(D2:D32)</f>
        <v>0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0</v>
      </c>
      <c r="I33">
        <f t="shared" si="1"/>
        <v>0</v>
      </c>
      <c r="J33">
        <f t="shared" si="1"/>
        <v>0</v>
      </c>
      <c r="K33">
        <f t="shared" si="1"/>
        <v>0</v>
      </c>
      <c r="L33">
        <f t="shared" si="1"/>
        <v>0</v>
      </c>
      <c r="M33">
        <f t="shared" si="1"/>
        <v>0</v>
      </c>
      <c r="N33">
        <f t="shared" si="1"/>
        <v>0</v>
      </c>
      <c r="O33">
        <f t="shared" si="1"/>
        <v>0</v>
      </c>
      <c r="P33">
        <f t="shared" si="1"/>
        <v>0</v>
      </c>
      <c r="Q33">
        <f t="shared" si="1"/>
        <v>0</v>
      </c>
      <c r="R33">
        <f t="shared" si="1"/>
        <v>0</v>
      </c>
      <c r="S33">
        <f t="shared" si="1"/>
        <v>0</v>
      </c>
      <c r="T33">
        <f t="shared" si="1"/>
        <v>0</v>
      </c>
      <c r="U3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3PM</vt:lpstr>
      <vt:lpstr>5PM</vt:lpstr>
      <vt:lpstr>7PM</vt:lpstr>
      <vt:lpstr>9PM</vt:lpstr>
      <vt:lpstr>Retail</vt:lpstr>
      <vt:lpstr>Attraction</vt:lpstr>
      <vt:lpstr>LFL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2026-09-26T13:51:03Z</dcterms:modified>
</cp:coreProperties>
</file>