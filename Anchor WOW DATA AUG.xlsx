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02EEC7FB-978A-418C-B808-CCA170E02255}" xr6:coauthVersionLast="36" xr6:coauthVersionMax="36" xr10:uidLastSave="{00000000-0000-0000-0000-000000000000}"/>
  <bookViews>
    <workbookView xWindow="0" yWindow="0" windowWidth="28800" windowHeight="11085" firstSheet="1" activeTab="1" xr2:uid="{00000000-000D-0000-FFFF-FFFF00000000}"/>
  </bookViews>
  <sheets>
    <sheet name="Sheet2" sheetId="2" state="hidden" r:id="rId1"/>
    <sheet name="Sheet1" sheetId="7" r:id="rId2"/>
  </sheets>
  <calcPr calcId="191029"/>
</workbook>
</file>

<file path=xl/calcChain.xml><?xml version="1.0" encoding="utf-8"?>
<calcChain xmlns="http://schemas.openxmlformats.org/spreadsheetml/2006/main">
  <c r="J22" i="7" l="1"/>
  <c r="J23" i="7"/>
  <c r="J24" i="7"/>
  <c r="J25" i="7"/>
  <c r="J26" i="7"/>
  <c r="J27" i="7"/>
  <c r="J21" i="7"/>
  <c r="G22" i="7"/>
  <c r="G23" i="7"/>
  <c r="G24" i="7"/>
  <c r="G25" i="7"/>
  <c r="G26" i="7"/>
  <c r="G27" i="7"/>
  <c r="G21" i="7"/>
  <c r="D22" i="7"/>
  <c r="D23" i="7"/>
  <c r="D24" i="7"/>
  <c r="D25" i="7"/>
  <c r="D26" i="7"/>
  <c r="D27" i="7"/>
  <c r="D21" i="7"/>
  <c r="G10" i="7" l="1"/>
  <c r="D10" i="7"/>
  <c r="J9" i="7"/>
  <c r="G9" i="7"/>
  <c r="D9" i="7"/>
  <c r="J8" i="7"/>
  <c r="G8" i="7"/>
  <c r="D8" i="7"/>
  <c r="G7" i="7"/>
  <c r="D7" i="7"/>
  <c r="G6" i="7"/>
  <c r="D6" i="7"/>
  <c r="J5" i="7"/>
  <c r="G5" i="7"/>
  <c r="D5" i="7"/>
  <c r="J4" i="7"/>
  <c r="G4" i="7"/>
  <c r="D4" i="7"/>
  <c r="J10" i="7" l="1"/>
  <c r="J7" i="7"/>
  <c r="J6" i="7"/>
  <c r="J4" i="2" l="1"/>
  <c r="J5" i="2"/>
  <c r="J6" i="2"/>
  <c r="J7" i="2"/>
  <c r="J8" i="2"/>
  <c r="J9" i="2"/>
  <c r="J3" i="2"/>
  <c r="G4" i="2"/>
  <c r="G5" i="2"/>
  <c r="G6" i="2"/>
  <c r="G7" i="2"/>
  <c r="G8" i="2"/>
  <c r="G9" i="2"/>
  <c r="G3" i="2"/>
</calcChain>
</file>

<file path=xl/sharedStrings.xml><?xml version="1.0" encoding="utf-8"?>
<sst xmlns="http://schemas.openxmlformats.org/spreadsheetml/2006/main" count="88" uniqueCount="49">
  <si>
    <t>TLX5</t>
  </si>
  <si>
    <t>Hamleys</t>
  </si>
  <si>
    <t>TARP</t>
  </si>
  <si>
    <t>Adidas Kids</t>
  </si>
  <si>
    <t>T9VT</t>
  </si>
  <si>
    <t>La Martina</t>
  </si>
  <si>
    <t>TJT8</t>
  </si>
  <si>
    <t>Superdry</t>
  </si>
  <si>
    <t>T2BK</t>
  </si>
  <si>
    <t>Sephora</t>
  </si>
  <si>
    <t>TUB5</t>
  </si>
  <si>
    <t>Armani</t>
  </si>
  <si>
    <t>TA5R</t>
  </si>
  <si>
    <t>Sunglass hut</t>
  </si>
  <si>
    <t>Other Brands sale</t>
  </si>
  <si>
    <t>S No</t>
  </si>
  <si>
    <t>Brands</t>
  </si>
  <si>
    <t>Store</t>
  </si>
  <si>
    <t>LW Sale</t>
  </si>
  <si>
    <t>TW Sale</t>
  </si>
  <si>
    <t>WOW</t>
  </si>
  <si>
    <t>LFL-23/24</t>
  </si>
  <si>
    <t>Vegas</t>
  </si>
  <si>
    <t>​ 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</si>
  <si>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</si>
  <si>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</si>
  <si>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</si>
  <si>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</si>
  <si>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</si>
  <si>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</si>
  <si>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</si>
  <si>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</si>
  <si>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</si>
  <si>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LY MTD</t>
  </si>
  <si>
    <t>TY MTD</t>
  </si>
  <si>
    <t xml:space="preserve">LW Sale </t>
  </si>
  <si>
    <t xml:space="preserve">TW Sale </t>
  </si>
  <si>
    <t>LY MTD 2024</t>
  </si>
  <si>
    <t>TY MTD 2025</t>
  </si>
  <si>
    <t>LW Bill</t>
  </si>
  <si>
    <t>TW Bill</t>
  </si>
  <si>
    <t>G/D</t>
  </si>
  <si>
    <t>Anchor Data</t>
  </si>
  <si>
    <t>1st to 30th AUG</t>
  </si>
  <si>
    <t>17th Aug to 23rd Aug</t>
  </si>
  <si>
    <t>24th to 30th Aug</t>
  </si>
  <si>
    <t>7th  to 13th</t>
  </si>
  <si>
    <t>1st to 20th</t>
  </si>
  <si>
    <t>14th  to 20th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</si>
</sst>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0" borderId="2" xfId="0" applyBorder="1"/>
    <xf numFmtId="9" fontId="0" fillId="0" borderId="3" xfId="1" applyFont="1" applyBorder="1"/>
    <xf numFmtId="0" fontId="0" fillId="0" borderId="4" xfId="0" applyBorder="1"/>
    <xf numFmtId="0" fontId="0" fillId="0" borderId="7" xfId="0" applyBorder="1"/>
    <xf numFmtId="9" fontId="0" fillId="0" borderId="7" xfId="1" applyFont="1" applyBorder="1"/>
    <xf numFmtId="9" fontId="0" fillId="0" borderId="8" xfId="1" applyFont="1" applyBorder="1"/>
    <xf numFmtId="0" fontId="2" fillId="0" borderId="0" xfId="0" applyFont="1" applyAlignment="1">
      <alignment vertical="center" wrapText="1"/>
    </xf>
    <xf numFmtId="0" fontId="0" fillId="2" borderId="1" xfId="0" applyFont="1" applyFill="1" applyBorder="1"/>
    <xf numFmtId="0" fontId="0" fillId="0" borderId="1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4" borderId="0" xfId="0" applyFont="1" applyFill="1" applyBorder="1" applyAlignment="1">
      <alignment horizontal="center" vertical="center"/>
    </xf>
    <xf numFmtId="0" fontId="0" fillId="0" borderId="0" xfId="0" applyBorder="1"/>
    <xf numFmtId="9" fontId="4" fillId="4" borderId="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3">
    <cellStyle name="Comma 2 2" xfId="2" xr:uid="{00000000-0005-0000-0000-000000000000}"/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9" totalsRowShown="0" headerRowDxfId="12" headerRowBorderDxfId="11" tableBorderDxfId="10">
  <tableColumns count="10">
    <tableColumn id="1" xr3:uid="{00000000-0010-0000-0000-000001000000}" name="Column1" dataDxfId="9"/>
    <tableColumn id="2" xr3:uid="{00000000-0010-0000-0000-000002000000}" name="Other Brands sale" dataDxfId="8"/>
    <tableColumn id="3" xr3:uid="{00000000-0010-0000-0000-000003000000}" name="Column2" dataDxfId="7"/>
    <tableColumn id="4" xr3:uid="{00000000-0010-0000-0000-000004000000}" name="Column3" dataDxfId="6"/>
    <tableColumn id="5" xr3:uid="{00000000-0010-0000-0000-000005000000}" name="Column4" dataDxfId="5"/>
    <tableColumn id="6" xr3:uid="{00000000-0010-0000-0000-000006000000}" name="Column5" dataDxfId="4"/>
    <tableColumn id="7" xr3:uid="{00000000-0010-0000-0000-000007000000}" name="Column6" dataDxfId="3" dataCellStyle="Percent">
      <calculatedColumnFormula>F2/E2-1</calculatedColumnFormula>
    </tableColumn>
    <tableColumn id="8" xr3:uid="{00000000-0010-0000-0000-000008000000}" name="Column7" dataDxfId="2"/>
    <tableColumn id="9" xr3:uid="{00000000-0010-0000-0000-000009000000}" name="Column8" dataDxfId="1"/>
    <tableColumn id="10" xr3:uid="{00000000-0010-0000-0000-00000A000000}" name="Column9" dataDxfId="0" dataCellStyle="Percent">
      <calculatedColumnFormula>I2/H2-1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/>
  </sheetViews>
  <sheetFormatPr defaultRowHeight="15" x14ac:dyDescent="0.25"/>
  <cols>
    <col min="1" max="1" width="11" customWidth="1"/>
    <col min="2" max="2" width="18.7109375" customWidth="1"/>
    <col min="3" max="3" width="12" bestFit="1" customWidth="1"/>
    <col min="4" max="7" width="11" customWidth="1"/>
    <col min="8" max="8" width="13.5703125" bestFit="1" customWidth="1"/>
    <col min="9" max="9" width="13.7109375" bestFit="1" customWidth="1"/>
    <col min="10" max="10" width="11" customWidth="1"/>
  </cols>
  <sheetData>
    <row r="1" spans="1:11" x14ac:dyDescent="0.25">
      <c r="A1" s="5" t="s">
        <v>24</v>
      </c>
      <c r="B1" s="15" t="s">
        <v>14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32</v>
      </c>
    </row>
    <row r="2" spans="1:11" x14ac:dyDescent="0.25">
      <c r="A2" s="3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37</v>
      </c>
      <c r="I2" s="1" t="s">
        <v>38</v>
      </c>
      <c r="J2" s="14" t="s">
        <v>21</v>
      </c>
    </row>
    <row r="3" spans="1:11" x14ac:dyDescent="0.25">
      <c r="A3" s="12" t="s">
        <v>22</v>
      </c>
      <c r="B3" s="1">
        <v>1</v>
      </c>
      <c r="C3" s="1" t="s">
        <v>1</v>
      </c>
      <c r="D3" s="1" t="s">
        <v>22</v>
      </c>
      <c r="E3" s="1">
        <v>794835</v>
      </c>
      <c r="F3" s="1">
        <v>755916</v>
      </c>
      <c r="G3" s="2">
        <f>F3/E3-1</f>
        <v>-4.8964879503293091E-2</v>
      </c>
      <c r="H3" s="1">
        <v>3557374</v>
      </c>
      <c r="I3" s="1">
        <v>3017178</v>
      </c>
      <c r="J3" s="4">
        <f>I3/H3-1</f>
        <v>-0.15185246195648816</v>
      </c>
      <c r="K3" s="10" t="s">
        <v>0</v>
      </c>
    </row>
    <row r="4" spans="1:11" x14ac:dyDescent="0.25">
      <c r="A4" s="13"/>
      <c r="B4" s="1">
        <v>2</v>
      </c>
      <c r="C4" s="1" t="s">
        <v>3</v>
      </c>
      <c r="D4" s="1" t="s">
        <v>22</v>
      </c>
      <c r="E4" s="1">
        <v>223000</v>
      </c>
      <c r="F4" s="1">
        <v>219000</v>
      </c>
      <c r="G4" s="2">
        <f t="shared" ref="G4:G9" si="0">F4/E4-1</f>
        <v>-1.7937219730941756E-2</v>
      </c>
      <c r="H4" s="1">
        <v>621000</v>
      </c>
      <c r="I4" s="1">
        <v>943000</v>
      </c>
      <c r="J4" s="4">
        <f t="shared" ref="J4:J9" si="1">I4/H4-1</f>
        <v>0.5185185185185186</v>
      </c>
      <c r="K4" s="11" t="s">
        <v>2</v>
      </c>
    </row>
    <row r="5" spans="1:11" x14ac:dyDescent="0.25">
      <c r="A5" s="13"/>
      <c r="B5" s="1">
        <v>3</v>
      </c>
      <c r="C5" s="1" t="s">
        <v>5</v>
      </c>
      <c r="D5" s="1" t="s">
        <v>22</v>
      </c>
      <c r="E5" s="1">
        <v>400000</v>
      </c>
      <c r="F5" s="1">
        <v>250000</v>
      </c>
      <c r="G5" s="2">
        <f t="shared" si="0"/>
        <v>-0.375</v>
      </c>
      <c r="H5" s="1">
        <v>1400000</v>
      </c>
      <c r="I5" s="1">
        <v>1450000</v>
      </c>
      <c r="J5" s="4">
        <f t="shared" si="1"/>
        <v>3.5714285714285809E-2</v>
      </c>
      <c r="K5" s="10" t="s">
        <v>4</v>
      </c>
    </row>
    <row r="6" spans="1:11" x14ac:dyDescent="0.25">
      <c r="A6" s="13"/>
      <c r="B6" s="1">
        <v>4</v>
      </c>
      <c r="C6" s="1" t="s">
        <v>7</v>
      </c>
      <c r="D6" s="1" t="s">
        <v>22</v>
      </c>
      <c r="E6" s="1">
        <v>630000</v>
      </c>
      <c r="F6" s="1">
        <v>581000</v>
      </c>
      <c r="G6" s="2">
        <f t="shared" si="0"/>
        <v>-7.7777777777777724E-2</v>
      </c>
      <c r="H6" s="1">
        <v>2876000</v>
      </c>
      <c r="I6" s="1">
        <v>2241000</v>
      </c>
      <c r="J6" s="4">
        <f t="shared" si="1"/>
        <v>-0.22079276773296241</v>
      </c>
      <c r="K6" s="11" t="s">
        <v>6</v>
      </c>
    </row>
    <row r="7" spans="1:11" x14ac:dyDescent="0.25">
      <c r="A7" s="13"/>
      <c r="B7" s="1">
        <v>5</v>
      </c>
      <c r="C7" s="1" t="s">
        <v>9</v>
      </c>
      <c r="D7" s="1" t="s">
        <v>22</v>
      </c>
      <c r="E7" s="1">
        <v>1709000</v>
      </c>
      <c r="F7" s="1">
        <v>2503000</v>
      </c>
      <c r="G7" s="2">
        <f t="shared" si="0"/>
        <v>0.46459918080748985</v>
      </c>
      <c r="H7" s="1">
        <v>5422000</v>
      </c>
      <c r="I7" s="1">
        <v>7376000</v>
      </c>
      <c r="J7" s="4">
        <f>I7/H7-1</f>
        <v>0.36038362227960152</v>
      </c>
      <c r="K7" s="10" t="s">
        <v>8</v>
      </c>
    </row>
    <row r="8" spans="1:11" x14ac:dyDescent="0.25">
      <c r="A8" s="13"/>
      <c r="B8" s="1">
        <v>6</v>
      </c>
      <c r="C8" s="1" t="s">
        <v>11</v>
      </c>
      <c r="D8" s="1" t="s">
        <v>22</v>
      </c>
      <c r="E8" s="1">
        <v>680000</v>
      </c>
      <c r="F8" s="1">
        <v>700000</v>
      </c>
      <c r="G8" s="2">
        <f t="shared" si="0"/>
        <v>2.9411764705882248E-2</v>
      </c>
      <c r="H8" s="1">
        <v>2197000</v>
      </c>
      <c r="I8" s="1">
        <v>2400000</v>
      </c>
      <c r="J8" s="4">
        <f t="shared" si="1"/>
        <v>9.2398725534820203E-2</v>
      </c>
      <c r="K8" s="11" t="s">
        <v>10</v>
      </c>
    </row>
    <row r="9" spans="1:11" x14ac:dyDescent="0.25">
      <c r="A9" s="13"/>
      <c r="B9" s="6">
        <v>7</v>
      </c>
      <c r="C9" s="6" t="s">
        <v>13</v>
      </c>
      <c r="D9" s="6" t="s">
        <v>22</v>
      </c>
      <c r="E9" s="1">
        <v>435000</v>
      </c>
      <c r="F9" s="1">
        <v>255000</v>
      </c>
      <c r="G9" s="7">
        <f t="shared" si="0"/>
        <v>-0.41379310344827591</v>
      </c>
      <c r="H9" s="6">
        <v>1800000</v>
      </c>
      <c r="I9" s="6">
        <v>1300000</v>
      </c>
      <c r="J9" s="8">
        <f t="shared" si="1"/>
        <v>-0.27777777777777779</v>
      </c>
      <c r="K9" s="10" t="s">
        <v>12</v>
      </c>
    </row>
    <row r="10" spans="1:11" ht="15.75" x14ac:dyDescent="0.25">
      <c r="A10" s="9" t="s">
        <v>23</v>
      </c>
    </row>
    <row r="18" hidden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52C0-A669-4B62-805D-600F5EBB0B15}">
  <sheetPr>
    <pageSetUpPr fitToPage="1"/>
  </sheetPr>
  <dimension ref="A2:L28"/>
  <sheetViews>
    <sheetView tabSelected="1" workbookViewId="0">
      <selection activeCell="A19" sqref="A19:J27"/>
    </sheetView>
  </sheetViews>
  <sheetFormatPr defaultColWidth="15.7109375" defaultRowHeight="15" x14ac:dyDescent="0.25"/>
  <cols>
    <col min="1" max="1" width="17.85546875" customWidth="1"/>
    <col min="2" max="2" width="24.7109375" bestFit="1" customWidth="1"/>
    <col min="3" max="3" width="23.42578125" customWidth="1"/>
    <col min="4" max="4" width="10" bestFit="1" customWidth="1"/>
    <col min="5" max="5" width="26.85546875" customWidth="1"/>
    <col min="6" max="6" width="26.42578125" customWidth="1"/>
    <col min="7" max="7" width="10" bestFit="1" customWidth="1"/>
    <col min="8" max="9" width="18.28515625" bestFit="1" customWidth="1"/>
    <col min="10" max="10" width="10" bestFit="1" customWidth="1"/>
  </cols>
  <sheetData>
    <row r="2" spans="1:10" ht="18.75" x14ac:dyDescent="0.25">
      <c r="A2" s="23"/>
      <c r="B2" s="24" t="s">
        <v>44</v>
      </c>
      <c r="C2" s="24" t="s">
        <v>45</v>
      </c>
      <c r="D2" s="23"/>
      <c r="E2" s="24" t="s">
        <v>44</v>
      </c>
      <c r="F2" s="24" t="s">
        <v>45</v>
      </c>
      <c r="G2" s="24"/>
      <c r="H2" s="24" t="s">
        <v>43</v>
      </c>
      <c r="I2" s="24" t="s">
        <v>43</v>
      </c>
      <c r="J2" s="23"/>
    </row>
    <row r="3" spans="1:10" ht="18.75" x14ac:dyDescent="0.25">
      <c r="A3" s="23" t="s">
        <v>42</v>
      </c>
      <c r="B3" s="23" t="s">
        <v>35</v>
      </c>
      <c r="C3" s="23" t="s">
        <v>36</v>
      </c>
      <c r="D3" s="23" t="s">
        <v>41</v>
      </c>
      <c r="E3" s="23" t="s">
        <v>39</v>
      </c>
      <c r="F3" s="23" t="s">
        <v>40</v>
      </c>
      <c r="G3" s="23" t="s">
        <v>41</v>
      </c>
      <c r="H3" s="23" t="s">
        <v>33</v>
      </c>
      <c r="I3" s="23" t="s">
        <v>34</v>
      </c>
      <c r="J3" s="23" t="s">
        <v>41</v>
      </c>
    </row>
    <row r="4" spans="1:10" ht="18.75" x14ac:dyDescent="0.25">
      <c r="A4" s="17" t="s">
        <v>1</v>
      </c>
      <c r="B4" s="20">
        <v>8.31</v>
      </c>
      <c r="C4" s="20">
        <v>9.84</v>
      </c>
      <c r="D4" s="18">
        <f t="shared" ref="D4:D10" si="0">C4/B4-1</f>
        <v>0.18411552346570392</v>
      </c>
      <c r="E4" s="21">
        <v>365</v>
      </c>
      <c r="F4" s="21">
        <v>478</v>
      </c>
      <c r="G4" s="19">
        <f t="shared" ref="G4" si="1">F4/E4-1</f>
        <v>0.30958904109589036</v>
      </c>
      <c r="H4" s="20">
        <v>41.79</v>
      </c>
      <c r="I4" s="20">
        <v>40.590000000000003</v>
      </c>
      <c r="J4" s="19">
        <f t="shared" ref="J4" si="2">I4/H4-1</f>
        <v>-2.8715003589375399E-2</v>
      </c>
    </row>
    <row r="5" spans="1:10" ht="18.75" x14ac:dyDescent="0.25">
      <c r="A5" s="17" t="s">
        <v>3</v>
      </c>
      <c r="B5" s="20">
        <v>3.5</v>
      </c>
      <c r="C5" s="20">
        <v>3.18</v>
      </c>
      <c r="D5" s="18">
        <f t="shared" si="0"/>
        <v>-9.1428571428571415E-2</v>
      </c>
      <c r="E5" s="17">
        <v>51</v>
      </c>
      <c r="F5" s="17">
        <v>52</v>
      </c>
      <c r="G5" s="19">
        <f>F5/E5-1</f>
        <v>1.9607843137254832E-2</v>
      </c>
      <c r="H5" s="20">
        <v>12.03</v>
      </c>
      <c r="I5" s="20">
        <v>13.5</v>
      </c>
      <c r="J5" s="19">
        <f>I5/H5-1</f>
        <v>0.12219451371571077</v>
      </c>
    </row>
    <row r="6" spans="1:10" ht="18.75" x14ac:dyDescent="0.25">
      <c r="A6" s="17" t="s">
        <v>5</v>
      </c>
      <c r="B6" s="20">
        <v>1.65</v>
      </c>
      <c r="C6" s="20">
        <v>3.21</v>
      </c>
      <c r="D6" s="18">
        <f t="shared" si="0"/>
        <v>0.94545454545454555</v>
      </c>
      <c r="E6" s="17">
        <v>37</v>
      </c>
      <c r="F6" s="17">
        <v>63</v>
      </c>
      <c r="G6" s="19">
        <f t="shared" ref="G6:G10" si="3">F6/E6-1</f>
        <v>0.70270270270270263</v>
      </c>
      <c r="H6" s="20">
        <v>15.78</v>
      </c>
      <c r="I6" s="20">
        <v>11.16</v>
      </c>
      <c r="J6" s="19">
        <f t="shared" ref="J6:J10" si="4">I6/H6-1</f>
        <v>-0.29277566539923949</v>
      </c>
    </row>
    <row r="7" spans="1:10" ht="18.75" x14ac:dyDescent="0.25">
      <c r="A7" s="17" t="s">
        <v>7</v>
      </c>
      <c r="B7" s="20">
        <v>2.84</v>
      </c>
      <c r="C7" s="20">
        <v>4.5999999999999996</v>
      </c>
      <c r="D7" s="18">
        <f t="shared" si="0"/>
        <v>0.61971830985915499</v>
      </c>
      <c r="E7" s="17">
        <v>42</v>
      </c>
      <c r="F7" s="17">
        <v>55</v>
      </c>
      <c r="G7" s="19">
        <f t="shared" si="3"/>
        <v>0.30952380952380953</v>
      </c>
      <c r="H7" s="20">
        <v>17.149999999999999</v>
      </c>
      <c r="I7" s="20">
        <v>19.73</v>
      </c>
      <c r="J7" s="19">
        <f t="shared" si="4"/>
        <v>0.15043731778425662</v>
      </c>
    </row>
    <row r="8" spans="1:10" ht="18.75" x14ac:dyDescent="0.25">
      <c r="A8" s="17" t="s">
        <v>9</v>
      </c>
      <c r="B8" s="20">
        <v>25.62</v>
      </c>
      <c r="C8" s="20">
        <v>28.76</v>
      </c>
      <c r="D8" s="18">
        <f t="shared" si="0"/>
        <v>0.12256049960967985</v>
      </c>
      <c r="E8" s="17">
        <v>380</v>
      </c>
      <c r="F8" s="17">
        <v>420</v>
      </c>
      <c r="G8" s="19">
        <f t="shared" si="3"/>
        <v>0.10526315789473695</v>
      </c>
      <c r="H8" s="20">
        <v>90</v>
      </c>
      <c r="I8" s="20">
        <v>111.6</v>
      </c>
      <c r="J8" s="19">
        <f t="shared" si="4"/>
        <v>0.24</v>
      </c>
    </row>
    <row r="9" spans="1:10" ht="18.75" x14ac:dyDescent="0.25">
      <c r="A9" s="17" t="s">
        <v>11</v>
      </c>
      <c r="B9" s="20">
        <v>8.06</v>
      </c>
      <c r="C9" s="20">
        <v>7.51</v>
      </c>
      <c r="D9" s="18">
        <f t="shared" si="0"/>
        <v>-6.8238213399503755E-2</v>
      </c>
      <c r="E9" s="17">
        <v>45</v>
      </c>
      <c r="F9" s="17">
        <v>37</v>
      </c>
      <c r="G9" s="19">
        <f t="shared" si="3"/>
        <v>-0.17777777777777781</v>
      </c>
      <c r="H9" s="20">
        <v>31.49</v>
      </c>
      <c r="I9" s="20">
        <v>34.44</v>
      </c>
      <c r="J9" s="19">
        <f t="shared" si="4"/>
        <v>9.3680533502699337E-2</v>
      </c>
    </row>
    <row r="10" spans="1:10" ht="19.5" thickBot="1" x14ac:dyDescent="0.3">
      <c r="A10" s="17" t="s">
        <v>13</v>
      </c>
      <c r="B10" s="22">
        <v>7</v>
      </c>
      <c r="C10" s="20">
        <v>5</v>
      </c>
      <c r="D10" s="18">
        <f t="shared" si="0"/>
        <v>-0.2857142857142857</v>
      </c>
      <c r="E10" s="17">
        <v>24</v>
      </c>
      <c r="F10" s="17">
        <v>27</v>
      </c>
      <c r="G10" s="19">
        <f t="shared" si="3"/>
        <v>0.125</v>
      </c>
      <c r="H10" s="20">
        <v>29.75</v>
      </c>
      <c r="I10" s="20">
        <v>33.75</v>
      </c>
      <c r="J10" s="19">
        <f t="shared" si="4"/>
        <v>0.13445378151260501</v>
      </c>
    </row>
    <row r="17" spans="1:12" ht="15.75" x14ac:dyDescent="0.25">
      <c r="A17" s="9"/>
    </row>
    <row r="18" spans="1:12" ht="15.75" x14ac:dyDescent="0.25">
      <c r="A18" s="25"/>
    </row>
    <row r="19" spans="1:12" ht="18.75" x14ac:dyDescent="0.25">
      <c r="A19" s="31" t="s">
        <v>42</v>
      </c>
      <c r="B19" s="32" t="s">
        <v>46</v>
      </c>
      <c r="C19" s="32" t="s">
        <v>48</v>
      </c>
      <c r="D19" s="32"/>
      <c r="E19" s="32" t="s">
        <v>46</v>
      </c>
      <c r="F19" s="32" t="s">
        <v>48</v>
      </c>
      <c r="G19" s="32"/>
      <c r="H19" s="32" t="s">
        <v>47</v>
      </c>
      <c r="I19" s="32" t="s">
        <v>47</v>
      </c>
      <c r="J19" s="32"/>
      <c r="K19" s="26"/>
      <c r="L19" s="27"/>
    </row>
    <row r="20" spans="1:12" ht="18.75" x14ac:dyDescent="0.25">
      <c r="A20" s="33"/>
      <c r="B20" s="32" t="s">
        <v>18</v>
      </c>
      <c r="C20" s="32" t="s">
        <v>19</v>
      </c>
      <c r="D20" s="32" t="s">
        <v>41</v>
      </c>
      <c r="E20" s="32" t="s">
        <v>39</v>
      </c>
      <c r="F20" s="32" t="s">
        <v>40</v>
      </c>
      <c r="G20" s="32" t="s">
        <v>41</v>
      </c>
      <c r="H20" s="32" t="s">
        <v>33</v>
      </c>
      <c r="I20" s="32" t="s">
        <v>34</v>
      </c>
      <c r="J20" s="32" t="s">
        <v>41</v>
      </c>
      <c r="K20" s="26"/>
      <c r="L20" s="27"/>
    </row>
    <row r="21" spans="1:12" ht="18.75" x14ac:dyDescent="0.3">
      <c r="A21" s="29" t="s">
        <v>1</v>
      </c>
      <c r="B21" s="29">
        <v>7.41</v>
      </c>
      <c r="C21" s="29"/>
      <c r="D21" s="18">
        <f t="shared" ref="D21:D27" si="5">C21/B21-1</f>
        <v>-1</v>
      </c>
      <c r="E21" s="29">
        <v>316</v>
      </c>
      <c r="F21" s="29"/>
      <c r="G21" s="19">
        <f t="shared" ref="G21:G27" si="6">F21/E21-1</f>
        <v>-1</v>
      </c>
      <c r="H21" s="30">
        <v>19.43</v>
      </c>
      <c r="I21" s="29"/>
      <c r="J21" s="19">
        <f t="shared" ref="J21:J27" si="7">I21/H21-1</f>
        <v>-1</v>
      </c>
      <c r="K21" s="28"/>
      <c r="L21" s="27"/>
    </row>
    <row r="22" spans="1:12" ht="18.75" x14ac:dyDescent="0.3">
      <c r="A22" s="29" t="s">
        <v>3</v>
      </c>
      <c r="B22" s="29">
        <v>2.42</v>
      </c>
      <c r="C22" s="29"/>
      <c r="D22" s="18">
        <f t="shared" si="5"/>
        <v>-1</v>
      </c>
      <c r="E22" s="29">
        <v>42</v>
      </c>
      <c r="F22" s="29"/>
      <c r="G22" s="19">
        <f t="shared" si="6"/>
        <v>-1</v>
      </c>
      <c r="H22" s="30">
        <v>11.52</v>
      </c>
      <c r="I22" s="29"/>
      <c r="J22" s="19">
        <f t="shared" si="7"/>
        <v>-1</v>
      </c>
      <c r="K22" s="28"/>
      <c r="L22" s="27"/>
    </row>
    <row r="23" spans="1:12" ht="18.75" x14ac:dyDescent="0.3">
      <c r="A23" s="29" t="s">
        <v>5</v>
      </c>
      <c r="B23" s="29">
        <v>4.9800000000000004</v>
      </c>
      <c r="C23" s="29"/>
      <c r="D23" s="18">
        <f t="shared" si="5"/>
        <v>-1</v>
      </c>
      <c r="E23" s="29">
        <v>28</v>
      </c>
      <c r="F23" s="29"/>
      <c r="G23" s="19">
        <f t="shared" si="6"/>
        <v>-1</v>
      </c>
      <c r="H23" s="30">
        <v>21.18</v>
      </c>
      <c r="I23" s="29"/>
      <c r="J23" s="19">
        <f t="shared" si="7"/>
        <v>-1</v>
      </c>
      <c r="K23" s="28"/>
      <c r="L23" s="27"/>
    </row>
    <row r="24" spans="1:12" ht="18.75" x14ac:dyDescent="0.3">
      <c r="A24" s="29" t="s">
        <v>7</v>
      </c>
      <c r="B24" s="29">
        <v>5.35</v>
      </c>
      <c r="C24" s="29"/>
      <c r="D24" s="18">
        <f t="shared" si="5"/>
        <v>-1</v>
      </c>
      <c r="E24" s="29">
        <v>55</v>
      </c>
      <c r="F24" s="29"/>
      <c r="G24" s="19">
        <f t="shared" si="6"/>
        <v>-1</v>
      </c>
      <c r="H24" s="30">
        <v>25.35</v>
      </c>
      <c r="I24" s="29"/>
      <c r="J24" s="19">
        <f t="shared" si="7"/>
        <v>-1</v>
      </c>
      <c r="K24" s="28"/>
      <c r="L24" s="27"/>
    </row>
    <row r="25" spans="1:12" ht="18.75" x14ac:dyDescent="0.3">
      <c r="A25" s="29" t="s">
        <v>9</v>
      </c>
      <c r="B25" s="29">
        <v>22.74</v>
      </c>
      <c r="C25" s="29"/>
      <c r="D25" s="18">
        <f t="shared" si="5"/>
        <v>-1</v>
      </c>
      <c r="E25" s="29">
        <v>350</v>
      </c>
      <c r="F25" s="29"/>
      <c r="G25" s="19">
        <f t="shared" si="6"/>
        <v>-1</v>
      </c>
      <c r="H25" s="30">
        <v>95.74</v>
      </c>
      <c r="I25" s="29"/>
      <c r="J25" s="19">
        <f t="shared" si="7"/>
        <v>-1</v>
      </c>
      <c r="K25" s="28"/>
      <c r="L25" s="27"/>
    </row>
    <row r="26" spans="1:12" ht="18.75" x14ac:dyDescent="0.3">
      <c r="A26" s="29" t="s">
        <v>11</v>
      </c>
      <c r="B26" s="29">
        <v>8.2100000000000009</v>
      </c>
      <c r="C26" s="29"/>
      <c r="D26" s="18">
        <f t="shared" si="5"/>
        <v>-1</v>
      </c>
      <c r="E26" s="29">
        <v>53</v>
      </c>
      <c r="F26" s="29"/>
      <c r="G26" s="19">
        <f t="shared" si="6"/>
        <v>-1</v>
      </c>
      <c r="H26" s="30">
        <v>32.31</v>
      </c>
      <c r="I26" s="29"/>
      <c r="J26" s="19">
        <f t="shared" si="7"/>
        <v>-1</v>
      </c>
      <c r="K26" s="28"/>
      <c r="L26" s="27"/>
    </row>
    <row r="27" spans="1:12" ht="18.75" x14ac:dyDescent="0.3">
      <c r="A27" s="29" t="s">
        <v>13</v>
      </c>
      <c r="B27" s="29">
        <v>7.18</v>
      </c>
      <c r="C27" s="29"/>
      <c r="D27" s="18">
        <f t="shared" si="5"/>
        <v>-1</v>
      </c>
      <c r="E27" s="29">
        <v>31</v>
      </c>
      <c r="F27" s="29"/>
      <c r="G27" s="19">
        <f t="shared" si="6"/>
        <v>-1</v>
      </c>
      <c r="H27" s="30">
        <v>29.18</v>
      </c>
      <c r="I27" s="29"/>
      <c r="J27" s="19">
        <f t="shared" si="7"/>
        <v>-1</v>
      </c>
      <c r="K27" s="28"/>
      <c r="L27" s="27"/>
    </row>
    <row r="28" spans="1:12" ht="15.75" x14ac:dyDescent="0.25">
      <c r="A28" s="9"/>
    </row>
  </sheetData>
  <mergeCells count="1">
    <mergeCell ref="A19:A20"/>
  </mergeCells>
  <pageMargins left="0.7" right="0.7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2026-09-21T11:35:37Z</dcterms:modified>
</cp:coreProperties>
</file>